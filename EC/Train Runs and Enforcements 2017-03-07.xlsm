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Enforcements!$A$6:$AC$67</definedName>
    <definedName name="_xlnm._FilterDatabase" localSheetId="2" hidden="1">'Missing Trips'!$A$2:$J$101</definedName>
    <definedName name="_xlnm._FilterDatabase" localSheetId="0" hidden="1">'Train Runs'!$A$12:$AG$257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90" i="1" l="1"/>
  <c r="X91" i="1"/>
  <c r="X92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R12" i="3" s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S29" i="3" s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AA28" i="1" s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31" i="1"/>
  <c r="L31" i="1"/>
  <c r="M31" i="1"/>
  <c r="N31" i="1" s="1"/>
  <c r="V31" i="1"/>
  <c r="Y31" i="1"/>
  <c r="Z31" i="1"/>
  <c r="AB31" i="1"/>
  <c r="AC31" i="1"/>
  <c r="AD31" i="1"/>
  <c r="AE31" i="1"/>
  <c r="R7" i="3" s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A35" i="1" s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P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R13" i="3" s="1"/>
  <c r="AF37" i="1"/>
  <c r="AH37" i="1"/>
  <c r="AM37" i="1"/>
  <c r="AN37" i="1"/>
  <c r="K38" i="1"/>
  <c r="L38" i="1"/>
  <c r="M38" i="1"/>
  <c r="P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P40" i="1" s="1"/>
  <c r="V40" i="1"/>
  <c r="S21" i="3" s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P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P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A45" i="1" s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P46" i="1" s="1"/>
  <c r="V46" i="1"/>
  <c r="S27" i="3" s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P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P49" i="1" s="1"/>
  <c r="V49" i="1"/>
  <c r="Y49" i="1"/>
  <c r="Z49" i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P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V51" i="1"/>
  <c r="Y51" i="1"/>
  <c r="Z51" i="1"/>
  <c r="AA51" i="1" s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P53" i="1" s="1"/>
  <c r="V53" i="1"/>
  <c r="Y53" i="1"/>
  <c r="Z53" i="1"/>
  <c r="AA53" i="1" s="1"/>
  <c r="AB53" i="1"/>
  <c r="AC53" i="1"/>
  <c r="AD53" i="1"/>
  <c r="AE53" i="1"/>
  <c r="AF53" i="1"/>
  <c r="AH53" i="1"/>
  <c r="AM53" i="1"/>
  <c r="AN53" i="1"/>
  <c r="K54" i="1"/>
  <c r="L54" i="1"/>
  <c r="M54" i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A55" i="1" s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P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P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P61" i="1" s="1"/>
  <c r="V61" i="1"/>
  <c r="Y61" i="1"/>
  <c r="Z61" i="1"/>
  <c r="AB61" i="1"/>
  <c r="AC61" i="1"/>
  <c r="AD61" i="1"/>
  <c r="AE61" i="1"/>
  <c r="AF61" i="1"/>
  <c r="AH61" i="1"/>
  <c r="AM61" i="1"/>
  <c r="AN61" i="1"/>
  <c r="K63" i="1"/>
  <c r="L63" i="1"/>
  <c r="M63" i="1"/>
  <c r="P63" i="1" s="1"/>
  <c r="V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P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R19" i="3" s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R20" i="3" s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P84" i="1" s="1"/>
  <c r="V84" i="1"/>
  <c r="Y84" i="1"/>
  <c r="Z84" i="1"/>
  <c r="AB84" i="1"/>
  <c r="AC84" i="1"/>
  <c r="AD84" i="1"/>
  <c r="AE84" i="1"/>
  <c r="R15" i="3" s="1"/>
  <c r="AF84" i="1"/>
  <c r="AH84" i="1"/>
  <c r="AM84" i="1"/>
  <c r="AN84" i="1"/>
  <c r="K85" i="1"/>
  <c r="L85" i="1"/>
  <c r="M85" i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S25" i="3" s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R26" i="3" s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P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V95" i="1"/>
  <c r="Y95" i="1"/>
  <c r="Z95" i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R16" i="3" s="1"/>
  <c r="AF96" i="1"/>
  <c r="AH96" i="1"/>
  <c r="AM96" i="1"/>
  <c r="AN96" i="1"/>
  <c r="K97" i="1"/>
  <c r="L97" i="1"/>
  <c r="M97" i="1"/>
  <c r="N97" i="1" s="1"/>
  <c r="V97" i="1"/>
  <c r="S38" i="3" s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A98" i="1" s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R31" i="3" s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A102" i="1" s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03" i="1"/>
  <c r="AM103" i="1"/>
  <c r="AN103" i="1"/>
  <c r="K104" i="1"/>
  <c r="L104" i="1"/>
  <c r="M104" i="1"/>
  <c r="N104" i="1" s="1"/>
  <c r="V104" i="1"/>
  <c r="S23" i="3" s="1"/>
  <c r="Y104" i="1"/>
  <c r="Z104" i="1"/>
  <c r="AB104" i="1"/>
  <c r="AC104" i="1"/>
  <c r="AD104" i="1"/>
  <c r="AE104" i="1"/>
  <c r="R23" i="3" s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S39" i="3" s="1"/>
  <c r="Y109" i="1"/>
  <c r="Z109" i="1"/>
  <c r="AB109" i="1"/>
  <c r="AC109" i="1"/>
  <c r="AD109" i="1"/>
  <c r="T109" i="1" s="1"/>
  <c r="AE109" i="1"/>
  <c r="R39" i="3" s="1"/>
  <c r="AF109" i="1"/>
  <c r="AH109" i="1"/>
  <c r="AM109" i="1"/>
  <c r="AN109" i="1"/>
  <c r="K110" i="1"/>
  <c r="L110" i="1"/>
  <c r="M110" i="1"/>
  <c r="N110" i="1" s="1"/>
  <c r="V110" i="1"/>
  <c r="S24" i="3" s="1"/>
  <c r="Y110" i="1"/>
  <c r="Z110" i="1"/>
  <c r="AB110" i="1"/>
  <c r="AC110" i="1"/>
  <c r="AD110" i="1"/>
  <c r="T110" i="1" s="1"/>
  <c r="AE110" i="1"/>
  <c r="R24" i="3" s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S32" i="3" s="1"/>
  <c r="Y118" i="1"/>
  <c r="Z118" i="1"/>
  <c r="AB118" i="1"/>
  <c r="AC118" i="1"/>
  <c r="AD118" i="1"/>
  <c r="T118" i="1" s="1"/>
  <c r="AE118" i="1"/>
  <c r="R32" i="3" s="1"/>
  <c r="AF118" i="1"/>
  <c r="AH118" i="1"/>
  <c r="AM118" i="1"/>
  <c r="AN118" i="1"/>
  <c r="K119" i="1"/>
  <c r="L119" i="1"/>
  <c r="M119" i="1"/>
  <c r="N119" i="1" s="1"/>
  <c r="T119" i="1"/>
  <c r="V119" i="1"/>
  <c r="Y119" i="1"/>
  <c r="Z119" i="1"/>
  <c r="AB119" i="1"/>
  <c r="AC119" i="1"/>
  <c r="AD119" i="1"/>
  <c r="AG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S33" i="3" s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X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P139" i="1" s="1"/>
  <c r="V139" i="1"/>
  <c r="Y139" i="1"/>
  <c r="Z139" i="1"/>
  <c r="AB139" i="1"/>
  <c r="AC139" i="1"/>
  <c r="AD139" i="1"/>
  <c r="AG139" i="1" s="1"/>
  <c r="AE139" i="1"/>
  <c r="AF139" i="1"/>
  <c r="AH139" i="1"/>
  <c r="AM139" i="1"/>
  <c r="AN139" i="1"/>
  <c r="K140" i="1"/>
  <c r="L140" i="1"/>
  <c r="M140" i="1"/>
  <c r="V140" i="1"/>
  <c r="Y140" i="1"/>
  <c r="Z140" i="1"/>
  <c r="AB140" i="1"/>
  <c r="AC140" i="1"/>
  <c r="AD140" i="1"/>
  <c r="AG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R9" i="3" s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AM147" i="1"/>
  <c r="AN147" i="1"/>
  <c r="K148" i="1"/>
  <c r="L148" i="1"/>
  <c r="M148" i="1"/>
  <c r="N148" i="1" s="1"/>
  <c r="V148" i="1"/>
  <c r="S41" i="3" s="1"/>
  <c r="Y148" i="1"/>
  <c r="Z148" i="1"/>
  <c r="AB148" i="1"/>
  <c r="AC148" i="1"/>
  <c r="AD148" i="1"/>
  <c r="AG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A151" i="1" s="1"/>
  <c r="W151" i="1" s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AM152" i="1"/>
  <c r="AN152" i="1"/>
  <c r="K153" i="1"/>
  <c r="L153" i="1"/>
  <c r="M153" i="1"/>
  <c r="N153" i="1" s="1"/>
  <c r="V153" i="1"/>
  <c r="S10" i="3" s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P155" i="1" s="1"/>
  <c r="V155" i="1"/>
  <c r="S11" i="3" s="1"/>
  <c r="Y155" i="1"/>
  <c r="Z155" i="1"/>
  <c r="AB155" i="1"/>
  <c r="AC155" i="1"/>
  <c r="AD155" i="1"/>
  <c r="AG155" i="1" s="1"/>
  <c r="AE155" i="1"/>
  <c r="R11" i="3" s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S42" i="3" s="1"/>
  <c r="Y158" i="1"/>
  <c r="Z158" i="1"/>
  <c r="AB158" i="1"/>
  <c r="AC158" i="1"/>
  <c r="AD158" i="1"/>
  <c r="T158" i="1" s="1"/>
  <c r="AE158" i="1"/>
  <c r="R42" i="3" s="1"/>
  <c r="AF158" i="1"/>
  <c r="AH158" i="1"/>
  <c r="AM158" i="1"/>
  <c r="AN158" i="1"/>
  <c r="K159" i="1"/>
  <c r="L159" i="1"/>
  <c r="M159" i="1"/>
  <c r="N159" i="1" s="1"/>
  <c r="V159" i="1"/>
  <c r="Y159" i="1"/>
  <c r="Z159" i="1"/>
  <c r="AA159" i="1" s="1"/>
  <c r="W159" i="1" s="1"/>
  <c r="AB159" i="1"/>
  <c r="AC159" i="1"/>
  <c r="AD159" i="1"/>
  <c r="AG159" i="1" s="1"/>
  <c r="AE159" i="1"/>
  <c r="AF159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S54" i="3" s="1"/>
  <c r="Y210" i="1"/>
  <c r="Z210" i="1"/>
  <c r="AB210" i="1"/>
  <c r="AC210" i="1"/>
  <c r="AD210" i="1"/>
  <c r="AG210" i="1" s="1"/>
  <c r="AE210" i="1"/>
  <c r="R54" i="3" s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AM169" i="1"/>
  <c r="AN169" i="1"/>
  <c r="K217" i="1"/>
  <c r="L217" i="1"/>
  <c r="M217" i="1"/>
  <c r="N217" i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171" i="1"/>
  <c r="AM171" i="1"/>
  <c r="AN171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2" i="1"/>
  <c r="AM172" i="1"/>
  <c r="AN172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173" i="1"/>
  <c r="AM173" i="1"/>
  <c r="AN173" i="1"/>
  <c r="K226" i="1"/>
  <c r="L226" i="1"/>
  <c r="M226" i="1"/>
  <c r="N226" i="1" s="1"/>
  <c r="V226" i="1"/>
  <c r="S59" i="3" s="1"/>
  <c r="Y226" i="1"/>
  <c r="Z226" i="1"/>
  <c r="AB226" i="1"/>
  <c r="AC226" i="1"/>
  <c r="AD226" i="1"/>
  <c r="T226" i="1" s="1"/>
  <c r="AE226" i="1"/>
  <c r="AF226" i="1"/>
  <c r="AH174" i="1"/>
  <c r="AM174" i="1"/>
  <c r="AN174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5" i="1"/>
  <c r="AM175" i="1"/>
  <c r="AN175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176" i="1"/>
  <c r="AM176" i="1"/>
  <c r="AN176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7" i="1"/>
  <c r="AM177" i="1"/>
  <c r="AN177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8" i="1"/>
  <c r="AM178" i="1"/>
  <c r="AN178" i="1"/>
  <c r="K231" i="1"/>
  <c r="L231" i="1"/>
  <c r="M231" i="1"/>
  <c r="N231" i="1" s="1"/>
  <c r="V231" i="1"/>
  <c r="Y231" i="1"/>
  <c r="Z231" i="1"/>
  <c r="AB231" i="1"/>
  <c r="AC231" i="1"/>
  <c r="AD231" i="1"/>
  <c r="AG231" i="1" s="1"/>
  <c r="AE231" i="1"/>
  <c r="AF231" i="1"/>
  <c r="AH179" i="1"/>
  <c r="AM179" i="1"/>
  <c r="AN179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AH180" i="1"/>
  <c r="AM180" i="1"/>
  <c r="AN180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81" i="1"/>
  <c r="AM181" i="1"/>
  <c r="AN181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2" i="1"/>
  <c r="AM182" i="1"/>
  <c r="AN182" i="1"/>
  <c r="K235" i="1"/>
  <c r="L235" i="1"/>
  <c r="M235" i="1"/>
  <c r="N235" i="1" s="1"/>
  <c r="V235" i="1"/>
  <c r="Y235" i="1"/>
  <c r="Z235" i="1"/>
  <c r="AB235" i="1"/>
  <c r="AC235" i="1"/>
  <c r="AD235" i="1"/>
  <c r="AG235" i="1" s="1"/>
  <c r="AE235" i="1"/>
  <c r="AF235" i="1"/>
  <c r="AH183" i="1"/>
  <c r="AM183" i="1"/>
  <c r="AN183" i="1"/>
  <c r="K236" i="1"/>
  <c r="L236" i="1"/>
  <c r="M236" i="1"/>
  <c r="N236" i="1" s="1"/>
  <c r="V236" i="1"/>
  <c r="Y236" i="1"/>
  <c r="Z236" i="1"/>
  <c r="AB236" i="1"/>
  <c r="AC236" i="1"/>
  <c r="AD236" i="1"/>
  <c r="AG236" i="1" s="1"/>
  <c r="AE236" i="1"/>
  <c r="R56" i="3" s="1"/>
  <c r="AF236" i="1"/>
  <c r="AH184" i="1"/>
  <c r="AM184" i="1"/>
  <c r="AN184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5" i="1"/>
  <c r="AM185" i="1"/>
  <c r="AN185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6" i="1"/>
  <c r="AM186" i="1"/>
  <c r="AN186" i="1"/>
  <c r="K239" i="1"/>
  <c r="L239" i="1"/>
  <c r="M239" i="1"/>
  <c r="N239" i="1" s="1"/>
  <c r="V239" i="1"/>
  <c r="Y239" i="1"/>
  <c r="Z239" i="1"/>
  <c r="AB239" i="1"/>
  <c r="AC239" i="1"/>
  <c r="AD239" i="1"/>
  <c r="AG239" i="1" s="1"/>
  <c r="AI239" i="1" s="1"/>
  <c r="AE239" i="1"/>
  <c r="AF239" i="1"/>
  <c r="AH187" i="1"/>
  <c r="AM187" i="1"/>
  <c r="AN187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8" i="1"/>
  <c r="AM188" i="1"/>
  <c r="AN188" i="1"/>
  <c r="K241" i="1"/>
  <c r="L241" i="1"/>
  <c r="M241" i="1"/>
  <c r="N241" i="1" s="1"/>
  <c r="V241" i="1"/>
  <c r="Y241" i="1"/>
  <c r="Z241" i="1"/>
  <c r="AB241" i="1"/>
  <c r="AC241" i="1"/>
  <c r="AD241" i="1"/>
  <c r="AE241" i="1"/>
  <c r="AF241" i="1"/>
  <c r="AH189" i="1"/>
  <c r="AM189" i="1"/>
  <c r="AN189" i="1"/>
  <c r="K242" i="1"/>
  <c r="L242" i="1"/>
  <c r="M242" i="1"/>
  <c r="N242" i="1" s="1"/>
  <c r="V242" i="1"/>
  <c r="S57" i="3" s="1"/>
  <c r="Y242" i="1"/>
  <c r="Z242" i="1"/>
  <c r="AB242" i="1"/>
  <c r="AC242" i="1"/>
  <c r="AD242" i="1"/>
  <c r="AG242" i="1" s="1"/>
  <c r="AE242" i="1"/>
  <c r="R57" i="3" s="1"/>
  <c r="AF242" i="1"/>
  <c r="AH190" i="1"/>
  <c r="AM190" i="1"/>
  <c r="AN190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91" i="1"/>
  <c r="AM191" i="1"/>
  <c r="AN191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92" i="1"/>
  <c r="AM192" i="1"/>
  <c r="AN192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193" i="1"/>
  <c r="AM193" i="1"/>
  <c r="AN193" i="1"/>
  <c r="K246" i="1"/>
  <c r="L246" i="1"/>
  <c r="M246" i="1"/>
  <c r="N246" i="1" s="1"/>
  <c r="V246" i="1"/>
  <c r="Y246" i="1"/>
  <c r="Z246" i="1"/>
  <c r="AB246" i="1"/>
  <c r="AC246" i="1"/>
  <c r="AD246" i="1"/>
  <c r="AG246" i="1" s="1"/>
  <c r="AE246" i="1"/>
  <c r="AF246" i="1"/>
  <c r="AH194" i="1"/>
  <c r="AM194" i="1"/>
  <c r="AN194" i="1"/>
  <c r="K247" i="1"/>
  <c r="L247" i="1"/>
  <c r="M247" i="1"/>
  <c r="N247" i="1" s="1"/>
  <c r="V247" i="1"/>
  <c r="Y247" i="1"/>
  <c r="Z247" i="1"/>
  <c r="AB247" i="1"/>
  <c r="AC247" i="1"/>
  <c r="AD247" i="1"/>
  <c r="AE247" i="1"/>
  <c r="AF247" i="1"/>
  <c r="AH195" i="1"/>
  <c r="AM195" i="1"/>
  <c r="AN195" i="1"/>
  <c r="K248" i="1"/>
  <c r="L248" i="1"/>
  <c r="M248" i="1"/>
  <c r="N248" i="1" s="1"/>
  <c r="V248" i="1"/>
  <c r="Y248" i="1"/>
  <c r="Z248" i="1"/>
  <c r="AB248" i="1"/>
  <c r="AC248" i="1"/>
  <c r="AD248" i="1"/>
  <c r="T248" i="1" s="1"/>
  <c r="AE248" i="1"/>
  <c r="AF248" i="1"/>
  <c r="AH196" i="1"/>
  <c r="AM196" i="1"/>
  <c r="AN196" i="1"/>
  <c r="K160" i="1"/>
  <c r="L160" i="1"/>
  <c r="M160" i="1"/>
  <c r="N160" i="1" s="1"/>
  <c r="V160" i="1"/>
  <c r="S46" i="3" s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97" i="1"/>
  <c r="AM197" i="1"/>
  <c r="AN197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98" i="1"/>
  <c r="AM198" i="1"/>
  <c r="AN198" i="1"/>
  <c r="K163" i="1"/>
  <c r="L163" i="1"/>
  <c r="M163" i="1"/>
  <c r="N163" i="1" s="1"/>
  <c r="V163" i="1"/>
  <c r="S51" i="3" s="1"/>
  <c r="Y163" i="1"/>
  <c r="Z163" i="1"/>
  <c r="AB163" i="1"/>
  <c r="AC163" i="1"/>
  <c r="AD163" i="1"/>
  <c r="AE163" i="1"/>
  <c r="R50" i="3" s="1"/>
  <c r="AF163" i="1"/>
  <c r="AH199" i="1"/>
  <c r="AM199" i="1"/>
  <c r="AN199" i="1"/>
  <c r="K164" i="1"/>
  <c r="L164" i="1"/>
  <c r="M164" i="1"/>
  <c r="N164" i="1" s="1"/>
  <c r="V164" i="1"/>
  <c r="S47" i="3" s="1"/>
  <c r="Y164" i="1"/>
  <c r="Z164" i="1"/>
  <c r="AB164" i="1"/>
  <c r="AC164" i="1"/>
  <c r="AD164" i="1"/>
  <c r="T164" i="1" s="1"/>
  <c r="AE164" i="1"/>
  <c r="R47" i="3" s="1"/>
  <c r="AF164" i="1"/>
  <c r="AH200" i="1"/>
  <c r="AM200" i="1"/>
  <c r="AN200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201" i="1"/>
  <c r="AM201" i="1"/>
  <c r="AN201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202" i="1"/>
  <c r="AM202" i="1"/>
  <c r="AN202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203" i="1"/>
  <c r="AM203" i="1"/>
  <c r="AN203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204" i="1"/>
  <c r="AM204" i="1"/>
  <c r="AN204" i="1"/>
  <c r="K169" i="1"/>
  <c r="L169" i="1"/>
  <c r="M169" i="1"/>
  <c r="N169" i="1" s="1"/>
  <c r="V169" i="1"/>
  <c r="S43" i="3" s="1"/>
  <c r="Y169" i="1"/>
  <c r="Z169" i="1"/>
  <c r="AB169" i="1"/>
  <c r="AC169" i="1"/>
  <c r="AD169" i="1"/>
  <c r="AG169" i="1" s="1"/>
  <c r="AE169" i="1"/>
  <c r="AF169" i="1"/>
  <c r="AH205" i="1"/>
  <c r="AM205" i="1"/>
  <c r="AN205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206" i="1"/>
  <c r="AM206" i="1"/>
  <c r="AN206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07" i="1"/>
  <c r="AM207" i="1"/>
  <c r="AN207" i="1"/>
  <c r="K172" i="1"/>
  <c r="L172" i="1"/>
  <c r="M172" i="1"/>
  <c r="N172" i="1" s="1"/>
  <c r="V172" i="1"/>
  <c r="S44" i="3" s="1"/>
  <c r="Y172" i="1"/>
  <c r="Z172" i="1"/>
  <c r="AB172" i="1"/>
  <c r="AC172" i="1"/>
  <c r="AD172" i="1"/>
  <c r="T172" i="1" s="1"/>
  <c r="AE172" i="1"/>
  <c r="R44" i="3" s="1"/>
  <c r="AF172" i="1"/>
  <c r="AH208" i="1"/>
  <c r="AM208" i="1"/>
  <c r="AN208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209" i="1"/>
  <c r="AM209" i="1"/>
  <c r="AN209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210" i="1"/>
  <c r="AM210" i="1"/>
  <c r="AN210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11" i="1"/>
  <c r="AM211" i="1"/>
  <c r="AN211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12" i="1"/>
  <c r="AM212" i="1"/>
  <c r="AN212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213" i="1"/>
  <c r="AM213" i="1"/>
  <c r="AN213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14" i="1"/>
  <c r="AM214" i="1"/>
  <c r="AN214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15" i="1"/>
  <c r="AM215" i="1"/>
  <c r="AN215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16" i="1"/>
  <c r="AM216" i="1"/>
  <c r="AN216" i="1"/>
  <c r="K181" i="1"/>
  <c r="L181" i="1"/>
  <c r="M181" i="1"/>
  <c r="N181" i="1" s="1"/>
  <c r="V181" i="1"/>
  <c r="S45" i="3" s="1"/>
  <c r="Y181" i="1"/>
  <c r="Z181" i="1"/>
  <c r="AB181" i="1"/>
  <c r="AC181" i="1"/>
  <c r="AD181" i="1"/>
  <c r="AG181" i="1" s="1"/>
  <c r="AE181" i="1"/>
  <c r="AF181" i="1"/>
  <c r="AH217" i="1"/>
  <c r="AM217" i="1"/>
  <c r="AN217" i="1"/>
  <c r="K182" i="1"/>
  <c r="L182" i="1"/>
  <c r="M182" i="1"/>
  <c r="N182" i="1" s="1"/>
  <c r="V182" i="1"/>
  <c r="S48" i="3" s="1"/>
  <c r="Y182" i="1"/>
  <c r="Z182" i="1"/>
  <c r="AB182" i="1"/>
  <c r="AC182" i="1"/>
  <c r="AD182" i="1"/>
  <c r="AG182" i="1" s="1"/>
  <c r="AE182" i="1"/>
  <c r="R48" i="3" s="1"/>
  <c r="AF182" i="1"/>
  <c r="AH218" i="1"/>
  <c r="AM218" i="1"/>
  <c r="AN218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19" i="1"/>
  <c r="AM219" i="1"/>
  <c r="AN219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20" i="1"/>
  <c r="AM220" i="1"/>
  <c r="AN220" i="1"/>
  <c r="K185" i="1"/>
  <c r="L185" i="1"/>
  <c r="M185" i="1"/>
  <c r="N185" i="1" s="1"/>
  <c r="V185" i="1"/>
  <c r="S53" i="3" s="1"/>
  <c r="Y185" i="1"/>
  <c r="Z185" i="1"/>
  <c r="AB185" i="1"/>
  <c r="AC185" i="1"/>
  <c r="AD185" i="1"/>
  <c r="AG185" i="1" s="1"/>
  <c r="AE185" i="1"/>
  <c r="R53" i="3" s="1"/>
  <c r="AF185" i="1"/>
  <c r="AH221" i="1"/>
  <c r="AM221" i="1"/>
  <c r="AN221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22" i="1"/>
  <c r="AM222" i="1"/>
  <c r="AN222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23" i="1"/>
  <c r="AM223" i="1"/>
  <c r="AN223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24" i="1"/>
  <c r="AM224" i="1"/>
  <c r="AN224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25" i="1"/>
  <c r="AM225" i="1"/>
  <c r="AN225" i="1"/>
  <c r="K249" i="1"/>
  <c r="L249" i="1"/>
  <c r="M249" i="1"/>
  <c r="N249" i="1" s="1"/>
  <c r="V249" i="1"/>
  <c r="Y249" i="1"/>
  <c r="Z249" i="1"/>
  <c r="AB249" i="1"/>
  <c r="AC249" i="1"/>
  <c r="AD249" i="1"/>
  <c r="AG249" i="1" s="1"/>
  <c r="AE249" i="1"/>
  <c r="AF249" i="1"/>
  <c r="AH226" i="1"/>
  <c r="AM226" i="1"/>
  <c r="AN226" i="1"/>
  <c r="K190" i="1"/>
  <c r="L190" i="1"/>
  <c r="M190" i="1"/>
  <c r="N190" i="1" s="1"/>
  <c r="V190" i="1"/>
  <c r="S49" i="3" s="1"/>
  <c r="Y190" i="1"/>
  <c r="Z190" i="1"/>
  <c r="AB190" i="1"/>
  <c r="AC190" i="1"/>
  <c r="AD190" i="1"/>
  <c r="T190" i="1" s="1"/>
  <c r="AE190" i="1"/>
  <c r="R49" i="3" s="1"/>
  <c r="AF190" i="1"/>
  <c r="AH227" i="1"/>
  <c r="AM227" i="1"/>
  <c r="AN227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28" i="1"/>
  <c r="AM228" i="1"/>
  <c r="AN228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9" i="1"/>
  <c r="AM229" i="1"/>
  <c r="AN229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30" i="1"/>
  <c r="AM230" i="1"/>
  <c r="AN230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31" i="1"/>
  <c r="AM231" i="1"/>
  <c r="AN231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32" i="1"/>
  <c r="AM232" i="1"/>
  <c r="AN232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33" i="1"/>
  <c r="AM233" i="1"/>
  <c r="AN233" i="1"/>
  <c r="AH234" i="1"/>
  <c r="AM234" i="1"/>
  <c r="AN234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35" i="1"/>
  <c r="AM235" i="1"/>
  <c r="AN235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36" i="1"/>
  <c r="AM236" i="1"/>
  <c r="AN236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37" i="1"/>
  <c r="AM237" i="1"/>
  <c r="AN237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38" i="1"/>
  <c r="AM238" i="1"/>
  <c r="AN238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39" i="1"/>
  <c r="AM239" i="1"/>
  <c r="AN239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40" i="1"/>
  <c r="AM240" i="1"/>
  <c r="AN240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41" i="1"/>
  <c r="AM241" i="1"/>
  <c r="AN241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42" i="1"/>
  <c r="AM242" i="1"/>
  <c r="AN242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43" i="1"/>
  <c r="AM243" i="1"/>
  <c r="AN243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44" i="1"/>
  <c r="AM244" i="1"/>
  <c r="AN244" i="1"/>
  <c r="K250" i="1"/>
  <c r="L250" i="1"/>
  <c r="M250" i="1"/>
  <c r="N250" i="1" s="1"/>
  <c r="V250" i="1"/>
  <c r="S55" i="3" s="1"/>
  <c r="Y250" i="1"/>
  <c r="Z250" i="1"/>
  <c r="AB250" i="1"/>
  <c r="AC250" i="1"/>
  <c r="AD250" i="1"/>
  <c r="T250" i="1" s="1"/>
  <c r="AE250" i="1"/>
  <c r="R55" i="3" s="1"/>
  <c r="AF250" i="1"/>
  <c r="AH245" i="1"/>
  <c r="AM245" i="1"/>
  <c r="AN245" i="1"/>
  <c r="K251" i="1"/>
  <c r="L251" i="1"/>
  <c r="M251" i="1"/>
  <c r="N251" i="1" s="1"/>
  <c r="V251" i="1"/>
  <c r="Y251" i="1"/>
  <c r="Z251" i="1"/>
  <c r="AB251" i="1"/>
  <c r="AC251" i="1"/>
  <c r="AD251" i="1"/>
  <c r="AG251" i="1" s="1"/>
  <c r="AE251" i="1"/>
  <c r="AF251" i="1"/>
  <c r="AH246" i="1"/>
  <c r="AM246" i="1"/>
  <c r="AN246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47" i="1"/>
  <c r="AM247" i="1"/>
  <c r="AN247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48" i="1"/>
  <c r="AM248" i="1"/>
  <c r="AN248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49" i="1"/>
  <c r="AM249" i="1"/>
  <c r="AN249" i="1"/>
  <c r="K222" i="1"/>
  <c r="L222" i="1"/>
  <c r="M222" i="1"/>
  <c r="N222" i="1" s="1"/>
  <c r="V222" i="1"/>
  <c r="S62" i="3" s="1"/>
  <c r="Y222" i="1"/>
  <c r="Z222" i="1"/>
  <c r="AB222" i="1"/>
  <c r="AC222" i="1"/>
  <c r="AD222" i="1"/>
  <c r="AE222" i="1"/>
  <c r="R62" i="3" s="1"/>
  <c r="AF222" i="1"/>
  <c r="AH250" i="1"/>
  <c r="AM250" i="1"/>
  <c r="AN250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51" i="1"/>
  <c r="AM251" i="1"/>
  <c r="AN251" i="1"/>
  <c r="M12" i="3"/>
  <c r="S12" i="3"/>
  <c r="U12" i="3"/>
  <c r="T12" i="3" s="1"/>
  <c r="V12" i="3"/>
  <c r="W12" i="3"/>
  <c r="X12" i="3"/>
  <c r="AC12" i="3"/>
  <c r="M34" i="3"/>
  <c r="U34" i="3"/>
  <c r="V34" i="3"/>
  <c r="W34" i="3"/>
  <c r="X34" i="3"/>
  <c r="M28" i="3"/>
  <c r="R28" i="3"/>
  <c r="S28" i="3"/>
  <c r="U28" i="3"/>
  <c r="AC28" i="3" s="1"/>
  <c r="V28" i="3"/>
  <c r="W28" i="3"/>
  <c r="X28" i="3"/>
  <c r="M46" i="3"/>
  <c r="R46" i="3"/>
  <c r="U46" i="3"/>
  <c r="V46" i="3"/>
  <c r="W46" i="3"/>
  <c r="X46" i="3"/>
  <c r="AC46" i="3"/>
  <c r="M7" i="3"/>
  <c r="S7" i="3"/>
  <c r="U7" i="3"/>
  <c r="T7" i="3" s="1"/>
  <c r="V7" i="3"/>
  <c r="W7" i="3"/>
  <c r="X7" i="3"/>
  <c r="AC7" i="3"/>
  <c r="M29" i="3"/>
  <c r="R29" i="3"/>
  <c r="U29" i="3"/>
  <c r="V29" i="3"/>
  <c r="W29" i="3"/>
  <c r="X29" i="3"/>
  <c r="AC29" i="3"/>
  <c r="M50" i="3"/>
  <c r="U50" i="3"/>
  <c r="AC50" i="3" s="1"/>
  <c r="V50" i="3"/>
  <c r="W50" i="3"/>
  <c r="X50" i="3"/>
  <c r="M51" i="3"/>
  <c r="U51" i="3"/>
  <c r="T51" i="3" s="1"/>
  <c r="V51" i="3"/>
  <c r="AE51" i="3" s="1"/>
  <c r="W51" i="3"/>
  <c r="X51" i="3"/>
  <c r="AC51" i="3"/>
  <c r="M52" i="3"/>
  <c r="U52" i="3"/>
  <c r="T52" i="3" s="1"/>
  <c r="V52" i="3"/>
  <c r="W52" i="3"/>
  <c r="X52" i="3"/>
  <c r="AC52" i="3"/>
  <c r="M13" i="3"/>
  <c r="S13" i="3"/>
  <c r="U13" i="3"/>
  <c r="AC13" i="3" s="1"/>
  <c r="V13" i="3"/>
  <c r="W13" i="3"/>
  <c r="X13" i="3"/>
  <c r="M47" i="3"/>
  <c r="U47" i="3"/>
  <c r="AC47" i="3" s="1"/>
  <c r="V47" i="3"/>
  <c r="W47" i="3"/>
  <c r="X47" i="3"/>
  <c r="M35" i="3"/>
  <c r="R35" i="3"/>
  <c r="S35" i="3"/>
  <c r="U35" i="3"/>
  <c r="T35" i="3" s="1"/>
  <c r="V35" i="3"/>
  <c r="W35" i="3"/>
  <c r="X35" i="3"/>
  <c r="AC35" i="3"/>
  <c r="M43" i="3"/>
  <c r="R43" i="3"/>
  <c r="U43" i="3"/>
  <c r="T43" i="3" s="1"/>
  <c r="V43" i="3"/>
  <c r="W43" i="3"/>
  <c r="X43" i="3"/>
  <c r="AC43" i="3"/>
  <c r="M21" i="3"/>
  <c r="R21" i="3"/>
  <c r="U21" i="3"/>
  <c r="AD21" i="3" s="1"/>
  <c r="V21" i="3"/>
  <c r="W21" i="3"/>
  <c r="X21" i="3"/>
  <c r="M44" i="3"/>
  <c r="U44" i="3"/>
  <c r="AC44" i="3" s="1"/>
  <c r="V44" i="3"/>
  <c r="W44" i="3"/>
  <c r="X44" i="3"/>
  <c r="M27" i="3"/>
  <c r="R27" i="3"/>
  <c r="U27" i="3"/>
  <c r="T27" i="3" s="1"/>
  <c r="V27" i="3"/>
  <c r="W27" i="3"/>
  <c r="X27" i="3"/>
  <c r="AC27" i="3"/>
  <c r="M30" i="3"/>
  <c r="R30" i="3"/>
  <c r="S30" i="3"/>
  <c r="U30" i="3"/>
  <c r="T30" i="3" s="1"/>
  <c r="V30" i="3"/>
  <c r="W30" i="3"/>
  <c r="X30" i="3"/>
  <c r="AC30" i="3"/>
  <c r="M63" i="3"/>
  <c r="R63" i="3"/>
  <c r="S63" i="3"/>
  <c r="U63" i="3"/>
  <c r="V63" i="3"/>
  <c r="W63" i="3"/>
  <c r="X63" i="3"/>
  <c r="M17" i="3"/>
  <c r="R17" i="3"/>
  <c r="S17" i="3"/>
  <c r="U17" i="3"/>
  <c r="AC17" i="3" s="1"/>
  <c r="V17" i="3"/>
  <c r="W17" i="3"/>
  <c r="X17" i="3"/>
  <c r="M8" i="3"/>
  <c r="R8" i="3"/>
  <c r="S8" i="3"/>
  <c r="U8" i="3"/>
  <c r="V8" i="3"/>
  <c r="W8" i="3"/>
  <c r="X8" i="3"/>
  <c r="M19" i="3"/>
  <c r="S19" i="3"/>
  <c r="U19" i="3"/>
  <c r="T19" i="3" s="1"/>
  <c r="V19" i="3"/>
  <c r="W19" i="3"/>
  <c r="X19" i="3"/>
  <c r="AC19" i="3"/>
  <c r="M18" i="3"/>
  <c r="S18" i="3"/>
  <c r="U18" i="3"/>
  <c r="V18" i="3"/>
  <c r="W18" i="3"/>
  <c r="X18" i="3"/>
  <c r="AC18" i="3"/>
  <c r="M20" i="3"/>
  <c r="S20" i="3"/>
  <c r="U20" i="3"/>
  <c r="AC20" i="3" s="1"/>
  <c r="V20" i="3"/>
  <c r="W20" i="3"/>
  <c r="Y20" i="3" s="1"/>
  <c r="X20" i="3"/>
  <c r="M15" i="3"/>
  <c r="S15" i="3"/>
  <c r="U15" i="3"/>
  <c r="AD15" i="3" s="1"/>
  <c r="V15" i="3"/>
  <c r="W15" i="3"/>
  <c r="X15" i="3"/>
  <c r="AC15" i="3"/>
  <c r="M25" i="3"/>
  <c r="R25" i="3"/>
  <c r="U25" i="3"/>
  <c r="T25" i="3" s="1"/>
  <c r="V25" i="3"/>
  <c r="W25" i="3"/>
  <c r="X25" i="3"/>
  <c r="AC25" i="3"/>
  <c r="M45" i="3"/>
  <c r="R45" i="3"/>
  <c r="U45" i="3"/>
  <c r="V45" i="3"/>
  <c r="W45" i="3"/>
  <c r="Y45" i="3" s="1"/>
  <c r="X45" i="3"/>
  <c r="AC45" i="3"/>
  <c r="M48" i="3"/>
  <c r="U48" i="3"/>
  <c r="AC48" i="3" s="1"/>
  <c r="V48" i="3"/>
  <c r="W48" i="3"/>
  <c r="X48" i="3"/>
  <c r="M26" i="3"/>
  <c r="S26" i="3"/>
  <c r="U26" i="3"/>
  <c r="T26" i="3" s="1"/>
  <c r="V26" i="3"/>
  <c r="W26" i="3"/>
  <c r="X26" i="3"/>
  <c r="AC26" i="3"/>
  <c r="M22" i="3"/>
  <c r="R22" i="3"/>
  <c r="S22" i="3"/>
  <c r="U22" i="3"/>
  <c r="T22" i="3" s="1"/>
  <c r="V22" i="3"/>
  <c r="W22" i="3"/>
  <c r="X22" i="3"/>
  <c r="AC22" i="3"/>
  <c r="M36" i="3"/>
  <c r="R36" i="3"/>
  <c r="S36" i="3"/>
  <c r="U36" i="3"/>
  <c r="V36" i="3"/>
  <c r="W36" i="3"/>
  <c r="X36" i="3"/>
  <c r="AC36" i="3"/>
  <c r="M37" i="3"/>
  <c r="R37" i="3"/>
  <c r="S37" i="3"/>
  <c r="U37" i="3"/>
  <c r="V37" i="3"/>
  <c r="W37" i="3"/>
  <c r="X37" i="3"/>
  <c r="M38" i="3"/>
  <c r="R38" i="3"/>
  <c r="U38" i="3"/>
  <c r="T38" i="3" s="1"/>
  <c r="V38" i="3"/>
  <c r="W38" i="3"/>
  <c r="X38" i="3"/>
  <c r="AC38" i="3"/>
  <c r="M16" i="3"/>
  <c r="S16" i="3"/>
  <c r="U16" i="3"/>
  <c r="T16" i="3" s="1"/>
  <c r="V16" i="3"/>
  <c r="W16" i="3"/>
  <c r="X16" i="3"/>
  <c r="AC16" i="3"/>
  <c r="M62" i="3"/>
  <c r="U62" i="3"/>
  <c r="V62" i="3"/>
  <c r="W62" i="3"/>
  <c r="Y62" i="3" s="1"/>
  <c r="X62" i="3"/>
  <c r="AC62" i="3"/>
  <c r="M53" i="3"/>
  <c r="U53" i="3"/>
  <c r="V53" i="3"/>
  <c r="W53" i="3"/>
  <c r="X53" i="3"/>
  <c r="M59" i="3"/>
  <c r="R59" i="3"/>
  <c r="U59" i="3"/>
  <c r="T59" i="3" s="1"/>
  <c r="V59" i="3"/>
  <c r="W59" i="3"/>
  <c r="X59" i="3"/>
  <c r="AC59" i="3"/>
  <c r="M31" i="3"/>
  <c r="S31" i="3"/>
  <c r="U31" i="3"/>
  <c r="T31" i="3" s="1"/>
  <c r="V31" i="3"/>
  <c r="W31" i="3"/>
  <c r="Y31" i="3" s="1"/>
  <c r="X31" i="3"/>
  <c r="AC31" i="3"/>
  <c r="M39" i="3"/>
  <c r="U39" i="3"/>
  <c r="V39" i="3"/>
  <c r="W39" i="3"/>
  <c r="Y39" i="3" s="1"/>
  <c r="X39" i="3"/>
  <c r="M23" i="3"/>
  <c r="U23" i="3"/>
  <c r="AD23" i="3" s="1"/>
  <c r="V23" i="3"/>
  <c r="W23" i="3"/>
  <c r="Y23" i="3" s="1"/>
  <c r="X23" i="3"/>
  <c r="M58" i="3"/>
  <c r="R58" i="3"/>
  <c r="S58" i="3"/>
  <c r="U58" i="3"/>
  <c r="V58" i="3"/>
  <c r="W58" i="3"/>
  <c r="X58" i="3"/>
  <c r="AC58" i="3"/>
  <c r="M60" i="3"/>
  <c r="R60" i="3"/>
  <c r="S60" i="3"/>
  <c r="U60" i="3"/>
  <c r="T60" i="3" s="1"/>
  <c r="V60" i="3"/>
  <c r="W60" i="3"/>
  <c r="X60" i="3"/>
  <c r="AC60" i="3"/>
  <c r="AD48" i="3"/>
  <c r="M24" i="3"/>
  <c r="U24" i="3"/>
  <c r="V24" i="3"/>
  <c r="W24" i="3"/>
  <c r="X24" i="3"/>
  <c r="AC24" i="3"/>
  <c r="M49" i="3"/>
  <c r="U49" i="3"/>
  <c r="V49" i="3"/>
  <c r="W49" i="3"/>
  <c r="X49" i="3"/>
  <c r="M61" i="3"/>
  <c r="R61" i="3"/>
  <c r="S61" i="3"/>
  <c r="U61" i="3"/>
  <c r="T61" i="3" s="1"/>
  <c r="V61" i="3"/>
  <c r="W61" i="3"/>
  <c r="X61" i="3"/>
  <c r="AC61" i="3"/>
  <c r="M40" i="3"/>
  <c r="R40" i="3"/>
  <c r="S40" i="3"/>
  <c r="U40" i="3"/>
  <c r="T40" i="3" s="1"/>
  <c r="V40" i="3"/>
  <c r="W40" i="3"/>
  <c r="X40" i="3"/>
  <c r="M32" i="3"/>
  <c r="U32" i="3"/>
  <c r="AD53" i="3" s="1"/>
  <c r="V32" i="3"/>
  <c r="W32" i="3"/>
  <c r="X32" i="3"/>
  <c r="AC32" i="3"/>
  <c r="M56" i="3"/>
  <c r="S56" i="3"/>
  <c r="U56" i="3"/>
  <c r="AD56" i="3" s="1"/>
  <c r="V56" i="3"/>
  <c r="W56" i="3"/>
  <c r="X56" i="3"/>
  <c r="Y56" i="3"/>
  <c r="M33" i="3"/>
  <c r="R33" i="3"/>
  <c r="U33" i="3"/>
  <c r="T33" i="3" s="1"/>
  <c r="V33" i="3"/>
  <c r="W33" i="3"/>
  <c r="X33" i="3"/>
  <c r="AC33" i="3"/>
  <c r="M54" i="3"/>
  <c r="U54" i="3"/>
  <c r="T54" i="3" s="1"/>
  <c r="V54" i="3"/>
  <c r="W54" i="3"/>
  <c r="X54" i="3"/>
  <c r="AC54" i="3"/>
  <c r="M9" i="3"/>
  <c r="S9" i="3"/>
  <c r="U9" i="3"/>
  <c r="V9" i="3"/>
  <c r="W9" i="3"/>
  <c r="X9" i="3"/>
  <c r="AC9" i="3"/>
  <c r="M41" i="3"/>
  <c r="R41" i="3"/>
  <c r="U41" i="3"/>
  <c r="V41" i="3"/>
  <c r="W41" i="3"/>
  <c r="X41" i="3"/>
  <c r="M55" i="3"/>
  <c r="U55" i="3"/>
  <c r="T55" i="3" s="1"/>
  <c r="V55" i="3"/>
  <c r="W55" i="3"/>
  <c r="X55" i="3"/>
  <c r="AC55" i="3"/>
  <c r="M57" i="3"/>
  <c r="U57" i="3"/>
  <c r="T57" i="3" s="1"/>
  <c r="V57" i="3"/>
  <c r="W57" i="3"/>
  <c r="X57" i="3"/>
  <c r="AC57" i="3"/>
  <c r="M10" i="3"/>
  <c r="R10" i="3"/>
  <c r="U10" i="3"/>
  <c r="V10" i="3"/>
  <c r="W10" i="3"/>
  <c r="Y10" i="3" s="1"/>
  <c r="X10" i="3"/>
  <c r="M11" i="3"/>
  <c r="U11" i="3"/>
  <c r="V11" i="3"/>
  <c r="W11" i="3"/>
  <c r="X11" i="3"/>
  <c r="M42" i="3"/>
  <c r="U42" i="3"/>
  <c r="T42" i="3" s="1"/>
  <c r="V42" i="3"/>
  <c r="W42" i="3"/>
  <c r="X42" i="3"/>
  <c r="AC42" i="3"/>
  <c r="M14" i="3"/>
  <c r="U14" i="3"/>
  <c r="AC14" i="3" s="1"/>
  <c r="V14" i="3"/>
  <c r="W14" i="3"/>
  <c r="X14" i="3"/>
  <c r="AG190" i="1" l="1"/>
  <c r="X190" i="1"/>
  <c r="AG166" i="1"/>
  <c r="U166" i="1" s="1"/>
  <c r="S166" i="1" s="1"/>
  <c r="T135" i="1"/>
  <c r="AG76" i="1"/>
  <c r="Y15" i="3"/>
  <c r="Y43" i="3"/>
  <c r="AD12" i="3"/>
  <c r="AA166" i="1"/>
  <c r="AA164" i="1"/>
  <c r="AA76" i="1"/>
  <c r="W76" i="1" s="1"/>
  <c r="AA74" i="1"/>
  <c r="Y49" i="3"/>
  <c r="Y21" i="3"/>
  <c r="Y12" i="3"/>
  <c r="X222" i="1"/>
  <c r="T251" i="1"/>
  <c r="X194" i="1"/>
  <c r="AI249" i="1"/>
  <c r="AA246" i="1"/>
  <c r="X61" i="1"/>
  <c r="AG36" i="1"/>
  <c r="U36" i="1" s="1"/>
  <c r="S36" i="1" s="1"/>
  <c r="AA31" i="1"/>
  <c r="R18" i="3"/>
  <c r="AA117" i="1"/>
  <c r="AI115" i="1"/>
  <c r="AA44" i="1"/>
  <c r="AA71" i="1"/>
  <c r="X16" i="1"/>
  <c r="X199" i="1"/>
  <c r="S52" i="3"/>
  <c r="S50" i="3"/>
  <c r="AA251" i="1"/>
  <c r="W251" i="1" s="1"/>
  <c r="AG233" i="1"/>
  <c r="AI233" i="1" s="1"/>
  <c r="X233" i="1"/>
  <c r="AI231" i="1"/>
  <c r="AA84" i="1"/>
  <c r="AG79" i="1"/>
  <c r="AI79" i="1" s="1"/>
  <c r="X71" i="1"/>
  <c r="AG70" i="1"/>
  <c r="AI70" i="1" s="1"/>
  <c r="X44" i="1"/>
  <c r="AG43" i="1"/>
  <c r="U43" i="1" s="1"/>
  <c r="S43" i="1" s="1"/>
  <c r="X31" i="1"/>
  <c r="X63" i="1"/>
  <c r="X198" i="1"/>
  <c r="X129" i="1"/>
  <c r="U119" i="1"/>
  <c r="S119" i="1" s="1"/>
  <c r="X32" i="1"/>
  <c r="X201" i="1"/>
  <c r="X197" i="1"/>
  <c r="X224" i="1"/>
  <c r="AA237" i="1"/>
  <c r="AI235" i="1"/>
  <c r="AA139" i="1"/>
  <c r="W139" i="1" s="1"/>
  <c r="AG131" i="1"/>
  <c r="AI131" i="1" s="1"/>
  <c r="AA43" i="1"/>
  <c r="AA20" i="1"/>
  <c r="X200" i="1"/>
  <c r="X196" i="1"/>
  <c r="X59" i="1"/>
  <c r="AD61" i="3"/>
  <c r="AD60" i="3"/>
  <c r="AD59" i="3"/>
  <c r="AD45" i="3"/>
  <c r="AD44" i="3"/>
  <c r="Y37" i="3"/>
  <c r="Y44" i="3"/>
  <c r="AG223" i="1"/>
  <c r="X223" i="1"/>
  <c r="AG197" i="1"/>
  <c r="U197" i="1" s="1"/>
  <c r="S197" i="1" s="1"/>
  <c r="X249" i="1"/>
  <c r="AA174" i="1"/>
  <c r="W174" i="1" s="1"/>
  <c r="AA168" i="1"/>
  <c r="AG248" i="1"/>
  <c r="U248" i="1" s="1"/>
  <c r="S248" i="1" s="1"/>
  <c r="X248" i="1"/>
  <c r="AI227" i="1"/>
  <c r="X225" i="1"/>
  <c r="AG224" i="1"/>
  <c r="U224" i="1" s="1"/>
  <c r="S224" i="1" s="1"/>
  <c r="AA211" i="1"/>
  <c r="AI207" i="1"/>
  <c r="AA152" i="1"/>
  <c r="AA143" i="1"/>
  <c r="W143" i="1" s="1"/>
  <c r="AG133" i="1"/>
  <c r="X133" i="1"/>
  <c r="AG127" i="1"/>
  <c r="AA103" i="1"/>
  <c r="W103" i="1" s="1"/>
  <c r="AG100" i="1"/>
  <c r="X100" i="1"/>
  <c r="AA94" i="1"/>
  <c r="T71" i="1"/>
  <c r="AG68" i="1"/>
  <c r="AG59" i="1"/>
  <c r="AI59" i="1" s="1"/>
  <c r="X57" i="1"/>
  <c r="X53" i="1"/>
  <c r="T44" i="1"/>
  <c r="X62" i="1"/>
  <c r="X35" i="1"/>
  <c r="Y38" i="3"/>
  <c r="AE27" i="3"/>
  <c r="X137" i="1"/>
  <c r="X79" i="1"/>
  <c r="X58" i="1"/>
  <c r="X40" i="1"/>
  <c r="X65" i="1"/>
  <c r="X34" i="1"/>
  <c r="X30" i="1"/>
  <c r="Y63" i="3"/>
  <c r="Y35" i="3"/>
  <c r="R51" i="3"/>
  <c r="T15" i="3"/>
  <c r="AE35" i="3"/>
  <c r="AA194" i="1"/>
  <c r="AA192" i="1"/>
  <c r="X171" i="1"/>
  <c r="AG170" i="1"/>
  <c r="U170" i="1" s="1"/>
  <c r="S170" i="1" s="1"/>
  <c r="AA248" i="1"/>
  <c r="AA242" i="1"/>
  <c r="AA155" i="1"/>
  <c r="W155" i="1" s="1"/>
  <c r="AA148" i="1"/>
  <c r="W148" i="1" s="1"/>
  <c r="AA140" i="1"/>
  <c r="W140" i="1" s="1"/>
  <c r="AA138" i="1"/>
  <c r="AA131" i="1"/>
  <c r="W131" i="1" s="1"/>
  <c r="AA110" i="1"/>
  <c r="AA87" i="1"/>
  <c r="W87" i="1" s="1"/>
  <c r="AA64" i="1"/>
  <c r="AA46" i="1"/>
  <c r="X64" i="1"/>
  <c r="X60" i="1"/>
  <c r="X33" i="1"/>
  <c r="X29" i="1"/>
  <c r="AG215" i="1"/>
  <c r="AI215" i="1" s="1"/>
  <c r="T215" i="1"/>
  <c r="T125" i="1"/>
  <c r="U125" i="1" s="1"/>
  <c r="S125" i="1" s="1"/>
  <c r="X125" i="1"/>
  <c r="AG125" i="1"/>
  <c r="AG111" i="1"/>
  <c r="X111" i="1"/>
  <c r="AG204" i="1"/>
  <c r="X204" i="1"/>
  <c r="Y11" i="3"/>
  <c r="AD49" i="3"/>
  <c r="Y18" i="3"/>
  <c r="X205" i="1"/>
  <c r="AG205" i="1"/>
  <c r="AA199" i="1"/>
  <c r="AG179" i="1"/>
  <c r="U179" i="1" s="1"/>
  <c r="S179" i="1" s="1"/>
  <c r="X179" i="1"/>
  <c r="X215" i="1"/>
  <c r="AG212" i="1"/>
  <c r="U212" i="1" s="1"/>
  <c r="S212" i="1" s="1"/>
  <c r="X212" i="1"/>
  <c r="U135" i="1"/>
  <c r="S135" i="1" s="1"/>
  <c r="AC8" i="3"/>
  <c r="X241" i="1"/>
  <c r="AG241" i="1"/>
  <c r="AI241" i="1" s="1"/>
  <c r="AD51" i="3"/>
  <c r="Y17" i="3"/>
  <c r="Y34" i="3"/>
  <c r="Y57" i="3"/>
  <c r="Y9" i="3"/>
  <c r="Y33" i="3"/>
  <c r="AE47" i="3"/>
  <c r="AD43" i="3"/>
  <c r="AD35" i="3"/>
  <c r="Y47" i="3"/>
  <c r="Y13" i="3"/>
  <c r="R52" i="3"/>
  <c r="Y51" i="3"/>
  <c r="Y50" i="3"/>
  <c r="Y29" i="3"/>
  <c r="Y28" i="3"/>
  <c r="T223" i="1"/>
  <c r="AA222" i="1"/>
  <c r="T204" i="1"/>
  <c r="AG199" i="1"/>
  <c r="AI199" i="1" s="1"/>
  <c r="AA185" i="1"/>
  <c r="W185" i="1" s="1"/>
  <c r="AA181" i="1"/>
  <c r="W181" i="1" s="1"/>
  <c r="AA178" i="1"/>
  <c r="W178" i="1" s="1"/>
  <c r="X162" i="1"/>
  <c r="AG162" i="1"/>
  <c r="T241" i="1"/>
  <c r="U241" i="1" s="1"/>
  <c r="S241" i="1" s="1"/>
  <c r="AA240" i="1"/>
  <c r="AA216" i="1"/>
  <c r="AA147" i="1"/>
  <c r="W147" i="1" s="1"/>
  <c r="T139" i="1"/>
  <c r="U139" i="1" s="1"/>
  <c r="S139" i="1" s="1"/>
  <c r="AG132" i="1"/>
  <c r="AI132" i="1" s="1"/>
  <c r="T132" i="1"/>
  <c r="AG124" i="1"/>
  <c r="T124" i="1"/>
  <c r="X124" i="1"/>
  <c r="T112" i="1"/>
  <c r="X112" i="1"/>
  <c r="AG112" i="1"/>
  <c r="AI112" i="1" s="1"/>
  <c r="AC40" i="3"/>
  <c r="AD29" i="3"/>
  <c r="AD28" i="3"/>
  <c r="AG222" i="1"/>
  <c r="W222" i="1" s="1"/>
  <c r="T222" i="1"/>
  <c r="X219" i="1"/>
  <c r="AG219" i="1"/>
  <c r="AI219" i="1" s="1"/>
  <c r="AA204" i="1"/>
  <c r="W204" i="1" s="1"/>
  <c r="AA195" i="1"/>
  <c r="T189" i="1"/>
  <c r="AG189" i="1"/>
  <c r="AA207" i="1"/>
  <c r="W207" i="1" s="1"/>
  <c r="AA70" i="1"/>
  <c r="AA123" i="1"/>
  <c r="AA106" i="1"/>
  <c r="AI49" i="1"/>
  <c r="AA38" i="1"/>
  <c r="AA196" i="1"/>
  <c r="AA186" i="1"/>
  <c r="AA184" i="1"/>
  <c r="AA182" i="1"/>
  <c r="W182" i="1" s="1"/>
  <c r="AA180" i="1"/>
  <c r="X175" i="1"/>
  <c r="AA170" i="1"/>
  <c r="X163" i="1"/>
  <c r="X247" i="1"/>
  <c r="AA239" i="1"/>
  <c r="W239" i="1" s="1"/>
  <c r="AA227" i="1"/>
  <c r="AA224" i="1"/>
  <c r="AA215" i="1"/>
  <c r="AA156" i="1"/>
  <c r="AA144" i="1"/>
  <c r="W144" i="1" s="1"/>
  <c r="AA132" i="1"/>
  <c r="AA130" i="1"/>
  <c r="AG123" i="1"/>
  <c r="AI123" i="1" s="1"/>
  <c r="X121" i="1"/>
  <c r="AG117" i="1"/>
  <c r="X117" i="1"/>
  <c r="AA109" i="1"/>
  <c r="AA107" i="1"/>
  <c r="W107" i="1" s="1"/>
  <c r="X104" i="1"/>
  <c r="AA92" i="1"/>
  <c r="AA86" i="1"/>
  <c r="X83" i="1"/>
  <c r="AA79" i="1"/>
  <c r="AG78" i="1"/>
  <c r="AI78" i="1" s="1"/>
  <c r="AG71" i="1"/>
  <c r="AA69" i="1"/>
  <c r="AA59" i="1"/>
  <c r="AA57" i="1"/>
  <c r="AG55" i="1"/>
  <c r="AI55" i="1" s="1"/>
  <c r="AA52" i="1"/>
  <c r="AA50" i="1"/>
  <c r="W50" i="1" s="1"/>
  <c r="X47" i="1"/>
  <c r="AG44" i="1"/>
  <c r="AI44" i="1" s="1"/>
  <c r="AA39" i="1"/>
  <c r="AG28" i="1"/>
  <c r="AI28" i="1" s="1"/>
  <c r="AA15" i="1"/>
  <c r="U127" i="1"/>
  <c r="S127" i="1" s="1"/>
  <c r="AA124" i="1"/>
  <c r="AA122" i="1"/>
  <c r="AA105" i="1"/>
  <c r="AA82" i="1"/>
  <c r="AA65" i="1"/>
  <c r="X36" i="1"/>
  <c r="AA27" i="1"/>
  <c r="X20" i="1"/>
  <c r="AA16" i="1"/>
  <c r="AA47" i="1"/>
  <c r="AA34" i="1"/>
  <c r="AA30" i="1"/>
  <c r="AA29" i="1"/>
  <c r="X28" i="1"/>
  <c r="AA24" i="1"/>
  <c r="AA23" i="1"/>
  <c r="AG21" i="1"/>
  <c r="U21" i="1" s="1"/>
  <c r="S21" i="1" s="1"/>
  <c r="X21" i="1"/>
  <c r="AA221" i="1"/>
  <c r="AA250" i="1"/>
  <c r="AA202" i="1"/>
  <c r="AA201" i="1"/>
  <c r="AA249" i="1"/>
  <c r="AI188" i="1"/>
  <c r="AG183" i="1"/>
  <c r="U183" i="1" s="1"/>
  <c r="S183" i="1" s="1"/>
  <c r="X183" i="1"/>
  <c r="AA176" i="1"/>
  <c r="T175" i="1"/>
  <c r="AA172" i="1"/>
  <c r="AA171" i="1"/>
  <c r="T171" i="1"/>
  <c r="AA169" i="1"/>
  <c r="W169" i="1" s="1"/>
  <c r="AG167" i="1"/>
  <c r="U167" i="1" s="1"/>
  <c r="S167" i="1" s="1"/>
  <c r="X167" i="1"/>
  <c r="X165" i="1"/>
  <c r="AA163" i="1"/>
  <c r="T163" i="1"/>
  <c r="U163" i="1" s="1"/>
  <c r="S163" i="1" s="1"/>
  <c r="T247" i="1"/>
  <c r="AG244" i="1"/>
  <c r="AA243" i="1"/>
  <c r="X236" i="1"/>
  <c r="AA234" i="1"/>
  <c r="AA232" i="1"/>
  <c r="W232" i="1" s="1"/>
  <c r="AA229" i="1"/>
  <c r="T225" i="1"/>
  <c r="U225" i="1" s="1"/>
  <c r="S225" i="1" s="1"/>
  <c r="AA218" i="1"/>
  <c r="W218" i="1" s="1"/>
  <c r="AG216" i="1"/>
  <c r="W216" i="1" s="1"/>
  <c r="X216" i="1"/>
  <c r="AA213" i="1"/>
  <c r="AA208" i="1"/>
  <c r="AA153" i="1"/>
  <c r="AA145" i="1"/>
  <c r="T137" i="1"/>
  <c r="AA136" i="1"/>
  <c r="W136" i="1" s="1"/>
  <c r="T136" i="1"/>
  <c r="AA134" i="1"/>
  <c r="T129" i="1"/>
  <c r="AA128" i="1"/>
  <c r="W128" i="1" s="1"/>
  <c r="T128" i="1"/>
  <c r="AA126" i="1"/>
  <c r="T121" i="1"/>
  <c r="U121" i="1" s="1"/>
  <c r="S121" i="1" s="1"/>
  <c r="AA120" i="1"/>
  <c r="W120" i="1" s="1"/>
  <c r="T120" i="1"/>
  <c r="AA118" i="1"/>
  <c r="AA116" i="1"/>
  <c r="AA113" i="1"/>
  <c r="AA111" i="1"/>
  <c r="W111" i="1" s="1"/>
  <c r="AG108" i="1"/>
  <c r="U108" i="1" s="1"/>
  <c r="S108" i="1" s="1"/>
  <c r="X108" i="1"/>
  <c r="T104" i="1"/>
  <c r="U104" i="1" s="1"/>
  <c r="S104" i="1" s="1"/>
  <c r="AA101" i="1"/>
  <c r="AA99" i="1"/>
  <c r="W99" i="1" s="1"/>
  <c r="AG96" i="1"/>
  <c r="AI96" i="1" s="1"/>
  <c r="X96" i="1"/>
  <c r="X95" i="1"/>
  <c r="AA91" i="1"/>
  <c r="W91" i="1" s="1"/>
  <c r="AA88" i="1"/>
  <c r="AA78" i="1"/>
  <c r="X66" i="1"/>
  <c r="AA61" i="1"/>
  <c r="AA56" i="1"/>
  <c r="AI50" i="1"/>
  <c r="AA19" i="1"/>
  <c r="T15" i="1"/>
  <c r="AI223" i="1"/>
  <c r="X232" i="1"/>
  <c r="X67" i="1"/>
  <c r="AA42" i="1"/>
  <c r="AG35" i="1"/>
  <c r="AI35" i="1" s="1"/>
  <c r="AA62" i="1"/>
  <c r="AG29" i="1"/>
  <c r="X24" i="1"/>
  <c r="AA220" i="1"/>
  <c r="AA206" i="1"/>
  <c r="AA203" i="1"/>
  <c r="AG192" i="1"/>
  <c r="U192" i="1" s="1"/>
  <c r="S192" i="1" s="1"/>
  <c r="AA189" i="1"/>
  <c r="W189" i="1" s="1"/>
  <c r="X187" i="1"/>
  <c r="AA187" i="1"/>
  <c r="AA177" i="1"/>
  <c r="W177" i="1" s="1"/>
  <c r="AG175" i="1"/>
  <c r="AI175" i="1" s="1"/>
  <c r="AA173" i="1"/>
  <c r="W173" i="1" s="1"/>
  <c r="AG171" i="1"/>
  <c r="X169" i="1"/>
  <c r="AA167" i="1"/>
  <c r="W167" i="1" s="1"/>
  <c r="AA165" i="1"/>
  <c r="W165" i="1" s="1"/>
  <c r="AG163" i="1"/>
  <c r="AA161" i="1"/>
  <c r="AG247" i="1"/>
  <c r="U247" i="1" s="1"/>
  <c r="S247" i="1" s="1"/>
  <c r="AA244" i="1"/>
  <c r="AG240" i="1"/>
  <c r="AA236" i="1"/>
  <c r="W236" i="1" s="1"/>
  <c r="AA235" i="1"/>
  <c r="W235" i="1" s="1"/>
  <c r="AG225" i="1"/>
  <c r="AI225" i="1" s="1"/>
  <c r="AA214" i="1"/>
  <c r="W214" i="1" s="1"/>
  <c r="AG211" i="1"/>
  <c r="AI211" i="1" s="1"/>
  <c r="AA210" i="1"/>
  <c r="W210" i="1" s="1"/>
  <c r="AA157" i="1"/>
  <c r="AA149" i="1"/>
  <c r="AA141" i="1"/>
  <c r="AG137" i="1"/>
  <c r="U137" i="1" s="1"/>
  <c r="S137" i="1" s="1"/>
  <c r="X136" i="1"/>
  <c r="AA135" i="1"/>
  <c r="W135" i="1" s="1"/>
  <c r="AG129" i="1"/>
  <c r="AI129" i="1" s="1"/>
  <c r="X128" i="1"/>
  <c r="AA127" i="1"/>
  <c r="W127" i="1" s="1"/>
  <c r="AG121" i="1"/>
  <c r="X120" i="1"/>
  <c r="AA119" i="1"/>
  <c r="W119" i="1" s="1"/>
  <c r="AA114" i="1"/>
  <c r="AG104" i="1"/>
  <c r="X103" i="1"/>
  <c r="AA97" i="1"/>
  <c r="AA95" i="1"/>
  <c r="W95" i="1" s="1"/>
  <c r="AA90" i="1"/>
  <c r="X85" i="1"/>
  <c r="AA77" i="1"/>
  <c r="AA68" i="1"/>
  <c r="AA66" i="1"/>
  <c r="AG64" i="1"/>
  <c r="U64" i="1" s="1"/>
  <c r="S64" i="1" s="1"/>
  <c r="AA60" i="1"/>
  <c r="AG51" i="1"/>
  <c r="X39" i="1"/>
  <c r="X25" i="1"/>
  <c r="X186" i="1"/>
  <c r="T236" i="1"/>
  <c r="U236" i="1" s="1"/>
  <c r="S236" i="1" s="1"/>
  <c r="AA231" i="1"/>
  <c r="W231" i="1" s="1"/>
  <c r="AG229" i="1"/>
  <c r="AI229" i="1" s="1"/>
  <c r="X229" i="1"/>
  <c r="X251" i="1"/>
  <c r="AA223" i="1"/>
  <c r="AG221" i="1"/>
  <c r="U221" i="1" s="1"/>
  <c r="S221" i="1" s="1"/>
  <c r="AA205" i="1"/>
  <c r="W205" i="1" s="1"/>
  <c r="AG203" i="1"/>
  <c r="AG201" i="1"/>
  <c r="AA198" i="1"/>
  <c r="T194" i="1"/>
  <c r="AA193" i="1"/>
  <c r="T193" i="1"/>
  <c r="AA190" i="1"/>
  <c r="W190" i="1" s="1"/>
  <c r="T249" i="1"/>
  <c r="U249" i="1" s="1"/>
  <c r="S249" i="1" s="1"/>
  <c r="X188" i="1"/>
  <c r="T187" i="1"/>
  <c r="X182" i="1"/>
  <c r="X178" i="1"/>
  <c r="X174" i="1"/>
  <c r="AA162" i="1"/>
  <c r="W162" i="1" s="1"/>
  <c r="T161" i="1"/>
  <c r="U161" i="1" s="1"/>
  <c r="S161" i="1" s="1"/>
  <c r="AA160" i="1"/>
  <c r="AA247" i="1"/>
  <c r="T246" i="1"/>
  <c r="AA245" i="1"/>
  <c r="AA241" i="1"/>
  <c r="W241" i="1" s="1"/>
  <c r="X240" i="1"/>
  <c r="AG237" i="1"/>
  <c r="AI237" i="1" s="1"/>
  <c r="X237" i="1"/>
  <c r="AA228" i="1"/>
  <c r="W228" i="1" s="1"/>
  <c r="T228" i="1"/>
  <c r="AA226" i="1"/>
  <c r="AA225" i="1"/>
  <c r="U215" i="1"/>
  <c r="S215" i="1" s="1"/>
  <c r="T208" i="1"/>
  <c r="X208" i="1"/>
  <c r="AG208" i="1"/>
  <c r="T186" i="1"/>
  <c r="U186" i="1" s="1"/>
  <c r="S186" i="1" s="1"/>
  <c r="T169" i="1"/>
  <c r="T165" i="1"/>
  <c r="W74" i="1"/>
  <c r="AI20" i="1"/>
  <c r="AA219" i="1"/>
  <c r="W219" i="1" s="1"/>
  <c r="AG250" i="1"/>
  <c r="U250" i="1" s="1"/>
  <c r="S250" i="1" s="1"/>
  <c r="AA200" i="1"/>
  <c r="W200" i="1" s="1"/>
  <c r="T200" i="1"/>
  <c r="U200" i="1" s="1"/>
  <c r="S200" i="1" s="1"/>
  <c r="AA197" i="1"/>
  <c r="AG196" i="1"/>
  <c r="AI196" i="1" s="1"/>
  <c r="AG194" i="1"/>
  <c r="W194" i="1" s="1"/>
  <c r="X193" i="1"/>
  <c r="AA191" i="1"/>
  <c r="AA188" i="1"/>
  <c r="W188" i="1" s="1"/>
  <c r="T188" i="1"/>
  <c r="U188" i="1" s="1"/>
  <c r="S188" i="1" s="1"/>
  <c r="AG187" i="1"/>
  <c r="W187" i="1" s="1"/>
  <c r="AA183" i="1"/>
  <c r="W183" i="1" s="1"/>
  <c r="T182" i="1"/>
  <c r="AA179" i="1"/>
  <c r="T178" i="1"/>
  <c r="U178" i="1" s="1"/>
  <c r="S178" i="1" s="1"/>
  <c r="AA175" i="1"/>
  <c r="T174" i="1"/>
  <c r="X170" i="1"/>
  <c r="X166" i="1"/>
  <c r="X161" i="1"/>
  <c r="X246" i="1"/>
  <c r="AA238" i="1"/>
  <c r="X228" i="1"/>
  <c r="AI74" i="1"/>
  <c r="T207" i="1"/>
  <c r="U207" i="1" s="1"/>
  <c r="S207" i="1" s="1"/>
  <c r="T156" i="1"/>
  <c r="T152" i="1"/>
  <c r="T148" i="1"/>
  <c r="T144" i="1"/>
  <c r="U144" i="1" s="1"/>
  <c r="S144" i="1" s="1"/>
  <c r="T140" i="1"/>
  <c r="AA93" i="1"/>
  <c r="T92" i="1"/>
  <c r="AG88" i="1"/>
  <c r="AI88" i="1" s="1"/>
  <c r="X88" i="1"/>
  <c r="AA85" i="1"/>
  <c r="T83" i="1"/>
  <c r="AG82" i="1"/>
  <c r="AG80" i="1"/>
  <c r="U80" i="1" s="1"/>
  <c r="S80" i="1" s="1"/>
  <c r="X78" i="1"/>
  <c r="AG75" i="1"/>
  <c r="U75" i="1" s="1"/>
  <c r="X75" i="1"/>
  <c r="T74" i="1"/>
  <c r="U74" i="1" s="1"/>
  <c r="S74" i="1" s="1"/>
  <c r="AA73" i="1"/>
  <c r="AA72" i="1"/>
  <c r="AA67" i="1"/>
  <c r="T67" i="1"/>
  <c r="AG66" i="1"/>
  <c r="AG63" i="1"/>
  <c r="U63" i="1" s="1"/>
  <c r="S63" i="1" s="1"/>
  <c r="AA58" i="1"/>
  <c r="T58" i="1"/>
  <c r="AG57" i="1"/>
  <c r="AG54" i="1"/>
  <c r="U54" i="1" s="1"/>
  <c r="X54" i="1"/>
  <c r="AG48" i="1"/>
  <c r="AI48" i="1" s="1"/>
  <c r="X48" i="1"/>
  <c r="AA41" i="1"/>
  <c r="AA40" i="1"/>
  <c r="T40" i="1"/>
  <c r="AG39" i="1"/>
  <c r="AG32" i="1"/>
  <c r="AA26" i="1"/>
  <c r="AA25" i="1"/>
  <c r="T25" i="1"/>
  <c r="AG24" i="1"/>
  <c r="AG17" i="1"/>
  <c r="AI17" i="1" s="1"/>
  <c r="X17" i="1"/>
  <c r="AA233" i="1"/>
  <c r="T232" i="1"/>
  <c r="AA230" i="1"/>
  <c r="AA217" i="1"/>
  <c r="AA212" i="1"/>
  <c r="X211" i="1"/>
  <c r="AG157" i="1"/>
  <c r="W157" i="1" s="1"/>
  <c r="X157" i="1"/>
  <c r="AG153" i="1"/>
  <c r="W153" i="1" s="1"/>
  <c r="X153" i="1"/>
  <c r="AG149" i="1"/>
  <c r="W149" i="1" s="1"/>
  <c r="X149" i="1"/>
  <c r="AG145" i="1"/>
  <c r="X145" i="1"/>
  <c r="AG141" i="1"/>
  <c r="W141" i="1" s="1"/>
  <c r="X141" i="1"/>
  <c r="AA137" i="1"/>
  <c r="AA129" i="1"/>
  <c r="AA121" i="1"/>
  <c r="W121" i="1" s="1"/>
  <c r="AG116" i="1"/>
  <c r="W116" i="1" s="1"/>
  <c r="AA108" i="1"/>
  <c r="T107" i="1"/>
  <c r="AA100" i="1"/>
  <c r="W100" i="1" s="1"/>
  <c r="T99" i="1"/>
  <c r="U99" i="1" s="1"/>
  <c r="S99" i="1" s="1"/>
  <c r="T91" i="1"/>
  <c r="X87" i="1"/>
  <c r="W79" i="1"/>
  <c r="X74" i="1"/>
  <c r="T61" i="1"/>
  <c r="T53" i="1"/>
  <c r="W51" i="1"/>
  <c r="T47" i="1"/>
  <c r="T31" i="1"/>
  <c r="U28" i="1"/>
  <c r="S28" i="1" s="1"/>
  <c r="W20" i="1"/>
  <c r="T16" i="1"/>
  <c r="AA14" i="1"/>
  <c r="X207" i="1"/>
  <c r="X156" i="1"/>
  <c r="X152" i="1"/>
  <c r="X148" i="1"/>
  <c r="X144" i="1"/>
  <c r="X140" i="1"/>
  <c r="AI135" i="1"/>
  <c r="AI127" i="1"/>
  <c r="U123" i="1"/>
  <c r="S123" i="1" s="1"/>
  <c r="AI119" i="1"/>
  <c r="AG92" i="1"/>
  <c r="AA89" i="1"/>
  <c r="AG83" i="1"/>
  <c r="U83" i="1" s="1"/>
  <c r="S83" i="1" s="1"/>
  <c r="AA81" i="1"/>
  <c r="AA80" i="1"/>
  <c r="AA75" i="1"/>
  <c r="W75" i="1" s="1"/>
  <c r="AG72" i="1"/>
  <c r="U72" i="1" s="1"/>
  <c r="S72" i="1" s="1"/>
  <c r="X70" i="1"/>
  <c r="AG67" i="1"/>
  <c r="AA63" i="1"/>
  <c r="W63" i="1" s="1"/>
  <c r="AG61" i="1"/>
  <c r="AG58" i="1"/>
  <c r="AA54" i="1"/>
  <c r="AG53" i="1"/>
  <c r="AA49" i="1"/>
  <c r="W49" i="1" s="1"/>
  <c r="AG47" i="1"/>
  <c r="X43" i="1"/>
  <c r="AG40" i="1"/>
  <c r="AI40" i="1" s="1"/>
  <c r="AA33" i="1"/>
  <c r="AA32" i="1"/>
  <c r="AG31" i="1"/>
  <c r="AG25" i="1"/>
  <c r="T20" i="1"/>
  <c r="U20" i="1" s="1"/>
  <c r="S20" i="1" s="1"/>
  <c r="AA18" i="1"/>
  <c r="AA17" i="1"/>
  <c r="AG16" i="1"/>
  <c r="X15" i="1"/>
  <c r="AA209" i="1"/>
  <c r="AA158" i="1"/>
  <c r="AA154" i="1"/>
  <c r="AA150" i="1"/>
  <c r="AA146" i="1"/>
  <c r="AA142" i="1"/>
  <c r="AA133" i="1"/>
  <c r="W133" i="1" s="1"/>
  <c r="AA125" i="1"/>
  <c r="W125" i="1" s="1"/>
  <c r="AA115" i="1"/>
  <c r="W115" i="1" s="1"/>
  <c r="AA112" i="1"/>
  <c r="T111" i="1"/>
  <c r="X107" i="1"/>
  <c r="AA104" i="1"/>
  <c r="W104" i="1" s="1"/>
  <c r="T103" i="1"/>
  <c r="X99" i="1"/>
  <c r="AA96" i="1"/>
  <c r="W96" i="1" s="1"/>
  <c r="T95" i="1"/>
  <c r="T87" i="1"/>
  <c r="U87" i="1" s="1"/>
  <c r="S87" i="1" s="1"/>
  <c r="W64" i="1"/>
  <c r="W55" i="1"/>
  <c r="X50" i="1"/>
  <c r="AA37" i="1"/>
  <c r="AA36" i="1"/>
  <c r="W36" i="1" s="1"/>
  <c r="AA22" i="1"/>
  <c r="AA21" i="1"/>
  <c r="U193" i="1"/>
  <c r="S193" i="1" s="1"/>
  <c r="U169" i="1"/>
  <c r="S169" i="1" s="1"/>
  <c r="AI205" i="1"/>
  <c r="U165" i="1"/>
  <c r="S165" i="1" s="1"/>
  <c r="AI201" i="1"/>
  <c r="AI218" i="1"/>
  <c r="U182" i="1"/>
  <c r="S182" i="1" s="1"/>
  <c r="AI214" i="1"/>
  <c r="AI210" i="1"/>
  <c r="U174" i="1"/>
  <c r="S174" i="1" s="1"/>
  <c r="AI246" i="1"/>
  <c r="U251" i="1"/>
  <c r="S251" i="1" s="1"/>
  <c r="U199" i="1"/>
  <c r="S199" i="1" s="1"/>
  <c r="W249" i="1"/>
  <c r="W161" i="1"/>
  <c r="W246" i="1"/>
  <c r="AI250" i="1"/>
  <c r="AI242" i="1"/>
  <c r="W193" i="1"/>
  <c r="W186" i="1"/>
  <c r="U246" i="1"/>
  <c r="S246" i="1" s="1"/>
  <c r="X221" i="1"/>
  <c r="X250" i="1"/>
  <c r="X203" i="1"/>
  <c r="X192" i="1"/>
  <c r="X189" i="1"/>
  <c r="X185" i="1"/>
  <c r="T185" i="1"/>
  <c r="U185" i="1" s="1"/>
  <c r="S185" i="1" s="1"/>
  <c r="X181" i="1"/>
  <c r="T181" i="1"/>
  <c r="U181" i="1" s="1"/>
  <c r="S181" i="1" s="1"/>
  <c r="X177" i="1"/>
  <c r="T177" i="1"/>
  <c r="U177" i="1" s="1"/>
  <c r="S177" i="1" s="1"/>
  <c r="X173" i="1"/>
  <c r="T173" i="1"/>
  <c r="U173" i="1" s="1"/>
  <c r="S173" i="1" s="1"/>
  <c r="U162" i="1"/>
  <c r="S162" i="1" s="1"/>
  <c r="W242" i="1"/>
  <c r="AI163" i="1"/>
  <c r="AI156" i="1"/>
  <c r="U156" i="1"/>
  <c r="S156" i="1" s="1"/>
  <c r="AI152" i="1"/>
  <c r="U152" i="1"/>
  <c r="S152" i="1" s="1"/>
  <c r="AI148" i="1"/>
  <c r="U148" i="1"/>
  <c r="S148" i="1" s="1"/>
  <c r="AI144" i="1"/>
  <c r="AI140" i="1"/>
  <c r="U140" i="1"/>
  <c r="U205" i="1"/>
  <c r="S205" i="1" s="1"/>
  <c r="U201" i="1"/>
  <c r="S201" i="1" s="1"/>
  <c r="U190" i="1"/>
  <c r="S190" i="1" s="1"/>
  <c r="U187" i="1"/>
  <c r="S187" i="1" s="1"/>
  <c r="U171" i="1"/>
  <c r="S171" i="1" s="1"/>
  <c r="U244" i="1"/>
  <c r="S244" i="1" s="1"/>
  <c r="AG243" i="1"/>
  <c r="AI243" i="1" s="1"/>
  <c r="T243" i="1"/>
  <c r="T242" i="1"/>
  <c r="U242" i="1" s="1"/>
  <c r="S242" i="1" s="1"/>
  <c r="X242" i="1"/>
  <c r="U232" i="1"/>
  <c r="S232" i="1" s="1"/>
  <c r="AI159" i="1"/>
  <c r="AI155" i="1"/>
  <c r="AI151" i="1"/>
  <c r="AI147" i="1"/>
  <c r="AI143" i="1"/>
  <c r="AI139" i="1"/>
  <c r="AI136" i="1"/>
  <c r="U136" i="1"/>
  <c r="S136" i="1" s="1"/>
  <c r="AI128" i="1"/>
  <c r="U128" i="1"/>
  <c r="S128" i="1" s="1"/>
  <c r="AI120" i="1"/>
  <c r="U120" i="1"/>
  <c r="S120" i="1" s="1"/>
  <c r="AG220" i="1"/>
  <c r="AG206" i="1"/>
  <c r="AG202" i="1"/>
  <c r="AI202" i="1" s="1"/>
  <c r="AG198" i="1"/>
  <c r="AI198" i="1" s="1"/>
  <c r="AG195" i="1"/>
  <c r="AG191" i="1"/>
  <c r="AG184" i="1"/>
  <c r="AG180" i="1"/>
  <c r="AI180" i="1" s="1"/>
  <c r="AG176" i="1"/>
  <c r="W176" i="1" s="1"/>
  <c r="AG172" i="1"/>
  <c r="AG168" i="1"/>
  <c r="AI168" i="1" s="1"/>
  <c r="AG164" i="1"/>
  <c r="AI164" i="1" s="1"/>
  <c r="AG160" i="1"/>
  <c r="AG245" i="1"/>
  <c r="X244" i="1"/>
  <c r="AI190" i="1"/>
  <c r="AI176" i="1"/>
  <c r="U228" i="1"/>
  <c r="S228" i="1" s="1"/>
  <c r="W227" i="1"/>
  <c r="AI171" i="1"/>
  <c r="W132" i="1"/>
  <c r="AI251" i="1"/>
  <c r="X220" i="1"/>
  <c r="X206" i="1"/>
  <c r="X202" i="1"/>
  <c r="X195" i="1"/>
  <c r="X191" i="1"/>
  <c r="X184" i="1"/>
  <c r="X180" i="1"/>
  <c r="X176" i="1"/>
  <c r="X172" i="1"/>
  <c r="X168" i="1"/>
  <c r="X164" i="1"/>
  <c r="X160" i="1"/>
  <c r="X245" i="1"/>
  <c r="X243" i="1"/>
  <c r="AI189" i="1"/>
  <c r="W156" i="1"/>
  <c r="W152" i="1"/>
  <c r="AI124" i="1"/>
  <c r="X239" i="1"/>
  <c r="T239" i="1"/>
  <c r="U239" i="1" s="1"/>
  <c r="S239" i="1" s="1"/>
  <c r="X235" i="1"/>
  <c r="T235" i="1"/>
  <c r="U235" i="1" s="1"/>
  <c r="S235" i="1" s="1"/>
  <c r="X231" i="1"/>
  <c r="T231" i="1"/>
  <c r="U231" i="1" s="1"/>
  <c r="S231" i="1" s="1"/>
  <c r="X227" i="1"/>
  <c r="T227" i="1"/>
  <c r="U227" i="1" s="1"/>
  <c r="S227" i="1" s="1"/>
  <c r="X218" i="1"/>
  <c r="T218" i="1"/>
  <c r="U218" i="1" s="1"/>
  <c r="S218" i="1" s="1"/>
  <c r="X214" i="1"/>
  <c r="T214" i="1"/>
  <c r="U214" i="1" s="1"/>
  <c r="S214" i="1" s="1"/>
  <c r="X210" i="1"/>
  <c r="T210" i="1"/>
  <c r="U210" i="1" s="1"/>
  <c r="S210" i="1" s="1"/>
  <c r="X159" i="1"/>
  <c r="T159" i="1"/>
  <c r="U159" i="1" s="1"/>
  <c r="S159" i="1" s="1"/>
  <c r="X155" i="1"/>
  <c r="T155" i="1"/>
  <c r="U155" i="1" s="1"/>
  <c r="S155" i="1" s="1"/>
  <c r="X151" i="1"/>
  <c r="T151" i="1"/>
  <c r="U151" i="1" s="1"/>
  <c r="S151" i="1" s="1"/>
  <c r="X147" i="1"/>
  <c r="T147" i="1"/>
  <c r="U147" i="1" s="1"/>
  <c r="S147" i="1" s="1"/>
  <c r="X143" i="1"/>
  <c r="T143" i="1"/>
  <c r="U143" i="1" s="1"/>
  <c r="S143" i="1" s="1"/>
  <c r="X139" i="1"/>
  <c r="X135" i="1"/>
  <c r="X131" i="1"/>
  <c r="X127" i="1"/>
  <c r="X123" i="1"/>
  <c r="X119" i="1"/>
  <c r="AI117" i="1"/>
  <c r="U237" i="1"/>
  <c r="S237" i="1" s="1"/>
  <c r="U229" i="1"/>
  <c r="S229" i="1" s="1"/>
  <c r="U216" i="1"/>
  <c r="S216" i="1" s="1"/>
  <c r="U208" i="1"/>
  <c r="S208" i="1" s="1"/>
  <c r="U153" i="1"/>
  <c r="S153" i="1" s="1"/>
  <c r="U149" i="1"/>
  <c r="S149" i="1" s="1"/>
  <c r="U145" i="1"/>
  <c r="S145" i="1" s="1"/>
  <c r="U133" i="1"/>
  <c r="S133" i="1" s="1"/>
  <c r="U129" i="1"/>
  <c r="S129" i="1" s="1"/>
  <c r="X116" i="1"/>
  <c r="T115" i="1"/>
  <c r="U115" i="1" s="1"/>
  <c r="S115" i="1" s="1"/>
  <c r="U107" i="1"/>
  <c r="S107" i="1" s="1"/>
  <c r="AI107" i="1"/>
  <c r="AI99" i="1"/>
  <c r="U91" i="1"/>
  <c r="S91" i="1" s="1"/>
  <c r="AI91" i="1"/>
  <c r="AG238" i="1"/>
  <c r="AG234" i="1"/>
  <c r="W234" i="1" s="1"/>
  <c r="AG230" i="1"/>
  <c r="AG226" i="1"/>
  <c r="W226" i="1" s="1"/>
  <c r="AG217" i="1"/>
  <c r="AG213" i="1"/>
  <c r="W213" i="1" s="1"/>
  <c r="AG209" i="1"/>
  <c r="W209" i="1" s="1"/>
  <c r="AG158" i="1"/>
  <c r="W158" i="1" s="1"/>
  <c r="AG154" i="1"/>
  <c r="W154" i="1" s="1"/>
  <c r="AG150" i="1"/>
  <c r="AG146" i="1"/>
  <c r="AG142" i="1"/>
  <c r="AG138" i="1"/>
  <c r="W138" i="1" s="1"/>
  <c r="AG134" i="1"/>
  <c r="W134" i="1" s="1"/>
  <c r="AG130" i="1"/>
  <c r="AG126" i="1"/>
  <c r="AG122" i="1"/>
  <c r="W122" i="1" s="1"/>
  <c r="AG118" i="1"/>
  <c r="W117" i="1"/>
  <c r="U117" i="1"/>
  <c r="S117" i="1" s="1"/>
  <c r="X115" i="1"/>
  <c r="X238" i="1"/>
  <c r="AI185" i="1"/>
  <c r="X234" i="1"/>
  <c r="AI181" i="1"/>
  <c r="X230" i="1"/>
  <c r="AI177" i="1"/>
  <c r="X226" i="1"/>
  <c r="AI173" i="1"/>
  <c r="X217" i="1"/>
  <c r="AI169" i="1"/>
  <c r="X213" i="1"/>
  <c r="AI165" i="1"/>
  <c r="X209" i="1"/>
  <c r="AI161" i="1"/>
  <c r="X158" i="1"/>
  <c r="X154" i="1"/>
  <c r="AI153" i="1"/>
  <c r="X150" i="1"/>
  <c r="X146" i="1"/>
  <c r="AI145" i="1"/>
  <c r="X142" i="1"/>
  <c r="X138" i="1"/>
  <c r="X134" i="1"/>
  <c r="AI133" i="1"/>
  <c r="X130" i="1"/>
  <c r="X126" i="1"/>
  <c r="AI125" i="1"/>
  <c r="X122" i="1"/>
  <c r="AI121" i="1"/>
  <c r="X118" i="1"/>
  <c r="U111" i="1"/>
  <c r="S111" i="1" s="1"/>
  <c r="AI111" i="1"/>
  <c r="U103" i="1"/>
  <c r="S103" i="1" s="1"/>
  <c r="AI103" i="1"/>
  <c r="U95" i="1"/>
  <c r="AI95" i="1"/>
  <c r="AI87" i="1"/>
  <c r="U112" i="1"/>
  <c r="S112" i="1" s="1"/>
  <c r="U100" i="1"/>
  <c r="S100" i="1" s="1"/>
  <c r="U96" i="1"/>
  <c r="S96" i="1" s="1"/>
  <c r="U92" i="1"/>
  <c r="S92" i="1" s="1"/>
  <c r="AG113" i="1"/>
  <c r="AG109" i="1"/>
  <c r="W109" i="1" s="1"/>
  <c r="AG105" i="1"/>
  <c r="AG101" i="1"/>
  <c r="W101" i="1" s="1"/>
  <c r="AG97" i="1"/>
  <c r="AG93" i="1"/>
  <c r="AG89" i="1"/>
  <c r="AG85" i="1"/>
  <c r="T85" i="1"/>
  <c r="AA83" i="1"/>
  <c r="U76" i="1"/>
  <c r="AG114" i="1"/>
  <c r="W114" i="1" s="1"/>
  <c r="X113" i="1"/>
  <c r="AG110" i="1"/>
  <c r="X109" i="1"/>
  <c r="AG106" i="1"/>
  <c r="X105" i="1"/>
  <c r="AI104" i="1"/>
  <c r="AG102" i="1"/>
  <c r="X101" i="1"/>
  <c r="AI100" i="1"/>
  <c r="AG98" i="1"/>
  <c r="X97" i="1"/>
  <c r="AG94" i="1"/>
  <c r="X93" i="1"/>
  <c r="AI92" i="1"/>
  <c r="AG90" i="1"/>
  <c r="W90" i="1" s="1"/>
  <c r="X89" i="1"/>
  <c r="AG86" i="1"/>
  <c r="T84" i="1"/>
  <c r="X84" i="1"/>
  <c r="X114" i="1"/>
  <c r="X110" i="1"/>
  <c r="X106" i="1"/>
  <c r="X102" i="1"/>
  <c r="X98" i="1"/>
  <c r="X94" i="1"/>
  <c r="X86" i="1"/>
  <c r="AG84" i="1"/>
  <c r="X82" i="1"/>
  <c r="T81" i="1"/>
  <c r="X81" i="1"/>
  <c r="AG81" i="1"/>
  <c r="W81" i="1" s="1"/>
  <c r="U68" i="1"/>
  <c r="S68" i="1" s="1"/>
  <c r="U59" i="1"/>
  <c r="U51" i="1"/>
  <c r="X80" i="1"/>
  <c r="AG77" i="1"/>
  <c r="X76" i="1"/>
  <c r="AI75" i="1"/>
  <c r="S75" i="1"/>
  <c r="AG73" i="1"/>
  <c r="X72" i="1"/>
  <c r="AG69" i="1"/>
  <c r="X68" i="1"/>
  <c r="AI67" i="1"/>
  <c r="AG65" i="1"/>
  <c r="AI63" i="1"/>
  <c r="AG60" i="1"/>
  <c r="AI58" i="1"/>
  <c r="AG56" i="1"/>
  <c r="X55" i="1"/>
  <c r="AI54" i="1"/>
  <c r="S54" i="1"/>
  <c r="AG52" i="1"/>
  <c r="X51" i="1"/>
  <c r="AI80" i="1"/>
  <c r="X77" i="1"/>
  <c r="T77" i="1"/>
  <c r="AI76" i="1"/>
  <c r="X73" i="1"/>
  <c r="T73" i="1"/>
  <c r="X69" i="1"/>
  <c r="T69" i="1"/>
  <c r="AI68" i="1"/>
  <c r="AI64" i="1"/>
  <c r="X56" i="1"/>
  <c r="X52" i="1"/>
  <c r="AI51" i="1"/>
  <c r="T50" i="1"/>
  <c r="U50" i="1" s="1"/>
  <c r="S50" i="1" s="1"/>
  <c r="W15" i="1"/>
  <c r="T49" i="1"/>
  <c r="U49" i="1" s="1"/>
  <c r="S49" i="1" s="1"/>
  <c r="X49" i="1"/>
  <c r="AA48" i="1"/>
  <c r="U48" i="1"/>
  <c r="U15" i="1"/>
  <c r="S15" i="1" s="1"/>
  <c r="AI15" i="1"/>
  <c r="U40" i="1"/>
  <c r="S40" i="1" s="1"/>
  <c r="U32" i="1"/>
  <c r="S32" i="1" s="1"/>
  <c r="U29" i="1"/>
  <c r="S29" i="1" s="1"/>
  <c r="U25" i="1"/>
  <c r="S25" i="1" s="1"/>
  <c r="AG45" i="1"/>
  <c r="W45" i="1" s="1"/>
  <c r="AG41" i="1"/>
  <c r="AG37" i="1"/>
  <c r="W37" i="1" s="1"/>
  <c r="AG33" i="1"/>
  <c r="AG30" i="1"/>
  <c r="W30" i="1" s="1"/>
  <c r="AG26" i="1"/>
  <c r="AG22" i="1"/>
  <c r="W22" i="1" s="1"/>
  <c r="AG18" i="1"/>
  <c r="W18" i="1" s="1"/>
  <c r="AG14" i="1"/>
  <c r="W14" i="1" s="1"/>
  <c r="AG46" i="1"/>
  <c r="X45" i="1"/>
  <c r="AG42" i="1"/>
  <c r="W42" i="1" s="1"/>
  <c r="X41" i="1"/>
  <c r="AG38" i="1"/>
  <c r="X37" i="1"/>
  <c r="AG34" i="1"/>
  <c r="W34" i="1" s="1"/>
  <c r="AI32" i="1"/>
  <c r="AG62" i="1"/>
  <c r="AI29" i="1"/>
  <c r="AG27" i="1"/>
  <c r="X26" i="1"/>
  <c r="AI25" i="1"/>
  <c r="AG23" i="1"/>
  <c r="X22" i="1"/>
  <c r="AG19" i="1"/>
  <c r="W19" i="1" s="1"/>
  <c r="X18" i="1"/>
  <c r="T14" i="1"/>
  <c r="X46" i="1"/>
  <c r="X42" i="1"/>
  <c r="X38" i="1"/>
  <c r="X27" i="1"/>
  <c r="X23" i="1"/>
  <c r="X19" i="1"/>
  <c r="AE55" i="3"/>
  <c r="AE39" i="3"/>
  <c r="AD37" i="3"/>
  <c r="AE31" i="3"/>
  <c r="AD20" i="3"/>
  <c r="AE15" i="3"/>
  <c r="AE11" i="3"/>
  <c r="Y41" i="3"/>
  <c r="AD57" i="3"/>
  <c r="Y54" i="3"/>
  <c r="AD55" i="3"/>
  <c r="Y24" i="3"/>
  <c r="Y53" i="3"/>
  <c r="AD41" i="3"/>
  <c r="Y16" i="3"/>
  <c r="AD39" i="3"/>
  <c r="AD31" i="3"/>
  <c r="AD25" i="3"/>
  <c r="Y30" i="3"/>
  <c r="AD13" i="3"/>
  <c r="AD9" i="3"/>
  <c r="Y14" i="3"/>
  <c r="Y32" i="3"/>
  <c r="Y61" i="3"/>
  <c r="AD40" i="3"/>
  <c r="Y36" i="3"/>
  <c r="Y26" i="3"/>
  <c r="AD33" i="3"/>
  <c r="AD24" i="3"/>
  <c r="AC21" i="3"/>
  <c r="AE19" i="3"/>
  <c r="AD17" i="3"/>
  <c r="AD8" i="3"/>
  <c r="AD19" i="3"/>
  <c r="T58" i="3"/>
  <c r="T8" i="3"/>
  <c r="AE63" i="3"/>
  <c r="AD63" i="3"/>
  <c r="AC10" i="3"/>
  <c r="AE59" i="3"/>
  <c r="Y55" i="3"/>
  <c r="AD52" i="3"/>
  <c r="Y60" i="3"/>
  <c r="AD47" i="3"/>
  <c r="AC39" i="3"/>
  <c r="AE43" i="3"/>
  <c r="Y59" i="3"/>
  <c r="AD36" i="3"/>
  <c r="AD32" i="3"/>
  <c r="Y19" i="3"/>
  <c r="AD27" i="3"/>
  <c r="AC63" i="3"/>
  <c r="AE23" i="3"/>
  <c r="Y27" i="3"/>
  <c r="AD16" i="3"/>
  <c r="Y7" i="3"/>
  <c r="AD11" i="3"/>
  <c r="AC34" i="3"/>
  <c r="T46" i="3"/>
  <c r="Y42" i="3"/>
  <c r="Y40" i="3"/>
  <c r="Y58" i="3"/>
  <c r="Y22" i="3"/>
  <c r="Y25" i="3"/>
  <c r="Y8" i="3"/>
  <c r="Y52" i="3"/>
  <c r="Y46" i="3"/>
  <c r="AC37" i="3"/>
  <c r="AD38" i="3"/>
  <c r="T37" i="3"/>
  <c r="AE38" i="3"/>
  <c r="AC41" i="3"/>
  <c r="AD58" i="3"/>
  <c r="T41" i="3"/>
  <c r="AE58" i="3"/>
  <c r="AC53" i="3"/>
  <c r="AD42" i="3"/>
  <c r="T53" i="3"/>
  <c r="AE42" i="3"/>
  <c r="AC49" i="3"/>
  <c r="AD50" i="3"/>
  <c r="T49" i="3"/>
  <c r="AE50" i="3"/>
  <c r="AC56" i="3"/>
  <c r="T56" i="3"/>
  <c r="AE54" i="3"/>
  <c r="AD54" i="3"/>
  <c r="AC11" i="3"/>
  <c r="T11" i="3"/>
  <c r="AE62" i="3"/>
  <c r="AD62" i="3"/>
  <c r="AC23" i="3"/>
  <c r="T23" i="3"/>
  <c r="AE46" i="3"/>
  <c r="AD46" i="3"/>
  <c r="AE34" i="3"/>
  <c r="T48" i="3"/>
  <c r="AE30" i="3"/>
  <c r="T20" i="3"/>
  <c r="AE26" i="3"/>
  <c r="T17" i="3"/>
  <c r="AE22" i="3"/>
  <c r="T44" i="3"/>
  <c r="AE18" i="3"/>
  <c r="T47" i="3"/>
  <c r="AE14" i="3"/>
  <c r="T50" i="3"/>
  <c r="AE10" i="3"/>
  <c r="T28" i="3"/>
  <c r="AE57" i="3"/>
  <c r="T9" i="3"/>
  <c r="AE49" i="3"/>
  <c r="T24" i="3"/>
  <c r="AE45" i="3"/>
  <c r="T39" i="3"/>
  <c r="AE41" i="3"/>
  <c r="T62" i="3"/>
  <c r="AE37" i="3"/>
  <c r="T36" i="3"/>
  <c r="AD34" i="3"/>
  <c r="AE33" i="3"/>
  <c r="T45" i="3"/>
  <c r="AD30" i="3"/>
  <c r="AE29" i="3"/>
  <c r="T18" i="3"/>
  <c r="AD26" i="3"/>
  <c r="AE25" i="3"/>
  <c r="T63" i="3"/>
  <c r="AD22" i="3"/>
  <c r="AE21" i="3"/>
  <c r="T21" i="3"/>
  <c r="AD18" i="3"/>
  <c r="AE17" i="3"/>
  <c r="T13" i="3"/>
  <c r="AD14" i="3"/>
  <c r="AE13" i="3"/>
  <c r="T29" i="3"/>
  <c r="AD10" i="3"/>
  <c r="AE9" i="3"/>
  <c r="T34" i="3"/>
  <c r="Y48" i="3"/>
  <c r="AE61" i="3"/>
  <c r="T10" i="3"/>
  <c r="AE53" i="3"/>
  <c r="T32" i="3"/>
  <c r="AE60" i="3"/>
  <c r="AE56" i="3"/>
  <c r="AE52" i="3"/>
  <c r="AE48" i="3"/>
  <c r="AE44" i="3"/>
  <c r="AE40" i="3"/>
  <c r="AE36" i="3"/>
  <c r="AE32" i="3"/>
  <c r="AE28" i="3"/>
  <c r="AE24" i="3"/>
  <c r="AE20" i="3"/>
  <c r="AE16" i="3"/>
  <c r="AE12" i="3"/>
  <c r="AE8" i="3"/>
  <c r="T14" i="3"/>
  <c r="AI36" i="1" l="1"/>
  <c r="W113" i="1"/>
  <c r="AI247" i="1"/>
  <c r="AI197" i="1"/>
  <c r="AI222" i="1"/>
  <c r="U35" i="1"/>
  <c r="S35" i="1" s="1"/>
  <c r="W32" i="1"/>
  <c r="W47" i="1"/>
  <c r="W229" i="1"/>
  <c r="AI43" i="1"/>
  <c r="W224" i="1"/>
  <c r="U204" i="1"/>
  <c r="S204" i="1" s="1"/>
  <c r="W68" i="1"/>
  <c r="U194" i="1"/>
  <c r="S194" i="1" s="1"/>
  <c r="W26" i="1"/>
  <c r="AI141" i="1"/>
  <c r="AI149" i="1"/>
  <c r="AI157" i="1"/>
  <c r="W238" i="1"/>
  <c r="U233" i="1"/>
  <c r="S233" i="1" s="1"/>
  <c r="AI194" i="1"/>
  <c r="W208" i="1"/>
  <c r="W29" i="1"/>
  <c r="U79" i="1"/>
  <c r="S79" i="1" s="1"/>
  <c r="U71" i="1"/>
  <c r="S71" i="1" s="1"/>
  <c r="W124" i="1"/>
  <c r="W166" i="1"/>
  <c r="W83" i="1"/>
  <c r="AI224" i="1"/>
  <c r="U196" i="1"/>
  <c r="S196" i="1" s="1"/>
  <c r="W233" i="1"/>
  <c r="W197" i="1"/>
  <c r="U223" i="1"/>
  <c r="S223" i="1" s="1"/>
  <c r="W43" i="1"/>
  <c r="W71" i="1"/>
  <c r="U44" i="1"/>
  <c r="S44" i="1" s="1"/>
  <c r="W48" i="1"/>
  <c r="AI72" i="1"/>
  <c r="AI71" i="1"/>
  <c r="W110" i="1"/>
  <c r="U55" i="1"/>
  <c r="S55" i="1" s="1"/>
  <c r="W97" i="1"/>
  <c r="U132" i="1"/>
  <c r="S132" i="1" s="1"/>
  <c r="AI179" i="1"/>
  <c r="U175" i="1"/>
  <c r="S175" i="1" s="1"/>
  <c r="U222" i="1"/>
  <c r="S222" i="1" s="1"/>
  <c r="W44" i="1"/>
  <c r="W59" i="1"/>
  <c r="W88" i="1"/>
  <c r="W215" i="1"/>
  <c r="AI21" i="1"/>
  <c r="W33" i="1"/>
  <c r="U17" i="1"/>
  <c r="S17" i="1" s="1"/>
  <c r="AI83" i="1"/>
  <c r="W106" i="1"/>
  <c r="U88" i="1"/>
  <c r="S88" i="1" s="1"/>
  <c r="AI137" i="1"/>
  <c r="AI187" i="1"/>
  <c r="U219" i="1"/>
  <c r="S219" i="1" s="1"/>
  <c r="AI221" i="1"/>
  <c r="W21" i="1"/>
  <c r="U70" i="1"/>
  <c r="S70" i="1" s="1"/>
  <c r="W112" i="1"/>
  <c r="U67" i="1"/>
  <c r="S67" i="1" s="1"/>
  <c r="W80" i="1"/>
  <c r="W92" i="1"/>
  <c r="U131" i="1"/>
  <c r="S131" i="1" s="1"/>
  <c r="W129" i="1"/>
  <c r="W179" i="1"/>
  <c r="W201" i="1"/>
  <c r="W223" i="1"/>
  <c r="W240" i="1"/>
  <c r="W163" i="1"/>
  <c r="W171" i="1"/>
  <c r="W70" i="1"/>
  <c r="W60" i="1"/>
  <c r="AI116" i="1"/>
  <c r="W217" i="1"/>
  <c r="AI167" i="1"/>
  <c r="AI108" i="1"/>
  <c r="W130" i="1"/>
  <c r="W230" i="1"/>
  <c r="U141" i="1"/>
  <c r="S141" i="1" s="1"/>
  <c r="U157" i="1"/>
  <c r="S157" i="1" s="1"/>
  <c r="U116" i="1"/>
  <c r="S116" i="1" s="1"/>
  <c r="U124" i="1"/>
  <c r="S124" i="1" s="1"/>
  <c r="W160" i="1"/>
  <c r="W220" i="1"/>
  <c r="AI183" i="1"/>
  <c r="W243" i="1"/>
  <c r="W108" i="1"/>
  <c r="W137" i="1"/>
  <c r="W145" i="1"/>
  <c r="W212" i="1"/>
  <c r="U211" i="1"/>
  <c r="S211" i="1" s="1"/>
  <c r="W250" i="1"/>
  <c r="AI192" i="1"/>
  <c r="U78" i="1"/>
  <c r="S78" i="1" s="1"/>
  <c r="W78" i="1"/>
  <c r="W170" i="1"/>
  <c r="W123" i="1"/>
  <c r="W175" i="1"/>
  <c r="W247" i="1"/>
  <c r="W17" i="1"/>
  <c r="U240" i="1"/>
  <c r="S240" i="1" s="1"/>
  <c r="W244" i="1"/>
  <c r="W248" i="1"/>
  <c r="W66" i="1"/>
  <c r="U189" i="1"/>
  <c r="S189" i="1" s="1"/>
  <c r="U58" i="1"/>
  <c r="W225" i="1"/>
  <c r="W203" i="1"/>
  <c r="W199" i="1"/>
  <c r="W28" i="1"/>
  <c r="W54" i="1"/>
  <c r="W35" i="1"/>
  <c r="W211" i="1"/>
  <c r="W192" i="1"/>
  <c r="W245" i="1"/>
  <c r="AI245" i="1"/>
  <c r="W172" i="1"/>
  <c r="AI172" i="1"/>
  <c r="W206" i="1"/>
  <c r="AI206" i="1"/>
  <c r="AI234" i="1"/>
  <c r="AI230" i="1"/>
  <c r="U61" i="1"/>
  <c r="S61" i="1" s="1"/>
  <c r="AI61" i="1"/>
  <c r="W67" i="1"/>
  <c r="U82" i="1"/>
  <c r="S82" i="1" s="1"/>
  <c r="AI82" i="1"/>
  <c r="W195" i="1"/>
  <c r="AI195" i="1"/>
  <c r="AI160" i="1"/>
  <c r="AI226" i="1"/>
  <c r="AI209" i="1"/>
  <c r="U16" i="1"/>
  <c r="S16" i="1" s="1"/>
  <c r="AI16" i="1"/>
  <c r="U53" i="1"/>
  <c r="S53" i="1" s="1"/>
  <c r="AI53" i="1"/>
  <c r="W25" i="1"/>
  <c r="U39" i="1"/>
  <c r="S39" i="1" s="1"/>
  <c r="AI39" i="1"/>
  <c r="U57" i="1"/>
  <c r="S57" i="1" s="1"/>
  <c r="AI57" i="1"/>
  <c r="W72" i="1"/>
  <c r="W82" i="1"/>
  <c r="W39" i="1"/>
  <c r="U203" i="1"/>
  <c r="S203" i="1" s="1"/>
  <c r="AI203" i="1"/>
  <c r="W53" i="1"/>
  <c r="W196" i="1"/>
  <c r="AI213" i="1"/>
  <c r="U31" i="1"/>
  <c r="S31" i="1" s="1"/>
  <c r="AI31" i="1"/>
  <c r="U66" i="1"/>
  <c r="S66" i="1" s="1"/>
  <c r="AI66" i="1"/>
  <c r="W61" i="1"/>
  <c r="W16" i="1"/>
  <c r="W184" i="1"/>
  <c r="AI184" i="1"/>
  <c r="W198" i="1"/>
  <c r="AI217" i="1"/>
  <c r="AI238" i="1"/>
  <c r="U47" i="1"/>
  <c r="S47" i="1" s="1"/>
  <c r="AI47" i="1"/>
  <c r="U24" i="1"/>
  <c r="S24" i="1" s="1"/>
  <c r="AI24" i="1"/>
  <c r="W40" i="1"/>
  <c r="W58" i="1"/>
  <c r="W31" i="1"/>
  <c r="W57" i="1"/>
  <c r="W24" i="1"/>
  <c r="W237" i="1"/>
  <c r="W221" i="1"/>
  <c r="U62" i="1"/>
  <c r="S62" i="1" s="1"/>
  <c r="AI62" i="1"/>
  <c r="U46" i="1"/>
  <c r="S46" i="1" s="1"/>
  <c r="W46" i="1"/>
  <c r="AI46" i="1"/>
  <c r="AI52" i="1"/>
  <c r="U52" i="1"/>
  <c r="S52" i="1" s="1"/>
  <c r="AI65" i="1"/>
  <c r="U65" i="1"/>
  <c r="S65" i="1" s="1"/>
  <c r="AI69" i="1"/>
  <c r="U69" i="1"/>
  <c r="S69" i="1" s="1"/>
  <c r="AI73" i="1"/>
  <c r="U73" i="1"/>
  <c r="S73" i="1" s="1"/>
  <c r="AI77" i="1"/>
  <c r="U77" i="1"/>
  <c r="S77" i="1" s="1"/>
  <c r="U84" i="1"/>
  <c r="S84" i="1" s="1"/>
  <c r="AI84" i="1"/>
  <c r="W84" i="1"/>
  <c r="U86" i="1"/>
  <c r="S86" i="1" s="1"/>
  <c r="AI86" i="1"/>
  <c r="U27" i="1"/>
  <c r="S27" i="1" s="1"/>
  <c r="AI27" i="1"/>
  <c r="U23" i="1"/>
  <c r="S23" i="1" s="1"/>
  <c r="AI23" i="1"/>
  <c r="U38" i="1"/>
  <c r="S38" i="1" s="1"/>
  <c r="AI38" i="1"/>
  <c r="AI18" i="1"/>
  <c r="U18" i="1"/>
  <c r="S18" i="1" s="1"/>
  <c r="AI33" i="1"/>
  <c r="U33" i="1"/>
  <c r="S33" i="1" s="1"/>
  <c r="W38" i="1"/>
  <c r="W62" i="1"/>
  <c r="AI81" i="1"/>
  <c r="U81" i="1"/>
  <c r="S81" i="1" s="1"/>
  <c r="U94" i="1"/>
  <c r="S94" i="1" s="1"/>
  <c r="AI94" i="1"/>
  <c r="U110" i="1"/>
  <c r="S110" i="1" s="1"/>
  <c r="AI110" i="1"/>
  <c r="W52" i="1"/>
  <c r="W69" i="1"/>
  <c r="U85" i="1"/>
  <c r="AI85" i="1"/>
  <c r="AI101" i="1"/>
  <c r="U101" i="1"/>
  <c r="S101" i="1" s="1"/>
  <c r="W73" i="1"/>
  <c r="U126" i="1"/>
  <c r="S126" i="1" s="1"/>
  <c r="AI126" i="1"/>
  <c r="U142" i="1"/>
  <c r="S142" i="1" s="1"/>
  <c r="AI142" i="1"/>
  <c r="U158" i="1"/>
  <c r="S158" i="1" s="1"/>
  <c r="AI158" i="1"/>
  <c r="U226" i="1"/>
  <c r="S226" i="1" s="1"/>
  <c r="AI174" i="1"/>
  <c r="W85" i="1"/>
  <c r="W94" i="1"/>
  <c r="W142" i="1"/>
  <c r="U164" i="1"/>
  <c r="S164" i="1" s="1"/>
  <c r="AI200" i="1"/>
  <c r="U180" i="1"/>
  <c r="S180" i="1" s="1"/>
  <c r="AI216" i="1"/>
  <c r="U198" i="1"/>
  <c r="S198" i="1" s="1"/>
  <c r="AI236" i="1"/>
  <c r="AI56" i="1"/>
  <c r="U56" i="1"/>
  <c r="S56" i="1" s="1"/>
  <c r="AI93" i="1"/>
  <c r="U93" i="1"/>
  <c r="S93" i="1" s="1"/>
  <c r="U19" i="1"/>
  <c r="S19" i="1" s="1"/>
  <c r="AI19" i="1"/>
  <c r="U34" i="1"/>
  <c r="S34" i="1" s="1"/>
  <c r="AI34" i="1"/>
  <c r="AI22" i="1"/>
  <c r="U22" i="1"/>
  <c r="S22" i="1" s="1"/>
  <c r="AI37" i="1"/>
  <c r="U37" i="1"/>
  <c r="S37" i="1" s="1"/>
  <c r="W23" i="1"/>
  <c r="W27" i="1"/>
  <c r="W65" i="1"/>
  <c r="U90" i="1"/>
  <c r="S90" i="1" s="1"/>
  <c r="AI90" i="1"/>
  <c r="U106" i="1"/>
  <c r="S106" i="1" s="1"/>
  <c r="AI106" i="1"/>
  <c r="AI89" i="1"/>
  <c r="U89" i="1"/>
  <c r="S89" i="1" s="1"/>
  <c r="AI105" i="1"/>
  <c r="U105" i="1"/>
  <c r="S105" i="1" s="1"/>
  <c r="W105" i="1"/>
  <c r="U130" i="1"/>
  <c r="S130" i="1" s="1"/>
  <c r="AI130" i="1"/>
  <c r="U146" i="1"/>
  <c r="S146" i="1" s="1"/>
  <c r="AI146" i="1"/>
  <c r="U209" i="1"/>
  <c r="S209" i="1" s="1"/>
  <c r="AI162" i="1"/>
  <c r="U230" i="1"/>
  <c r="S230" i="1" s="1"/>
  <c r="AI178" i="1"/>
  <c r="W86" i="1"/>
  <c r="W146" i="1"/>
  <c r="W126" i="1"/>
  <c r="U168" i="1"/>
  <c r="S168" i="1" s="1"/>
  <c r="AI204" i="1"/>
  <c r="U184" i="1"/>
  <c r="S184" i="1" s="1"/>
  <c r="AI220" i="1"/>
  <c r="U202" i="1"/>
  <c r="S202" i="1" s="1"/>
  <c r="AI240" i="1"/>
  <c r="U243" i="1"/>
  <c r="S243" i="1" s="1"/>
  <c r="AI191" i="1"/>
  <c r="W164" i="1"/>
  <c r="W168" i="1"/>
  <c r="U102" i="1"/>
  <c r="S102" i="1" s="1"/>
  <c r="AI102" i="1"/>
  <c r="AI109" i="1"/>
  <c r="U109" i="1"/>
  <c r="S109" i="1" s="1"/>
  <c r="U118" i="1"/>
  <c r="S118" i="1" s="1"/>
  <c r="AI118" i="1"/>
  <c r="U150" i="1"/>
  <c r="S150" i="1" s="1"/>
  <c r="AI150" i="1"/>
  <c r="W150" i="1"/>
  <c r="W118" i="1"/>
  <c r="U245" i="1"/>
  <c r="S245" i="1" s="1"/>
  <c r="AI193" i="1"/>
  <c r="U172" i="1"/>
  <c r="S172" i="1" s="1"/>
  <c r="AI208" i="1"/>
  <c r="U191" i="1"/>
  <c r="S191" i="1" s="1"/>
  <c r="AI228" i="1"/>
  <c r="U206" i="1"/>
  <c r="S206" i="1" s="1"/>
  <c r="AI244" i="1"/>
  <c r="W202" i="1"/>
  <c r="AI26" i="1"/>
  <c r="U26" i="1"/>
  <c r="S26" i="1" s="1"/>
  <c r="AI41" i="1"/>
  <c r="U41" i="1"/>
  <c r="S41" i="1" s="1"/>
  <c r="AI60" i="1"/>
  <c r="U60" i="1"/>
  <c r="S60" i="1" s="1"/>
  <c r="U134" i="1"/>
  <c r="S134" i="1" s="1"/>
  <c r="AI134" i="1"/>
  <c r="U213" i="1"/>
  <c r="S213" i="1" s="1"/>
  <c r="AI166" i="1"/>
  <c r="U234" i="1"/>
  <c r="S234" i="1" s="1"/>
  <c r="AI182" i="1"/>
  <c r="U42" i="1"/>
  <c r="S42" i="1" s="1"/>
  <c r="AI42" i="1"/>
  <c r="AI14" i="1"/>
  <c r="U14" i="1"/>
  <c r="S14" i="1" s="1"/>
  <c r="AI30" i="1"/>
  <c r="U30" i="1"/>
  <c r="S30" i="1" s="1"/>
  <c r="AI45" i="1"/>
  <c r="U45" i="1"/>
  <c r="S45" i="1" s="1"/>
  <c r="W41" i="1"/>
  <c r="W56" i="1"/>
  <c r="W77" i="1"/>
  <c r="U98" i="1"/>
  <c r="S98" i="1" s="1"/>
  <c r="AI98" i="1"/>
  <c r="U114" i="1"/>
  <c r="S114" i="1" s="1"/>
  <c r="AI114" i="1"/>
  <c r="AI97" i="1"/>
  <c r="U97" i="1"/>
  <c r="S97" i="1" s="1"/>
  <c r="AI113" i="1"/>
  <c r="U113" i="1"/>
  <c r="S113" i="1" s="1"/>
  <c r="W89" i="1"/>
  <c r="W98" i="1"/>
  <c r="U122" i="1"/>
  <c r="S122" i="1" s="1"/>
  <c r="AI122" i="1"/>
  <c r="U138" i="1"/>
  <c r="S138" i="1" s="1"/>
  <c r="AI138" i="1"/>
  <c r="U154" i="1"/>
  <c r="S154" i="1" s="1"/>
  <c r="AI154" i="1"/>
  <c r="U217" i="1"/>
  <c r="S217" i="1" s="1"/>
  <c r="AI170" i="1"/>
  <c r="U238" i="1"/>
  <c r="S238" i="1" s="1"/>
  <c r="AI186" i="1"/>
  <c r="W93" i="1"/>
  <c r="W102" i="1"/>
  <c r="U160" i="1"/>
  <c r="S160" i="1" s="1"/>
  <c r="U176" i="1"/>
  <c r="S176" i="1" s="1"/>
  <c r="AI212" i="1"/>
  <c r="U195" i="1"/>
  <c r="S195" i="1" s="1"/>
  <c r="AI232" i="1"/>
  <c r="U220" i="1"/>
  <c r="S220" i="1" s="1"/>
  <c r="AI248" i="1"/>
  <c r="W191" i="1"/>
  <c r="W180" i="1"/>
  <c r="K13" i="1"/>
  <c r="M13" i="1"/>
  <c r="N13" i="1" s="1"/>
  <c r="Y13" i="1"/>
  <c r="Z13" i="1"/>
  <c r="AB13" i="1"/>
  <c r="AC13" i="1"/>
  <c r="AD13" i="1"/>
  <c r="X14" i="1" s="1"/>
  <c r="AE13" i="1"/>
  <c r="AM13" i="1"/>
  <c r="R34" i="3" l="1"/>
  <c r="R14" i="3"/>
  <c r="AG13" i="1"/>
  <c r="AI13" i="1" s="1"/>
  <c r="X13" i="1"/>
  <c r="AA13" i="1"/>
  <c r="T13" i="1"/>
  <c r="W13" i="1" l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C125" i="9" l="1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V13" i="1" l="1"/>
  <c r="AN13" i="1"/>
  <c r="AD7" i="3"/>
  <c r="B31" i="9"/>
  <c r="B32" i="9"/>
  <c r="C33" i="9" s="1"/>
  <c r="S34" i="3" l="1"/>
  <c r="S14" i="3"/>
  <c r="AE7" i="3"/>
  <c r="C32" i="9"/>
  <c r="G3" i="4" l="1"/>
  <c r="G4" i="4"/>
  <c r="G5" i="4"/>
  <c r="G6" i="4"/>
  <c r="G7" i="4"/>
  <c r="G8" i="4"/>
  <c r="G9" i="4"/>
  <c r="G10" i="4"/>
  <c r="N34" i="3" s="1"/>
  <c r="G11" i="4"/>
  <c r="G12" i="4"/>
  <c r="G13" i="4"/>
  <c r="G14" i="4"/>
  <c r="N12" i="3" s="1"/>
  <c r="G15" i="4"/>
  <c r="G16" i="4"/>
  <c r="G17" i="4"/>
  <c r="G18" i="4"/>
  <c r="G19" i="4"/>
  <c r="G20" i="4"/>
  <c r="G21" i="4"/>
  <c r="G22" i="4"/>
  <c r="N28" i="3" s="1"/>
  <c r="G23" i="4"/>
  <c r="G24" i="4"/>
  <c r="G25" i="4"/>
  <c r="N46" i="3" s="1"/>
  <c r="G26" i="4"/>
  <c r="G27" i="4"/>
  <c r="G28" i="4"/>
  <c r="G29" i="4"/>
  <c r="N29" i="3" s="1"/>
  <c r="G30" i="4"/>
  <c r="G31" i="4"/>
  <c r="G32" i="4"/>
  <c r="G33" i="4"/>
  <c r="G34" i="4"/>
  <c r="G35" i="4"/>
  <c r="G36" i="4"/>
  <c r="G37" i="4"/>
  <c r="G38" i="4"/>
  <c r="N7" i="3" s="1"/>
  <c r="G39" i="4"/>
  <c r="G40" i="4"/>
  <c r="G41" i="4"/>
  <c r="N35" i="3" s="1"/>
  <c r="G42" i="4"/>
  <c r="G43" i="4"/>
  <c r="G44" i="4"/>
  <c r="G45" i="4"/>
  <c r="G46" i="4"/>
  <c r="N47" i="3" s="1"/>
  <c r="G47" i="4"/>
  <c r="N13" i="3" s="1"/>
  <c r="G48" i="4"/>
  <c r="G49" i="4"/>
  <c r="G50" i="4"/>
  <c r="G51" i="4"/>
  <c r="G52" i="4"/>
  <c r="G53" i="4"/>
  <c r="G54" i="4"/>
  <c r="G55" i="4"/>
  <c r="G56" i="4"/>
  <c r="N43" i="3" s="1"/>
  <c r="G57" i="4"/>
  <c r="G58" i="4"/>
  <c r="G59" i="4"/>
  <c r="N21" i="3" s="1"/>
  <c r="G60" i="4"/>
  <c r="G61" i="4"/>
  <c r="G62" i="4"/>
  <c r="G63" i="4"/>
  <c r="G64" i="4"/>
  <c r="G65" i="4"/>
  <c r="G66" i="4"/>
  <c r="G67" i="4"/>
  <c r="G68" i="4"/>
  <c r="G69" i="4"/>
  <c r="G70" i="4"/>
  <c r="G71" i="4"/>
  <c r="N44" i="3" s="1"/>
  <c r="G72" i="4"/>
  <c r="G73" i="4"/>
  <c r="G74" i="4"/>
  <c r="N27" i="3" s="1"/>
  <c r="G75" i="4"/>
  <c r="G76" i="4"/>
  <c r="G77" i="4"/>
  <c r="G78" i="4"/>
  <c r="G79" i="4"/>
  <c r="G80" i="4"/>
  <c r="G81" i="4"/>
  <c r="G82" i="4"/>
  <c r="G83" i="4"/>
  <c r="G84" i="4"/>
  <c r="G85" i="4"/>
  <c r="N30" i="3" s="1"/>
  <c r="G86" i="4"/>
  <c r="G87" i="4"/>
  <c r="G88" i="4"/>
  <c r="G89" i="4"/>
  <c r="G90" i="4"/>
  <c r="G91" i="4"/>
  <c r="G92" i="4"/>
  <c r="G93" i="4"/>
  <c r="G94" i="4"/>
  <c r="G95" i="4"/>
  <c r="G96" i="4"/>
  <c r="G97" i="4"/>
  <c r="N17" i="3" s="1"/>
  <c r="G98" i="4"/>
  <c r="G99" i="4"/>
  <c r="G100" i="4"/>
  <c r="N8" i="3" s="1"/>
  <c r="G101" i="4"/>
  <c r="G102" i="4"/>
  <c r="N63" i="3" s="1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N20" i="3" s="1"/>
  <c r="G125" i="4"/>
  <c r="G126" i="4"/>
  <c r="G127" i="4"/>
  <c r="N15" i="3" s="1"/>
  <c r="G128" i="4"/>
  <c r="G129" i="4"/>
  <c r="G130" i="4"/>
  <c r="G131" i="4"/>
  <c r="N25" i="3" s="1"/>
  <c r="G132" i="4"/>
  <c r="G133" i="4"/>
  <c r="G134" i="4"/>
  <c r="G135" i="4"/>
  <c r="N45" i="3" s="1"/>
  <c r="G136" i="4"/>
  <c r="N22" i="3" s="1"/>
  <c r="G137" i="4"/>
  <c r="G138" i="4"/>
  <c r="G139" i="4"/>
  <c r="G140" i="4"/>
  <c r="N48" i="3" s="1"/>
  <c r="G141" i="4"/>
  <c r="G142" i="4"/>
  <c r="G143" i="4"/>
  <c r="G144" i="4"/>
  <c r="N26" i="3" s="1"/>
  <c r="G145" i="4"/>
  <c r="G146" i="4"/>
  <c r="G147" i="4"/>
  <c r="G148" i="4"/>
  <c r="G149" i="4"/>
  <c r="G150" i="4"/>
  <c r="G151" i="4"/>
  <c r="G152" i="4"/>
  <c r="G153" i="4"/>
  <c r="N16" i="3" s="1"/>
  <c r="G154" i="4"/>
  <c r="G155" i="4"/>
  <c r="G156" i="4"/>
  <c r="G157" i="4"/>
  <c r="G158" i="4"/>
  <c r="G159" i="4"/>
  <c r="G160" i="4"/>
  <c r="N31" i="3" s="1"/>
  <c r="G161" i="4"/>
  <c r="G162" i="4"/>
  <c r="G163" i="4"/>
  <c r="N53" i="3" s="1"/>
  <c r="G164" i="4"/>
  <c r="G165" i="4"/>
  <c r="G166" i="4"/>
  <c r="N62" i="3" s="1"/>
  <c r="G167" i="4"/>
  <c r="N39" i="3" s="1"/>
  <c r="G168" i="4"/>
  <c r="G169" i="4"/>
  <c r="N23" i="3" s="1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N24" i="3" s="1"/>
  <c r="G183" i="4"/>
  <c r="G184" i="4"/>
  <c r="G185" i="4"/>
  <c r="G186" i="4"/>
  <c r="G187" i="4"/>
  <c r="N49" i="3" s="1"/>
  <c r="G188" i="4"/>
  <c r="G189" i="4"/>
  <c r="G190" i="4"/>
  <c r="G191" i="4"/>
  <c r="G192" i="4"/>
  <c r="G193" i="4"/>
  <c r="G194" i="4"/>
  <c r="G195" i="4"/>
  <c r="N32" i="3" s="1"/>
  <c r="G196" i="4"/>
  <c r="N40" i="3" s="1"/>
  <c r="G197" i="4"/>
  <c r="N56" i="3" s="1"/>
  <c r="G198" i="4"/>
  <c r="G199" i="4"/>
  <c r="G200" i="4"/>
  <c r="G201" i="4"/>
  <c r="G202" i="4"/>
  <c r="G203" i="4"/>
  <c r="N61" i="3" s="1"/>
  <c r="G204" i="4"/>
  <c r="G205" i="4"/>
  <c r="G206" i="4"/>
  <c r="N33" i="3" s="1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N54" i="3" s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N57" i="3" s="1"/>
  <c r="G248" i="4"/>
  <c r="N9" i="3" s="1"/>
  <c r="G249" i="4"/>
  <c r="G250" i="4"/>
  <c r="G251" i="4"/>
  <c r="G252" i="4"/>
  <c r="N41" i="3" s="1"/>
  <c r="G253" i="4"/>
  <c r="G254" i="4"/>
  <c r="G255" i="4"/>
  <c r="G256" i="4"/>
  <c r="G257" i="4"/>
  <c r="N55" i="3" s="1"/>
  <c r="G258" i="4"/>
  <c r="G2" i="4"/>
  <c r="N59" i="3" l="1"/>
  <c r="N58" i="3"/>
  <c r="N60" i="3"/>
  <c r="N52" i="3"/>
  <c r="N50" i="3"/>
  <c r="N51" i="3"/>
  <c r="N19" i="3"/>
  <c r="N18" i="3"/>
  <c r="N36" i="3"/>
  <c r="N37" i="3"/>
  <c r="N38" i="3"/>
  <c r="N14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N10" i="3" s="1"/>
  <c r="G267" i="4"/>
  <c r="G268" i="4"/>
  <c r="G269" i="4"/>
  <c r="N42" i="3" s="1"/>
  <c r="G270" i="4"/>
  <c r="N11" i="3" s="1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s="1"/>
  <c r="G3" i="6" l="1"/>
  <c r="H3" i="6"/>
  <c r="J3" i="6"/>
  <c r="F3" i="6"/>
  <c r="B4" i="6" l="1"/>
  <c r="I4" i="6" s="1"/>
  <c r="B5" i="6" l="1"/>
  <c r="I5" i="6" s="1"/>
  <c r="F4" i="6"/>
  <c r="H4" i="6"/>
  <c r="J4" i="6"/>
  <c r="G4" i="6"/>
  <c r="F5" i="6" l="1"/>
  <c r="H5" i="6"/>
  <c r="J5" i="6"/>
  <c r="G5" i="6"/>
  <c r="B6" i="6"/>
  <c r="I6" i="6" s="1"/>
  <c r="J6" i="6" l="1"/>
  <c r="H6" i="6"/>
  <c r="F6" i="6"/>
  <c r="G6" i="6"/>
  <c r="B7" i="6"/>
  <c r="I7" i="6" s="1"/>
  <c r="B8" i="6" l="1"/>
  <c r="I8" i="6" s="1"/>
  <c r="F7" i="6"/>
  <c r="G7" i="6"/>
  <c r="H7" i="6"/>
  <c r="J7" i="6"/>
  <c r="B9" i="6" l="1"/>
  <c r="I9" i="6" s="1"/>
  <c r="H8" i="6"/>
  <c r="F8" i="6"/>
  <c r="J8" i="6"/>
  <c r="G8" i="6"/>
  <c r="B10" i="6" l="1"/>
  <c r="I10" i="6" s="1"/>
  <c r="F9" i="6"/>
  <c r="H9" i="6"/>
  <c r="J9" i="6"/>
  <c r="G9" i="6"/>
  <c r="F10" i="6" l="1"/>
  <c r="G10" i="6"/>
  <c r="J10" i="6"/>
  <c r="H10" i="6"/>
  <c r="B11" i="6"/>
  <c r="I11" i="6" s="1"/>
  <c r="F11" i="6" l="1"/>
  <c r="J11" i="6"/>
  <c r="H11" i="6"/>
  <c r="G11" i="6"/>
  <c r="B12" i="6"/>
  <c r="I12" i="6" s="1"/>
  <c r="F12" i="6" l="1"/>
  <c r="H12" i="6"/>
  <c r="G12" i="6"/>
  <c r="J12" i="6"/>
  <c r="B13" i="6"/>
  <c r="I13" i="6" s="1"/>
  <c r="B14" i="6" l="1"/>
  <c r="I14" i="6" s="1"/>
  <c r="G13" i="6"/>
  <c r="F13" i="6"/>
  <c r="H13" i="6"/>
  <c r="J13" i="6"/>
  <c r="J14" i="6" l="1"/>
  <c r="H14" i="6"/>
  <c r="F14" i="6"/>
  <c r="G14" i="6"/>
  <c r="B15" i="6"/>
  <c r="I15" i="6" s="1"/>
  <c r="H15" i="6" l="1"/>
  <c r="J15" i="6"/>
  <c r="F15" i="6"/>
  <c r="G15" i="6"/>
  <c r="B16" i="6"/>
  <c r="I16" i="6" s="1"/>
  <c r="H16" i="6" l="1"/>
  <c r="J16" i="6"/>
  <c r="F16" i="6"/>
  <c r="G16" i="6"/>
  <c r="B17" i="6"/>
  <c r="I17" i="6" s="1"/>
  <c r="H17" i="6" l="1"/>
  <c r="J17" i="6"/>
  <c r="F17" i="6"/>
  <c r="G17" i="6"/>
  <c r="B18" i="6"/>
  <c r="I18" i="6" s="1"/>
  <c r="G18" i="6" l="1"/>
  <c r="F18" i="6"/>
  <c r="H18" i="6"/>
  <c r="J18" i="6"/>
  <c r="B19" i="6"/>
  <c r="I19" i="6" s="1"/>
  <c r="B20" i="6" l="1"/>
  <c r="I20" i="6" s="1"/>
  <c r="J19" i="6"/>
  <c r="G19" i="6"/>
  <c r="F19" i="6"/>
  <c r="H19" i="6"/>
  <c r="B21" i="6" l="1"/>
  <c r="I21" i="6" s="1"/>
  <c r="J20" i="6"/>
  <c r="G20" i="6"/>
  <c r="F20" i="6"/>
  <c r="H20" i="6"/>
  <c r="F21" i="6" l="1"/>
  <c r="H21" i="6"/>
  <c r="J21" i="6"/>
  <c r="G21" i="6"/>
  <c r="B22" i="6"/>
  <c r="I22" i="6" s="1"/>
  <c r="B23" i="6" l="1"/>
  <c r="I23" i="6" s="1"/>
  <c r="F22" i="6"/>
  <c r="G22" i="6"/>
  <c r="J22" i="6"/>
  <c r="H22" i="6"/>
  <c r="G23" i="6" l="1"/>
  <c r="F23" i="6"/>
  <c r="H23" i="6"/>
  <c r="J23" i="6"/>
  <c r="B24" i="6"/>
  <c r="I24" i="6" s="1"/>
  <c r="F24" i="6" l="1"/>
  <c r="J24" i="6"/>
  <c r="G24" i="6"/>
  <c r="H24" i="6"/>
  <c r="B25" i="6"/>
  <c r="I25" i="6" s="1"/>
  <c r="G25" i="6" l="1"/>
  <c r="H25" i="6"/>
  <c r="J25" i="6"/>
  <c r="F25" i="6"/>
  <c r="B26" i="6"/>
  <c r="I26" i="6" s="1"/>
  <c r="B27" i="6" l="1"/>
  <c r="I27" i="6" s="1"/>
  <c r="J26" i="6"/>
  <c r="H26" i="6"/>
  <c r="F26" i="6"/>
  <c r="G26" i="6"/>
  <c r="J27" i="6" l="1"/>
  <c r="G27" i="6"/>
  <c r="F27" i="6"/>
  <c r="H27" i="6"/>
  <c r="B28" i="6"/>
  <c r="I28" i="6" s="1"/>
  <c r="B29" i="6" l="1"/>
  <c r="I29" i="6" s="1"/>
  <c r="G28" i="6"/>
  <c r="J28" i="6"/>
  <c r="F28" i="6"/>
  <c r="H28" i="6"/>
  <c r="F29" i="6" l="1"/>
  <c r="G29" i="6"/>
  <c r="J29" i="6"/>
  <c r="H29" i="6"/>
  <c r="B30" i="6"/>
  <c r="I30" i="6" s="1"/>
  <c r="B31" i="6" l="1"/>
  <c r="I31" i="6" s="1"/>
  <c r="F30" i="6"/>
  <c r="G30" i="6"/>
  <c r="J30" i="6"/>
  <c r="H30" i="6"/>
  <c r="G31" i="6" l="1"/>
  <c r="H31" i="6"/>
  <c r="J31" i="6"/>
  <c r="F31" i="6"/>
  <c r="B32" i="6"/>
  <c r="I32" i="6" s="1"/>
  <c r="B33" i="6" l="1"/>
  <c r="I33" i="6" s="1"/>
  <c r="G32" i="6"/>
  <c r="H32" i="6"/>
  <c r="J32" i="6"/>
  <c r="F32" i="6"/>
  <c r="F33" i="6" l="1"/>
  <c r="G33" i="6"/>
  <c r="H33" i="6"/>
  <c r="J33" i="6"/>
  <c r="B34" i="6"/>
  <c r="I34" i="6" s="1"/>
  <c r="G34" i="6" l="1"/>
  <c r="F34" i="6"/>
  <c r="H34" i="6"/>
  <c r="J34" i="6"/>
  <c r="B35" i="6"/>
  <c r="I35" i="6" s="1"/>
  <c r="B36" i="6" l="1"/>
  <c r="I36" i="6" s="1"/>
  <c r="J35" i="6"/>
  <c r="G35" i="6"/>
  <c r="F35" i="6"/>
  <c r="H35" i="6"/>
  <c r="B37" i="6" l="1"/>
  <c r="I37" i="6" s="1"/>
  <c r="J36" i="6"/>
  <c r="G36" i="6"/>
  <c r="F36" i="6"/>
  <c r="H36" i="6"/>
  <c r="H37" i="6" l="1"/>
  <c r="F37" i="6"/>
  <c r="G37" i="6"/>
  <c r="J37" i="6"/>
  <c r="B38" i="6"/>
  <c r="I38" i="6" s="1"/>
  <c r="B39" i="6" l="1"/>
  <c r="I39" i="6" s="1"/>
  <c r="F38" i="6"/>
  <c r="G38" i="6"/>
  <c r="J38" i="6"/>
  <c r="H38" i="6"/>
  <c r="B40" i="6" l="1"/>
  <c r="I40" i="6" s="1"/>
  <c r="J39" i="6"/>
  <c r="F39" i="6"/>
  <c r="G39" i="6"/>
  <c r="H39" i="6"/>
  <c r="F40" i="6" l="1"/>
  <c r="J40" i="6"/>
  <c r="G40" i="6"/>
  <c r="H40" i="6"/>
  <c r="B41" i="6"/>
  <c r="I41" i="6" s="1"/>
  <c r="H41" i="6" l="1"/>
  <c r="J41" i="6"/>
  <c r="G41" i="6"/>
  <c r="F41" i="6"/>
  <c r="B42" i="6"/>
  <c r="I42" i="6" s="1"/>
  <c r="B43" i="6" l="1"/>
  <c r="I43" i="6" s="1"/>
  <c r="J42" i="6"/>
  <c r="H42" i="6"/>
  <c r="F42" i="6"/>
  <c r="G42" i="6"/>
  <c r="J43" i="6" l="1"/>
  <c r="G43" i="6"/>
  <c r="F43" i="6"/>
  <c r="H43" i="6"/>
  <c r="B44" i="6"/>
  <c r="I44" i="6" s="1"/>
  <c r="G44" i="6" l="1"/>
  <c r="H44" i="6"/>
  <c r="J44" i="6"/>
  <c r="F44" i="6"/>
  <c r="B45" i="6"/>
  <c r="I45" i="6" s="1"/>
  <c r="G45" i="6" l="1"/>
  <c r="F45" i="6"/>
  <c r="H45" i="6"/>
  <c r="J45" i="6"/>
  <c r="B46" i="6"/>
  <c r="I46" i="6" s="1"/>
  <c r="B47" i="6" l="1"/>
  <c r="I47" i="6" s="1"/>
  <c r="J46" i="6"/>
  <c r="F46" i="6"/>
  <c r="H46" i="6"/>
  <c r="G46" i="6"/>
  <c r="B48" i="6" l="1"/>
  <c r="I48" i="6" s="1"/>
  <c r="J47" i="6"/>
  <c r="F47" i="6"/>
  <c r="G47" i="6"/>
  <c r="H47" i="6"/>
  <c r="H48" i="6" l="1"/>
  <c r="G48" i="6"/>
  <c r="F48" i="6"/>
  <c r="J48" i="6"/>
  <c r="B49" i="6"/>
  <c r="I49" i="6" s="1"/>
  <c r="G49" i="6" l="1"/>
  <c r="H49" i="6"/>
  <c r="J49" i="6"/>
  <c r="F49" i="6"/>
  <c r="B50" i="6"/>
  <c r="I50" i="6" s="1"/>
  <c r="B51" i="6" l="1"/>
  <c r="I51" i="6" s="1"/>
  <c r="J50" i="6"/>
  <c r="F50" i="6"/>
  <c r="H50" i="6"/>
  <c r="G50" i="6"/>
  <c r="B52" i="6" l="1"/>
  <c r="I52" i="6" s="1"/>
  <c r="J51" i="6"/>
  <c r="F51" i="6"/>
  <c r="G51" i="6"/>
  <c r="H51" i="6"/>
  <c r="B53" i="6" l="1"/>
  <c r="I53" i="6" s="1"/>
  <c r="J52" i="6"/>
  <c r="F52" i="6"/>
  <c r="G52" i="6"/>
  <c r="H52" i="6"/>
  <c r="J53" i="6" l="1"/>
  <c r="F53" i="6"/>
  <c r="H53" i="6"/>
  <c r="G53" i="6"/>
  <c r="B54" i="6"/>
  <c r="I54" i="6" s="1"/>
  <c r="F54" i="6" l="1"/>
  <c r="J54" i="6"/>
  <c r="H54" i="6"/>
  <c r="G54" i="6"/>
  <c r="B55" i="6"/>
  <c r="I55" i="6" s="1"/>
  <c r="J55" i="6" l="1"/>
  <c r="G55" i="6"/>
  <c r="F55" i="6"/>
  <c r="H55" i="6"/>
  <c r="B56" i="6"/>
  <c r="I56" i="6" s="1"/>
  <c r="B57" i="6" l="1"/>
  <c r="I57" i="6" s="1"/>
  <c r="F56" i="6"/>
  <c r="G56" i="6"/>
  <c r="H56" i="6"/>
  <c r="J56" i="6"/>
  <c r="F57" i="6" l="1"/>
  <c r="G57" i="6"/>
  <c r="H57" i="6"/>
  <c r="J57" i="6"/>
  <c r="B58" i="6"/>
  <c r="I58" i="6" s="1"/>
  <c r="B59" i="6" l="1"/>
  <c r="I59" i="6" s="1"/>
  <c r="J58" i="6"/>
  <c r="F58" i="6"/>
  <c r="G58" i="6"/>
  <c r="H58" i="6"/>
  <c r="F59" i="6" l="1"/>
  <c r="H59" i="6"/>
  <c r="G59" i="6"/>
  <c r="J59" i="6"/>
  <c r="B60" i="6"/>
  <c r="I60" i="6" s="1"/>
  <c r="B61" i="6" l="1"/>
  <c r="I61" i="6" s="1"/>
  <c r="H60" i="6"/>
  <c r="G60" i="6"/>
  <c r="F60" i="6"/>
  <c r="J60" i="6"/>
  <c r="B62" i="6" l="1"/>
  <c r="I62" i="6" s="1"/>
  <c r="J61" i="6"/>
  <c r="H61" i="6"/>
  <c r="F61" i="6"/>
  <c r="G61" i="6"/>
  <c r="J62" i="6" l="1"/>
  <c r="H62" i="6"/>
  <c r="F62" i="6"/>
  <c r="G62" i="6"/>
  <c r="B63" i="6"/>
  <c r="I63" i="6" s="1"/>
  <c r="J63" i="6" l="1"/>
  <c r="F63" i="6"/>
  <c r="H63" i="6"/>
  <c r="G63" i="6"/>
  <c r="B64" i="6"/>
  <c r="I64" i="6" s="1"/>
  <c r="B65" i="6" l="1"/>
  <c r="I65" i="6" s="1"/>
  <c r="F64" i="6"/>
  <c r="J64" i="6"/>
  <c r="G64" i="6"/>
  <c r="H64" i="6"/>
  <c r="B66" i="6" l="1"/>
  <c r="I66" i="6" s="1"/>
  <c r="F65" i="6"/>
  <c r="G65" i="6"/>
  <c r="H65" i="6"/>
  <c r="J65" i="6"/>
  <c r="B67" i="6" l="1"/>
  <c r="I67" i="6" s="1"/>
  <c r="J66" i="6"/>
  <c r="H66" i="6"/>
  <c r="G66" i="6"/>
  <c r="F66" i="6"/>
  <c r="B68" i="6" l="1"/>
  <c r="I68" i="6" s="1"/>
  <c r="H67" i="6"/>
  <c r="J67" i="6"/>
  <c r="F67" i="6"/>
  <c r="G67" i="6"/>
  <c r="G68" i="6" l="1"/>
  <c r="H68" i="6"/>
  <c r="J68" i="6"/>
  <c r="F68" i="6"/>
  <c r="B69" i="6"/>
  <c r="I69" i="6" s="1"/>
  <c r="B70" i="6" l="1"/>
  <c r="I70" i="6" s="1"/>
  <c r="G69" i="6"/>
  <c r="J69" i="6"/>
  <c r="H69" i="6"/>
  <c r="F69" i="6"/>
  <c r="F70" i="6" l="1"/>
  <c r="H70" i="6"/>
  <c r="J70" i="6"/>
  <c r="G70" i="6"/>
  <c r="B71" i="6"/>
  <c r="I71" i="6" s="1"/>
  <c r="H71" i="6" l="1"/>
  <c r="F71" i="6"/>
  <c r="G71" i="6"/>
  <c r="J71" i="6"/>
  <c r="B72" i="6"/>
  <c r="I72" i="6" s="1"/>
  <c r="H72" i="6" l="1"/>
  <c r="G72" i="6"/>
  <c r="F72" i="6"/>
  <c r="J72" i="6"/>
  <c r="B73" i="6"/>
  <c r="I73" i="6" s="1"/>
  <c r="H73" i="6" l="1"/>
  <c r="J73" i="6"/>
  <c r="G73" i="6"/>
  <c r="F73" i="6"/>
  <c r="B74" i="6"/>
  <c r="I74" i="6" s="1"/>
  <c r="J74" i="6" l="1"/>
  <c r="G74" i="6"/>
  <c r="F74" i="6"/>
  <c r="H74" i="6"/>
  <c r="B75" i="6"/>
  <c r="I75" i="6" s="1"/>
  <c r="J75" i="6" l="1"/>
  <c r="F75" i="6"/>
  <c r="H75" i="6"/>
  <c r="G75" i="6"/>
  <c r="B76" i="6"/>
  <c r="I76" i="6" s="1"/>
  <c r="G76" i="6" l="1"/>
  <c r="H76" i="6"/>
  <c r="F76" i="6"/>
  <c r="J76" i="6"/>
  <c r="B77" i="6"/>
  <c r="I77" i="6" s="1"/>
  <c r="B78" i="6" l="1"/>
  <c r="I78" i="6" s="1"/>
  <c r="J77" i="6"/>
  <c r="G77" i="6"/>
  <c r="H77" i="6"/>
  <c r="F77" i="6"/>
  <c r="J78" i="6" l="1"/>
  <c r="F78" i="6"/>
  <c r="H78" i="6"/>
  <c r="G78" i="6"/>
  <c r="B79" i="6"/>
  <c r="I79" i="6" s="1"/>
  <c r="B80" i="6" l="1"/>
  <c r="I80" i="6" s="1"/>
  <c r="J79" i="6"/>
  <c r="G79" i="6"/>
  <c r="H79" i="6"/>
  <c r="F79" i="6"/>
  <c r="B81" i="6" l="1"/>
  <c r="I81" i="6" s="1"/>
  <c r="F80" i="6"/>
  <c r="H80" i="6"/>
  <c r="G80" i="6"/>
  <c r="J80" i="6"/>
  <c r="B82" i="6" l="1"/>
  <c r="I82" i="6" s="1"/>
  <c r="J81" i="6"/>
  <c r="F81" i="6"/>
  <c r="G81" i="6"/>
  <c r="H81" i="6"/>
  <c r="B83" i="6" l="1"/>
  <c r="I83" i="6" s="1"/>
  <c r="J82" i="6"/>
  <c r="H82" i="6"/>
  <c r="G82" i="6"/>
  <c r="F82" i="6"/>
  <c r="G83" i="6" l="1"/>
  <c r="H83" i="6"/>
  <c r="J83" i="6"/>
  <c r="F83" i="6"/>
  <c r="B84" i="6"/>
  <c r="I84" i="6" s="1"/>
  <c r="B85" i="6" l="1"/>
  <c r="I85" i="6" s="1"/>
  <c r="J84" i="6"/>
  <c r="F84" i="6"/>
  <c r="G84" i="6"/>
  <c r="H84" i="6"/>
  <c r="F85" i="6" l="1"/>
  <c r="G85" i="6"/>
  <c r="H85" i="6"/>
  <c r="J85" i="6"/>
  <c r="B86" i="6"/>
  <c r="I86" i="6" s="1"/>
  <c r="F86" i="6" l="1"/>
  <c r="H86" i="6"/>
  <c r="G86" i="6"/>
  <c r="J86" i="6"/>
  <c r="B87" i="6"/>
  <c r="I87" i="6" s="1"/>
  <c r="J87" i="6" l="1"/>
  <c r="H87" i="6"/>
  <c r="F87" i="6"/>
  <c r="G87" i="6"/>
  <c r="B88" i="6"/>
  <c r="I88" i="6" s="1"/>
  <c r="F88" i="6" l="1"/>
  <c r="H88" i="6"/>
  <c r="G88" i="6"/>
  <c r="J88" i="6"/>
  <c r="B89" i="6"/>
  <c r="I89" i="6" s="1"/>
  <c r="F89" i="6" l="1"/>
  <c r="H89" i="6"/>
  <c r="G89" i="6"/>
  <c r="J89" i="6"/>
  <c r="B90" i="6"/>
  <c r="I90" i="6" s="1"/>
  <c r="J90" i="6" l="1"/>
  <c r="F90" i="6"/>
  <c r="G90" i="6"/>
  <c r="H90" i="6"/>
  <c r="B91" i="6"/>
  <c r="I91" i="6" s="1"/>
  <c r="G91" i="6" l="1"/>
  <c r="H91" i="6"/>
  <c r="J91" i="6"/>
  <c r="F91" i="6"/>
  <c r="B92" i="6"/>
  <c r="I92" i="6" s="1"/>
  <c r="B93" i="6" l="1"/>
  <c r="I93" i="6" s="1"/>
  <c r="H92" i="6"/>
  <c r="G92" i="6"/>
  <c r="J92" i="6"/>
  <c r="F92" i="6"/>
  <c r="B94" i="6" l="1"/>
  <c r="I94" i="6" s="1"/>
  <c r="J93" i="6"/>
  <c r="G93" i="6"/>
  <c r="H93" i="6"/>
  <c r="F93" i="6"/>
  <c r="H94" i="6" l="1"/>
  <c r="F94" i="6"/>
  <c r="G94" i="6"/>
  <c r="J94" i="6"/>
  <c r="B95" i="6"/>
  <c r="I95" i="6" s="1"/>
  <c r="F95" i="6" l="1"/>
  <c r="H95" i="6"/>
  <c r="J95" i="6"/>
  <c r="G95" i="6"/>
  <c r="B96" i="6"/>
  <c r="I96" i="6" s="1"/>
  <c r="F96" i="6" l="1"/>
  <c r="G96" i="6"/>
  <c r="J96" i="6"/>
  <c r="H96" i="6"/>
  <c r="B97" i="6"/>
  <c r="I97" i="6" s="1"/>
  <c r="B98" i="6" l="1"/>
  <c r="I98" i="6" s="1"/>
  <c r="H97" i="6"/>
  <c r="J97" i="6"/>
  <c r="F97" i="6"/>
  <c r="G97" i="6"/>
  <c r="B99" i="6" l="1"/>
  <c r="I99" i="6" s="1"/>
  <c r="J98" i="6"/>
  <c r="H98" i="6"/>
  <c r="G98" i="6"/>
  <c r="F98" i="6"/>
  <c r="B101" i="6" l="1"/>
  <c r="I101" i="6" s="1"/>
  <c r="B100" i="6"/>
  <c r="I100" i="6" s="1"/>
  <c r="F99" i="6"/>
  <c r="G99" i="6"/>
  <c r="H99" i="6"/>
  <c r="J99" i="6"/>
  <c r="G100" i="6" l="1"/>
  <c r="H100" i="6"/>
  <c r="J100" i="6"/>
  <c r="F100" i="6"/>
  <c r="J101" i="6"/>
  <c r="F101" i="6"/>
  <c r="G101" i="6"/>
  <c r="H101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<sst xmlns="http://schemas.openxmlformats.org/spreadsheetml/2006/main" count="2965" uniqueCount="996">
  <si>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</si>
  <si>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</si>
  <si>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</si>
  <si>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</si>
  <si>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</si>
  <si>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</si>
  <si>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</si>
  <si>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</si>
  <si>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</si>
  <si>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</si>
  <si>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</si>
  <si>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</si>
  <si>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</si>
  <si>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</si>
  <si>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</si>
  <si>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</si>
  <si>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</si>
  <si>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</si>
  <si>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</si>
  <si>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</si>
  <si>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</si>
  <si>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</si>
  <si>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</si>
  <si>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</si>
  <si>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</si>
  <si>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</si>
  <si>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</si>
  <si>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</si>
  <si>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</si>
  <si>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</si>
  <si>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</si>
  <si>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</si>
  <si>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</si>
  <si>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</si>
  <si>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</si>
  <si>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</si>
  <si>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</si>
  <si>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</si>
  <si>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</si>
  <si>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</si>
  <si>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</si>
  <si>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</si>
  <si>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</si>
  <si>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</si>
  <si>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</si>
  <si>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</si>
  <si>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</si>
  <si>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</si>
  <si>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</si>
  <si>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</si>
  <si>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</si>
  <si>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</si>
  <si>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</si>
  <si>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</si>
  <si>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</si>
  <si>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</si>
  <si>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</si>
  <si>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</si>
  <si>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</si>
  <si>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</si>
  <si>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</si>
  <si>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</si>
  <si>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</si>
  <si>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</si>
  <si>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</si>
  <si>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</si>
  <si>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</si>
  <si>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</si>
  <si>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</si>
  <si>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</si>
  <si>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</si>
  <si>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</si>
  <si>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</si>
  <si>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</si>
  <si>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</si>
  <si>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</si>
  <si>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</si>
  <si>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</si>
  <si>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</si>
  <si>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</si>
  <si>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</si>
  <si>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</si>
  <si>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</si>
  <si>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</si>
  <si>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</si>
  <si>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</si>
  <si>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</si>
  <si>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</si>
  <si>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</si>
  <si>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</si>
  <si>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</si>
  <si>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</si>
  <si>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</si>
  <si>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</si>
  <si>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</si>
  <si>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</si>
  <si>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</si>
  <si>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</si>
  <si>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</si>
  <si>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</si>
  <si>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</si>
  <si>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</si>
  <si>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</si>
  <si>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</si>
  <si>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</si>
  <si>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</si>
  <si>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</si>
  <si>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</si>
  <si>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</si>
  <si>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</si>
  <si>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</si>
  <si>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</si>
  <si>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</si>
  <si>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</si>
  <si>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</si>
  <si>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</si>
  <si>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</si>
  <si>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</si>
  <si>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</si>
  <si>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</si>
  <si>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</si>
  <si>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</si>
  <si>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</si>
  <si>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</si>
  <si>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</si>
  <si>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</si>
  <si>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</si>
  <si>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</si>
  <si>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</si>
  <si>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</si>
  <si>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</si>
  <si>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</si>
  <si>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</si>
  <si>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</si>
  <si>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</si>
  <si>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</si>
  <si>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</si>
  <si>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</si>
  <si>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</si>
  <si>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</si>
  <si>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</si>
  <si>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</si>
  <si>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</si>
  <si>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</si>
  <si>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</si>
  <si>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</si>
  <si>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</si>
  <si>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</si>
  <si>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</si>
  <si>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</si>
  <si>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</si>
  <si>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</si>
  <si>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</si>
  <si>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</si>
  <si>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</si>
  <si>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</si>
  <si>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</si>
  <si>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</si>
  <si>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</si>
  <si>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</si>
  <si>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</si>
  <si>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</si>
  <si>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</si>
  <si>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</si>
  <si>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</si>
  <si>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</si>
  <si>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</si>
  <si>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</si>
  <si>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</si>
  <si>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</si>
  <si>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</si>
  <si>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</si>
  <si>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</si>
  <si>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</si>
  <si>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</si>
  <si>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</si>
  <si>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</si>
  <si>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</si>
  <si>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</si>
  <si>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</si>
  <si>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</si>
  <si>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</si>
  <si>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</si>
  <si>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</si>
  <si>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</si>
  <si>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</si>
  <si>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</si>
  <si>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</si>
  <si>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</si>
  <si>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</si>
  <si>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</si>
  <si>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</si>
  <si>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</si>
  <si>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</si>
  <si>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</si>
  <si>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</si>
  <si>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</si>
  <si>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</si>
  <si>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</si>
  <si>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</si>
  <si>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</si>
  <si>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204:462</t>
  </si>
  <si>
    <t>NEWELL</t>
  </si>
  <si>
    <t>204:152</t>
  </si>
  <si>
    <t>AWS CP Parallel</t>
  </si>
  <si>
    <t>DownloadS3Logs</t>
  </si>
  <si>
    <t>%USERPROFILE%\Documents\GitHub\eaglep3\Utilities\DownloadLogsFromS3.py</t>
  </si>
  <si>
    <t>204:154</t>
  </si>
  <si>
    <t>Uncaught Wi-MAX GREP</t>
  </si>
  <si>
    <t>204:451</t>
  </si>
  <si>
    <t>204:457</t>
  </si>
  <si>
    <t>204:460</t>
  </si>
  <si>
    <t>BROWN</t>
  </si>
  <si>
    <t>JACOB</t>
  </si>
  <si>
    <t>204:453</t>
  </si>
  <si>
    <t>CHANDLER</t>
  </si>
  <si>
    <t>KELVIN</t>
  </si>
  <si>
    <t>204:446</t>
  </si>
  <si>
    <t>204:455</t>
  </si>
  <si>
    <t>204:139</t>
  </si>
  <si>
    <t>rtdc.l.rtdc.4044:itc</t>
  </si>
  <si>
    <t>204:141</t>
  </si>
  <si>
    <t>204:440</t>
  </si>
  <si>
    <t>rtdc.l.rtdc.4012:itc</t>
  </si>
  <si>
    <t>204:156</t>
  </si>
  <si>
    <t>204:444</t>
  </si>
  <si>
    <t>204:147</t>
  </si>
  <si>
    <t>204:447</t>
  </si>
  <si>
    <t>204:466</t>
  </si>
  <si>
    <t>PERMANENT SPEED RESTRICTION</t>
  </si>
  <si>
    <t>Speed (6)</t>
  </si>
  <si>
    <t>YANG</t>
  </si>
  <si>
    <t>JAN</t>
  </si>
  <si>
    <t>DE.1.0.9.0</t>
  </si>
  <si>
    <t>204:458</t>
  </si>
  <si>
    <t>204:232994</t>
  </si>
  <si>
    <t>204:233314</t>
  </si>
  <si>
    <t>204:233297</t>
  </si>
  <si>
    <t>204:233304</t>
  </si>
  <si>
    <t>204:233299</t>
  </si>
  <si>
    <t>rtdc.l.rtdc.4013:itc</t>
  </si>
  <si>
    <t>rtdc.l.rtdc.4014:itc</t>
  </si>
  <si>
    <t>204:233312</t>
  </si>
  <si>
    <t>204:232977</t>
  </si>
  <si>
    <t>204:467</t>
  </si>
  <si>
    <t>204:473</t>
  </si>
  <si>
    <t>rtdc.l.rtdc.4007:itc</t>
  </si>
  <si>
    <t>204:233315</t>
  </si>
  <si>
    <t>204:232975</t>
  </si>
  <si>
    <t>300:58933</t>
  </si>
  <si>
    <t>300:58623</t>
  </si>
  <si>
    <t>Early arrival</t>
  </si>
  <si>
    <t>LOCKLEAR</t>
  </si>
  <si>
    <t>TRAVIS</t>
  </si>
  <si>
    <t>204:134</t>
  </si>
  <si>
    <t>204:232979</t>
  </si>
  <si>
    <t>204:233004</t>
  </si>
  <si>
    <t>204:442</t>
  </si>
  <si>
    <t>204:161</t>
  </si>
  <si>
    <t>204:233323</t>
  </si>
  <si>
    <t>204:167</t>
  </si>
  <si>
    <t>300:58636</t>
  </si>
  <si>
    <t>rtdc.l.rtdc.4016:itc</t>
  </si>
  <si>
    <t>rtdc.l.rtdc.4015:itc</t>
  </si>
  <si>
    <t>clear-night</t>
  </si>
  <si>
    <t>Clear</t>
  </si>
  <si>
    <t>204:233295</t>
  </si>
  <si>
    <t>204:232986</t>
  </si>
  <si>
    <t>204:449</t>
  </si>
  <si>
    <t>204:232971</t>
  </si>
  <si>
    <t>rtdc.l.rtdc.4021:itc</t>
  </si>
  <si>
    <t>rtdc.l.rtdc.4020:itc</t>
  </si>
  <si>
    <t>rtdc.l.rtdc.4022:itc</t>
  </si>
  <si>
    <t>rtdc.l.rtdc.4032:itc</t>
  </si>
  <si>
    <t>MOSES</t>
  </si>
  <si>
    <t>BRADLEY</t>
  </si>
  <si>
    <t>rtdc.l.rtdc.4065:itc</t>
  </si>
  <si>
    <t>rtdc.l.rtdc.4066:itc</t>
  </si>
  <si>
    <t>204:478</t>
  </si>
  <si>
    <t>204:232988</t>
  </si>
  <si>
    <t>204:232978</t>
  </si>
  <si>
    <t>204:469</t>
  </si>
  <si>
    <t>204:233025</t>
  </si>
  <si>
    <t>204:233291</t>
  </si>
  <si>
    <t>204:232985</t>
  </si>
  <si>
    <t>204:232967</t>
  </si>
  <si>
    <t>204:233006</t>
  </si>
  <si>
    <t>204:233329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</si>
  <si>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</si>
  <si>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</si>
  <si>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</si>
  <si>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</si>
  <si>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</si>
  <si>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</si>
  <si>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</si>
  <si>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</si>
  <si>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</si>
  <si>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</si>
  <si>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</si>
  <si>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</si>
  <si>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</si>
  <si>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</si>
  <si>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</si>
  <si>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</si>
  <si>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</si>
  <si>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</si>
  <si>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</si>
  <si>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</si>
  <si>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</si>
  <si>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</si>
  <si>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</si>
  <si>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</si>
  <si>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</si>
  <si>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</si>
  <si>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</si>
  <si>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</si>
  <si>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</si>
  <si>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</si>
  <si>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</si>
  <si>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</si>
  <si>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</si>
  <si>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</si>
  <si>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</si>
  <si>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</si>
  <si>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</si>
  <si>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</si>
  <si>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</si>
  <si>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</si>
  <si>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</si>
  <si>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</si>
  <si>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</si>
  <si>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</si>
  <si>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</si>
  <si>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</si>
  <si>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</si>
  <si>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</si>
  <si>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</si>
  <si>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</si>
  <si>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</si>
  <si>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</si>
  <si>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</si>
  <si>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</si>
  <si>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</si>
  <si>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</si>
  <si>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</si>
  <si>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</si>
  <si>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</si>
  <si>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</si>
  <si>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</si>
  <si>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</si>
  <si>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</si>
  <si>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</si>
  <si>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</si>
  <si>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</si>
  <si>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</si>
  <si>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</si>
  <si>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</si>
  <si>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</si>
  <si>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</si>
  <si>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</si>
  <si>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</si>
  <si>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</si>
  <si>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</si>
  <si>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</si>
  <si>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</si>
  <si>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</si>
  <si>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</si>
  <si>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</si>
  <si>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</si>
  <si>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</si>
  <si>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</si>
  <si>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</si>
  <si>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</si>
  <si>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</si>
  <si>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</si>
  <si>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</si>
  <si>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</si>
  <si>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</si>
  <si>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</si>
  <si>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</si>
  <si>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</si>
  <si>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</si>
  <si>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</si>
  <si>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</si>
  <si>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</si>
  <si>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</si>
  <si>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</si>
  <si>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</si>
  <si>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</si>
  <si>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</si>
  <si>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</si>
  <si>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</si>
  <si>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</si>
  <si>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</si>
  <si>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</si>
  <si>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</si>
  <si>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</si>
  <si>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</si>
  <si>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</si>
  <si>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</si>
  <si>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</si>
  <si>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</si>
  <si>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</si>
  <si>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</si>
  <si>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</si>
  <si>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</si>
  <si>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</si>
  <si>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</si>
  <si>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</si>
  <si>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</si>
  <si>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</si>
  <si>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</si>
  <si>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</si>
  <si>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</si>
  <si>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</si>
  <si>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</si>
  <si>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</si>
  <si>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</si>
  <si>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rtdc.l.rtdc.4019:itc</t>
  </si>
  <si>
    <t>rtdc.l.rtdc.4004:itc</t>
  </si>
  <si>
    <t>rtdc.l.rtdc.4003:itc</t>
  </si>
  <si>
    <t>rtdc.l.rtdc.4053:itc</t>
  </si>
  <si>
    <t>SMITH</t>
  </si>
  <si>
    <t>204:232982</t>
  </si>
  <si>
    <t>204:232983</t>
  </si>
  <si>
    <t>204:143</t>
  </si>
  <si>
    <t>204:484</t>
  </si>
  <si>
    <t>300:58624</t>
  </si>
  <si>
    <t>rtdc.l.rtdc.4017:itc</t>
  </si>
  <si>
    <t>rtdc.l.rtdc.4031:itc</t>
  </si>
  <si>
    <t>rtdc.l.rtdc.4018:itc</t>
  </si>
  <si>
    <t>DUNCAN</t>
  </si>
  <si>
    <t>SHEILA</t>
  </si>
  <si>
    <t>MAGEE</t>
  </si>
  <si>
    <t>KENYA</t>
  </si>
  <si>
    <t>STAMBAUGH</t>
  </si>
  <si>
    <t>SANTIZO</t>
  </si>
  <si>
    <t>D. EDY</t>
  </si>
  <si>
    <t>MAELZER</t>
  </si>
  <si>
    <t>KURT</t>
  </si>
  <si>
    <t>DAVIS</t>
  </si>
  <si>
    <t>WENDY</t>
  </si>
  <si>
    <t>rtdc.l.rtdc.4009:itc</t>
  </si>
  <si>
    <t>HOLCOMB</t>
  </si>
  <si>
    <t>KAMDEN</t>
  </si>
  <si>
    <t>ROMERO</t>
  </si>
  <si>
    <t>CHAD</t>
  </si>
  <si>
    <t>STEWART</t>
  </si>
  <si>
    <t>LEVIN</t>
  </si>
  <si>
    <t>SCOTT</t>
  </si>
  <si>
    <t>partly-cloudy-night</t>
  </si>
  <si>
    <t>Partly Cloudy</t>
  </si>
  <si>
    <t>partly-cloudy-day</t>
  </si>
  <si>
    <t>204:741</t>
  </si>
  <si>
    <t>204:233280</t>
  </si>
  <si>
    <t>204:160</t>
  </si>
  <si>
    <t>204:232993</t>
  </si>
  <si>
    <t>204:233300</t>
  </si>
  <si>
    <t>204:232980</t>
  </si>
  <si>
    <t>204:232989</t>
  </si>
  <si>
    <t>300:58613</t>
  </si>
  <si>
    <t>204:733</t>
  </si>
  <si>
    <t>204:232957</t>
  </si>
  <si>
    <t>300:58941</t>
  </si>
  <si>
    <t>204:233283</t>
  </si>
  <si>
    <t>204:471</t>
  </si>
  <si>
    <t>Onboard in-route failure</t>
  </si>
  <si>
    <t>rtdc.l.rtdc.4008:itc</t>
  </si>
  <si>
    <t>SIGNAL</t>
  </si>
  <si>
    <t>Signal based authority (5)</t>
  </si>
  <si>
    <t>rtdc.l.rtdc.4051:itc</t>
  </si>
  <si>
    <t>rtdc.l.rtdc.4054:itc</t>
  </si>
  <si>
    <t>56-06</t>
  </si>
  <si>
    <t>Y</t>
  </si>
  <si>
    <t>STARKS</t>
  </si>
  <si>
    <t>ANGELINA</t>
  </si>
  <si>
    <t>BONDS</t>
  </si>
  <si>
    <t>REYNALDO</t>
  </si>
  <si>
    <t>ROCHA</t>
  </si>
  <si>
    <t>YAOTL</t>
  </si>
  <si>
    <t>CLARK</t>
  </si>
  <si>
    <t>KATHLEEN</t>
  </si>
  <si>
    <t>LEVERE</t>
  </si>
  <si>
    <t>CRAIG</t>
  </si>
  <si>
    <t>STORY</t>
  </si>
  <si>
    <t>SAMANTHA</t>
  </si>
  <si>
    <t>59-06</t>
  </si>
  <si>
    <t>315-06</t>
  </si>
  <si>
    <t>309-06</t>
  </si>
  <si>
    <t>244-06</t>
  </si>
  <si>
    <t>311-06</t>
  </si>
  <si>
    <t>313-06</t>
  </si>
  <si>
    <t>clear-day</t>
  </si>
  <si>
    <t>204:233298</t>
  </si>
  <si>
    <t>204:233286</t>
  </si>
  <si>
    <t>204:232987</t>
  </si>
  <si>
    <t>204:232973</t>
  </si>
  <si>
    <t>204:233305</t>
  </si>
  <si>
    <t>204:475</t>
  </si>
  <si>
    <t>204:232981</t>
  </si>
  <si>
    <t>204:233308</t>
  </si>
  <si>
    <t>204:233072</t>
  </si>
  <si>
    <t>204:232974</t>
  </si>
  <si>
    <t>204:233261</t>
  </si>
  <si>
    <t>204:233301</t>
  </si>
  <si>
    <t>204:233019</t>
  </si>
  <si>
    <t>204:232963</t>
  </si>
  <si>
    <t>204:163</t>
  </si>
  <si>
    <t>204:233355</t>
  </si>
  <si>
    <t>204:233336</t>
  </si>
  <si>
    <t>204:172</t>
  </si>
  <si>
    <t>204:233264</t>
  </si>
  <si>
    <t>204:480</t>
  </si>
  <si>
    <t>204:233276</t>
  </si>
  <si>
    <t>204:433</t>
  </si>
  <si>
    <t>204:232966</t>
  </si>
  <si>
    <t>300:23310</t>
  </si>
  <si>
    <t>300:23346</t>
  </si>
  <si>
    <t>300:58926</t>
  </si>
  <si>
    <t>204:682</t>
  </si>
  <si>
    <t>204:969</t>
  </si>
  <si>
    <t>204:979</t>
  </si>
  <si>
    <t>300:58929</t>
  </si>
  <si>
    <t>300:58651</t>
  </si>
  <si>
    <t>300:58920</t>
  </si>
  <si>
    <t>204:964</t>
  </si>
  <si>
    <t>300:58931</t>
  </si>
  <si>
    <t>204:668</t>
  </si>
  <si>
    <t>204:965</t>
  </si>
  <si>
    <t>300:58928</t>
  </si>
  <si>
    <t>300:58611</t>
  </si>
  <si>
    <t>300:58935</t>
  </si>
  <si>
    <t>204:948</t>
  </si>
  <si>
    <t>300:58608</t>
  </si>
  <si>
    <t>204:650</t>
  </si>
  <si>
    <t>204:937</t>
  </si>
  <si>
    <t>204:710</t>
  </si>
  <si>
    <t>300:58950</t>
  </si>
  <si>
    <t>204:1006</t>
  </si>
  <si>
    <t>start /low /b %USERPROFILE%\Documents\GitHub\eaglep3\Utilities\DownloadLogsFromS3.py --loco 4018 --day 2017-03-07</t>
  </si>
  <si>
    <t>start /low /b %USERPROFILE%\Documents\GitHub\eaglep3\Utilities\DownloadLogsFromS3.py --loco 4013 --day 2017-03-07</t>
  </si>
  <si>
    <t>:.+((SYSTEM_STATE.+slice.+state.+changed )|(ment ac)|(multiple cpu faults)|(system.+state.+changed )|(\[timeout)|(PRM\|1\|D)|(kpr)|(kdp)|(\|lc)|(penalty))</t>
  </si>
  <si>
    <t>Form C</t>
  </si>
  <si>
    <t>40th 4S STOP</t>
  </si>
  <si>
    <t>204:136</t>
  </si>
  <si>
    <t>204:967</t>
  </si>
  <si>
    <t>101-07</t>
  </si>
  <si>
    <t>103-07</t>
  </si>
  <si>
    <t>rtdc.l.rtdc.4005:itc</t>
  </si>
  <si>
    <t>104-07</t>
  </si>
  <si>
    <t>rtdc.l.rtdc.4026:itc</t>
  </si>
  <si>
    <t>800-07</t>
  </si>
  <si>
    <t>119-07</t>
  </si>
  <si>
    <t>108-07</t>
  </si>
  <si>
    <t>803-07</t>
  </si>
  <si>
    <t>125-07</t>
  </si>
  <si>
    <t>804-07</t>
  </si>
  <si>
    <t>121-07</t>
  </si>
  <si>
    <t>rtdc.l.rtdc.4025:itc</t>
  </si>
  <si>
    <t>809-07</t>
  </si>
  <si>
    <t>128-07</t>
  </si>
  <si>
    <t>812-07</t>
  </si>
  <si>
    <t>134-07</t>
  </si>
  <si>
    <t>144-07</t>
  </si>
  <si>
    <t>50-07</t>
  </si>
  <si>
    <t>150-07</t>
  </si>
  <si>
    <t>152-07</t>
  </si>
  <si>
    <t>167-07</t>
  </si>
  <si>
    <t>169-07</t>
  </si>
  <si>
    <t>171-07</t>
  </si>
  <si>
    <t>173-07</t>
  </si>
  <si>
    <t>821-07</t>
  </si>
  <si>
    <t>822-07</t>
  </si>
  <si>
    <t>176-07</t>
  </si>
  <si>
    <t>178-07</t>
  </si>
  <si>
    <t>183-07</t>
  </si>
  <si>
    <t>182-07</t>
  </si>
  <si>
    <t>904-07</t>
  </si>
  <si>
    <t>825-07</t>
  </si>
  <si>
    <t>rtdc.l.rtdc.4036:itc</t>
  </si>
  <si>
    <t>52-07</t>
  </si>
  <si>
    <t>rtdc.l.rtdc.4043:itc</t>
  </si>
  <si>
    <t>186-07</t>
  </si>
  <si>
    <t>195-07</t>
  </si>
  <si>
    <t>190-07</t>
  </si>
  <si>
    <t>196-07</t>
  </si>
  <si>
    <t>830-07</t>
  </si>
  <si>
    <t>54-07</t>
  </si>
  <si>
    <t>211-07</t>
  </si>
  <si>
    <t>204-07</t>
  </si>
  <si>
    <t>rtdc.l.rtdc.4006:itc</t>
  </si>
  <si>
    <t>67-07</t>
  </si>
  <si>
    <t>210-07</t>
  </si>
  <si>
    <t>305-07</t>
  </si>
  <si>
    <t>228-07</t>
  </si>
  <si>
    <t>233-07</t>
  </si>
  <si>
    <t>88-07</t>
  </si>
  <si>
    <t>rtdc.l.rtdc.4063:itc</t>
  </si>
  <si>
    <t>73-07</t>
  </si>
  <si>
    <t>238-07</t>
  </si>
  <si>
    <t>240-07</t>
  </si>
  <si>
    <t>243-07</t>
  </si>
  <si>
    <t>302-07</t>
  </si>
  <si>
    <t>304-07</t>
  </si>
  <si>
    <t>306-07</t>
  </si>
  <si>
    <t>102-07</t>
  </si>
  <si>
    <t>308-07</t>
  </si>
  <si>
    <t>105-07</t>
  </si>
  <si>
    <t>310-07</t>
  </si>
  <si>
    <t>107-07</t>
  </si>
  <si>
    <t>901-07</t>
  </si>
  <si>
    <t>YANAI</t>
  </si>
  <si>
    <t>IAN</t>
  </si>
  <si>
    <t>109-07</t>
  </si>
  <si>
    <t>111-07</t>
  </si>
  <si>
    <t>LOZA</t>
  </si>
  <si>
    <t>FIDEL</t>
  </si>
  <si>
    <t>113-07</t>
  </si>
  <si>
    <t>106-07</t>
  </si>
  <si>
    <t>801-07</t>
  </si>
  <si>
    <t>115-07</t>
  </si>
  <si>
    <t>117-07</t>
  </si>
  <si>
    <t>110-07</t>
  </si>
  <si>
    <t>112-07</t>
  </si>
  <si>
    <t>902-07</t>
  </si>
  <si>
    <t>114-07</t>
  </si>
  <si>
    <t>802-07</t>
  </si>
  <si>
    <t>116-07</t>
  </si>
  <si>
    <t>123-07</t>
  </si>
  <si>
    <t>805-07</t>
  </si>
  <si>
    <t>118-07</t>
  </si>
  <si>
    <t>120-07</t>
  </si>
  <si>
    <t>127-07</t>
  </si>
  <si>
    <t>122-07</t>
  </si>
  <si>
    <t>806-07</t>
  </si>
  <si>
    <t>129-07</t>
  </si>
  <si>
    <t>807-07</t>
  </si>
  <si>
    <t>124-07</t>
  </si>
  <si>
    <t>131-07</t>
  </si>
  <si>
    <t>126-07</t>
  </si>
  <si>
    <t>808-07</t>
  </si>
  <si>
    <t>133-07</t>
  </si>
  <si>
    <t>135-07</t>
  </si>
  <si>
    <t>810-07</t>
  </si>
  <si>
    <t>130-07</t>
  </si>
  <si>
    <t>132-07</t>
  </si>
  <si>
    <t>811-07</t>
  </si>
  <si>
    <t>139-07</t>
  </si>
  <si>
    <t>903-07</t>
  </si>
  <si>
    <t>141-07</t>
  </si>
  <si>
    <t>136-07</t>
  </si>
  <si>
    <t>143-07</t>
  </si>
  <si>
    <t>813-07</t>
  </si>
  <si>
    <t>140-07</t>
  </si>
  <si>
    <t>814-07</t>
  </si>
  <si>
    <t>142-07</t>
  </si>
  <si>
    <t>149-07</t>
  </si>
  <si>
    <t>147-07</t>
  </si>
  <si>
    <t>151-07</t>
  </si>
  <si>
    <t>146-07</t>
  </si>
  <si>
    <t>815-07</t>
  </si>
  <si>
    <t>155-07</t>
  </si>
  <si>
    <t>MAYBERRY</t>
  </si>
  <si>
    <t>BILL</t>
  </si>
  <si>
    <t>157-07</t>
  </si>
  <si>
    <t>816-07</t>
  </si>
  <si>
    <t>159-07</t>
  </si>
  <si>
    <t>DE LA ROSA</t>
  </si>
  <si>
    <t>ALEX</t>
  </si>
  <si>
    <t>161-07</t>
  </si>
  <si>
    <t>156-07</t>
  </si>
  <si>
    <t>817-07</t>
  </si>
  <si>
    <t>163-07</t>
  </si>
  <si>
    <t>158-07</t>
  </si>
  <si>
    <t>51-07</t>
  </si>
  <si>
    <t>165-07</t>
  </si>
  <si>
    <t>818-07</t>
  </si>
  <si>
    <t>160-07</t>
  </si>
  <si>
    <t>162-07</t>
  </si>
  <si>
    <t>819-07</t>
  </si>
  <si>
    <t>164-07</t>
  </si>
  <si>
    <t>BRANNON</t>
  </si>
  <si>
    <t>JEFFREY</t>
  </si>
  <si>
    <t>820-07</t>
  </si>
  <si>
    <t>166-07</t>
  </si>
  <si>
    <t>STRICKLAND</t>
  </si>
  <si>
    <t>EVAN</t>
  </si>
  <si>
    <t>168-07</t>
  </si>
  <si>
    <t>170-07</t>
  </si>
  <si>
    <t>175-07</t>
  </si>
  <si>
    <t>80-07</t>
  </si>
  <si>
    <t>172-07</t>
  </si>
  <si>
    <t>179-07</t>
  </si>
  <si>
    <t>174-07</t>
  </si>
  <si>
    <t>181-07</t>
  </si>
  <si>
    <t>185-07</t>
  </si>
  <si>
    <t>823-07</t>
  </si>
  <si>
    <t>187-07</t>
  </si>
  <si>
    <t>180-07</t>
  </si>
  <si>
    <t>824-07</t>
  </si>
  <si>
    <t>189-07</t>
  </si>
  <si>
    <t>184-07</t>
  </si>
  <si>
    <t>191-07</t>
  </si>
  <si>
    <t>rtdc.l.rtdc.4035:itc</t>
  </si>
  <si>
    <t>193-07</t>
  </si>
  <si>
    <t>188-07</t>
  </si>
  <si>
    <t>SWANSON</t>
  </si>
  <si>
    <t>BRYCE</t>
  </si>
  <si>
    <t>826-07</t>
  </si>
  <si>
    <t>197-07</t>
  </si>
  <si>
    <t>827-07</t>
  </si>
  <si>
    <t>192-07</t>
  </si>
  <si>
    <t>199-07</t>
  </si>
  <si>
    <t>194-07</t>
  </si>
  <si>
    <t>828-07</t>
  </si>
  <si>
    <t>829-07</t>
  </si>
  <si>
    <t>201-07</t>
  </si>
  <si>
    <t>198-07</t>
  </si>
  <si>
    <t>203-07</t>
  </si>
  <si>
    <t>831-07</t>
  </si>
  <si>
    <t>205-07</t>
  </si>
  <si>
    <t>200-07</t>
  </si>
  <si>
    <t>207-07</t>
  </si>
  <si>
    <t>202-07</t>
  </si>
  <si>
    <t>832-07</t>
  </si>
  <si>
    <t>209-07</t>
  </si>
  <si>
    <t>833-07</t>
  </si>
  <si>
    <t>835-07</t>
  </si>
  <si>
    <t>206-07</t>
  </si>
  <si>
    <t>834-07</t>
  </si>
  <si>
    <t>213-07</t>
  </si>
  <si>
    <t>208-07</t>
  </si>
  <si>
    <t>215-07</t>
  </si>
  <si>
    <t>836-07</t>
  </si>
  <si>
    <t>56-07</t>
  </si>
  <si>
    <t>217-07</t>
  </si>
  <si>
    <t>837-07</t>
  </si>
  <si>
    <t>212-07</t>
  </si>
  <si>
    <t>214-07</t>
  </si>
  <si>
    <t>55-07</t>
  </si>
  <si>
    <t>219-07</t>
  </si>
  <si>
    <t>839-07</t>
  </si>
  <si>
    <t>838-07</t>
  </si>
  <si>
    <t>216-07</t>
  </si>
  <si>
    <t>303-07</t>
  </si>
  <si>
    <t>221-07</t>
  </si>
  <si>
    <t>218-07</t>
  </si>
  <si>
    <t>906-07</t>
  </si>
  <si>
    <t>841-07</t>
  </si>
  <si>
    <t>220-07</t>
  </si>
  <si>
    <t>223-07</t>
  </si>
  <si>
    <t>840-07</t>
  </si>
  <si>
    <t>307-07</t>
  </si>
  <si>
    <t>222-07</t>
  </si>
  <si>
    <t>225-07</t>
  </si>
  <si>
    <t>224-07</t>
  </si>
  <si>
    <t>843-07</t>
  </si>
  <si>
    <t>227-07</t>
  </si>
  <si>
    <t>rtdc.l.rtdc.4064:itc</t>
  </si>
  <si>
    <t>72-07</t>
  </si>
  <si>
    <t>842-07</t>
  </si>
  <si>
    <t>226-07</t>
  </si>
  <si>
    <t>DUNCAN-07</t>
  </si>
  <si>
    <t>229-07</t>
  </si>
  <si>
    <t>845-07</t>
  </si>
  <si>
    <t>231-07</t>
  </si>
  <si>
    <t>844-07</t>
  </si>
  <si>
    <t>230-07</t>
  </si>
  <si>
    <t>235-07</t>
  </si>
  <si>
    <t>847-07</t>
  </si>
  <si>
    <t>232-07</t>
  </si>
  <si>
    <t>SAFIEF</t>
  </si>
  <si>
    <t>AEIMEN</t>
  </si>
  <si>
    <t>234-07</t>
  </si>
  <si>
    <t>237-07</t>
  </si>
  <si>
    <t>83-07</t>
  </si>
  <si>
    <t>236-07</t>
  </si>
  <si>
    <t>239-07</t>
  </si>
  <si>
    <t>241-07</t>
  </si>
  <si>
    <t>315-07</t>
  </si>
  <si>
    <t>242-07</t>
  </si>
  <si>
    <t>244-07</t>
  </si>
  <si>
    <t>311-07</t>
  </si>
  <si>
    <t>313-07</t>
  </si>
  <si>
    <t>204:770</t>
  </si>
  <si>
    <t>204:232683</t>
  </si>
  <si>
    <t>204:739</t>
  </si>
  <si>
    <t>204:233340</t>
  </si>
  <si>
    <t>204:232692</t>
  </si>
  <si>
    <t>204:232675</t>
  </si>
  <si>
    <t>204:233306</t>
  </si>
  <si>
    <t>204:750</t>
  </si>
  <si>
    <t>204:233266</t>
  </si>
  <si>
    <t>204:232996</t>
  </si>
  <si>
    <t>204:723</t>
  </si>
  <si>
    <t>204:233309</t>
  </si>
  <si>
    <t>204:438</t>
  </si>
  <si>
    <t>204:744</t>
  </si>
  <si>
    <t>204:232984</t>
  </si>
  <si>
    <t>204:17242</t>
  </si>
  <si>
    <t>204:18781</t>
  </si>
  <si>
    <t>204:17589</t>
  </si>
  <si>
    <t>204:17226</t>
  </si>
  <si>
    <t>204:3074</t>
  </si>
  <si>
    <t>204:3589</t>
  </si>
  <si>
    <t>204:19132</t>
  </si>
  <si>
    <t>204:422</t>
  </si>
  <si>
    <t>204:1087</t>
  </si>
  <si>
    <t>204:18773</t>
  </si>
  <si>
    <t>204:21944</t>
  </si>
  <si>
    <t>204:19136</t>
  </si>
  <si>
    <t>204:19141</t>
  </si>
  <si>
    <t>204:154010</t>
  </si>
  <si>
    <t>204:233191</t>
  </si>
  <si>
    <t>204:19140</t>
  </si>
  <si>
    <t>204:169</t>
  </si>
  <si>
    <t>204:464</t>
  </si>
  <si>
    <t>204:233284</t>
  </si>
  <si>
    <t>204:233378</t>
  </si>
  <si>
    <t>204:19134</t>
  </si>
  <si>
    <t>204:233293</t>
  </si>
  <si>
    <t>204:232970</t>
  </si>
  <si>
    <t>204:1165</t>
  </si>
  <si>
    <t>204:233272</t>
  </si>
  <si>
    <t>204:180</t>
  </si>
  <si>
    <t>204:233328</t>
  </si>
  <si>
    <t>204:233007</t>
  </si>
  <si>
    <t>204:233002</t>
  </si>
  <si>
    <t>204:19133</t>
  </si>
  <si>
    <t>204:233288</t>
  </si>
  <si>
    <t>204:1029</t>
  </si>
  <si>
    <t>204:1479</t>
  </si>
  <si>
    <t>204:495</t>
  </si>
  <si>
    <t>204:232952</t>
  </si>
  <si>
    <t>204:170</t>
  </si>
  <si>
    <t>204:37162</t>
  </si>
  <si>
    <t>204:233023</t>
  </si>
  <si>
    <t>204:431</t>
  </si>
  <si>
    <t>204:233343</t>
  </si>
  <si>
    <t>204:185</t>
  </si>
  <si>
    <t>204:233320</t>
  </si>
  <si>
    <t>204:233009</t>
  </si>
  <si>
    <t>204:429</t>
  </si>
  <si>
    <t>204:233338</t>
  </si>
  <si>
    <t>204:509</t>
  </si>
  <si>
    <t>204:232992</t>
  </si>
  <si>
    <t>204:178</t>
  </si>
  <si>
    <t>204:232972</t>
  </si>
  <si>
    <t>204:232959</t>
  </si>
  <si>
    <t>204:233412</t>
  </si>
  <si>
    <t>204:233113</t>
  </si>
  <si>
    <t>204:112</t>
  </si>
  <si>
    <t>204:19123</t>
  </si>
  <si>
    <t>204:233408</t>
  </si>
  <si>
    <t>204:233117</t>
  </si>
  <si>
    <t>204:409</t>
  </si>
  <si>
    <t>204:233368</t>
  </si>
  <si>
    <t>204:98</t>
  </si>
  <si>
    <t>204:233259</t>
  </si>
  <si>
    <t>204:233034</t>
  </si>
  <si>
    <t>204:373</t>
  </si>
  <si>
    <t>204:233374</t>
  </si>
  <si>
    <t>204:110</t>
  </si>
  <si>
    <t>204:30305</t>
  </si>
  <si>
    <t>204:233372</t>
  </si>
  <si>
    <t>204:233115</t>
  </si>
  <si>
    <t>204:220</t>
  </si>
  <si>
    <t>204:233434</t>
  </si>
  <si>
    <t>204:233104</t>
  </si>
  <si>
    <t>204:198</t>
  </si>
  <si>
    <t>300:19438</t>
  </si>
  <si>
    <t>300:23510</t>
  </si>
  <si>
    <t>300:23314</t>
  </si>
  <si>
    <t>300:25128</t>
  </si>
  <si>
    <t>300:23301</t>
  </si>
  <si>
    <t>300:22168</t>
  </si>
  <si>
    <t>300:23620</t>
  </si>
  <si>
    <t>204:526</t>
  </si>
  <si>
    <t>204:1824</t>
  </si>
  <si>
    <t>300:22848</t>
  </si>
  <si>
    <t>300:22760</t>
  </si>
  <si>
    <t>204:921</t>
  </si>
  <si>
    <t>204:1179</t>
  </si>
  <si>
    <t>300:24224</t>
  </si>
  <si>
    <t>300:33417</t>
  </si>
  <si>
    <t>300:58641</t>
  </si>
  <si>
    <t>300:32758</t>
  </si>
  <si>
    <t>300:28734</t>
  </si>
  <si>
    <t>300:21979</t>
  </si>
  <si>
    <t>300:33070</t>
  </si>
  <si>
    <t>300:58978</t>
  </si>
  <si>
    <t>300:33728</t>
  </si>
  <si>
    <t>300:23247</t>
  </si>
  <si>
    <t>204:347</t>
  </si>
  <si>
    <t>300:24252</t>
  </si>
  <si>
    <t>300:22104</t>
  </si>
  <si>
    <t>204:1891</t>
  </si>
  <si>
    <t>204:1477</t>
  </si>
  <si>
    <t>204:1736</t>
  </si>
  <si>
    <t>204:128011</t>
  </si>
  <si>
    <t>300:23213</t>
  </si>
  <si>
    <t>204:137</t>
  </si>
  <si>
    <t>300:5386</t>
  </si>
  <si>
    <t>204:1253</t>
  </si>
  <si>
    <t>300:58922</t>
  </si>
  <si>
    <t>204:1488</t>
  </si>
  <si>
    <t>204:1803</t>
  </si>
  <si>
    <t>204:19137</t>
  </si>
  <si>
    <t>204:450</t>
  </si>
  <si>
    <t>204:128268</t>
  </si>
  <si>
    <t>300:5698</t>
  </si>
  <si>
    <t>204:670</t>
  </si>
  <si>
    <t>204:962</t>
  </si>
  <si>
    <t>204:1016</t>
  </si>
  <si>
    <t>300:58943</t>
  </si>
  <si>
    <t>300:58619</t>
  </si>
  <si>
    <t>204:726</t>
  </si>
  <si>
    <t>204:955</t>
  </si>
  <si>
    <t>204:731</t>
  </si>
  <si>
    <t>204:951</t>
  </si>
  <si>
    <t>300:58937</t>
  </si>
  <si>
    <t>300:58621</t>
  </si>
  <si>
    <t>204:687</t>
  </si>
  <si>
    <t>204:1013</t>
  </si>
  <si>
    <t>300:58976</t>
  </si>
  <si>
    <t>300:58653</t>
  </si>
  <si>
    <t>300:58956</t>
  </si>
  <si>
    <t>300:58958</t>
  </si>
  <si>
    <t>204:1009</t>
  </si>
  <si>
    <t>300:58617</t>
  </si>
  <si>
    <t>204:706</t>
  </si>
  <si>
    <t>300:58963</t>
  </si>
  <si>
    <t>300:58643</t>
  </si>
  <si>
    <t>204:1027</t>
  </si>
  <si>
    <t>204:671</t>
  </si>
  <si>
    <t>204:1039</t>
  </si>
  <si>
    <t>300:58630</t>
  </si>
  <si>
    <t>204:692</t>
  </si>
  <si>
    <t>300:58984</t>
  </si>
  <si>
    <t>300:26944</t>
  </si>
  <si>
    <t>300:58656</t>
  </si>
  <si>
    <t>204:694</t>
  </si>
  <si>
    <t>204:981</t>
  </si>
  <si>
    <t>204:680</t>
  </si>
  <si>
    <t>204:988</t>
  </si>
  <si>
    <t>204:657</t>
  </si>
  <si>
    <t>300:57343</t>
  </si>
  <si>
    <t>204:946</t>
  </si>
  <si>
    <t>300:58939</t>
  </si>
  <si>
    <t>300:58924</t>
  </si>
  <si>
    <t>204:701</t>
  </si>
  <si>
    <t>204:717</t>
  </si>
  <si>
    <t>204:997</t>
  </si>
  <si>
    <t>300:58927</t>
  </si>
  <si>
    <t>300:58604</t>
  </si>
  <si>
    <t>300:26618</t>
  </si>
  <si>
    <t>300:21583</t>
  </si>
  <si>
    <t>300:29878</t>
  </si>
  <si>
    <t>300:23873</t>
  </si>
  <si>
    <t>300:24207</t>
  </si>
  <si>
    <t>300:22106</t>
  </si>
  <si>
    <t>300:28799</t>
  </si>
  <si>
    <t>start /low /b %USERPROFILE%\Documents\GitHub\eaglep3\Utilities\DownloadLogsFromS3.py --loco 4012 --day 2017-03-07</t>
  </si>
  <si>
    <t>start /low /b %USERPROFILE%\Documents\GitHub\eaglep3\Utilities\DownloadLogsFromS3.py --loco 4043 --day 2017-03-07</t>
  </si>
  <si>
    <t>start /low /b %USERPROFILE%\Documents\GitHub\eaglep3\Utilities\DownloadLogsFromS3.py --loco 4019 --day 2017-03-07</t>
  </si>
  <si>
    <t>start /low /b %USERPROFILE%\Documents\GitHub\eaglep3\Utilities\DownloadLogsFromS3.py --loco 4005 --day 2017-03-07</t>
  </si>
  <si>
    <t>start /low /b %USERPROFILE%\Documents\GitHub\eaglep3\Utilities\DownloadLogsFromS3.py --loco 4015 --day 2017-03-07</t>
  </si>
  <si>
    <t>start /low /b %USERPROFILE%\Documents\GitHub\eaglep3\Utilities\DownloadLogsFromS3.py --loco 4022 --day 2017-03-07</t>
  </si>
  <si>
    <t>start /low /b %USERPROFILE%\Documents\GitHub\eaglep3\Utilities\DownloadLogsFromS3.py --loco 4021 --day 2017-03-07</t>
  </si>
  <si>
    <t>start /low /b %USERPROFILE%\Documents\GitHub\eaglep3\Utilities\DownloadLogsFromS3.py --loco 4011 --day 2017-03-07</t>
  </si>
  <si>
    <t>start /low /b %USERPROFILE%\Documents\GitHub\eaglep3\Utilities\DownloadLogsFromS3.py --loco 4044 --day 2017-03-07</t>
  </si>
  <si>
    <t>start /low /b %USERPROFILE%\Documents\GitHub\eaglep3\Utilities\DownloadLogsFromS3.py --loco 4020 --day 2017-03-07</t>
  </si>
  <si>
    <t>start /low /b %USERPROFILE%\Documents\GitHub\eaglep3\Utilities\DownloadLogsFromS3.py --loco 4006 --day 2017-03-07</t>
  </si>
  <si>
    <t>start /low /b %USERPROFILE%\Documents\GitHub\eaglep3\Utilities\DownloadLogsFromS3.py --loco 4043 --day 2017-03-08</t>
  </si>
  <si>
    <t>start /low /b %USERPROFILE%\Documents\GitHub\eaglep3\Utilities\DownloadLogsFromS3.py --loco 4016 --day 2017-03-07</t>
  </si>
  <si>
    <t>start /low /b %USERPROFILE%\Documents\GitHub\eaglep3\Utilities\DownloadLogsFromS3.py --loco 4013 --day 2017-03-08</t>
  </si>
  <si>
    <t>start /low /b %USERPROFILE%\Documents\GitHub\eaglep3\Utilities\DownloadLogsFromS3.py --loco 4021 --day 2017-03-08</t>
  </si>
  <si>
    <t>start /low /b %USERPROFILE%\Documents\GitHub\eaglep3\Utilities\DownloadLogsFromS3.py --loco 4014 --day 2017-03-07</t>
  </si>
  <si>
    <t>start /low /b %USERPROFILE%\Documents\GitHub\eaglep3\Utilities\DownloadLogsFromS3.py --loco 4019 --day 2017-03-08</t>
  </si>
  <si>
    <t>start /low /b %USERPROFILE%\Documents\GitHub\eaglep3\Utilities\DownloadLogsFromS3.py --loco 4011 --day 2017-03-08</t>
  </si>
  <si>
    <t>start /low /b %USERPROFILE%\Documents\GitHub\eaglep3\Utilities\DownloadLogsFromS3.py --loco 4020 --day 2017-03-08</t>
  </si>
  <si>
    <t>start /low /b %USERPROFILE%\Documents\GitHub\eaglep3\Utilities\DownloadLogsFromS3.py --loco 4014 --day 2017-03-08</t>
  </si>
  <si>
    <t>start /low /b %USERPROFILE%\Documents\GitHub\eaglep3\Utilities\DownloadLogsFromS3.py --loco 4025 --day 2017-03-07</t>
  </si>
  <si>
    <t>start /low /b %USERPROFILE%\Documents\GitHub\eaglep3\Utilities\DownloadLogsFromS3.py --loco 4032 --day 2017-03-07</t>
  </si>
  <si>
    <t>start /low /b %USERPROFILE%\Documents\GitHub\eaglep3\Utilities\DownloadLogsFromS3.py --loco 4031 --day 2017-03-07</t>
  </si>
  <si>
    <t>start /low /b %USERPROFILE%\Documents\GitHub\eaglep3\Utilities\DownloadLogsFromS3.py --loco 4026 --day 2017-03-07</t>
  </si>
  <si>
    <t>Accidentally picked 118-07 instead of 148-07</t>
  </si>
  <si>
    <t>148-07</t>
  </si>
  <si>
    <t>MAELZER KURT</t>
  </si>
  <si>
    <t>CCROC/crew/equipment mismatch</t>
  </si>
  <si>
    <t>Delayed at CO station</t>
  </si>
  <si>
    <t>Cancelled due to DUS switch issues</t>
  </si>
  <si>
    <t>DUS SW 1 failure</t>
  </si>
  <si>
    <t>Selected wrong track (was on Main 1, selected Main 2)</t>
  </si>
  <si>
    <t>UP Gate issue at Clayton XING?</t>
  </si>
  <si>
    <t>Cancelled due to Form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</si>
</sst>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" fontId="1" fillId="0" borderId="5" xfId="0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5"/>
  <sheetViews>
    <sheetView tabSelected="1" topLeftCell="A49" zoomScaleNormal="100" workbookViewId="0">
      <selection activeCell="R17" sqref="R17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4.8554687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710937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42801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42801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138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COUNTIFS($N$13:$N$9334,"&gt;0",$AG$13:$AG$9334,I1)</f>
        <v>119</v>
      </c>
      <c r="K5" s="40"/>
      <c r="L5" s="40"/>
      <c r="M5" s="41">
        <f>AVERAGEIFS($N$13:$N$9334,$AG$13:$AG$9334,I1)</f>
        <v>40.911484593212478</v>
      </c>
      <c r="N5" s="39">
        <f t="array" ref="N5">MIN(IF($AG$13:$AG$9334=I1,IF(ISNUMBER($N$13:$N$9334),IF($N$13:$N$9334&gt;0,$N$13:$N$9334))))</f>
        <v>35.266666664974764</v>
      </c>
      <c r="O5" s="3">
        <f t="array" ref="O5">MAX(IF($AG$13:$AG$9334=I1,IF(ISNUMBER($N$13:$N$9334),IF($N$13:$N$9334&gt;0,$N$13:$N$9334))))</f>
        <v>59.583333337213844</v>
      </c>
      <c r="P5" s="2"/>
      <c r="R5" s="74" t="s">
        <v>17</v>
      </c>
      <c r="S5" s="50">
        <f>COUNTIFS($N$13:$N$9334,"&gt;0",$AG$13:$AG$9334,R1)</f>
        <v>47</v>
      </c>
      <c r="T5" s="40"/>
      <c r="U5" s="177"/>
      <c r="V5" s="174">
        <f>AVERAGEIFS($N$13:$N$9334,$AG$13:$AG$9334,R1)</f>
        <v>15.596808510451043</v>
      </c>
      <c r="W5" s="175">
        <f t="array" ref="W5">MIN(IF($AG$13:$AG$9334=R1,IF(ISNUMBER($N$13:$N$9334),IF($N$13:$N$9334&gt;0,$N$13:$N$9334))))</f>
        <v>12.716666663764045</v>
      </c>
      <c r="X5" s="176">
        <f t="array" ref="X5">MAX(IF($AG$13:$AG$9334=R1,IF(ISNUMBER($N$13:$N$9334),IF($N$13:$N$9334&gt;0,$N$13:$N$9334))))</f>
        <v>28.016666667535901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COUNT($O$13:$O$112)</f>
        <v>0</v>
      </c>
      <c r="K6" s="40"/>
      <c r="L6" s="40"/>
      <c r="M6" s="41">
        <f>IFERROR(AVERAGE($O$13:$O$112),0)</f>
        <v>0</v>
      </c>
      <c r="N6" s="39">
        <f>MIN($O$13:$O$112)</f>
        <v>0</v>
      </c>
      <c r="O6" s="3">
        <f>MAX($O$13:$O$112)</f>
        <v>0</v>
      </c>
      <c r="P6" s="2"/>
      <c r="R6" s="75" t="s">
        <v>43</v>
      </c>
      <c r="S6" s="50">
        <f>COUNT($O$13:$O$112)</f>
        <v>0</v>
      </c>
      <c r="T6" s="40"/>
      <c r="U6" s="177"/>
      <c r="V6" s="174">
        <f>IFERROR(AVERAGE($O$13:$O$112),0)</f>
        <v>0</v>
      </c>
      <c r="W6" s="175">
        <f>MIN($O$13:$O$112)</f>
        <v>0</v>
      </c>
      <c r="X6" s="176">
        <f>MAX($O$13:$O$112)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COUNTIFS($P$13:$P$9334,"&gt;0",$AG$13:$AG$9334,I1)</f>
        <v>19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COUNTIFS($P$13:$P$9334,"&gt;0",$AG$13:$AG$9334,R1)</f>
        <v>0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119</v>
      </c>
      <c r="K8" s="40"/>
      <c r="L8" s="40"/>
      <c r="M8" s="41">
        <f>M5</f>
        <v>40.911484593212478</v>
      </c>
      <c r="N8" s="39">
        <f>N5</f>
        <v>35.266666664974764</v>
      </c>
      <c r="O8" s="3">
        <f>O5</f>
        <v>59.583333337213844</v>
      </c>
      <c r="P8" s="2"/>
      <c r="R8" s="74" t="s">
        <v>16</v>
      </c>
      <c r="S8" s="50">
        <f>S5</f>
        <v>47</v>
      </c>
      <c r="T8" s="40"/>
      <c r="U8" s="177"/>
      <c r="V8" s="174">
        <f>V5</f>
        <v>15.596808510451043</v>
      </c>
      <c r="W8" s="175">
        <f>W5</f>
        <v>12.716666663764045</v>
      </c>
      <c r="X8" s="176">
        <f>X5</f>
        <v>28.016666667535901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0.8623188405797102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96" t="str">
        <f>"Eagle P3 System Performance - "&amp;TEXT(Variables!A2,"yyyy-mm-dd")</f>
        <v>Eagle P3 System Performance - 2017-03-07</v>
      </c>
      <c r="B11" s="196"/>
      <c r="C11" s="196"/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S11" s="64">
        <f>AVERAGE(S13:S82)</f>
        <v>0.98461538461538467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204</v>
      </c>
      <c r="AN12" s="47" t="s">
        <v>208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546</v>
      </c>
      <c r="B13" s="7">
        <v>4044</v>
      </c>
      <c r="C13" s="21" t="s">
        <v>233</v>
      </c>
      <c r="D13" s="21" t="s">
        <v>784</v>
      </c>
      <c r="E13" s="13">
        <v>42801.131030092591</v>
      </c>
      <c r="F13" s="13">
        <v>42801.13559027778</v>
      </c>
      <c r="G13" s="7">
        <v>2</v>
      </c>
      <c r="H13" s="21" t="s">
        <v>500</v>
      </c>
      <c r="I13" s="13">
        <v>42801.16337962963</v>
      </c>
      <c r="J13" s="7">
        <v>2</v>
      </c>
      <c r="K13" s="98" t="str">
        <f t="shared" ref="K13:K76" si="0">IF(ISEVEN(B13),(B13-1)&amp;"/"&amp;B13,B13&amp;"/"&amp;(B13+1))</f>
        <v>4043/4044</v>
      </c>
      <c r="L13" s="21" t="str">
        <f>VLOOKUP(A13,'Trips&amp;Operators'!$C$1:$G$99999,5,FALSE)</f>
        <v>SANTIZO D. EDY</v>
      </c>
      <c r="M13" s="6">
        <f t="shared" ref="M13:M76" si="1">I13-F13</f>
        <v>2.7789351850515231E-2</v>
      </c>
      <c r="N13" s="7">
        <f t="shared" ref="N13:N35" si="2">24*60*SUM($M13:$M13)</f>
        <v>40.016666664741933</v>
      </c>
      <c r="O13" s="7"/>
      <c r="P13" s="7"/>
      <c r="Q13" s="22"/>
      <c r="R13" s="22"/>
      <c r="S13" s="31">
        <f t="shared" ref="S13:S47" si="3">SUM(U13:U13)/IF(AG13="EC",12,1)</f>
        <v>1</v>
      </c>
      <c r="T13" s="46" t="str">
        <f t="shared" ref="T13:T76" si="4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-07T02:08:41-0700',mode:absolute,to:'2017-03-07T04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" s="187" t="str">
        <f t="shared" ref="W13:W76" si="6">IF(AA13&lt;IF(AG13="EC",23,5.65),"Y","N")</f>
        <v>N</v>
      </c>
      <c r="X13" s="187" t="e">
        <f t="shared" ref="X13:X28" si="7">VALUE(LEFT(AD13,4))-VALUE(LEFT(AD12,4))</f>
        <v>#VALUE!</v>
      </c>
      <c r="Y13" s="62">
        <f t="shared" ref="Y13:Y44" si="8">RIGHT(D13,LEN(D13)-4)/10000</f>
        <v>7.6999999999999999E-2</v>
      </c>
      <c r="Z13" s="62">
        <f t="shared" ref="Z13:Z76" si="9">RIGHT(H13,LEN(H13)-4)/10000</f>
        <v>23.3308</v>
      </c>
      <c r="AA13" s="62">
        <f t="shared" ref="AA13:AA76" si="10">ABS(Z13-Y13)</f>
        <v>23.253799999999998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0101-07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AF13" s="82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/stypes="app*4044*20170307*"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101-07 --locoid 4044 --swversion DE.1.0.9.0 --startMP 204:770 --initTime 2017-03-07T03:08:41 --startdatetime 2017-03-07T03:15:15 --delay 2 --endMP 204:233308 --enddatetime 2017-03-07T03:55:16 --enforcementcount 2 &gt;&gt;C:\Users\stu\Documents\GitHub\eaglep3-reporting\EC\2017-03-07-refined-times.txt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{"issue":{"subject":"","project_id":79,"tracker_id":40,"status_id":1,"priority_id":2,"assigned_to_id":23,"start_date":"2017-03-07","description":"","custom_fields":[{"id":1,"name":"Subdivision","value":"EC"},{"id":4,"name":"Milepost","value":"23.3308"},{"id":17,"name":"Train ID","value":"101-07"},{"id":16,"name":"Locomotive ID","value":"4044"},{"id":130,"name":"Impact","value":""},{"id":150,"name":"Time of Event (Mountain Time)","value":"03:55:16"},{"id":151,"name":"Denver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4044 --day 2017-03-07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"%USERPROFILE%\AppData\Local\Temp\OnboardLogs"\RTDC4044\*4044*20170307* | grep -SE "(Enforcement Action)|(\[TIMEOUT)|(CHR.+\|PRM\|1\|D.+(SWITCH|SIGNAL).+UNKNOWN)" - &gt;&gt; 2017-03-07-UncaughtWiMAX.txt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605</v>
      </c>
      <c r="B14" s="7">
        <v>4019</v>
      </c>
      <c r="C14" s="21" t="s">
        <v>233</v>
      </c>
      <c r="D14" s="21" t="s">
        <v>785</v>
      </c>
      <c r="E14" s="13">
        <v>42801.167094907411</v>
      </c>
      <c r="F14" s="13">
        <v>42801.174479166664</v>
      </c>
      <c r="G14" s="7">
        <v>1</v>
      </c>
      <c r="H14" s="21" t="s">
        <v>194</v>
      </c>
      <c r="I14" s="13">
        <v>42801.205648148149</v>
      </c>
      <c r="J14" s="7">
        <v>2</v>
      </c>
      <c r="K14" s="98" t="str">
        <f t="shared" si="0"/>
        <v>4019/4020</v>
      </c>
      <c r="L14" s="21" t="str">
        <f>VLOOKUP(A14,'Trips&amp;Operators'!$C$1:$G$99999,5,FALSE)</f>
        <v>SANTIZO D. EDY</v>
      </c>
      <c r="M14" s="6">
        <f t="shared" si="1"/>
        <v>3.1168981484370306E-2</v>
      </c>
      <c r="N14" s="7">
        <f t="shared" si="2"/>
        <v>44.883333337493241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5"/>
        <v>https://d0f6bd738d7f1b3e5a7ca70fe4ff75f0.us-east-1.aws.found.io/app/kibana#/discover/Steve-Slow-Train-Analysis-(2080s-and-2083s)?_g=(refreshInterval:(display:Off,pause:!f,section:0,value:0),time:(from:'2017-03-07T03:00:37-0700',mode:absolute,to:'2017-03-07T05:56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" s="187" t="str">
        <f t="shared" si="6"/>
        <v>N</v>
      </c>
      <c r="X14" s="187">
        <f t="shared" si="7"/>
        <v>1</v>
      </c>
      <c r="Y14" s="62">
        <f t="shared" si="8"/>
        <v>23.2683</v>
      </c>
      <c r="Z14" s="62">
        <f t="shared" si="9"/>
        <v>1.4500000000000001E-2</v>
      </c>
      <c r="AA14" s="62">
        <f t="shared" si="10"/>
        <v>23.253799999999998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0102-07</v>
      </c>
      <c r="AE14" s="85" t="str">
        <f t="shared" si="12"/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AF14" s="82" t="str">
        <f t="shared" si="13"/>
        <v>"C:\Program Files (x86)\AstroGrep\AstroGrep.exe" /spath="%USERPROFILE%\AppData\Local\Temp\OnboardLogs" /stypes="app*4019*20170307*"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6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102-07 --locoid 4019 --swversion DE.1.0.9.0 --startMP 204:232683 --initTime 2017-03-07T04:00:37 --startdatetime 2017-03-07T04:11:15 --delay 1 --endMP 204:145 --enddatetime 2017-03-07T04:56:08 --enforcementcount 2 &gt;&gt;C:\Users\stu\Documents\GitHub\eaglep3-reporting\EC\2017-03-07-refined-times.txt</v>
      </c>
      <c r="AI14" s="108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{"issue":{"subject":"","project_id":79,"tracker_id":40,"status_id":1,"priority_id":2,"assigned_to_id":23,"start_date":"2017-03-07","description":"","custom_fields":[{"id":1,"name":"Subdivision","value":"EC"},{"id":4,"name":"Milepost","value":"0.0145"},{"id":17,"name":"Train ID","value":"102-07"},{"id":16,"name":"Locomotive ID","value":"4019"},{"id":130,"name":"Impact","value":""},{"id":150,"name":"Time of Event (Mountain Time)","value":"04:56:08"},{"id":151,"name":"Denver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20">"start /low /b "&amp;dls3logs&amp;" --loco "&amp;B14&amp;" --day "&amp;TEXT(F14,"YYYY-MM-DD")</f>
        <v>start /low /b %USERPROFILE%\Documents\GitHub\eaglep3\Utilities\DownloadLogsFromS3.py --loco 4019 --day 2017-03-07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"%USERPROFILE%\AppData\Local\Temp\OnboardLogs"\RTDC4019\*4019*20170307* | grep -SE "(Enforcement Action)|(\[TIMEOUT)|(CHR.+\|PRM\|1\|D.+(SWITCH|SIGNAL).+UNKNOWN)" - &gt;&gt; 2017-03-07-UncaughtWiMAX.txt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547</v>
      </c>
      <c r="B15" s="7">
        <v>4014</v>
      </c>
      <c r="C15" s="21" t="s">
        <v>233</v>
      </c>
      <c r="D15" s="21" t="s">
        <v>786</v>
      </c>
      <c r="E15" s="13">
        <v>42801.153784722221</v>
      </c>
      <c r="F15" s="13">
        <v>42801.156851851854</v>
      </c>
      <c r="G15" s="7">
        <v>0</v>
      </c>
      <c r="H15" s="21" t="s">
        <v>787</v>
      </c>
      <c r="I15" s="13">
        <v>42801.183912037035</v>
      </c>
      <c r="J15" s="7">
        <v>2</v>
      </c>
      <c r="K15" s="98" t="str">
        <f t="shared" si="0"/>
        <v>4013/4014</v>
      </c>
      <c r="L15" s="21" t="str">
        <f>VLOOKUP(A15,'Trips&amp;Operators'!$C$1:$G$99999,5,FALSE)</f>
        <v>MAELZER KURT</v>
      </c>
      <c r="M15" s="6">
        <f t="shared" si="1"/>
        <v>2.7060185180744156E-2</v>
      </c>
      <c r="N15" s="7">
        <f t="shared" si="2"/>
        <v>38.966666660271585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5"/>
        <v>https://d0f6bd738d7f1b3e5a7ca70fe4ff75f0.us-east-1.aws.found.io/app/kibana#/discover/Steve-Slow-Train-Analysis-(2080s-and-2083s)?_g=(refreshInterval:(display:Off,pause:!f,section:0,value:0),time:(from:'2017-03-07T02:41:27-0700',mode:absolute,to:'2017-03-07T05:24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" s="187" t="str">
        <f t="shared" si="6"/>
        <v>N</v>
      </c>
      <c r="X15" s="187">
        <f t="shared" si="7"/>
        <v>1</v>
      </c>
      <c r="Y15" s="62">
        <f t="shared" si="8"/>
        <v>7.3899999999999993E-2</v>
      </c>
      <c r="Z15" s="62">
        <f t="shared" si="9"/>
        <v>23.334</v>
      </c>
      <c r="AA15" s="62">
        <f t="shared" si="10"/>
        <v>23.260100000000001</v>
      </c>
      <c r="AB15" s="59" t="str">
        <f>VLOOKUP(A15,Enforcements!$C$7:$K$13,8,0)</f>
        <v>Bulletin (2)</v>
      </c>
      <c r="AC15" s="55" t="str">
        <f>VLOOKUP(A15,Enforcements!$C$7:$E$13,3,0)</f>
        <v>GRADE CROSSING</v>
      </c>
      <c r="AD15" s="56" t="str">
        <f t="shared" si="11"/>
        <v>0103-07</v>
      </c>
      <c r="AE15" s="85" t="str">
        <f t="shared" si="12"/>
        <v>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 &amp; aws s3 cp s3://rtdc.mdm.uploadarchive.raw/RTDC4014/ "%USERPROFILE%\AppData\Local\Temp\OnboardLogs"\RTDC4014\2017-03-08 --exclude "*" --recursive --include "*20170308*" &amp; "%USERPROFILE%\Documents\GitHub\mrs-test-scripts\Headless Mode &amp; Sideloading\WalkAndUnGZ.bat" "%USERPROFILE%\AppData\Local\Temp\OnboardLogs"\RTDC4014\2017-03-08</v>
      </c>
      <c r="AF15" s="82" t="str">
        <f t="shared" si="13"/>
        <v>"C:\Program Files (x86)\AstroGrep\AstroGrep.exe" /spath="%USERPROFILE%\AppData\Local\Temp\OnboardLogs" /stypes="app*4014*20170307*"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6" t="str">
        <f t="shared" si="18"/>
        <v>"%USERPROFILE%\Documents\GitHub\eaglep3\Utilities\RefineRTDCRunTimes.py" --tripid 103-07 --locoid 4014 --swversion DE.1.0.9.0 --startMP 204:739 --initTime 2017-03-07T03:41:27 --startdatetime 2017-03-07T03:45:52 --delay 0 --endMP 204:233340 --enddatetime 2017-03-07T04:24:50 --enforcementcount 2 &gt;&gt;C:\Users\stu\Documents\GitHub\eaglep3-reporting\EC\2017-03-07-refined-times.txt</v>
      </c>
      <c r="AI15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{"issue":{"subject":"","project_id":79,"tracker_id":40,"status_id":1,"priority_id":2,"assigned_to_id":23,"start_date":"2017-03-07","description":"","custom_fields":[{"id":1,"name":"Subdivision","value":"EC"},{"id":4,"name":"Milepost","value":"23.334"},{"id":17,"name":"Train ID","value":"103-07"},{"id":16,"name":"Locomotive ID","value":"4014"},{"id":130,"name":"Impact","value":""},{"id":150,"name":"Time of Event (Mountain Time)","value":"04:24:50"},{"id":151,"name":"Denver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4014 --day 2017-03-07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"%USERPROFILE%\AppData\Local\Temp\OnboardLogs"\RTDC4014\*4014*20170307* | grep -SE "(Enforcement Action)|(\[TIMEOUT)|(CHR.+\|PRM\|1\|D.+(SWITCH|SIGNAL).+UNKNOWN)" - &gt;&gt; 2017-03-07-UncaughtWiMAX.txt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549</v>
      </c>
      <c r="B16" s="7">
        <v>4005</v>
      </c>
      <c r="C16" s="21" t="s">
        <v>233</v>
      </c>
      <c r="D16" s="21" t="s">
        <v>788</v>
      </c>
      <c r="E16" s="13">
        <v>42801.191840277781</v>
      </c>
      <c r="F16" s="13">
        <v>42801.195439814815</v>
      </c>
      <c r="G16" s="7">
        <v>0</v>
      </c>
      <c r="H16" s="21" t="s">
        <v>507</v>
      </c>
      <c r="I16" s="13">
        <v>42801.226979166669</v>
      </c>
      <c r="J16" s="7">
        <v>2</v>
      </c>
      <c r="K16" s="98" t="str">
        <f t="shared" si="0"/>
        <v>4005/4006</v>
      </c>
      <c r="L16" s="21" t="str">
        <f>VLOOKUP(A16,'Trips&amp;Operators'!$C$1:$G$99999,5,FALSE)</f>
        <v>MAELZER KURT</v>
      </c>
      <c r="M16" s="6">
        <f t="shared" si="1"/>
        <v>3.1539351854007691E-2</v>
      </c>
      <c r="N16" s="7">
        <f t="shared" si="2"/>
        <v>45.416666669771075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5"/>
        <v>https://d0f6bd738d7f1b3e5a7ca70fe4ff75f0.us-east-1.aws.found.io/app/kibana#/discover/Steve-Slow-Train-Analysis-(2080s-and-2083s)?_g=(refreshInterval:(display:Off,pause:!f,section:0,value:0),time:(from:'2017-03-07T03:36:15-0700',mode:absolute,to:'2017-03-07T06:26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" s="187" t="str">
        <f t="shared" si="6"/>
        <v>N</v>
      </c>
      <c r="X16" s="187">
        <f t="shared" si="7"/>
        <v>1</v>
      </c>
      <c r="Y16" s="62">
        <f t="shared" si="8"/>
        <v>23.269200000000001</v>
      </c>
      <c r="Z16" s="62">
        <f t="shared" si="9"/>
        <v>1.6299999999999999E-2</v>
      </c>
      <c r="AA16" s="62">
        <f t="shared" si="10"/>
        <v>23.2529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0104-07</v>
      </c>
      <c r="AE16" s="85" t="str">
        <f t="shared" si="12"/>
        <v>aws s3 cp s3://rtdc.mdm.uploadarchive.raw/RTDC4005/ "%USERPROFILE%\AppData\Local\Temp\OnboardLogs"\RTDC4005\2017-03-07 --exclude "*" --recursive --include "*20170307*" &amp; "%USERPROFILE%\Documents\GitHub\mrs-test-scripts\Headless Mode &amp; Sideloading\WalkAndUnGZ.bat" "%USERPROFILE%\AppData\Local\Temp\OnboardLogs"\RTDC4005\2017-03-07 &amp; aws s3 cp s3://rtdc.mdm.uploadarchive.raw/RTDC4005/ "%USERPROFILE%\AppData\Local\Temp\OnboardLogs"\RTDC4005\2017-03-08 --exclude "*" --recursive --include "*20170308*" &amp; "%USERPROFILE%\Documents\GitHub\mrs-test-scripts\Headless Mode &amp; Sideloading\WalkAndUnGZ.bat" "%USERPROFILE%\AppData\Local\Temp\OnboardLogs"\RTDC4005\2017-03-08</v>
      </c>
      <c r="AF16" s="82" t="str">
        <f t="shared" si="13"/>
        <v>"C:\Program Files (x86)\AstroGrep\AstroGrep.exe" /spath="%USERPROFILE%\AppData\Local\Temp\OnboardLogs" /stypes="app*4005*20170307*"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6" t="str">
        <f t="shared" si="18"/>
        <v>"%USERPROFILE%\Documents\GitHub\eaglep3\Utilities\RefineRTDCRunTimes.py" --tripid 104-07 --locoid 4005 --swversion DE.1.0.9.0 --startMP 204:232692 --initTime 2017-03-07T04:36:15 --startdatetime 2017-03-07T04:41:26 --delay 0 --endMP 204:163 --enddatetime 2017-03-07T05:26:51 --enforcementcount 2 &gt;&gt;C:\Users\stu\Documents\GitHub\eaglep3-reporting\EC\2017-03-07-refined-times.txt</v>
      </c>
      <c r="AI16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{"issue":{"subject":"","project_id":79,"tracker_id":40,"status_id":1,"priority_id":2,"assigned_to_id":23,"start_date":"2017-03-07","description":"","custom_fields":[{"id":1,"name":"Subdivision","value":"EC"},{"id":4,"name":"Milepost","value":"0.0163"},{"id":17,"name":"Train ID","value":"104-07"},{"id":16,"name":"Locomotive ID","value":"4005"},{"id":130,"name":"Impact","value":""},{"id":150,"name":"Time of Event (Mountain Time)","value":"05:26:51"},{"id":151,"name":"Denver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4005 --day 2017-03-07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"%USERPROFILE%\AppData\Local\Temp\OnboardLogs"\RTDC4005\*4005*20170307* | grep -SE "(Enforcement Action)|(\[TIMEOUT)|(CHR.+\|PRM\|1\|D.+(SWITCH|SIGNAL).+UNKNOWN)" - &gt;&gt; 2017-03-07-UncaughtWiMAX.txt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607</v>
      </c>
      <c r="B17" s="7">
        <v>4016</v>
      </c>
      <c r="C17" s="21" t="s">
        <v>233</v>
      </c>
      <c r="D17" s="21" t="s">
        <v>536</v>
      </c>
      <c r="E17" s="13">
        <v>42801.173518518517</v>
      </c>
      <c r="F17" s="13">
        <v>42801.17728009259</v>
      </c>
      <c r="G17" s="7">
        <v>1</v>
      </c>
      <c r="H17" s="21" t="s">
        <v>500</v>
      </c>
      <c r="I17" s="13">
        <v>42801.204525462963</v>
      </c>
      <c r="J17" s="7">
        <v>2</v>
      </c>
      <c r="K17" s="98" t="str">
        <f t="shared" si="0"/>
        <v>4015/4016</v>
      </c>
      <c r="L17" s="21" t="str">
        <f>VLOOKUP(A17,'Trips&amp;Operators'!$C$1:$G$99999,5,FALSE)</f>
        <v>STARKS ANGELINA</v>
      </c>
      <c r="M17" s="6">
        <f t="shared" si="1"/>
        <v>2.7245370372838806E-2</v>
      </c>
      <c r="N17" s="7">
        <f t="shared" si="2"/>
        <v>39.233333336887881</v>
      </c>
      <c r="O17" s="7"/>
      <c r="P17" s="7"/>
      <c r="Q17" s="22"/>
      <c r="R17" s="195"/>
      <c r="S17" s="31">
        <f t="shared" si="3"/>
        <v>1</v>
      </c>
      <c r="T17" s="46" t="str">
        <f t="shared" si="4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5"/>
        <v>https://d0f6bd738d7f1b3e5a7ca70fe4ff75f0.us-east-1.aws.found.io/app/kibana#/discover/Steve-Slow-Train-Analysis-(2080s-and-2083s)?_g=(refreshInterval:(display:Off,pause:!f,section:0,value:0),time:(from:'2017-03-07T03:09:52-0700',mode:absolute,to:'2017-03-07T05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" s="187" t="str">
        <f t="shared" si="6"/>
        <v>N</v>
      </c>
      <c r="X17" s="187">
        <f t="shared" si="7"/>
        <v>1</v>
      </c>
      <c r="Y17" s="62">
        <f t="shared" si="8"/>
        <v>7.0999999999999994E-2</v>
      </c>
      <c r="Z17" s="62">
        <f t="shared" si="9"/>
        <v>23.3308</v>
      </c>
      <c r="AA17" s="62">
        <f t="shared" si="10"/>
        <v>23.259799999999998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0105-07</v>
      </c>
      <c r="AE17" s="85" t="str">
        <f t="shared" si="12"/>
        <v>aws s3 cp s3://rtdc.mdm.uploadarchive.raw/RTDC4016/ "%USERPROFILE%\AppData\Local\Temp\OnboardLogs"\RTDC4016\2017-03-07 --exclude "*" --recursive --include "*20170307*" &amp; "%USERPROFILE%\Documents\GitHub\mrs-test-scripts\Headless Mode &amp; Sideloading\WalkAndUnGZ.bat" "%USERPROFILE%\AppData\Local\Temp\OnboardLogs"\RTDC4016\2017-03-07 &amp; aws s3 cp s3://rtdc.mdm.uploadarchive.raw/RTDC4016/ "%USERPROFILE%\AppData\Local\Temp\OnboardLogs"\RTDC4016\2017-03-08 --exclude "*" --recursive --include "*20170308*" &amp; "%USERPROFILE%\Documents\GitHub\mrs-test-scripts\Headless Mode &amp; Sideloading\WalkAndUnGZ.bat" "%USERPROFILE%\AppData\Local\Temp\OnboardLogs"\RTDC4016\2017-03-08</v>
      </c>
      <c r="AF17" s="82" t="str">
        <f t="shared" si="13"/>
        <v>"C:\Program Files (x86)\AstroGrep\AstroGrep.exe" /spath="%USERPROFILE%\AppData\Local\Temp\OnboardLogs" /stypes="app*4016*20170307*"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6" t="str">
        <f t="shared" si="18"/>
        <v>"%USERPROFILE%\Documents\GitHub\eaglep3\Utilities\RefineRTDCRunTimes.py" --tripid 105-07 --locoid 4016 --swversion DE.1.0.9.0 --startMP 204:710 --initTime 2017-03-07T04:09:52 --startdatetime 2017-03-07T04:15:17 --delay 1 --endMP 204:233308 --enddatetime 2017-03-07T04:54:31 --enforcementcount 2 &gt;&gt;C:\Users\stu\Documents\GitHub\eaglep3-reporting\EC\2017-03-07-refined-times.txt</v>
      </c>
      <c r="AI17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{"issue":{"subject":"","project_id":79,"tracker_id":40,"status_id":1,"priority_id":2,"assigned_to_id":23,"start_date":"2017-03-07","description":"","custom_fields":[{"id":1,"name":"Subdivision","value":"EC"},{"id":4,"name":"Milepost","value":"23.3308"},{"id":17,"name":"Train ID","value":"105-07"},{"id":16,"name":"Locomotive ID","value":"4016"},{"id":130,"name":"Impact","value":""},{"id":150,"name":"Time of Event (Mountain Time)","value":"04:54:31"},{"id":151,"name":"Denver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4016 --day 2017-03-07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"%USERPROFILE%\AppData\Local\Temp\OnboardLogs"\RTDC4016\*4016*20170307* | grep -SE "(Enforcement Action)|(\[TIMEOUT)|(CHR.+\|PRM\|1\|D.+(SWITCH|SIGNAL).+UNKNOWN)" - &gt;&gt; 2017-03-07-UncaughtWiMAX.txt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618</v>
      </c>
      <c r="B18" s="7">
        <v>4017</v>
      </c>
      <c r="C18" s="21" t="s">
        <v>233</v>
      </c>
      <c r="D18" s="21" t="s">
        <v>789</v>
      </c>
      <c r="E18" s="13">
        <v>42801.213495370372</v>
      </c>
      <c r="F18" s="13">
        <v>42801.216157407405</v>
      </c>
      <c r="G18" s="7">
        <v>2</v>
      </c>
      <c r="H18" s="21" t="s">
        <v>226</v>
      </c>
      <c r="I18" s="13">
        <v>42801.24800925926</v>
      </c>
      <c r="J18" s="7">
        <v>2</v>
      </c>
      <c r="K18" s="98" t="str">
        <f t="shared" si="0"/>
        <v>4017/4018</v>
      </c>
      <c r="L18" s="21" t="str">
        <f>VLOOKUP(A18,'Trips&amp;Operators'!$C$1:$G$99999,5,FALSE)</f>
        <v>STARKS ANGELINA</v>
      </c>
      <c r="M18" s="6">
        <f t="shared" si="1"/>
        <v>3.1851851854298729E-2</v>
      </c>
      <c r="N18" s="7">
        <f t="shared" si="2"/>
        <v>45.86666667019017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5"/>
        <v>https://d0f6bd738d7f1b3e5a7ca70fe4ff75f0.us-east-1.aws.found.io/app/kibana#/discover/Steve-Slow-Train-Analysis-(2080s-and-2083s)?_g=(refreshInterval:(display:Off,pause:!f,section:0,value:0),time:(from:'2017-03-07T04:07:26-0700',mode:absolute,to:'2017-03-07T06:57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" s="187" t="str">
        <f t="shared" si="6"/>
        <v>N</v>
      </c>
      <c r="X18" s="187">
        <f t="shared" si="7"/>
        <v>1</v>
      </c>
      <c r="Y18" s="62">
        <f t="shared" si="8"/>
        <v>23.267499999999998</v>
      </c>
      <c r="Z18" s="62">
        <f t="shared" si="9"/>
        <v>1.47E-2</v>
      </c>
      <c r="AA18" s="62">
        <f t="shared" si="10"/>
        <v>23.252799999999997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0106-07</v>
      </c>
      <c r="AE18" s="85" t="str">
        <f t="shared" si="12"/>
        <v>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 &amp; aws s3 cp s3://rtdc.mdm.uploadarchive.raw/RTDC4017/ "%USERPROFILE%\AppData\Local\Temp\OnboardLogs"\RTDC4017\2017-03-08 --exclude "*" --recursive --include "*20170308*" &amp; "%USERPROFILE%\Documents\GitHub\mrs-test-scripts\Headless Mode &amp; Sideloading\WalkAndUnGZ.bat" "%USERPROFILE%\AppData\Local\Temp\OnboardLogs"\RTDC4017\2017-03-08</v>
      </c>
      <c r="AF18" s="82" t="str">
        <f t="shared" si="13"/>
        <v>"C:\Program Files (x86)\AstroGrep\AstroGrep.exe" /spath="%USERPROFILE%\AppData\Local\Temp\OnboardLogs" /stypes="app*4017*20170307*"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6" t="str">
        <f t="shared" si="18"/>
        <v>"%USERPROFILE%\Documents\GitHub\eaglep3\Utilities\RefineRTDCRunTimes.py" --tripid 106-07 --locoid 4017 --swversion DE.1.0.9.0 --startMP 204:232675 --initTime 2017-03-07T05:07:26 --startdatetime 2017-03-07T05:11:16 --delay 2 --endMP 204:147 --enddatetime 2017-03-07T05:57:08 --enforcementcount 2 &gt;&gt;C:\Users\stu\Documents\GitHub\eaglep3-reporting\EC\2017-03-07-refined-times.txt</v>
      </c>
      <c r="AI18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{"issue":{"subject":"","project_id":79,"tracker_id":40,"status_id":1,"priority_id":2,"assigned_to_id":23,"start_date":"2017-03-07","description":"","custom_fields":[{"id":1,"name":"Subdivision","value":"EC"},{"id":4,"name":"Milepost","value":"0.0147"},{"id":17,"name":"Train ID","value":"106-07"},{"id":16,"name":"Locomotive ID","value":"4017"},{"id":130,"name":"Impact","value":""},{"id":150,"name":"Time of Event (Mountain Time)","value":"05:57:08"},{"id":151,"name":"Denver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4017 --day 2017-03-07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"%USERPROFILE%\AppData\Local\Temp\OnboardLogs"\RTDC4017\*4017*20170307* | grep -SE "(Enforcement Action)|(\[TIMEOUT)|(CHR.+\|PRM\|1\|D.+(SWITCH|SIGNAL).+UNKNOWN)" - &gt;&gt; 2017-03-07-UncaughtWiMAX.txt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609</v>
      </c>
      <c r="B19" s="7">
        <v>4022</v>
      </c>
      <c r="C19" s="21" t="s">
        <v>233</v>
      </c>
      <c r="D19" s="21" t="s">
        <v>465</v>
      </c>
      <c r="E19" s="13">
        <v>42801.18304398148</v>
      </c>
      <c r="F19" s="13">
        <v>42801.189756944441</v>
      </c>
      <c r="G19" s="7">
        <v>1</v>
      </c>
      <c r="H19" s="21" t="s">
        <v>266</v>
      </c>
      <c r="I19" s="13">
        <v>42801.217870370368</v>
      </c>
      <c r="J19" s="7">
        <v>2</v>
      </c>
      <c r="K19" s="98" t="str">
        <f t="shared" si="0"/>
        <v>4021/4022</v>
      </c>
      <c r="L19" s="21" t="str">
        <f>VLOOKUP(A19,'Trips&amp;Operators'!$C$1:$G$99999,5,FALSE)</f>
        <v>BONDS REYNALDO</v>
      </c>
      <c r="M19" s="6">
        <f t="shared" si="1"/>
        <v>2.8113425927585922E-2</v>
      </c>
      <c r="N19" s="7">
        <f t="shared" si="2"/>
        <v>40.483333335723728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5"/>
        <v>https://d0f6bd738d7f1b3e5a7ca70fe4ff75f0.us-east-1.aws.found.io/app/kibana#/discover/Steve-Slow-Train-Analysis-(2080s-and-2083s)?_g=(refreshInterval:(display:Off,pause:!f,section:0,value:0),time:(from:'2017-03-07T03:23:35-0700',mode:absolute,to:'2017-03-07T06:13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" s="187" t="str">
        <f t="shared" si="6"/>
        <v>N</v>
      </c>
      <c r="X19" s="187">
        <f t="shared" si="7"/>
        <v>1</v>
      </c>
      <c r="Y19" s="62">
        <f t="shared" si="8"/>
        <v>4.7100000000000003E-2</v>
      </c>
      <c r="Z19" s="62">
        <f t="shared" si="9"/>
        <v>23.329499999999999</v>
      </c>
      <c r="AA19" s="62">
        <f t="shared" si="10"/>
        <v>23.282399999999999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0107-07</v>
      </c>
      <c r="AE19" s="85" t="str">
        <f t="shared" si="12"/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AF19" s="82" t="str">
        <f t="shared" si="13"/>
        <v>"C:\Program Files (x86)\AstroGrep\AstroGrep.exe" /spath="%USERPROFILE%\AppData\Local\Temp\OnboardLogs" /stypes="app*4022*20170307*"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6" t="str">
        <f t="shared" si="18"/>
        <v>"%USERPROFILE%\Documents\GitHub\eaglep3\Utilities\RefineRTDCRunTimes.py" --tripid 107-07 --locoid 4022 --swversion DE.1.0.9.0 --startMP 204:471 --initTime 2017-03-07T04:23:35 --startdatetime 2017-03-07T04:33:15 --delay 1 --endMP 204:233295 --enddatetime 2017-03-07T05:13:44 --enforcementcount 2 &gt;&gt;C:\Users\stu\Documents\GitHub\eaglep3-reporting\EC\2017-03-07-refined-times.txt</v>
      </c>
      <c r="AI19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{"issue":{"subject":"","project_id":79,"tracker_id":40,"status_id":1,"priority_id":2,"assigned_to_id":23,"start_date":"2017-03-07","description":"","custom_fields":[{"id":1,"name":"Subdivision","value":"EC"},{"id":4,"name":"Milepost","value":"23.3295"},{"id":17,"name":"Train ID","value":"107-07"},{"id":16,"name":"Locomotive ID","value":"4022"},{"id":130,"name":"Impact","value":""},{"id":150,"name":"Time of Event (Mountain Time)","value":"05:13:44"},{"id":151,"name":"Denver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4022 --day 2017-03-07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"%USERPROFILE%\AppData\Local\Temp\OnboardLogs"\RTDC4022\*4022*20170307* | grep -SE "(Enforcement Action)|(\[TIMEOUT)|(CHR.+\|PRM\|1\|D.+(SWITCH|SIGNAL).+UNKNOWN)" - &gt;&gt; 2017-03-07-UncaughtWiMAX.txt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553</v>
      </c>
      <c r="B20" s="7">
        <v>4021</v>
      </c>
      <c r="C20" s="21" t="s">
        <v>233</v>
      </c>
      <c r="D20" s="21" t="s">
        <v>280</v>
      </c>
      <c r="E20" s="13">
        <v>42801.222453703704</v>
      </c>
      <c r="F20" s="13">
        <v>42801.226574074077</v>
      </c>
      <c r="G20" s="7">
        <v>1</v>
      </c>
      <c r="H20" s="21" t="s">
        <v>226</v>
      </c>
      <c r="I20" s="13">
        <v>42801.258506944447</v>
      </c>
      <c r="J20" s="7">
        <v>2</v>
      </c>
      <c r="K20" s="98" t="str">
        <f t="shared" si="0"/>
        <v>4021/4022</v>
      </c>
      <c r="L20" s="21" t="str">
        <f>VLOOKUP(A20,'Trips&amp;Operators'!$C$1:$G$99999,5,FALSE)</f>
        <v>BONDS REYNALDO</v>
      </c>
      <c r="M20" s="6">
        <f t="shared" si="1"/>
        <v>3.1932870369928423E-2</v>
      </c>
      <c r="N20" s="7">
        <f t="shared" si="2"/>
        <v>45.98333333269693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5"/>
        <v>https://d0f6bd738d7f1b3e5a7ca70fe4ff75f0.us-east-1.aws.found.io/app/kibana#/discover/Steve-Slow-Train-Analysis-(2080s-and-2083s)?_g=(refreshInterval:(display:Off,pause:!f,section:0,value:0),time:(from:'2017-03-07T04:20:20-0700',mode:absolute,to:'2017-03-07T07:12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" s="187" t="str">
        <f t="shared" si="6"/>
        <v>N</v>
      </c>
      <c r="X20" s="187">
        <f t="shared" si="7"/>
        <v>1</v>
      </c>
      <c r="Y20" s="62">
        <f t="shared" si="8"/>
        <v>23.297799999999999</v>
      </c>
      <c r="Z20" s="62">
        <f t="shared" si="9"/>
        <v>1.47E-2</v>
      </c>
      <c r="AA20" s="62">
        <f t="shared" si="10"/>
        <v>23.283099999999997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0108-07</v>
      </c>
      <c r="AE20" s="85" t="str">
        <f t="shared" si="12"/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AF20" s="82" t="str">
        <f t="shared" si="13"/>
        <v>"C:\Program Files (x86)\AstroGrep\AstroGrep.exe" /spath="%USERPROFILE%\AppData\Local\Temp\OnboardLogs" /stypes="app*4021*20170307*"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6" t="str">
        <f t="shared" si="18"/>
        <v>"%USERPROFILE%\Documents\GitHub\eaglep3\Utilities\RefineRTDCRunTimes.py" --tripid 108-07 --locoid 4021 --swversion DE.1.0.9.0 --startMP 204:232978 --initTime 2017-03-07T05:20:20 --startdatetime 2017-03-07T05:26:16 --delay 1 --endMP 204:147 --enddatetime 2017-03-07T06:12:15 --enforcementcount 2 &gt;&gt;C:\Users\stu\Documents\GitHub\eaglep3-reporting\EC\2017-03-07-refined-times.txt</v>
      </c>
      <c r="AI20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{"issue":{"subject":"","project_id":79,"tracker_id":40,"status_id":1,"priority_id":2,"assigned_to_id":23,"start_date":"2017-03-07","description":"","custom_fields":[{"id":1,"name":"Subdivision","value":"EC"},{"id":4,"name":"Milepost","value":"0.0147"},{"id":17,"name":"Train ID","value":"108-07"},{"id":16,"name":"Locomotive ID","value":"4021"},{"id":130,"name":"Impact","value":""},{"id":150,"name":"Time of Event (Mountain Time)","value":"06:12:15"},{"id":151,"name":"Denver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4021 --day 2017-03-07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"%USERPROFILE%\AppData\Local\Temp\OnboardLogs"\RTDC4021\*4021*20170307* | grep -SE "(Enforcement Action)|(\[TIMEOUT)|(CHR.+\|PRM\|1\|D.+(SWITCH|SIGNAL).+UNKNOWN)" - &gt;&gt; 2017-03-07-UncaughtWiMAX.txt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613</v>
      </c>
      <c r="B21" s="7">
        <v>4011</v>
      </c>
      <c r="C21" s="21" t="s">
        <v>233</v>
      </c>
      <c r="D21" s="21" t="s">
        <v>228</v>
      </c>
      <c r="E21" s="13">
        <v>42801.195474537039</v>
      </c>
      <c r="F21" s="13">
        <v>42801.198113425926</v>
      </c>
      <c r="G21" s="7">
        <v>1</v>
      </c>
      <c r="H21" s="21" t="s">
        <v>790</v>
      </c>
      <c r="I21" s="13">
        <v>42801.226041666669</v>
      </c>
      <c r="J21" s="7">
        <v>2</v>
      </c>
      <c r="K21" s="98" t="str">
        <f t="shared" si="0"/>
        <v>4011/4012</v>
      </c>
      <c r="L21" s="21" t="str">
        <f>VLOOKUP(A21,'Trips&amp;Operators'!$C$1:$G$99999,5,FALSE)</f>
        <v>DAVIS WENDY</v>
      </c>
      <c r="M21" s="6">
        <f t="shared" si="1"/>
        <v>2.792824074276723E-2</v>
      </c>
      <c r="N21" s="7">
        <f t="shared" si="2"/>
        <v>40.216666669584811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5"/>
        <v>https://d0f6bd738d7f1b3e5a7ca70fe4ff75f0.us-east-1.aws.found.io/app/kibana#/discover/Steve-Slow-Train-Analysis-(2080s-and-2083s)?_g=(refreshInterval:(display:Off,pause:!f,section:0,value:0),time:(from:'2017-03-07T03:41:29-0700',mode:absolute,to:'2017-03-07T06:25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" s="187" t="str">
        <f t="shared" si="6"/>
        <v>N</v>
      </c>
      <c r="X21" s="187">
        <f t="shared" si="7"/>
        <v>1</v>
      </c>
      <c r="Y21" s="62">
        <f t="shared" si="8"/>
        <v>4.6600000000000003E-2</v>
      </c>
      <c r="Z21" s="62">
        <f t="shared" si="9"/>
        <v>23.3306</v>
      </c>
      <c r="AA21" s="62">
        <f t="shared" si="10"/>
        <v>23.283999999999999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0109-07</v>
      </c>
      <c r="AE21" s="85" t="str">
        <f t="shared" si="12"/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AF21" s="82" t="str">
        <f t="shared" si="13"/>
        <v>"C:\Program Files (x86)\AstroGrep\AstroGrep.exe" /spath="%USERPROFILE%\AppData\Local\Temp\OnboardLogs" /stypes="app*4011*20170307*"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6" t="str">
        <f t="shared" si="18"/>
        <v>"%USERPROFILE%\Documents\GitHub\eaglep3\Utilities\RefineRTDCRunTimes.py" --tripid 109-07 --locoid 4011 --swversion DE.1.0.9.0 --startMP 204:466 --initTime 2017-03-07T04:41:29 --startdatetime 2017-03-07T04:45:17 --delay 1 --endMP 204:233306 --enddatetime 2017-03-07T05:25:30 --enforcementcount 2 &gt;&gt;C:\Users\stu\Documents\GitHub\eaglep3-reporting\EC\2017-03-07-refined-times.txt</v>
      </c>
      <c r="AI21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{"issue":{"subject":"","project_id":79,"tracker_id":40,"status_id":1,"priority_id":2,"assigned_to_id":23,"start_date":"2017-03-07","description":"","custom_fields":[{"id":1,"name":"Subdivision","value":"EC"},{"id":4,"name":"Milepost","value":"23.3306"},{"id":17,"name":"Train ID","value":"109-07"},{"id":16,"name":"Locomotive ID","value":"4011"},{"id":130,"name":"Impact","value":""},{"id":150,"name":"Time of Event (Mountain Time)","value":"05:25:30"},{"id":151,"name":"Denver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4011 --day 2017-03-07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"%USERPROFILE%\AppData\Local\Temp\OnboardLogs"\RTDC4011\*4011*20170307* | grep -SE "(Enforcement Action)|(\[TIMEOUT)|(CHR.+\|PRM\|1\|D.+(SWITCH|SIGNAL).+UNKNOWN)" - &gt;&gt; 2017-03-07-UncaughtWiMAX.txt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622</v>
      </c>
      <c r="B22" s="7">
        <v>4012</v>
      </c>
      <c r="C22" s="21" t="s">
        <v>233</v>
      </c>
      <c r="D22" s="21" t="s">
        <v>495</v>
      </c>
      <c r="E22" s="13">
        <v>42801.233877314815</v>
      </c>
      <c r="F22" s="13">
        <v>42801.237002314818</v>
      </c>
      <c r="G22" s="7">
        <v>1</v>
      </c>
      <c r="H22" s="21" t="s">
        <v>224</v>
      </c>
      <c r="I22" s="13">
        <v>42801.267395833333</v>
      </c>
      <c r="J22" s="7">
        <v>2</v>
      </c>
      <c r="K22" s="98" t="str">
        <f t="shared" si="0"/>
        <v>4011/4012</v>
      </c>
      <c r="L22" s="21" t="str">
        <f>VLOOKUP(A22,'Trips&amp;Operators'!$C$1:$G$99999,5,FALSE)</f>
        <v>DAVIS WENDY</v>
      </c>
      <c r="M22" s="6">
        <f t="shared" si="1"/>
        <v>3.0393518514756579E-2</v>
      </c>
      <c r="N22" s="7">
        <f t="shared" si="2"/>
        <v>43.766666661249474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5"/>
        <v>https://d0f6bd738d7f1b3e5a7ca70fe4ff75f0.us-east-1.aws.found.io/app/kibana#/discover/Steve-Slow-Train-Analysis-(2080s-and-2083s)?_g=(refreshInterval:(display:Off,pause:!f,section:0,value:0),time:(from:'2017-03-07T04:36:47-0700',mode:absolute,to:'2017-03-07T07:25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" s="187" t="str">
        <f t="shared" si="6"/>
        <v>N</v>
      </c>
      <c r="X22" s="187">
        <f t="shared" si="7"/>
        <v>1</v>
      </c>
      <c r="Y22" s="62">
        <f t="shared" si="8"/>
        <v>23.2987</v>
      </c>
      <c r="Z22" s="62">
        <f t="shared" si="9"/>
        <v>1.5599999999999999E-2</v>
      </c>
      <c r="AA22" s="62">
        <f t="shared" si="10"/>
        <v>23.283100000000001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0110-07</v>
      </c>
      <c r="AE22" s="85" t="str">
        <f t="shared" si="12"/>
        <v>aws s3 cp s3://rtdc.mdm.uploadarchive.raw/RTDC4012/ "%USERPROFILE%\AppData\Local\Temp\OnboardLogs"\RTDC4012\2017-03-07 --exclude "*" --recursive --include "*20170307*" &amp; "%USERPROFILE%\Documents\GitHub\mrs-test-scripts\Headless Mode &amp; Sideloading\WalkAndUnGZ.bat" "%USERPROFILE%\AppData\Local\Temp\OnboardLogs"\RTDC4012\2017-03-07 &amp; aws s3 cp s3://rtdc.mdm.uploadarchive.raw/RTDC4012/ "%USERPROFILE%\AppData\Local\Temp\OnboardLogs"\RTDC4012\2017-03-08 --exclude "*" --recursive --include "*20170308*" &amp; "%USERPROFILE%\Documents\GitHub\mrs-test-scripts\Headless Mode &amp; Sideloading\WalkAndUnGZ.bat" "%USERPROFILE%\AppData\Local\Temp\OnboardLogs"\RTDC4012\2017-03-08</v>
      </c>
      <c r="AF22" s="82" t="str">
        <f t="shared" si="13"/>
        <v>"C:\Program Files (x86)\AstroGrep\AstroGrep.exe" /spath="%USERPROFILE%\AppData\Local\Temp\OnboardLogs" /stypes="app*4012*20170307*"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6" t="str">
        <f t="shared" si="18"/>
        <v>"%USERPROFILE%\Documents\GitHub\eaglep3\Utilities\RefineRTDCRunTimes.py" --tripid 110-07 --locoid 4012 --swversion DE.1.0.9.0 --startMP 204:232987 --initTime 2017-03-07T05:36:47 --startdatetime 2017-03-07T05:41:17 --delay 1 --endMP 204:156 --enddatetime 2017-03-07T06:25:03 --enforcementcount 2 &gt;&gt;C:\Users\stu\Documents\GitHub\eaglep3-reporting\EC\2017-03-07-refined-times.txt</v>
      </c>
      <c r="AI22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{"issue":{"subject":"","project_id":79,"tracker_id":40,"status_id":1,"priority_id":2,"assigned_to_id":23,"start_date":"2017-03-07","description":"","custom_fields":[{"id":1,"name":"Subdivision","value":"EC"},{"id":4,"name":"Milepost","value":"0.0156"},{"id":17,"name":"Train ID","value":"110-07"},{"id":16,"name":"Locomotive ID","value":"4012"},{"id":130,"name":"Impact","value":""},{"id":150,"name":"Time of Event (Mountain Time)","value":"06:25:03"},{"id":151,"name":"Denver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4012 --day 2017-03-07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"%USERPROFILE%\AppData\Local\Temp\OnboardLogs"\RTDC4012\*4012*20170307* | grep -SE "(Enforcement Action)|(\[TIMEOUT)|(CHR.+\|PRM\|1\|D.+(SWITCH|SIGNAL).+UNKNOWN)" - &gt;&gt; 2017-03-07-UncaughtWiMAX.txt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614</v>
      </c>
      <c r="B23" s="7">
        <v>4044</v>
      </c>
      <c r="C23" s="21" t="s">
        <v>233</v>
      </c>
      <c r="D23" s="21" t="s">
        <v>791</v>
      </c>
      <c r="E23" s="13">
        <v>42801.207916666666</v>
      </c>
      <c r="F23" s="13">
        <v>42801.209768518522</v>
      </c>
      <c r="G23" s="7">
        <v>1</v>
      </c>
      <c r="H23" s="21" t="s">
        <v>792</v>
      </c>
      <c r="I23" s="13">
        <v>42801.236226851855</v>
      </c>
      <c r="J23" s="7">
        <v>2</v>
      </c>
      <c r="K23" s="98" t="str">
        <f t="shared" si="0"/>
        <v>4043/4044</v>
      </c>
      <c r="L23" s="21" t="str">
        <f>VLOOKUP(A23,'Trips&amp;Operators'!$C$1:$G$99999,5,FALSE)</f>
        <v>LOZA FIDEL</v>
      </c>
      <c r="M23" s="6">
        <f t="shared" si="1"/>
        <v>2.6458333333721384E-2</v>
      </c>
      <c r="N23" s="7">
        <f t="shared" si="2"/>
        <v>38.100000000558794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5"/>
        <v>https://d0f6bd738d7f1b3e5a7ca70fe4ff75f0.us-east-1.aws.found.io/app/kibana#/discover/Steve-Slow-Train-Analysis-(2080s-and-2083s)?_g=(refreshInterval:(display:Off,pause:!f,section:0,value:0),time:(from:'2017-03-07T03:59:24-0700',mode:absolute,to:'2017-03-07T06:40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" s="187" t="str">
        <f t="shared" si="6"/>
        <v>N</v>
      </c>
      <c r="X23" s="187">
        <f t="shared" si="7"/>
        <v>1</v>
      </c>
      <c r="Y23" s="62">
        <f t="shared" si="8"/>
        <v>7.4999999999999997E-2</v>
      </c>
      <c r="Z23" s="62">
        <f t="shared" si="9"/>
        <v>23.326599999999999</v>
      </c>
      <c r="AA23" s="62">
        <f t="shared" si="10"/>
        <v>23.2516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0111-07</v>
      </c>
      <c r="AE23" s="85" t="str">
        <f t="shared" si="12"/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AF23" s="82" t="str">
        <f t="shared" si="13"/>
        <v>"C:\Program Files (x86)\AstroGrep\AstroGrep.exe" /spath="%USERPROFILE%\AppData\Local\Temp\OnboardLogs" /stypes="app*4044*20170307*"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6" t="str">
        <f t="shared" si="18"/>
        <v>"%USERPROFILE%\Documents\GitHub\eaglep3\Utilities\RefineRTDCRunTimes.py" --tripid 111-07 --locoid 4044 --swversion DE.1.0.9.0 --startMP 204:750 --initTime 2017-03-07T04:59:24 --startdatetime 2017-03-07T05:02:04 --delay 1 --endMP 204:233266 --enddatetime 2017-03-07T05:40:10 --enforcementcount 2 &gt;&gt;C:\Users\stu\Documents\GitHub\eaglep3-reporting\EC\2017-03-07-refined-times.txt</v>
      </c>
      <c r="AI23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{"issue":{"subject":"","project_id":79,"tracker_id":40,"status_id":1,"priority_id":2,"assigned_to_id":23,"start_date":"2017-03-07","description":"","custom_fields":[{"id":1,"name":"Subdivision","value":"EC"},{"id":4,"name":"Milepost","value":"23.3266"},{"id":17,"name":"Train ID","value":"111-07"},{"id":16,"name":"Locomotive ID","value":"4044"},{"id":130,"name":"Impact","value":""},{"id":150,"name":"Time of Event (Mountain Time)","value":"05:40:10"},{"id":151,"name":"Denver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4044 --day 2017-03-07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"%USERPROFILE%\AppData\Local\Temp\OnboardLogs"\RTDC4044\*4044*20170307* | grep -SE "(Enforcement Action)|(\[TIMEOUT)|(CHR.+\|PRM\|1\|D.+(SWITCH|SIGNAL).+UNKNOWN)" - &gt;&gt; 2017-03-07-UncaughtWiMAX.txt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623</v>
      </c>
      <c r="B24" s="7">
        <v>4043</v>
      </c>
      <c r="C24" s="21" t="s">
        <v>233</v>
      </c>
      <c r="D24" s="21" t="s">
        <v>285</v>
      </c>
      <c r="E24" s="13">
        <v>42801.23940972222</v>
      </c>
      <c r="F24" s="13">
        <v>42801.247453703705</v>
      </c>
      <c r="G24" s="7">
        <v>2</v>
      </c>
      <c r="H24" s="21" t="s">
        <v>207</v>
      </c>
      <c r="I24" s="13">
        <v>42801.276944444442</v>
      </c>
      <c r="J24" s="7">
        <v>2</v>
      </c>
      <c r="K24" s="98" t="str">
        <f t="shared" si="0"/>
        <v>4043/4044</v>
      </c>
      <c r="L24" s="21" t="str">
        <f>VLOOKUP(A24,'Trips&amp;Operators'!$C$1:$G$99999,5,FALSE)</f>
        <v>LOZA FIDEL</v>
      </c>
      <c r="M24" s="6">
        <f t="shared" si="1"/>
        <v>2.9490740736946464E-2</v>
      </c>
      <c r="N24" s="7">
        <f t="shared" si="2"/>
        <v>42.466666661202908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5"/>
        <v>https://d0f6bd738d7f1b3e5a7ca70fe4ff75f0.us-east-1.aws.found.io/app/kibana#/discover/Steve-Slow-Train-Analysis-(2080s-and-2083s)?_g=(refreshInterval:(display:Off,pause:!f,section:0,value:0),time:(from:'2017-03-07T04:44:45-0700',mode:absolute,to:'2017-03-07T07:38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4" s="187" t="str">
        <f t="shared" si="6"/>
        <v>N</v>
      </c>
      <c r="X24" s="187">
        <f t="shared" si="7"/>
        <v>1</v>
      </c>
      <c r="Y24" s="62">
        <f t="shared" si="8"/>
        <v>23.296700000000001</v>
      </c>
      <c r="Z24" s="62">
        <f t="shared" si="9"/>
        <v>1.54E-2</v>
      </c>
      <c r="AA24" s="62">
        <f t="shared" si="10"/>
        <v>23.281300000000002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0112-07</v>
      </c>
      <c r="AE24" s="85" t="str">
        <f t="shared" si="12"/>
        <v>aws s3 cp s3://rtdc.mdm.uploadarchive.raw/RTDC4043/ "%USERPROFILE%\AppData\Local\Temp\OnboardLogs"\RTDC4043\2017-03-07 --exclude "*" --recursive --include "*20170307*" &amp; "%USERPROFILE%\Documents\GitHub\mrs-test-scripts\Headless Mode &amp; Sideloading\WalkAndUnGZ.bat" "%USERPROFILE%\AppData\Local\Temp\OnboardLogs"\RTDC4043\2017-03-07 &amp; aws s3 cp s3://rtdc.mdm.uploadarchive.raw/RTDC4043/ "%USERPROFILE%\AppData\Local\Temp\OnboardLogs"\RTDC4043\2017-03-08 --exclude "*" --recursive --include "*20170308*" &amp; "%USERPROFILE%\Documents\GitHub\mrs-test-scripts\Headless Mode &amp; Sideloading\WalkAndUnGZ.bat" "%USERPROFILE%\AppData\Local\Temp\OnboardLogs"\RTDC4043\2017-03-08</v>
      </c>
      <c r="AF24" s="82" t="str">
        <f t="shared" si="13"/>
        <v>"C:\Program Files (x86)\AstroGrep\AstroGrep.exe" /spath="%USERPROFILE%\AppData\Local\Temp\OnboardLogs" /stypes="app*4043*20170307*"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6" t="str">
        <f t="shared" si="18"/>
        <v>"%USERPROFILE%\Documents\GitHub\eaglep3\Utilities\RefineRTDCRunTimes.py" --tripid 112-07 --locoid 4043 --swversion DE.1.0.9.0 --startMP 204:232967 --initTime 2017-03-07T05:44:45 --startdatetime 2017-03-07T05:56:20 --delay 2 --endMP 204:154 --enddatetime 2017-03-07T06:38:48 --enforcementcount 2 &gt;&gt;C:\Users\stu\Documents\GitHub\eaglep3-reporting\EC\2017-03-07-refined-times.txt</v>
      </c>
      <c r="AI24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{"issue":{"subject":"","project_id":79,"tracker_id":40,"status_id":1,"priority_id":2,"assigned_to_id":23,"start_date":"2017-03-07","description":"","custom_fields":[{"id":1,"name":"Subdivision","value":"EC"},{"id":4,"name":"Milepost","value":"0.0154"},{"id":17,"name":"Train ID","value":"112-07"},{"id":16,"name":"Locomotive ID","value":"4043"},{"id":130,"name":"Impact","value":""},{"id":150,"name":"Time of Event (Mountain Time)","value":"06:38:48"},{"id":151,"name":"Denver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4043 --day 2017-03-07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"%USERPROFILE%\AppData\Local\Temp\OnboardLogs"\RTDC4043\*4043*20170307* | grep -SE "(Enforcement Action)|(\[TIMEOUT)|(CHR.+\|PRM\|1\|D.+(SWITCH|SIGNAL).+UNKNOWN)" - &gt;&gt; 2017-03-07-UncaughtWiMAX.txt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617</v>
      </c>
      <c r="B25" s="7">
        <v>4020</v>
      </c>
      <c r="C25" s="21" t="s">
        <v>233</v>
      </c>
      <c r="D25" s="21" t="s">
        <v>514</v>
      </c>
      <c r="E25" s="13">
        <v>42801.210497685184</v>
      </c>
      <c r="F25" s="13">
        <v>42801.218784722223</v>
      </c>
      <c r="G25" s="7">
        <v>1</v>
      </c>
      <c r="H25" s="21" t="s">
        <v>242</v>
      </c>
      <c r="I25" s="13">
        <v>42801.245729166665</v>
      </c>
      <c r="J25" s="7">
        <v>2</v>
      </c>
      <c r="K25" s="98" t="str">
        <f t="shared" si="0"/>
        <v>4019/4020</v>
      </c>
      <c r="L25" s="21" t="str">
        <f>VLOOKUP(A25,'Trips&amp;Operators'!$C$1:$G$99999,5,FALSE)</f>
        <v>SANTIZO D. EDY</v>
      </c>
      <c r="M25" s="6">
        <f t="shared" si="1"/>
        <v>2.6944444442051463E-2</v>
      </c>
      <c r="N25" s="7">
        <f t="shared" si="2"/>
        <v>38.799999996554106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5"/>
        <v>https://d0f6bd738d7f1b3e5a7ca70fe4ff75f0.us-east-1.aws.found.io/app/kibana#/discover/Steve-Slow-Train-Analysis-(2080s-and-2083s)?_g=(refreshInterval:(display:Off,pause:!f,section:0,value:0),time:(from:'2017-03-07T04:03:07-0700',mode:absolute,to:'2017-03-07T06:53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5" s="187" t="str">
        <f t="shared" si="6"/>
        <v>N</v>
      </c>
      <c r="X25" s="187">
        <f t="shared" si="7"/>
        <v>1</v>
      </c>
      <c r="Y25" s="62">
        <f t="shared" si="8"/>
        <v>4.3299999999999998E-2</v>
      </c>
      <c r="Z25" s="62">
        <f t="shared" si="9"/>
        <v>23.331199999999999</v>
      </c>
      <c r="AA25" s="62">
        <f t="shared" si="10"/>
        <v>23.2879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0113-07</v>
      </c>
      <c r="AE25" s="85" t="str">
        <f t="shared" si="12"/>
        <v>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 &amp; aws s3 cp s3://rtdc.mdm.uploadarchive.raw/RTDC4020/ "%USERPROFILE%\AppData\Local\Temp\OnboardLogs"\RTDC4020\2017-03-08 --exclude "*" --recursive --include "*20170308*" &amp; "%USERPROFILE%\Documents\GitHub\mrs-test-scripts\Headless Mode &amp; Sideloading\WalkAndUnGZ.bat" "%USERPROFILE%\AppData\Local\Temp\OnboardLogs"\RTDC4020\2017-03-08</v>
      </c>
      <c r="AF25" s="82" t="str">
        <f t="shared" si="13"/>
        <v>"C:\Program Files (x86)\AstroGrep\AstroGrep.exe" /spath="%USERPROFILE%\AppData\Local\Temp\OnboardLogs" /stypes="app*4020*20170307*"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6" t="str">
        <f t="shared" si="18"/>
        <v>"%USERPROFILE%\Documents\GitHub\eaglep3\Utilities\RefineRTDCRunTimes.py" --tripid 113-07 --locoid 4020 --swversion DE.1.0.9.0 --startMP 204:433 --initTime 2017-03-07T05:03:07 --startdatetime 2017-03-07T05:15:03 --delay 1 --endMP 204:233312 --enddatetime 2017-03-07T05:53:51 --enforcementcount 2 &gt;&gt;C:\Users\stu\Documents\GitHub\eaglep3-reporting\EC\2017-03-07-refined-times.txt</v>
      </c>
      <c r="AI25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{"issue":{"subject":"","project_id":79,"tracker_id":40,"status_id":1,"priority_id":2,"assigned_to_id":23,"start_date":"2017-03-07","description":"","custom_fields":[{"id":1,"name":"Subdivision","value":"EC"},{"id":4,"name":"Milepost","value":"23.3312"},{"id":17,"name":"Train ID","value":"113-07"},{"id":16,"name":"Locomotive ID","value":"4020"},{"id":130,"name":"Impact","value":""},{"id":150,"name":"Time of Event (Mountain Time)","value":"05:53:51"},{"id":151,"name":"Denver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4020 --day 2017-03-07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"%USERPROFILE%\AppData\Local\Temp\OnboardLogs"\RTDC4020\*4020*20170307* | grep -SE "(Enforcement Action)|(\[TIMEOUT)|(CHR.+\|PRM\|1\|D.+(SWITCH|SIGNAL).+UNKNOWN)" - &gt;&gt; 2017-03-07-UncaughtWiMAX.txt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625</v>
      </c>
      <c r="B26" s="7">
        <v>4019</v>
      </c>
      <c r="C26" s="21" t="s">
        <v>233</v>
      </c>
      <c r="D26" s="21" t="s">
        <v>793</v>
      </c>
      <c r="E26" s="13">
        <v>42801.247245370374</v>
      </c>
      <c r="F26" s="13">
        <v>42801.257777777777</v>
      </c>
      <c r="G26" s="7">
        <v>1</v>
      </c>
      <c r="H26" s="21" t="s">
        <v>226</v>
      </c>
      <c r="I26" s="13">
        <v>42801.288912037038</v>
      </c>
      <c r="J26" s="7">
        <v>2</v>
      </c>
      <c r="K26" s="98" t="str">
        <f t="shared" si="0"/>
        <v>4019/4020</v>
      </c>
      <c r="L26" s="21" t="str">
        <f>VLOOKUP(A26,'Trips&amp;Operators'!$C$1:$G$99999,5,FALSE)</f>
        <v>SANTIZO D. EDY</v>
      </c>
      <c r="M26" s="6">
        <f t="shared" si="1"/>
        <v>3.1134259261307307E-2</v>
      </c>
      <c r="N26" s="7">
        <f t="shared" si="2"/>
        <v>44.833333336282521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5"/>
        <v>https://d0f6bd738d7f1b3e5a7ca70fe4ff75f0.us-east-1.aws.found.io/app/kibana#/discover/Steve-Slow-Train-Analysis-(2080s-and-2083s)?_g=(refreshInterval:(display:Off,pause:!f,section:0,value:0),time:(from:'2017-03-07T04:56:02-0700',mode:absolute,to:'2017-03-07T07:56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6" s="187" t="str">
        <f t="shared" si="6"/>
        <v>N</v>
      </c>
      <c r="X26" s="187">
        <f t="shared" si="7"/>
        <v>1</v>
      </c>
      <c r="Y26" s="62">
        <f t="shared" si="8"/>
        <v>23.299600000000002</v>
      </c>
      <c r="Z26" s="62">
        <f t="shared" si="9"/>
        <v>1.47E-2</v>
      </c>
      <c r="AA26" s="62">
        <f t="shared" si="10"/>
        <v>23.2849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0114-07</v>
      </c>
      <c r="AE26" s="85" t="str">
        <f t="shared" si="12"/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AF26" s="82" t="str">
        <f t="shared" si="13"/>
        <v>"C:\Program Files (x86)\AstroGrep\AstroGrep.exe" /spath="%USERPROFILE%\AppData\Local\Temp\OnboardLogs" /stypes="app*4019*20170307*"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6" t="str">
        <f t="shared" si="18"/>
        <v>"%USERPROFILE%\Documents\GitHub\eaglep3\Utilities\RefineRTDCRunTimes.py" --tripid 114-07 --locoid 4019 --swversion DE.1.0.9.0 --startMP 204:232996 --initTime 2017-03-07T05:56:02 --startdatetime 2017-03-07T06:11:12 --delay 1 --endMP 204:147 --enddatetime 2017-03-07T06:56:02 --enforcementcount 2 &gt;&gt;C:\Users\stu\Documents\GitHub\eaglep3-reporting\EC\2017-03-07-refined-times.txt</v>
      </c>
      <c r="AI26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{"issue":{"subject":"","project_id":79,"tracker_id":40,"status_id":1,"priority_id":2,"assigned_to_id":23,"start_date":"2017-03-07","description":"","custom_fields":[{"id":1,"name":"Subdivision","value":"EC"},{"id":4,"name":"Milepost","value":"0.0147"},{"id":17,"name":"Train ID","value":"114-07"},{"id":16,"name":"Locomotive ID","value":"4019"},{"id":130,"name":"Impact","value":""},{"id":150,"name":"Time of Event (Mountain Time)","value":"06:56:02"},{"id":151,"name":"Denver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4019 --day 2017-03-07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"%USERPROFILE%\AppData\Local\Temp\OnboardLogs"\RTDC4019\*4019*20170307* | grep -SE "(Enforcement Action)|(\[TIMEOUT)|(CHR.+\|PRM\|1\|D.+(SWITCH|SIGNAL).+UNKNOWN)" - &gt;&gt; 2017-03-07-UncaughtWiMAX.txt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620</v>
      </c>
      <c r="B27" s="7">
        <v>4014</v>
      </c>
      <c r="C27" s="21" t="s">
        <v>233</v>
      </c>
      <c r="D27" s="21" t="s">
        <v>794</v>
      </c>
      <c r="E27" s="13">
        <v>42801.228576388887</v>
      </c>
      <c r="F27" s="13">
        <v>42801.230023148149</v>
      </c>
      <c r="G27" s="7">
        <v>1</v>
      </c>
      <c r="H27" s="21" t="s">
        <v>795</v>
      </c>
      <c r="I27" s="13">
        <v>42801.255416666667</v>
      </c>
      <c r="J27" s="7">
        <v>2</v>
      </c>
      <c r="K27" s="98" t="str">
        <f t="shared" si="0"/>
        <v>4013/4014</v>
      </c>
      <c r="L27" s="21" t="str">
        <f>VLOOKUP(A27,'Trips&amp;Operators'!$C$1:$G$99999,5,FALSE)</f>
        <v>ROCHA YAOTL</v>
      </c>
      <c r="M27" s="6">
        <f t="shared" si="1"/>
        <v>2.5393518517375924E-2</v>
      </c>
      <c r="N27" s="7">
        <f t="shared" si="2"/>
        <v>36.56666666502133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5"/>
        <v>https://d0f6bd738d7f1b3e5a7ca70fe4ff75f0.us-east-1.aws.found.io/app/kibana#/discover/Steve-Slow-Train-Analysis-(2080s-and-2083s)?_g=(refreshInterval:(display:Off,pause:!f,section:0,value:0),time:(from:'2017-03-07T04:29:09-0700',mode:absolute,to:'2017-03-07T07:07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7" s="187" t="str">
        <f t="shared" si="6"/>
        <v>N</v>
      </c>
      <c r="X27" s="187">
        <f t="shared" si="7"/>
        <v>1</v>
      </c>
      <c r="Y27" s="62">
        <f t="shared" si="8"/>
        <v>7.2300000000000003E-2</v>
      </c>
      <c r="Z27" s="62">
        <f t="shared" si="9"/>
        <v>23.3309</v>
      </c>
      <c r="AA27" s="62">
        <f t="shared" si="10"/>
        <v>23.258600000000001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0115-07</v>
      </c>
      <c r="AE27" s="85" t="str">
        <f t="shared" si="12"/>
        <v>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 &amp; aws s3 cp s3://rtdc.mdm.uploadarchive.raw/RTDC4014/ "%USERPROFILE%\AppData\Local\Temp\OnboardLogs"\RTDC4014\2017-03-08 --exclude "*" --recursive --include "*20170308*" &amp; "%USERPROFILE%\Documents\GitHub\mrs-test-scripts\Headless Mode &amp; Sideloading\WalkAndUnGZ.bat" "%USERPROFILE%\AppData\Local\Temp\OnboardLogs"\RTDC4014\2017-03-08</v>
      </c>
      <c r="AF27" s="82" t="str">
        <f t="shared" si="13"/>
        <v>"C:\Program Files (x86)\AstroGrep\AstroGrep.exe" /spath="%USERPROFILE%\AppData\Local\Temp\OnboardLogs" /stypes="app*4014*20170307*"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6" t="str">
        <f t="shared" si="18"/>
        <v>"%USERPROFILE%\Documents\GitHub\eaglep3\Utilities\RefineRTDCRunTimes.py" --tripid 115-07 --locoid 4014 --swversion DE.1.0.9.0 --startMP 204:723 --initTime 2017-03-07T05:29:09 --startdatetime 2017-03-07T05:31:14 --delay 1 --endMP 204:233309 --enddatetime 2017-03-07T06:07:48 --enforcementcount 2 &gt;&gt;C:\Users\stu\Documents\GitHub\eaglep3-reporting\EC\2017-03-07-refined-times.txt</v>
      </c>
      <c r="AI27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{"issue":{"subject":"","project_id":79,"tracker_id":40,"status_id":1,"priority_id":2,"assigned_to_id":23,"start_date":"2017-03-07","description":"","custom_fields":[{"id":1,"name":"Subdivision","value":"EC"},{"id":4,"name":"Milepost","value":"23.3309"},{"id":17,"name":"Train ID","value":"115-07"},{"id":16,"name":"Locomotive ID","value":"4014"},{"id":130,"name":"Impact","value":""},{"id":150,"name":"Time of Event (Mountain Time)","value":"06:07:48"},{"id":151,"name":"Denver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4014 --day 2017-03-07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"%USERPROFILE%\AppData\Local\Temp\OnboardLogs"\RTDC4014\*4014*20170307* | grep -SE "(Enforcement Action)|(\[TIMEOUT)|(CHR.+\|PRM\|1\|D.+(SWITCH|SIGNAL).+UNKNOWN)" - &gt;&gt; 2017-03-07-UncaughtWiMAX.txt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627</v>
      </c>
      <c r="B28" s="7">
        <v>4013</v>
      </c>
      <c r="C28" s="21" t="s">
        <v>233</v>
      </c>
      <c r="D28" s="21" t="s">
        <v>423</v>
      </c>
      <c r="E28" s="13">
        <v>42801.266018518516</v>
      </c>
      <c r="F28" s="13">
        <v>42801.268229166664</v>
      </c>
      <c r="G28" s="7">
        <v>1</v>
      </c>
      <c r="H28" s="21" t="s">
        <v>192</v>
      </c>
      <c r="I28" s="13">
        <v>42801.298333333332</v>
      </c>
      <c r="J28" s="7">
        <v>2</v>
      </c>
      <c r="K28" s="98" t="str">
        <f t="shared" si="0"/>
        <v>4013/4014</v>
      </c>
      <c r="L28" s="21" t="str">
        <f>VLOOKUP(A28,'Trips&amp;Operators'!$C$1:$G$99999,5,FALSE)</f>
        <v>ROCHA YAOTL</v>
      </c>
      <c r="M28" s="6">
        <f t="shared" si="1"/>
        <v>3.0104166668024845E-2</v>
      </c>
      <c r="N28" s="7">
        <f t="shared" si="2"/>
        <v>43.350000001955777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5"/>
        <v>https://d0f6bd738d7f1b3e5a7ca70fe4ff75f0.us-east-1.aws.found.io/app/kibana#/discover/Steve-Slow-Train-Analysis-(2080s-and-2083s)?_g=(refreshInterval:(display:Off,pause:!f,section:0,value:0),time:(from:'2017-03-07T05:23:04-0700',mode:absolute,to:'2017-03-07T08:09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8" s="187" t="str">
        <f t="shared" si="6"/>
        <v>N</v>
      </c>
      <c r="X28" s="187">
        <f t="shared" si="7"/>
        <v>1</v>
      </c>
      <c r="Y28" s="62">
        <f t="shared" si="8"/>
        <v>23.298200000000001</v>
      </c>
      <c r="Z28" s="62">
        <f t="shared" si="9"/>
        <v>1.4999999999999999E-2</v>
      </c>
      <c r="AA28" s="62">
        <f t="shared" si="10"/>
        <v>23.283200000000001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0116-07</v>
      </c>
      <c r="AE28" s="85" t="str">
        <f t="shared" si="12"/>
        <v>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 &amp; aws s3 cp s3://rtdc.mdm.uploadarchive.raw/RTDC4013/ "%USERPROFILE%\AppData\Local\Temp\OnboardLogs"\RTDC4013\2017-03-08 --exclude "*" --recursive --include "*20170308*" &amp; "%USERPROFILE%\Documents\GitHub\mrs-test-scripts\Headless Mode &amp; Sideloading\WalkAndUnGZ.bat" "%USERPROFILE%\AppData\Local\Temp\OnboardLogs"\RTDC4013\2017-03-08</v>
      </c>
      <c r="AF28" s="82" t="str">
        <f t="shared" si="13"/>
        <v>"C:\Program Files (x86)\AstroGrep\AstroGrep.exe" /spath="%USERPROFILE%\AppData\Local\Temp\OnboardLogs" /stypes="app*4013*20170307*"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6" t="str">
        <f t="shared" si="18"/>
        <v>"%USERPROFILE%\Documents\GitHub\eaglep3\Utilities\RefineRTDCRunTimes.py" --tripid 116-07 --locoid 4013 --swversion DE.1.0.9.0 --startMP 204:232982 --initTime 2017-03-07T06:23:04 --startdatetime 2017-03-07T06:26:15 --delay 1 --endMP 204:150 --enddatetime 2017-03-07T07:09:36 --enforcementcount 2 &gt;&gt;C:\Users\stu\Documents\GitHub\eaglep3-reporting\EC\2017-03-07-refined-times.txt</v>
      </c>
      <c r="AI28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{"issue":{"subject":"","project_id":79,"tracker_id":40,"status_id":1,"priority_id":2,"assigned_to_id":23,"start_date":"2017-03-07","description":"","custom_fields":[{"id":1,"name":"Subdivision","value":"EC"},{"id":4,"name":"Milepost","value":"0.015"},{"id":17,"name":"Train ID","value":"116-07"},{"id":16,"name":"Locomotive ID","value":"4013"},{"id":130,"name":"Impact","value":""},{"id":150,"name":"Time of Event (Mountain Time)","value":"07:09:36"},{"id":151,"name":"Denver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4013 --day 2017-03-07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"%USERPROFILE%\AppData\Local\Temp\OnboardLogs"\RTDC4013\*4013*20170307* | grep -SE "(Enforcement Action)|(\[TIMEOUT)|(CHR.+\|PRM\|1\|D.+(SWITCH|SIGNAL).+UNKNOWN)" - &gt;&gt; 2017-03-07-UncaughtWiMAX.txt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621</v>
      </c>
      <c r="B29" s="7">
        <v>4006</v>
      </c>
      <c r="C29" s="21" t="s">
        <v>233</v>
      </c>
      <c r="D29" s="21" t="s">
        <v>796</v>
      </c>
      <c r="E29" s="13">
        <v>42801.231712962966</v>
      </c>
      <c r="F29" s="13">
        <v>42801.239837962959</v>
      </c>
      <c r="G29" s="7">
        <v>0</v>
      </c>
      <c r="H29" s="21" t="s">
        <v>790</v>
      </c>
      <c r="I29" s="13">
        <v>42801.267256944448</v>
      </c>
      <c r="J29" s="7">
        <v>2</v>
      </c>
      <c r="K29" s="98" t="str">
        <f t="shared" si="0"/>
        <v>4005/4006</v>
      </c>
      <c r="L29" s="21" t="str">
        <f>VLOOKUP(A29,'Trips&amp;Operators'!$C$1:$G$99999,5,FALSE)</f>
        <v>MAELZER KURT</v>
      </c>
      <c r="M29" s="6">
        <f t="shared" si="1"/>
        <v>2.7418981488153804E-2</v>
      </c>
      <c r="N29" s="7">
        <f t="shared" si="2"/>
        <v>39.483333342941478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5"/>
        <v>https://d0f6bd738d7f1b3e5a7ca70fe4ff75f0.us-east-1.aws.found.io/app/kibana#/discover/Steve-Slow-Train-Analysis-(2080s-and-2083s)?_g=(refreshInterval:(display:Off,pause:!f,section:0,value:0),time:(from:'2017-03-07T04:33:40-0700',mode:absolute,to:'2017-03-07T07:24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9" s="187" t="str">
        <f t="shared" si="6"/>
        <v>N</v>
      </c>
      <c r="X29" s="187">
        <f t="shared" ref="X29:X35" si="21">VALUE(LEFT(AD29,4))-VALUE(LEFT(AD28,4))</f>
        <v>1</v>
      </c>
      <c r="Y29" s="62">
        <f t="shared" si="8"/>
        <v>4.3799999999999999E-2</v>
      </c>
      <c r="Z29" s="62">
        <f t="shared" si="9"/>
        <v>23.3306</v>
      </c>
      <c r="AA29" s="62">
        <f t="shared" si="10"/>
        <v>23.286799999999999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0117-07</v>
      </c>
      <c r="AE29" s="85" t="str">
        <f t="shared" si="12"/>
        <v>aws s3 cp s3://rtdc.mdm.uploadarchive.raw/RTDC4006/ "%USERPROFILE%\AppData\Local\Temp\OnboardLogs"\RTDC4006\2017-03-07 --exclude "*" --recursive --include "*20170307*" &amp; "%USERPROFILE%\Documents\GitHub\mrs-test-scripts\Headless Mode &amp; Sideloading\WalkAndUnGZ.bat" "%USERPROFILE%\AppData\Local\Temp\OnboardLogs"\RTDC4006\2017-03-07 &amp; aws s3 cp s3://rtdc.mdm.uploadarchive.raw/RTDC4006/ "%USERPROFILE%\AppData\Local\Temp\OnboardLogs"\RTDC4006\2017-03-08 --exclude "*" --recursive --include "*20170308*" &amp; "%USERPROFILE%\Documents\GitHub\mrs-test-scripts\Headless Mode &amp; Sideloading\WalkAndUnGZ.bat" "%USERPROFILE%\AppData\Local\Temp\OnboardLogs"\RTDC4006\2017-03-08</v>
      </c>
      <c r="AF29" s="82" t="str">
        <f t="shared" si="13"/>
        <v>"C:\Program Files (x86)\AstroGrep\AstroGrep.exe" /spath="%USERPROFILE%\AppData\Local\Temp\OnboardLogs" /stypes="app*4006*20170307*"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6" t="str">
        <f t="shared" si="18"/>
        <v>"%USERPROFILE%\Documents\GitHub\eaglep3\Utilities\RefineRTDCRunTimes.py" --tripid 117-07 --locoid 4006 --swversion DE.1.0.9.0 --startMP 204:438 --initTime 2017-03-07T05:33:40 --startdatetime 2017-03-07T05:45:22 --delay 0 --endMP 204:233306 --enddatetime 2017-03-07T06:24:51 --enforcementcount 2 &gt;&gt;C:\Users\stu\Documents\GitHub\eaglep3-reporting\EC\2017-03-07-refined-times.txt</v>
      </c>
      <c r="AI29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{"issue":{"subject":"","project_id":79,"tracker_id":40,"status_id":1,"priority_id":2,"assigned_to_id":23,"start_date":"2017-03-07","description":"","custom_fields":[{"id":1,"name":"Subdivision","value":"EC"},{"id":4,"name":"Milepost","value":"23.3306"},{"id":17,"name":"Train ID","value":"117-07"},{"id":16,"name":"Locomotive ID","value":"4006"},{"id":130,"name":"Impact","value":""},{"id":150,"name":"Time of Event (Mountain Time)","value":"06:24:51"},{"id":151,"name":"Denver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4006 --day 2017-03-07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"%USERPROFILE%\AppData\Local\Temp\OnboardLogs"\RTDC4006\*4006*20170307* | grep -SE "(Enforcement Action)|(\[TIMEOUT)|(CHR.+\|PRM\|1\|D.+(SWITCH|SIGNAL).+UNKNOWN)" - &gt;&gt; 2017-03-07-UncaughtWiMAX.txt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630</v>
      </c>
      <c r="B30" s="7">
        <v>4005</v>
      </c>
      <c r="C30" s="21" t="s">
        <v>233</v>
      </c>
      <c r="D30" s="21" t="s">
        <v>284</v>
      </c>
      <c r="E30" s="13">
        <v>42801.274687500001</v>
      </c>
      <c r="F30" s="13">
        <v>42801.278796296298</v>
      </c>
      <c r="G30" s="7">
        <v>0</v>
      </c>
      <c r="H30" s="21" t="s">
        <v>192</v>
      </c>
      <c r="I30" s="13">
        <v>42801.309467592589</v>
      </c>
      <c r="J30" s="7">
        <v>2</v>
      </c>
      <c r="K30" s="98" t="str">
        <f t="shared" si="0"/>
        <v>4005/4006</v>
      </c>
      <c r="L30" s="21" t="str">
        <f>VLOOKUP(A30,'Trips&amp;Operators'!$C$1:$G$99999,5,FALSE)</f>
        <v>MAELZER KURT</v>
      </c>
      <c r="M30" s="6">
        <f t="shared" si="1"/>
        <v>3.0671296291984618E-2</v>
      </c>
      <c r="N30" s="7">
        <f t="shared" si="2"/>
        <v>44.16666666045785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5"/>
        <v>https://d0f6bd738d7f1b3e5a7ca70fe4ff75f0.us-east-1.aws.found.io/app/kibana#/discover/Steve-Slow-Train-Analysis-(2080s-and-2083s)?_g=(refreshInterval:(display:Off,pause:!f,section:0,value:0),time:(from:'2017-03-07T05:35:33-0700',mode:absolute,to:'2017-03-07T08:25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0" s="187" t="str">
        <f t="shared" si="6"/>
        <v>N</v>
      </c>
      <c r="X30" s="187">
        <f t="shared" si="21"/>
        <v>1</v>
      </c>
      <c r="Y30" s="62">
        <f t="shared" si="8"/>
        <v>23.298500000000001</v>
      </c>
      <c r="Z30" s="62">
        <f t="shared" si="9"/>
        <v>1.4999999999999999E-2</v>
      </c>
      <c r="AA30" s="62">
        <f t="shared" si="10"/>
        <v>23.2835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0118-07</v>
      </c>
      <c r="AE30" s="85" t="str">
        <f t="shared" si="12"/>
        <v>aws s3 cp s3://rtdc.mdm.uploadarchive.raw/RTDC4005/ "%USERPROFILE%\AppData\Local\Temp\OnboardLogs"\RTDC4005\2017-03-07 --exclude "*" --recursive --include "*20170307*" &amp; "%USERPROFILE%\Documents\GitHub\mrs-test-scripts\Headless Mode &amp; Sideloading\WalkAndUnGZ.bat" "%USERPROFILE%\AppData\Local\Temp\OnboardLogs"\RTDC4005\2017-03-07 &amp; aws s3 cp s3://rtdc.mdm.uploadarchive.raw/RTDC4005/ "%USERPROFILE%\AppData\Local\Temp\OnboardLogs"\RTDC4005\2017-03-08 --exclude "*" --recursive --include "*20170308*" &amp; "%USERPROFILE%\Documents\GitHub\mrs-test-scripts\Headless Mode &amp; Sideloading\WalkAndUnGZ.bat" "%USERPROFILE%\AppData\Local\Temp\OnboardLogs"\RTDC4005\2017-03-08</v>
      </c>
      <c r="AF30" s="82" t="str">
        <f t="shared" si="13"/>
        <v>"C:\Program Files (x86)\AstroGrep\AstroGrep.exe" /spath="%USERPROFILE%\AppData\Local\Temp\OnboardLogs" /stypes="app*4005*20170307*"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6" t="str">
        <f t="shared" si="18"/>
        <v>"%USERPROFILE%\Documents\GitHub\eaglep3\Utilities\RefineRTDCRunTimes.py" --tripid 118-07 --locoid 4005 --swversion DE.1.0.9.0 --startMP 204:232985 --initTime 2017-03-07T06:35:33 --startdatetime 2017-03-07T06:41:28 --delay 0 --endMP 204:150 --enddatetime 2017-03-07T07:25:38 --enforcementcount 2 &gt;&gt;C:\Users\stu\Documents\GitHub\eaglep3-reporting\EC\2017-03-07-refined-times.txt</v>
      </c>
      <c r="AI30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{"issue":{"subject":"","project_id":79,"tracker_id":40,"status_id":1,"priority_id":2,"assigned_to_id":23,"start_date":"2017-03-07","description":"","custom_fields":[{"id":1,"name":"Subdivision","value":"EC"},{"id":4,"name":"Milepost","value":"0.015"},{"id":17,"name":"Train ID","value":"118-07"},{"id":16,"name":"Locomotive ID","value":"4005"},{"id":130,"name":"Impact","value":""},{"id":150,"name":"Time of Event (Mountain Time)","value":"07:25:38"},{"id":151,"name":"Denver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4005 --day 2017-03-07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"%USERPROFILE%\AppData\Local\Temp\OnboardLogs"\RTDC4005\*4005*20170307* | grep -SE "(Enforcement Action)|(\[TIMEOUT)|(CHR.+\|PRM\|1\|D.+(SWITCH|SIGNAL).+UNKNOWN)" - &gt;&gt; 2017-03-07-UncaughtWiMAX.txt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552</v>
      </c>
      <c r="B31" s="7">
        <v>4016</v>
      </c>
      <c r="C31" s="21" t="s">
        <v>233</v>
      </c>
      <c r="D31" s="21" t="s">
        <v>797</v>
      </c>
      <c r="E31" s="13">
        <v>42801.250231481485</v>
      </c>
      <c r="F31" s="13">
        <v>42801.251539351855</v>
      </c>
      <c r="G31" s="7">
        <v>0</v>
      </c>
      <c r="H31" s="21" t="s">
        <v>266</v>
      </c>
      <c r="I31" s="13">
        <v>42801.277881944443</v>
      </c>
      <c r="J31" s="7">
        <v>2</v>
      </c>
      <c r="K31" s="98" t="str">
        <f t="shared" si="0"/>
        <v>4015/4016</v>
      </c>
      <c r="L31" s="21" t="str">
        <f>VLOOKUP(A31,'Trips&amp;Operators'!$C$1:$G$99999,5,FALSE)</f>
        <v>STARKS ANGELINA</v>
      </c>
      <c r="M31" s="6">
        <f t="shared" si="1"/>
        <v>2.6342592587752733E-2</v>
      </c>
      <c r="N31" s="7">
        <f t="shared" si="2"/>
        <v>37.933333326363936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5"/>
        <v>https://d0f6bd738d7f1b3e5a7ca70fe4ff75f0.us-east-1.aws.found.io/app/kibana#/discover/Steve-Slow-Train-Analysis-(2080s-and-2083s)?_g=(refreshInterval:(display:Off,pause:!f,section:0,value:0),time:(from:'2017-03-07T05:00:20-0700',mode:absolute,to:'2017-03-07T07:40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1" s="187" t="str">
        <f t="shared" si="6"/>
        <v>N</v>
      </c>
      <c r="X31" s="187">
        <f t="shared" si="21"/>
        <v>1</v>
      </c>
      <c r="Y31" s="62">
        <f t="shared" si="8"/>
        <v>7.4399999999999994E-2</v>
      </c>
      <c r="Z31" s="62">
        <f t="shared" si="9"/>
        <v>23.329499999999999</v>
      </c>
      <c r="AA31" s="62">
        <f t="shared" si="10"/>
        <v>23.255099999999999</v>
      </c>
      <c r="AB31" s="59" t="str">
        <f>VLOOKUP(A31,Enforcements!$C$7:$K$13,8,0)</f>
        <v>Bulletin (2)</v>
      </c>
      <c r="AC31" s="55" t="str">
        <f>VLOOKUP(A31,Enforcements!$C$7:$E$13,3,0)</f>
        <v>GRADE CROSSING</v>
      </c>
      <c r="AD31" s="56" t="str">
        <f t="shared" si="11"/>
        <v>0119-07</v>
      </c>
      <c r="AE31" s="85" t="str">
        <f t="shared" si="12"/>
        <v>aws s3 cp s3://rtdc.mdm.uploadarchive.raw/RTDC4016/ "%USERPROFILE%\AppData\Local\Temp\OnboardLogs"\RTDC4016\2017-03-07 --exclude "*" --recursive --include "*20170307*" &amp; "%USERPROFILE%\Documents\GitHub\mrs-test-scripts\Headless Mode &amp; Sideloading\WalkAndUnGZ.bat" "%USERPROFILE%\AppData\Local\Temp\OnboardLogs"\RTDC4016\2017-03-07 &amp; aws s3 cp s3://rtdc.mdm.uploadarchive.raw/RTDC4016/ "%USERPROFILE%\AppData\Local\Temp\OnboardLogs"\RTDC4016\2017-03-08 --exclude "*" --recursive --include "*20170308*" &amp; "%USERPROFILE%\Documents\GitHub\mrs-test-scripts\Headless Mode &amp; Sideloading\WalkAndUnGZ.bat" "%USERPROFILE%\AppData\Local\Temp\OnboardLogs"\RTDC4016\2017-03-08</v>
      </c>
      <c r="AF31" s="82" t="str">
        <f t="shared" si="13"/>
        <v>"C:\Program Files (x86)\AstroGrep\AstroGrep.exe" /spath="%USERPROFILE%\AppData\Local\Temp\OnboardLogs" /stypes="app*4016*20170307*"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6" t="str">
        <f t="shared" si="18"/>
        <v>"%USERPROFILE%\Documents\GitHub\eaglep3\Utilities\RefineRTDCRunTimes.py" --tripid 119-07 --locoid 4016 --swversion DE.1.0.9.0 --startMP 204:744 --initTime 2017-03-07T06:00:20 --startdatetime 2017-03-07T06:02:13 --delay 0 --endMP 204:233295 --enddatetime 2017-03-07T06:40:09 --enforcementcount 2 &gt;&gt;C:\Users\stu\Documents\GitHub\eaglep3-reporting\EC\2017-03-07-refined-times.txt</v>
      </c>
      <c r="AI31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{"issue":{"subject":"","project_id":79,"tracker_id":40,"status_id":1,"priority_id":2,"assigned_to_id":23,"start_date":"2017-03-07","description":"","custom_fields":[{"id":1,"name":"Subdivision","value":"EC"},{"id":4,"name":"Milepost","value":"23.3295"},{"id":17,"name":"Train ID","value":"119-07"},{"id":16,"name":"Locomotive ID","value":"4016"},{"id":130,"name":"Impact","value":""},{"id":150,"name":"Time of Event (Mountain Time)","value":"06:40:09"},{"id":151,"name":"Denver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4016 --day 2017-03-07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"%USERPROFILE%\AppData\Local\Temp\OnboardLogs"\RTDC4016\*4016*20170307* | grep -SE "(Enforcement Action)|(\[TIMEOUT)|(CHR.+\|PRM\|1\|D.+(SWITCH|SIGNAL).+UNKNOWN)" - &gt;&gt; 2017-03-07-UncaughtWiMAX.txt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631</v>
      </c>
      <c r="B32" s="7">
        <v>4015</v>
      </c>
      <c r="C32" s="21" t="s">
        <v>233</v>
      </c>
      <c r="D32" s="21" t="s">
        <v>269</v>
      </c>
      <c r="E32" s="13">
        <v>42801.285914351851</v>
      </c>
      <c r="F32" s="13">
        <v>42801.289039351854</v>
      </c>
      <c r="G32" s="7">
        <v>2</v>
      </c>
      <c r="H32" s="21" t="s">
        <v>226</v>
      </c>
      <c r="I32" s="13">
        <v>42801.321516203701</v>
      </c>
      <c r="J32" s="7">
        <v>2</v>
      </c>
      <c r="K32" s="98" t="str">
        <f t="shared" si="0"/>
        <v>4015/4016</v>
      </c>
      <c r="L32" s="21" t="str">
        <f>VLOOKUP(A32,'Trips&amp;Operators'!$C$1:$G$99999,5,FALSE)</f>
        <v>STARKS ANGELINA</v>
      </c>
      <c r="M32" s="6">
        <f t="shared" si="1"/>
        <v>3.2476851847604848E-2</v>
      </c>
      <c r="N32" s="7">
        <f t="shared" si="2"/>
        <v>46.766666660550982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5"/>
        <v>https://d0f6bd738d7f1b3e5a7ca70fe4ff75f0.us-east-1.aws.found.io/app/kibana#/discover/Steve-Slow-Train-Analysis-(2080s-and-2083s)?_g=(refreshInterval:(display:Off,pause:!f,section:0,value:0),time:(from:'2017-03-07T05:51:43-0700',mode:absolute,to:'2017-03-07T08:42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2" s="187" t="str">
        <f t="shared" si="6"/>
        <v>N</v>
      </c>
      <c r="X32" s="187">
        <f t="shared" si="21"/>
        <v>1</v>
      </c>
      <c r="Y32" s="62">
        <f t="shared" si="8"/>
        <v>23.2971</v>
      </c>
      <c r="Z32" s="62">
        <f t="shared" si="9"/>
        <v>1.47E-2</v>
      </c>
      <c r="AA32" s="62">
        <f t="shared" si="10"/>
        <v>23.282399999999999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0120-07</v>
      </c>
      <c r="AE32" s="85" t="str">
        <f t="shared" si="12"/>
        <v>aws s3 cp s3://rtdc.mdm.uploadarchive.raw/RTDC4015/ "%USERPROFILE%\AppData\Local\Temp\OnboardLogs"\RTDC4015\2017-03-07 --exclude "*" --recursive --include "*20170307*" &amp; "%USERPROFILE%\Documents\GitHub\mrs-test-scripts\Headless Mode &amp; Sideloading\WalkAndUnGZ.bat" "%USERPROFILE%\AppData\Local\Temp\OnboardLogs"\RTDC4015\2017-03-07 &amp; aws s3 cp s3://rtdc.mdm.uploadarchive.raw/RTDC4015/ "%USERPROFILE%\AppData\Local\Temp\OnboardLogs"\RTDC4015\2017-03-08 --exclude "*" --recursive --include "*20170308*" &amp; "%USERPROFILE%\Documents\GitHub\mrs-test-scripts\Headless Mode &amp; Sideloading\WalkAndUnGZ.bat" "%USERPROFILE%\AppData\Local\Temp\OnboardLogs"\RTDC4015\2017-03-08</v>
      </c>
      <c r="AF32" s="82" t="str">
        <f t="shared" si="13"/>
        <v>"C:\Program Files (x86)\AstroGrep\AstroGrep.exe" /spath="%USERPROFILE%\AppData\Local\Temp\OnboardLogs" /stypes="app*4015*20170307*"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6" t="str">
        <f t="shared" si="18"/>
        <v>"%USERPROFILE%\Documents\GitHub\eaglep3\Utilities\RefineRTDCRunTimes.py" --tripid 120-07 --locoid 4015 --swversion DE.1.0.9.0 --startMP 204:232971 --initTime 2017-03-07T06:51:43 --startdatetime 2017-03-07T06:56:13 --delay 2 --endMP 204:147 --enddatetime 2017-03-07T07:42:59 --enforcementcount 2 &gt;&gt;C:\Users\stu\Documents\GitHub\eaglep3-reporting\EC\2017-03-07-refined-times.txt</v>
      </c>
      <c r="AI32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{"issue":{"subject":"","project_id":79,"tracker_id":40,"status_id":1,"priority_id":2,"assigned_to_id":23,"start_date":"2017-03-07","description":"","custom_fields":[{"id":1,"name":"Subdivision","value":"EC"},{"id":4,"name":"Milepost","value":"0.0147"},{"id":17,"name":"Train ID","value":"120-07"},{"id":16,"name":"Locomotive ID","value":"4015"},{"id":130,"name":"Impact","value":""},{"id":150,"name":"Time of Event (Mountain Time)","value":"07:42:59"},{"id":151,"name":"Denver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4015 --day 2017-03-07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"%USERPROFILE%\AppData\Local\Temp\OnboardLogs"\RTDC4015\*4015*20170307* | grep -SE "(Enforcement Action)|(\[TIMEOUT)|(CHR.+\|PRM\|1\|D.+(SWITCH|SIGNAL).+UNKNOWN)" - &gt;&gt; 2017-03-07-UncaughtWiMAX.txt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557</v>
      </c>
      <c r="B33" s="7">
        <v>4022</v>
      </c>
      <c r="C33" s="21" t="s">
        <v>233</v>
      </c>
      <c r="D33" s="21" t="s">
        <v>228</v>
      </c>
      <c r="E33" s="13">
        <v>42801.259699074071</v>
      </c>
      <c r="F33" s="13">
        <v>42801.260879629626</v>
      </c>
      <c r="G33" s="7">
        <v>1</v>
      </c>
      <c r="H33" s="21" t="s">
        <v>237</v>
      </c>
      <c r="I33" s="13">
        <v>42801.288784722223</v>
      </c>
      <c r="J33" s="7">
        <v>2</v>
      </c>
      <c r="K33" s="98" t="str">
        <f t="shared" si="0"/>
        <v>4021/4022</v>
      </c>
      <c r="L33" s="21" t="str">
        <f>VLOOKUP(A33,'Trips&amp;Operators'!$C$1:$G$99999,5,FALSE)</f>
        <v>BONDS REYNALDO</v>
      </c>
      <c r="M33" s="6">
        <f t="shared" si="1"/>
        <v>2.7905092596483883E-2</v>
      </c>
      <c r="N33" s="7">
        <f t="shared" si="2"/>
        <v>40.183333338936791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5"/>
        <v>https://d0f6bd738d7f1b3e5a7ca70fe4ff75f0.us-east-1.aws.found.io/app/kibana#/discover/Steve-Slow-Train-Analysis-(2080s-and-2083s)?_g=(refreshInterval:(display:Off,pause:!f,section:0,value:0),time:(from:'2017-03-07T05:13:58-0700',mode:absolute,to:'2017-03-07T07:55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3" s="187" t="str">
        <f t="shared" si="6"/>
        <v>N</v>
      </c>
      <c r="X33" s="187">
        <f t="shared" si="21"/>
        <v>1</v>
      </c>
      <c r="Y33" s="62">
        <f t="shared" si="8"/>
        <v>4.6600000000000003E-2</v>
      </c>
      <c r="Z33" s="62">
        <f t="shared" si="9"/>
        <v>23.329699999999999</v>
      </c>
      <c r="AA33" s="62">
        <f t="shared" si="10"/>
        <v>23.283099999999997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0121-07</v>
      </c>
      <c r="AE33" s="85" t="str">
        <f t="shared" si="12"/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AF33" s="82" t="str">
        <f t="shared" si="13"/>
        <v>"C:\Program Files (x86)\AstroGrep\AstroGrep.exe" /spath="%USERPROFILE%\AppData\Local\Temp\OnboardLogs" /stypes="app*4022*20170307*"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6" t="str">
        <f t="shared" si="18"/>
        <v>"%USERPROFILE%\Documents\GitHub\eaglep3\Utilities\RefineRTDCRunTimes.py" --tripid 121-07 --locoid 4022 --swversion DE.1.0.9.0 --startMP 204:466 --initTime 2017-03-07T06:13:58 --startdatetime 2017-03-07T06:15:40 --delay 1 --endMP 204:233297 --enddatetime 2017-03-07T06:55:51 --enforcementcount 2 &gt;&gt;C:\Users\stu\Documents\GitHub\eaglep3-reporting\EC\2017-03-07-refined-times.txt</v>
      </c>
      <c r="AI33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{"issue":{"subject":"","project_id":79,"tracker_id":40,"status_id":1,"priority_id":2,"assigned_to_id":23,"start_date":"2017-03-07","description":"","custom_fields":[{"id":1,"name":"Subdivision","value":"EC"},{"id":4,"name":"Milepost","value":"23.3297"},{"id":17,"name":"Train ID","value":"121-07"},{"id":16,"name":"Locomotive ID","value":"4022"},{"id":130,"name":"Impact","value":""},{"id":150,"name":"Time of Event (Mountain Time)","value":"06:55:51"},{"id":151,"name":"Denver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4022 --day 2017-03-07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"%USERPROFILE%\AppData\Local\Temp\OnboardLogs"\RTDC4022\*4022*20170307* | grep -SE "(Enforcement Action)|(\[TIMEOUT)|(CHR.+\|PRM\|1\|D.+(SWITCH|SIGNAL).+UNKNOWN)" - &gt;&gt; 2017-03-07-UncaughtWiMAX.txt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633</v>
      </c>
      <c r="B34" s="7">
        <v>4021</v>
      </c>
      <c r="C34" s="21" t="s">
        <v>233</v>
      </c>
      <c r="D34" s="21" t="s">
        <v>243</v>
      </c>
      <c r="E34" s="13">
        <v>42801.293946759259</v>
      </c>
      <c r="F34" s="13">
        <v>42801.29959490741</v>
      </c>
      <c r="G34" s="7">
        <v>1</v>
      </c>
      <c r="H34" s="21" t="s">
        <v>192</v>
      </c>
      <c r="I34" s="13">
        <v>42801.333622685182</v>
      </c>
      <c r="J34" s="7">
        <v>2</v>
      </c>
      <c r="K34" s="98" t="str">
        <f t="shared" si="0"/>
        <v>4021/4022</v>
      </c>
      <c r="L34" s="21" t="str">
        <f>VLOOKUP(A34,'Trips&amp;Operators'!$C$1:$G$99999,5,FALSE)</f>
        <v>BONDS REYNALDO</v>
      </c>
      <c r="M34" s="6">
        <f t="shared" si="1"/>
        <v>3.4027777772280388E-2</v>
      </c>
      <c r="N34" s="7">
        <f t="shared" si="2"/>
        <v>48.999999992083758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5"/>
        <v>https://d0f6bd738d7f1b3e5a7ca70fe4ff75f0.us-east-1.aws.found.io/app/kibana#/discover/Steve-Slow-Train-Analysis-(2080s-and-2083s)?_g=(refreshInterval:(display:Off,pause:!f,section:0,value:0),time:(from:'2017-03-07T06:03:17-0700',mode:absolute,to:'2017-03-07T09:00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4" s="187" t="str">
        <f t="shared" si="6"/>
        <v>N</v>
      </c>
      <c r="X34" s="187">
        <f t="shared" si="21"/>
        <v>1</v>
      </c>
      <c r="Y34" s="62">
        <f t="shared" si="8"/>
        <v>23.297699999999999</v>
      </c>
      <c r="Z34" s="62">
        <f t="shared" si="9"/>
        <v>1.4999999999999999E-2</v>
      </c>
      <c r="AA34" s="62">
        <f t="shared" si="10"/>
        <v>23.282699999999998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0122-07</v>
      </c>
      <c r="AE34" s="85" t="str">
        <f t="shared" si="12"/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AF34" s="82" t="str">
        <f t="shared" si="13"/>
        <v>"C:\Program Files (x86)\AstroGrep\AstroGrep.exe" /spath="%USERPROFILE%\AppData\Local\Temp\OnboardLogs" /stypes="app*4021*20170307*" /stext=" 15:.+((SYSTEM_STATE.+slice.+state.+changed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6" t="str">
        <f t="shared" si="18"/>
        <v>"%USERPROFILE%\Documents\GitHub\eaglep3\Utilities\RefineRTDCRunTimes.py" --tripid 122-07 --locoid 4021 --swversion DE.1.0.9.0 --startMP 204:232977 --initTime 2017-03-07T07:03:17 --startdatetime 2017-03-07T07:11:25 --delay 1 --endMP 204:150 --enddatetime 2017-03-07T08:00:25 --enforcementcount 2 &gt;&gt;C:\Users\stu\Documents\GitHub\eaglep3-reporting\EC\2017-03-07-refined-times.txt</v>
      </c>
      <c r="AI34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{"issue":{"subject":"","project_id":79,"tracker_id":40,"status_id":1,"priority_id":2,"assigned_to_id":23,"start_date":"2017-03-07","description":"","custom_fields":[{"id":1,"name":"Subdivision","value":"EC"},{"id":4,"name":"Milepost","value":"0.015"},{"id":17,"name":"Train ID","value":"122-07"},{"id":16,"name":"Locomotive ID","value":"4021"},{"id":130,"name":"Impact","value":""},{"id":150,"name":"Time of Event (Mountain Time)","value":"08:00:25"},{"id":151,"name":"Denver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4021 --day 2017-03-07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"%USERPROFILE%\AppData\Local\Temp\OnboardLogs"\RTDC4021\*4021*20170307* | grep -SE "(Enforcement Action)|(\[TIMEOUT)|(CHR.+\|PRM\|1\|D.+(SWITCH|SIGNAL).+UNKNOWN)" - &gt;&gt; 2017-03-07-UncaughtWiMAX.txt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628</v>
      </c>
      <c r="B35" s="7">
        <v>4011</v>
      </c>
      <c r="C35" s="21" t="s">
        <v>233</v>
      </c>
      <c r="D35" s="21" t="s">
        <v>211</v>
      </c>
      <c r="E35" s="13">
        <v>42801.268634259257</v>
      </c>
      <c r="F35" s="13">
        <v>42801.271006944444</v>
      </c>
      <c r="G35" s="7">
        <v>1</v>
      </c>
      <c r="H35" s="21" t="s">
        <v>497</v>
      </c>
      <c r="I35" s="13">
        <v>42801.299525462964</v>
      </c>
      <c r="J35" s="7">
        <v>2</v>
      </c>
      <c r="K35" s="98" t="str">
        <f t="shared" si="0"/>
        <v>4011/4012</v>
      </c>
      <c r="L35" s="21" t="str">
        <f>VLOOKUP(A35,'Trips&amp;Operators'!$C$1:$G$99999,5,FALSE)</f>
        <v>DAVIS WENDY</v>
      </c>
      <c r="M35" s="6">
        <f t="shared" si="1"/>
        <v>2.8518518520286307E-2</v>
      </c>
      <c r="N35" s="7">
        <f t="shared" si="2"/>
        <v>41.066666669212282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5"/>
        <v>https://d0f6bd738d7f1b3e5a7ca70fe4ff75f0.us-east-1.aws.found.io/app/kibana#/discover/Steve-Slow-Train-Analysis-(2080s-and-2083s)?_g=(refreshInterval:(display:Off,pause:!f,section:0,value:0),time:(from:'2017-03-07T05:26:50-0700',mode:absolute,to:'2017-03-07T08:11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5" s="187" t="str">
        <f t="shared" si="6"/>
        <v>N</v>
      </c>
      <c r="X35" s="187">
        <f t="shared" si="21"/>
        <v>1</v>
      </c>
      <c r="Y35" s="62">
        <f t="shared" si="8"/>
        <v>4.5999999999999999E-2</v>
      </c>
      <c r="Z35" s="62">
        <f t="shared" si="9"/>
        <v>23.330500000000001</v>
      </c>
      <c r="AA35" s="62">
        <f t="shared" si="10"/>
        <v>23.284500000000001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0123-07</v>
      </c>
      <c r="AE35" s="85" t="str">
        <f t="shared" si="12"/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AF35" s="82" t="str">
        <f t="shared" si="13"/>
        <v>"C:\Program Files (x86)\AstroGrep\AstroGrep.exe" /spath="%USERPROFILE%\AppData\Local\Temp\OnboardLogs" /stypes="app*4011*20170307*"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6" t="str">
        <f t="shared" si="18"/>
        <v>"%USERPROFILE%\Documents\GitHub\eaglep3\Utilities\RefineRTDCRunTimes.py" --tripid 123-07 --locoid 4011 --swversion DE.1.0.9.0 --startMP 204:460 --initTime 2017-03-07T06:26:50 --startdatetime 2017-03-07T06:30:15 --delay 1 --endMP 204:233305 --enddatetime 2017-03-07T07:11:19 --enforcementcount 2 &gt;&gt;C:\Users\stu\Documents\GitHub\eaglep3-reporting\EC\2017-03-07-refined-times.txt</v>
      </c>
      <c r="AI35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{"issue":{"subject":"","project_id":79,"tracker_id":40,"status_id":1,"priority_id":2,"assigned_to_id":23,"start_date":"2017-03-07","description":"","custom_fields":[{"id":1,"name":"Subdivision","value":"EC"},{"id":4,"name":"Milepost","value":"23.3305"},{"id":17,"name":"Train ID","value":"123-07"},{"id":16,"name":"Locomotive ID","value":"4011"},{"id":130,"name":"Impact","value":""},{"id":150,"name":"Time of Event (Mountain Time)","value":"07:11:19"},{"id":151,"name":"Denver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4011 --day 2017-03-07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"%USERPROFILE%\AppData\Local\Temp\OnboardLogs"\RTDC4011\*4011*20170307* | grep -SE "(Enforcement Action)|(\[TIMEOUT)|(CHR.+\|PRM\|1\|D.+(SWITCH|SIGNAL).+UNKNOWN)" - &gt;&gt; 2017-03-07-UncaughtWiMAX.txt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637</v>
      </c>
      <c r="B36" s="7">
        <v>4012</v>
      </c>
      <c r="C36" s="21" t="s">
        <v>233</v>
      </c>
      <c r="D36" s="21" t="s">
        <v>798</v>
      </c>
      <c r="E36" s="13">
        <v>42801.306759259256</v>
      </c>
      <c r="F36" s="13">
        <v>42801.309895833336</v>
      </c>
      <c r="G36" s="7">
        <v>0</v>
      </c>
      <c r="H36" s="21" t="s">
        <v>799</v>
      </c>
      <c r="I36" s="13">
        <v>42801.341412037036</v>
      </c>
      <c r="J36" s="7">
        <v>2</v>
      </c>
      <c r="K36" s="98" t="str">
        <f t="shared" si="0"/>
        <v>4011/4012</v>
      </c>
      <c r="L36" s="21" t="str">
        <f>VLOOKUP(A36,'Trips&amp;Operators'!$C$1:$G$99999,5,FALSE)</f>
        <v>DAVIS WENDY</v>
      </c>
      <c r="M36" s="6">
        <f t="shared" si="1"/>
        <v>3.1516203700448386E-2</v>
      </c>
      <c r="N36" s="7"/>
      <c r="O36" s="7"/>
      <c r="P36" s="7">
        <f>24*60*SUM($M36:$M36)</f>
        <v>45.383333328645676</v>
      </c>
      <c r="Q36" s="22"/>
      <c r="R36" s="22" t="s">
        <v>992</v>
      </c>
      <c r="S36" s="31">
        <f t="shared" si="3"/>
        <v>1</v>
      </c>
      <c r="T36" s="46" t="str">
        <f t="shared" si="4"/>
        <v>Southbound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5"/>
        <v>https://d0f6bd738d7f1b3e5a7ca70fe4ff75f0.us-east-1.aws.found.io/app/kibana#/discover/Steve-Slow-Train-Analysis-(2080s-and-2083s)?_g=(refreshInterval:(display:Off,pause:!f,section:0,value:0),time:(from:'2017-03-07T06:21:44-0700',mode:absolute,to:'2017-03-07T09:11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6" s="187" t="str">
        <f t="shared" si="6"/>
        <v>Y</v>
      </c>
      <c r="X36" s="187">
        <f t="shared" ref="X36:X58" si="22">VALUE(LEFT(AD36,4))-VALUE(LEFT(AD35,4))</f>
        <v>1</v>
      </c>
      <c r="Y36" s="62">
        <f t="shared" si="8"/>
        <v>23.298400000000001</v>
      </c>
      <c r="Z36" s="62">
        <f t="shared" si="9"/>
        <v>1.7242</v>
      </c>
      <c r="AA36" s="62">
        <f t="shared" si="10"/>
        <v>21.574200000000001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0124-07</v>
      </c>
      <c r="AE36" s="85" t="str">
        <f t="shared" si="12"/>
        <v>aws s3 cp s3://rtdc.mdm.uploadarchive.raw/RTDC4012/ "%USERPROFILE%\AppData\Local\Temp\OnboardLogs"\RTDC4012\2017-03-07 --exclude "*" --recursive --include "*20170307*" &amp; "%USERPROFILE%\Documents\GitHub\mrs-test-scripts\Headless Mode &amp; Sideloading\WalkAndUnGZ.bat" "%USERPROFILE%\AppData\Local\Temp\OnboardLogs"\RTDC4012\2017-03-07 &amp; aws s3 cp s3://rtdc.mdm.uploadarchive.raw/RTDC4012/ "%USERPROFILE%\AppData\Local\Temp\OnboardLogs"\RTDC4012\2017-03-08 --exclude "*" --recursive --include "*20170308*" &amp; "%USERPROFILE%\Documents\GitHub\mrs-test-scripts\Headless Mode &amp; Sideloading\WalkAndUnGZ.bat" "%USERPROFILE%\AppData\Local\Temp\OnboardLogs"\RTDC4012\2017-03-08</v>
      </c>
      <c r="AF36" s="82" t="str">
        <f t="shared" si="13"/>
        <v>"C:\Program Files (x86)\AstroGrep\AstroGrep.exe" /spath="%USERPROFILE%\AppData\Local\Temp\OnboardLogs" /stypes="app*4012*20170307*"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6" t="str">
        <f t="shared" si="18"/>
        <v>"%USERPROFILE%\Documents\GitHub\eaglep3\Utilities\RefineRTDCRunTimes.py" --tripid 124-07 --locoid 4012 --swversion DE.1.0.9.0 --startMP 204:232984 --initTime 2017-03-07T07:21:44 --startdatetime 2017-03-07T07:26:15 --delay 0 --endMP 204:17242 --enddatetime 2017-03-07T08:11:38 --enforcementcount 2 &gt;&gt;C:\Users\stu\Documents\GitHub\eaglep3-reporting\EC\2017-03-07-refined-times.txt</v>
      </c>
      <c r="AI36" s="108" t="str">
        <f t="shared" si="19"/>
        <v>echo {"issue":{"subject":"DUS SW 1 failure","project_id":79,"tracker_id":40,"status_id":1,"priority_id":2,"assigned_to_id":23,"start_date":"2017-03-07","description":"","custom_fields":[{"id":1,"name":"Subdivision","value":"EC"},{"id":4,"name":"Milepost","value":"1.7242"},{"id":17,"name":"Train ID","value":"124-07"},{"id":16,"name":"Locomotive ID","value":"4012"},{"id":130,"name":"Impact","value":""},{"id":150,"name":"Time of Event (Mountain Time)","value":"08:11:38"},{"id":151,"name":"Denver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4012 --day 2017-03-07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"%USERPROFILE%\AppData\Local\Temp\OnboardLogs"\RTDC4012\*4012*20170307* | grep -SE "(Enforcement Action)|(\[TIMEOUT)|(CHR.+\|PRM\|1\|D.+(SWITCH|SIGNAL).+UNKNOWN)" - &gt;&gt; 2017-03-07-UncaughtWiMAX.txt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555</v>
      </c>
      <c r="B37" s="7">
        <v>4044</v>
      </c>
      <c r="C37" s="21" t="s">
        <v>233</v>
      </c>
      <c r="D37" s="21" t="s">
        <v>222</v>
      </c>
      <c r="E37" s="13">
        <v>42801.278414351851</v>
      </c>
      <c r="F37" s="13">
        <v>42801.281504629631</v>
      </c>
      <c r="G37" s="7">
        <v>1</v>
      </c>
      <c r="H37" s="21" t="s">
        <v>493</v>
      </c>
      <c r="I37" s="13">
        <v>42801.310833333337</v>
      </c>
      <c r="J37" s="7">
        <v>2</v>
      </c>
      <c r="K37" s="98" t="str">
        <f t="shared" si="0"/>
        <v>4043/4044</v>
      </c>
      <c r="L37" s="21" t="str">
        <f>VLOOKUP(A37,'Trips&amp;Operators'!$C$1:$G$99999,5,FALSE)</f>
        <v>LOZA FIDEL</v>
      </c>
      <c r="M37" s="6">
        <f t="shared" si="1"/>
        <v>2.9328703705687076E-2</v>
      </c>
      <c r="N37" s="7">
        <f>24*60*SUM($M37:$M37)</f>
        <v>42.233333336189389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5"/>
        <v>https://d0f6bd738d7f1b3e5a7ca70fe4ff75f0.us-east-1.aws.found.io/app/kibana#/discover/Steve-Slow-Train-Analysis-(2080s-and-2083s)?_g=(refreshInterval:(display:Off,pause:!f,section:0,value:0),time:(from:'2017-03-07T05:40:55-0700',mode:absolute,to:'2017-03-07T08:27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7" s="187" t="str">
        <f t="shared" si="6"/>
        <v>N</v>
      </c>
      <c r="X37" s="187">
        <f t="shared" si="22"/>
        <v>1</v>
      </c>
      <c r="Y37" s="62">
        <f t="shared" si="8"/>
        <v>4.3999999999999997E-2</v>
      </c>
      <c r="Z37" s="62">
        <f t="shared" si="9"/>
        <v>23.329799999999999</v>
      </c>
      <c r="AA37" s="62">
        <f t="shared" si="10"/>
        <v>23.285799999999998</v>
      </c>
      <c r="AB37" s="59" t="str">
        <f>VLOOKUP(A37,Enforcements!$C$7:$K$13,8,0)</f>
        <v>Bulletin (2)</v>
      </c>
      <c r="AC37" s="55" t="str">
        <f>VLOOKUP(A37,Enforcements!$C$7:$E$13,3,0)</f>
        <v>GRADE CROSSING</v>
      </c>
      <c r="AD37" s="56" t="str">
        <f t="shared" si="11"/>
        <v>0125-07</v>
      </c>
      <c r="AE37" s="85" t="str">
        <f t="shared" si="12"/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AF37" s="82" t="str">
        <f t="shared" si="13"/>
        <v>"C:\Program Files (x86)\AstroGrep\AstroGrep.exe" /spath="%USERPROFILE%\AppData\Local\Temp\OnboardLogs" /stypes="app*4044*20170307*"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6" t="str">
        <f t="shared" si="18"/>
        <v>"%USERPROFILE%\Documents\GitHub\eaglep3\Utilities\RefineRTDCRunTimes.py" --tripid 125-07 --locoid 4044 --swversion DE.1.0.9.0 --startMP 204:440 --initTime 2017-03-07T06:40:55 --startdatetime 2017-03-07T06:45:22 --delay 1 --endMP 204:233298 --enddatetime 2017-03-07T07:27:36 --enforcementcount 2 &gt;&gt;C:\Users\stu\Documents\GitHub\eaglep3-reporting\EC\2017-03-07-refined-times.txt</v>
      </c>
      <c r="AI37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{"issue":{"subject":"","project_id":79,"tracker_id":40,"status_id":1,"priority_id":2,"assigned_to_id":23,"start_date":"2017-03-07","description":"","custom_fields":[{"id":1,"name":"Subdivision","value":"EC"},{"id":4,"name":"Milepost","value":"23.3298"},{"id":17,"name":"Train ID","value":"125-07"},{"id":16,"name":"Locomotive ID","value":"4044"},{"id":130,"name":"Impact","value":""},{"id":150,"name":"Time of Event (Mountain Time)","value":"07:27:36"},{"id":151,"name":"Denver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4044 --day 2017-03-07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"%USERPROFILE%\AppData\Local\Temp\OnboardLogs"\RTDC4044\*4044*20170307* | grep -SE "(Enforcement Action)|(\[TIMEOUT)|(CHR.+\|PRM\|1\|D.+(SWITCH|SIGNAL).+UNKNOWN)" - &gt;&gt; 2017-03-07-UncaughtWiMAX.txt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639</v>
      </c>
      <c r="B38" s="7">
        <v>4043</v>
      </c>
      <c r="C38" s="21" t="s">
        <v>233</v>
      </c>
      <c r="D38" s="21" t="s">
        <v>256</v>
      </c>
      <c r="E38" s="13">
        <v>42801.315787037034</v>
      </c>
      <c r="F38" s="13">
        <v>42801.320949074077</v>
      </c>
      <c r="G38" s="7">
        <v>1</v>
      </c>
      <c r="H38" s="21" t="s">
        <v>800</v>
      </c>
      <c r="I38" s="13">
        <v>42801.345069444447</v>
      </c>
      <c r="J38" s="7">
        <v>2</v>
      </c>
      <c r="K38" s="98" t="str">
        <f t="shared" si="0"/>
        <v>4043/4044</v>
      </c>
      <c r="L38" s="21" t="str">
        <f>VLOOKUP(A38,'Trips&amp;Operators'!$C$1:$G$99999,5,FALSE)</f>
        <v>LOZA FIDEL</v>
      </c>
      <c r="M38" s="6">
        <f t="shared" si="1"/>
        <v>2.4120370369928423E-2</v>
      </c>
      <c r="N38" s="7"/>
      <c r="O38" s="7"/>
      <c r="P38" s="7">
        <f>24*60*SUM($M38:$M38)</f>
        <v>34.73333333269693</v>
      </c>
      <c r="Q38" s="22"/>
      <c r="R38" s="22" t="s">
        <v>992</v>
      </c>
      <c r="S38" s="31">
        <f t="shared" si="3"/>
        <v>1</v>
      </c>
      <c r="T38" s="46" t="str">
        <f t="shared" si="4"/>
        <v>Southbound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5"/>
        <v>https://d0f6bd738d7f1b3e5a7ca70fe4ff75f0.us-east-1.aws.found.io/app/kibana#/discover/Steve-Slow-Train-Analysis-(2080s-and-2083s)?_g=(refreshInterval:(display:Off,pause:!f,section:0,value:0),time:(from:'2017-03-07T06:34:44-0700',mode:absolute,to:'2017-03-07T09:16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8" s="187" t="str">
        <f t="shared" si="6"/>
        <v>Y</v>
      </c>
      <c r="X38" s="187">
        <f t="shared" si="22"/>
        <v>1</v>
      </c>
      <c r="Y38" s="62">
        <f t="shared" si="8"/>
        <v>23.3004</v>
      </c>
      <c r="Z38" s="62">
        <f t="shared" si="9"/>
        <v>1.8781000000000001</v>
      </c>
      <c r="AA38" s="62">
        <f t="shared" si="10"/>
        <v>21.4223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0126-07</v>
      </c>
      <c r="AE38" s="85" t="str">
        <f t="shared" si="12"/>
        <v>aws s3 cp s3://rtdc.mdm.uploadarchive.raw/RTDC4043/ "%USERPROFILE%\AppData\Local\Temp\OnboardLogs"\RTDC4043\2017-03-07 --exclude "*" --recursive --include "*20170307*" &amp; "%USERPROFILE%\Documents\GitHub\mrs-test-scripts\Headless Mode &amp; Sideloading\WalkAndUnGZ.bat" "%USERPROFILE%\AppData\Local\Temp\OnboardLogs"\RTDC4043\2017-03-07 &amp; aws s3 cp s3://rtdc.mdm.uploadarchive.raw/RTDC4043/ "%USERPROFILE%\AppData\Local\Temp\OnboardLogs"\RTDC4043\2017-03-08 --exclude "*" --recursive --include "*20170308*" &amp; "%USERPROFILE%\Documents\GitHub\mrs-test-scripts\Headless Mode &amp; Sideloading\WalkAndUnGZ.bat" "%USERPROFILE%\AppData\Local\Temp\OnboardLogs"\RTDC4043\2017-03-08</v>
      </c>
      <c r="AF38" s="82" t="str">
        <f t="shared" si="13"/>
        <v>"C:\Program Files (x86)\AstroGrep\AstroGrep.exe" /spath="%USERPROFILE%\AppData\Local\Temp\OnboardLogs" /stypes="app*4043*20170307*"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6" t="str">
        <f t="shared" si="18"/>
        <v>"%USERPROFILE%\Documents\GitHub\eaglep3\Utilities\RefineRTDCRunTimes.py" --tripid 126-07 --locoid 4043 --swversion DE.1.0.9.0 --startMP 204:233004 --initTime 2017-03-07T07:34:44 --startdatetime 2017-03-07T07:42:10 --delay 1 --endMP 204:18781 --enddatetime 2017-03-07T08:16:54 --enforcementcount 2 &gt;&gt;C:\Users\stu\Documents\GitHub\eaglep3-reporting\EC\2017-03-07-refined-times.txt</v>
      </c>
      <c r="AI38" s="108" t="str">
        <f t="shared" si="19"/>
        <v>echo {"issue":{"subject":"DUS SW 1 failure","project_id":79,"tracker_id":40,"status_id":1,"priority_id":2,"assigned_to_id":23,"start_date":"2017-03-07","description":"","custom_fields":[{"id":1,"name":"Subdivision","value":"EC"},{"id":4,"name":"Milepost","value":"1.8781"},{"id":17,"name":"Train ID","value":"126-07"},{"id":16,"name":"Locomotive ID","value":"4043"},{"id":130,"name":"Impact","value":""},{"id":150,"name":"Time of Event (Mountain Time)","value":"08:16:54"},{"id":151,"name":"Denver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4043 --day 2017-03-07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"%USERPROFILE%\AppData\Local\Temp\OnboardLogs"\RTDC4043\*4043*20170307* | grep -SE "(Enforcement Action)|(\[TIMEOUT)|(CHR.+\|PRM\|1\|D.+(SWITCH|SIGNAL).+UNKNOWN)" - &gt;&gt; 2017-03-07-UncaughtWiMAX.txt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632</v>
      </c>
      <c r="B39" s="7">
        <v>4020</v>
      </c>
      <c r="C39" s="21" t="s">
        <v>233</v>
      </c>
      <c r="D39" s="21" t="s">
        <v>201</v>
      </c>
      <c r="E39" s="13">
        <v>42801.290208333332</v>
      </c>
      <c r="F39" s="13">
        <v>42801.292175925926</v>
      </c>
      <c r="G39" s="7">
        <v>1</v>
      </c>
      <c r="H39" s="21" t="s">
        <v>266</v>
      </c>
      <c r="I39" s="13">
        <v>42801.318854166668</v>
      </c>
      <c r="J39" s="7">
        <v>2</v>
      </c>
      <c r="K39" s="98" t="str">
        <f t="shared" si="0"/>
        <v>4019/4020</v>
      </c>
      <c r="L39" s="21" t="str">
        <f>VLOOKUP(A39,'Trips&amp;Operators'!$C$1:$G$99999,5,FALSE)</f>
        <v>SANTIZO D. EDY</v>
      </c>
      <c r="M39" s="6">
        <f t="shared" si="1"/>
        <v>2.6678240741603076E-2</v>
      </c>
      <c r="N39" s="7">
        <f>24*60*SUM($M39:$M39)</f>
        <v>38.41666666790843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5"/>
        <v>https://d0f6bd738d7f1b3e5a7ca70fe4ff75f0.us-east-1.aws.found.io/app/kibana#/discover/Steve-Slow-Train-Analysis-(2080s-and-2083s)?_g=(refreshInterval:(display:Off,pause:!f,section:0,value:0),time:(from:'2017-03-07T05:57:54-0700',mode:absolute,to:'2017-03-07T08:39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9" s="187" t="str">
        <f t="shared" si="6"/>
        <v>N</v>
      </c>
      <c r="X39" s="187">
        <f t="shared" si="22"/>
        <v>1</v>
      </c>
      <c r="Y39" s="62">
        <f t="shared" si="8"/>
        <v>4.6199999999999998E-2</v>
      </c>
      <c r="Z39" s="62">
        <f t="shared" si="9"/>
        <v>23.329499999999999</v>
      </c>
      <c r="AA39" s="62">
        <f t="shared" si="10"/>
        <v>23.283300000000001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0127-07</v>
      </c>
      <c r="AE39" s="85" t="str">
        <f t="shared" si="12"/>
        <v>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 &amp; aws s3 cp s3://rtdc.mdm.uploadarchive.raw/RTDC4020/ "%USERPROFILE%\AppData\Local\Temp\OnboardLogs"\RTDC4020\2017-03-08 --exclude "*" --recursive --include "*20170308*" &amp; "%USERPROFILE%\Documents\GitHub\mrs-test-scripts\Headless Mode &amp; Sideloading\WalkAndUnGZ.bat" "%USERPROFILE%\AppData\Local\Temp\OnboardLogs"\RTDC4020\2017-03-08</v>
      </c>
      <c r="AF39" s="82" t="str">
        <f t="shared" si="13"/>
        <v>"C:\Program Files (x86)\AstroGrep\AstroGrep.exe" /spath="%USERPROFILE%\AppData\Local\Temp\OnboardLogs" /stypes="app*4020*20170307*"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6" t="str">
        <f t="shared" si="18"/>
        <v>"%USERPROFILE%\Documents\GitHub\eaglep3\Utilities\RefineRTDCRunTimes.py" --tripid 127-07 --locoid 4020 --swversion DE.1.0.9.0 --startMP 204:462 --initTime 2017-03-07T06:57:54 --startdatetime 2017-03-07T07:00:44 --delay 1 --endMP 204:233295 --enddatetime 2017-03-07T07:39:09 --enforcementcount 2 &gt;&gt;C:\Users\stu\Documents\GitHub\eaglep3-reporting\EC\2017-03-07-refined-times.txt</v>
      </c>
      <c r="AI39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{"issue":{"subject":"","project_id":79,"tracker_id":40,"status_id":1,"priority_id":2,"assigned_to_id":23,"start_date":"2017-03-07","description":"","custom_fields":[{"id":1,"name":"Subdivision","value":"EC"},{"id":4,"name":"Milepost","value":"23.3295"},{"id":17,"name":"Train ID","value":"127-07"},{"id":16,"name":"Locomotive ID","value":"4020"},{"id":130,"name":"Impact","value":""},{"id":150,"name":"Time of Event (Mountain Time)","value":"07:39:09"},{"id":151,"name":"Denver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4020 --day 2017-03-07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"%USERPROFILE%\AppData\Local\Temp\OnboardLogs"\RTDC4020\*4020*20170307* | grep -SE "(Enforcement Action)|(\[TIMEOUT)|(CHR.+\|PRM\|1\|D.+(SWITCH|SIGNAL).+UNKNOWN)" - &gt;&gt; 2017-03-07-UncaughtWiMAX.txt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560</v>
      </c>
      <c r="B40" s="7">
        <v>4019</v>
      </c>
      <c r="C40" s="21" t="s">
        <v>233</v>
      </c>
      <c r="D40" s="21" t="s">
        <v>243</v>
      </c>
      <c r="E40" s="13">
        <v>42801.319895833331</v>
      </c>
      <c r="F40" s="13">
        <v>42801.331180555557</v>
      </c>
      <c r="G40" s="7">
        <v>1</v>
      </c>
      <c r="H40" s="21" t="s">
        <v>801</v>
      </c>
      <c r="I40" s="13">
        <v>42801.361076388886</v>
      </c>
      <c r="J40" s="7">
        <v>2</v>
      </c>
      <c r="K40" s="98" t="str">
        <f t="shared" si="0"/>
        <v>4019/4020</v>
      </c>
      <c r="L40" s="21" t="str">
        <f>VLOOKUP(A40,'Trips&amp;Operators'!$C$1:$G$99999,5,FALSE)</f>
        <v>SANTIZO D. EDY</v>
      </c>
      <c r="M40" s="6">
        <f t="shared" si="1"/>
        <v>2.9895833329646848E-2</v>
      </c>
      <c r="N40" s="7"/>
      <c r="O40" s="7"/>
      <c r="P40" s="7">
        <f>24*60*SUM($M40:$M40)</f>
        <v>43.049999994691461</v>
      </c>
      <c r="Q40" s="22"/>
      <c r="R40" s="22" t="s">
        <v>992</v>
      </c>
      <c r="S40" s="31">
        <f t="shared" si="3"/>
        <v>1</v>
      </c>
      <c r="T40" s="46" t="str">
        <f t="shared" si="4"/>
        <v>Southbound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5"/>
        <v>https://d0f6bd738d7f1b3e5a7ca70fe4ff75f0.us-east-1.aws.found.io/app/kibana#/discover/Steve-Slow-Train-Analysis-(2080s-and-2083s)?_g=(refreshInterval:(display:Off,pause:!f,section:0,value:0),time:(from:'2017-03-07T06:40:39-0700',mode:absolute,to:'2017-03-07T09:39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0" s="187" t="str">
        <f t="shared" si="6"/>
        <v>Y</v>
      </c>
      <c r="X40" s="187">
        <f t="shared" si="22"/>
        <v>1</v>
      </c>
      <c r="Y40" s="62">
        <f t="shared" si="8"/>
        <v>23.297699999999999</v>
      </c>
      <c r="Z40" s="62">
        <f t="shared" si="9"/>
        <v>1.7588999999999999</v>
      </c>
      <c r="AA40" s="62">
        <f t="shared" si="10"/>
        <v>21.538799999999998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0128-07</v>
      </c>
      <c r="AE40" s="85" t="str">
        <f t="shared" si="12"/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AF40" s="82" t="str">
        <f t="shared" si="13"/>
        <v>"C:\Program Files (x86)\AstroGrep\AstroGrep.exe" /spath="%USERPROFILE%\AppData\Local\Temp\OnboardLogs" /stypes="app*4019*20170307*"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6" t="str">
        <f t="shared" si="18"/>
        <v>"%USERPROFILE%\Documents\GitHub\eaglep3\Utilities\RefineRTDCRunTimes.py" --tripid 128-07 --locoid 4019 --swversion DE.1.0.9.0 --startMP 204:232977 --initTime 2017-03-07T07:40:39 --startdatetime 2017-03-07T07:56:54 --delay 1 --endMP 204:17589 --enddatetime 2017-03-07T08:39:57 --enforcementcount 2 &gt;&gt;C:\Users\stu\Documents\GitHub\eaglep3-reporting\EC\2017-03-07-refined-times.txt</v>
      </c>
      <c r="AI40" s="108" t="str">
        <f t="shared" si="19"/>
        <v>echo {"issue":{"subject":"DUS SW 1 failure","project_id":79,"tracker_id":40,"status_id":1,"priority_id":2,"assigned_to_id":23,"start_date":"2017-03-07","description":"","custom_fields":[{"id":1,"name":"Subdivision","value":"EC"},{"id":4,"name":"Milepost","value":"1.7589"},{"id":17,"name":"Train ID","value":"128-07"},{"id":16,"name":"Locomotive ID","value":"4019"},{"id":130,"name":"Impact","value":""},{"id":150,"name":"Time of Event (Mountain Time)","value":"08:39:57"},{"id":151,"name":"Denver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4019 --day 2017-03-07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"%USERPROFILE%\AppData\Local\Temp\OnboardLogs"\RTDC4019\*4019*20170307* | grep -SE "(Enforcement Action)|(\[TIMEOUT)|(CHR.+\|PRM\|1\|D.+(SWITCH|SIGNAL).+UNKNOWN)" - &gt;&gt; 2017-03-07-UncaughtWiMAX.txt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635</v>
      </c>
      <c r="B41" s="7">
        <v>4014</v>
      </c>
      <c r="C41" s="21" t="s">
        <v>233</v>
      </c>
      <c r="D41" s="21" t="s">
        <v>210</v>
      </c>
      <c r="E41" s="13">
        <v>42801.29960648148</v>
      </c>
      <c r="F41" s="13">
        <v>42801.302384259259</v>
      </c>
      <c r="G41" s="7">
        <v>1</v>
      </c>
      <c r="H41" s="21" t="s">
        <v>266</v>
      </c>
      <c r="I41" s="13">
        <v>42801.329351851855</v>
      </c>
      <c r="J41" s="7">
        <v>2</v>
      </c>
      <c r="K41" s="98" t="str">
        <f t="shared" si="0"/>
        <v>4013/4014</v>
      </c>
      <c r="L41" s="21" t="str">
        <f>VLOOKUP(A41,'Trips&amp;Operators'!$C$1:$G$99999,5,FALSE)</f>
        <v>ROCHA YAOTL</v>
      </c>
      <c r="M41" s="6">
        <f t="shared" si="1"/>
        <v>2.6967592595610768E-2</v>
      </c>
      <c r="N41" s="7">
        <f>24*60*SUM($M41:$M41)</f>
        <v>38.833333337679505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5"/>
        <v>https://d0f6bd738d7f1b3e5a7ca70fe4ff75f0.us-east-1.aws.found.io/app/kibana#/discover/Steve-Slow-Train-Analysis-(2080s-and-2083s)?_g=(refreshInterval:(display:Off,pause:!f,section:0,value:0),time:(from:'2017-03-07T06:11:26-0700',mode:absolute,to:'2017-03-07T08:54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1" s="187" t="str">
        <f t="shared" si="6"/>
        <v>N</v>
      </c>
      <c r="X41" s="187">
        <f t="shared" si="22"/>
        <v>1</v>
      </c>
      <c r="Y41" s="62">
        <f t="shared" si="8"/>
        <v>4.5699999999999998E-2</v>
      </c>
      <c r="Z41" s="62">
        <f t="shared" si="9"/>
        <v>23.329499999999999</v>
      </c>
      <c r="AA41" s="62">
        <f t="shared" si="10"/>
        <v>23.283799999999999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0129-07</v>
      </c>
      <c r="AE41" s="85" t="str">
        <f t="shared" si="12"/>
        <v>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 &amp; aws s3 cp s3://rtdc.mdm.uploadarchive.raw/RTDC4014/ "%USERPROFILE%\AppData\Local\Temp\OnboardLogs"\RTDC4014\2017-03-08 --exclude "*" --recursive --include "*20170308*" &amp; "%USERPROFILE%\Documents\GitHub\mrs-test-scripts\Headless Mode &amp; Sideloading\WalkAndUnGZ.bat" "%USERPROFILE%\AppData\Local\Temp\OnboardLogs"\RTDC4014\2017-03-08</v>
      </c>
      <c r="AF41" s="82" t="str">
        <f t="shared" si="13"/>
        <v>"C:\Program Files (x86)\AstroGrep\AstroGrep.exe" /spath="%USERPROFILE%\AppData\Local\Temp\OnboardLogs" /stypes="app*4014*20170307*"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6" t="str">
        <f t="shared" si="18"/>
        <v>"%USERPROFILE%\Documents\GitHub\eaglep3\Utilities\RefineRTDCRunTimes.py" --tripid 129-07 --locoid 4014 --swversion DE.1.0.9.0 --startMP 204:457 --initTime 2017-03-07T07:11:26 --startdatetime 2017-03-07T07:15:26 --delay 1 --endMP 204:233295 --enddatetime 2017-03-07T07:54:16 --enforcementcount 2 &gt;&gt;C:\Users\stu\Documents\GitHub\eaglep3-reporting\EC\2017-03-07-refined-times.txt</v>
      </c>
      <c r="AI41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{"issue":{"subject":"","project_id":79,"tracker_id":40,"status_id":1,"priority_id":2,"assigned_to_id":23,"start_date":"2017-03-07","description":"","custom_fields":[{"id":1,"name":"Subdivision","value":"EC"},{"id":4,"name":"Milepost","value":"23.3295"},{"id":17,"name":"Train ID","value":"129-07"},{"id":16,"name":"Locomotive ID","value":"4014"},{"id":130,"name":"Impact","value":""},{"id":150,"name":"Time of Event (Mountain Time)","value":"07:54:16"},{"id":151,"name":"Denver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4014 --day 2017-03-07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"%USERPROFILE%\AppData\Local\Temp\OnboardLogs"\RTDC4014\*4014*20170307* | grep -SE "(Enforcement Action)|(\[TIMEOUT)|(CHR.+\|PRM\|1\|D.+(SWITCH|SIGNAL).+UNKNOWN)" - &gt;&gt; 2017-03-07-UncaughtWiMAX.txt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644</v>
      </c>
      <c r="B42" s="7">
        <v>4013</v>
      </c>
      <c r="C42" s="21" t="s">
        <v>233</v>
      </c>
      <c r="D42" s="21" t="s">
        <v>502</v>
      </c>
      <c r="E42" s="13">
        <v>42801.34034722222</v>
      </c>
      <c r="F42" s="13">
        <v>42801.341689814813</v>
      </c>
      <c r="G42" s="7">
        <v>1</v>
      </c>
      <c r="H42" s="21" t="s">
        <v>802</v>
      </c>
      <c r="I42" s="13">
        <v>42801.377754629626</v>
      </c>
      <c r="J42" s="7">
        <v>2</v>
      </c>
      <c r="K42" s="98" t="str">
        <f t="shared" si="0"/>
        <v>4013/4014</v>
      </c>
      <c r="L42" s="21" t="str">
        <f>VLOOKUP(A42,'Trips&amp;Operators'!$C$1:$G$99999,5,FALSE)</f>
        <v>ROCHA YAOTL</v>
      </c>
      <c r="M42" s="6">
        <f t="shared" si="1"/>
        <v>3.6064814812561963E-2</v>
      </c>
      <c r="N42" s="7"/>
      <c r="O42" s="7"/>
      <c r="P42" s="7">
        <f>24*60*SUM($M42:$M42)</f>
        <v>51.933333330089226</v>
      </c>
      <c r="Q42" s="22"/>
      <c r="R42" s="22" t="s">
        <v>992</v>
      </c>
      <c r="S42" s="31">
        <f t="shared" si="3"/>
        <v>1</v>
      </c>
      <c r="T42" s="46" t="str">
        <f t="shared" si="4"/>
        <v>Southbound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5"/>
        <v>https://d0f6bd738d7f1b3e5a7ca70fe4ff75f0.us-east-1.aws.found.io/app/kibana#/discover/Steve-Slow-Train-Analysis-(2080s-and-2083s)?_g=(refreshInterval:(display:Off,pause:!f,section:0,value:0),time:(from:'2017-03-07T07:10:06-0700',mode:absolute,to:'2017-03-07T10:03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2" s="187" t="str">
        <f t="shared" si="6"/>
        <v>Y</v>
      </c>
      <c r="X42" s="187">
        <f t="shared" si="22"/>
        <v>1</v>
      </c>
      <c r="Y42" s="62">
        <f t="shared" si="8"/>
        <v>23.2974</v>
      </c>
      <c r="Z42" s="62">
        <f t="shared" si="9"/>
        <v>1.7225999999999999</v>
      </c>
      <c r="AA42" s="62">
        <f t="shared" si="10"/>
        <v>21.5748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0130-07</v>
      </c>
      <c r="AE42" s="85" t="str">
        <f t="shared" si="12"/>
        <v>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 &amp; aws s3 cp s3://rtdc.mdm.uploadarchive.raw/RTDC4013/ "%USERPROFILE%\AppData\Local\Temp\OnboardLogs"\RTDC4013\2017-03-08 --exclude "*" --recursive --include "*20170308*" &amp; "%USERPROFILE%\Documents\GitHub\mrs-test-scripts\Headless Mode &amp; Sideloading\WalkAndUnGZ.bat" "%USERPROFILE%\AppData\Local\Temp\OnboardLogs"\RTDC4013\2017-03-08</v>
      </c>
      <c r="AF42" s="82" t="str">
        <f t="shared" si="13"/>
        <v>"C:\Program Files (x86)\AstroGrep\AstroGrep.exe" /spath="%USERPROFILE%\AppData\Local\Temp\OnboardLogs" /stypes="app*4013*20170307*" /stext=" 16:.+((SYSTEM_STATE.+slice.+state.+changed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6" t="str">
        <f t="shared" si="18"/>
        <v>"%USERPROFILE%\Documents\GitHub\eaglep3\Utilities\RefineRTDCRunTimes.py" --tripid 130-07 --locoid 4013 --swversion DE.1.0.9.0 --startMP 204:232974 --initTime 2017-03-07T08:10:06 --startdatetime 2017-03-07T08:12:02 --delay 1 --endMP 204:17226 --enddatetime 2017-03-07T09:03:58 --enforcementcount 2 &gt;&gt;C:\Users\stu\Documents\GitHub\eaglep3-reporting\EC\2017-03-07-refined-times.txt</v>
      </c>
      <c r="AI42" s="108" t="str">
        <f t="shared" si="19"/>
        <v>echo {"issue":{"subject":"DUS SW 1 failure","project_id":79,"tracker_id":40,"status_id":1,"priority_id":2,"assigned_to_id":23,"start_date":"2017-03-07","description":"","custom_fields":[{"id":1,"name":"Subdivision","value":"EC"},{"id":4,"name":"Milepost","value":"1.7226"},{"id":17,"name":"Train ID","value":"130-07"},{"id":16,"name":"Locomotive ID","value":"4013"},{"id":130,"name":"Impact","value":""},{"id":150,"name":"Time of Event (Mountain Time)","value":"09:03:58"},{"id":151,"name":"Denver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4013 --day 2017-03-07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"%USERPROFILE%\AppData\Local\Temp\OnboardLogs"\RTDC4013\*4013*20170307* | grep -SE "(Enforcement Action)|(\[TIMEOUT)|(CHR.+\|PRM\|1\|D.+(SWITCH|SIGNAL).+UNKNOWN)" - &gt;&gt; 2017-03-07-UncaughtWiMAX.txt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638</v>
      </c>
      <c r="B43" s="7">
        <v>4006</v>
      </c>
      <c r="C43" s="21" t="s">
        <v>233</v>
      </c>
      <c r="D43" s="21" t="s">
        <v>257</v>
      </c>
      <c r="E43" s="13">
        <v>42801.310960648145</v>
      </c>
      <c r="F43" s="13">
        <v>42801.313518518517</v>
      </c>
      <c r="G43" s="7">
        <v>1</v>
      </c>
      <c r="H43" s="21" t="s">
        <v>239</v>
      </c>
      <c r="I43" s="13">
        <v>42801.338888888888</v>
      </c>
      <c r="J43" s="7">
        <v>2</v>
      </c>
      <c r="K43" s="98" t="str">
        <f t="shared" si="0"/>
        <v>4005/4006</v>
      </c>
      <c r="L43" s="21" t="str">
        <f>VLOOKUP(A43,'Trips&amp;Operators'!$C$1:$G$99999,5,FALSE)</f>
        <v>MAELZER KURT</v>
      </c>
      <c r="M43" s="6">
        <f t="shared" si="1"/>
        <v>2.5370370371092577E-2</v>
      </c>
      <c r="N43" s="7">
        <f>24*60*SUM($M43:$M43)</f>
        <v>36.53333333437331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5"/>
        <v>https://d0f6bd738d7f1b3e5a7ca70fe4ff75f0.us-east-1.aws.found.io/app/kibana#/discover/Steve-Slow-Train-Analysis-(2080s-and-2083s)?_g=(refreshInterval:(display:Off,pause:!f,section:0,value:0),time:(from:'2017-03-07T06:27:47-0700',mode:absolute,to:'2017-03-07T09:08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3" s="187" t="str">
        <f t="shared" si="6"/>
        <v>N</v>
      </c>
      <c r="X43" s="187">
        <f t="shared" si="22"/>
        <v>1</v>
      </c>
      <c r="Y43" s="62">
        <f t="shared" si="8"/>
        <v>4.4200000000000003E-2</v>
      </c>
      <c r="Z43" s="62">
        <f t="shared" si="9"/>
        <v>23.329899999999999</v>
      </c>
      <c r="AA43" s="62">
        <f t="shared" si="10"/>
        <v>23.285699999999999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0131-07</v>
      </c>
      <c r="AE43" s="85" t="str">
        <f t="shared" si="12"/>
        <v>aws s3 cp s3://rtdc.mdm.uploadarchive.raw/RTDC4006/ "%USERPROFILE%\AppData\Local\Temp\OnboardLogs"\RTDC4006\2017-03-07 --exclude "*" --recursive --include "*20170307*" &amp; "%USERPROFILE%\Documents\GitHub\mrs-test-scripts\Headless Mode &amp; Sideloading\WalkAndUnGZ.bat" "%USERPROFILE%\AppData\Local\Temp\OnboardLogs"\RTDC4006\2017-03-07 &amp; aws s3 cp s3://rtdc.mdm.uploadarchive.raw/RTDC4006/ "%USERPROFILE%\AppData\Local\Temp\OnboardLogs"\RTDC4006\2017-03-08 --exclude "*" --recursive --include "*20170308*" &amp; "%USERPROFILE%\Documents\GitHub\mrs-test-scripts\Headless Mode &amp; Sideloading\WalkAndUnGZ.bat" "%USERPROFILE%\AppData\Local\Temp\OnboardLogs"\RTDC4006\2017-03-08</v>
      </c>
      <c r="AF43" s="82" t="str">
        <f t="shared" si="13"/>
        <v>"C:\Program Files (x86)\AstroGrep\AstroGrep.exe" /spath="%USERPROFILE%\AppData\Local\Temp\OnboardLogs" /stypes="app*4006*20170307*"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6" t="str">
        <f t="shared" si="18"/>
        <v>"%USERPROFILE%\Documents\GitHub\eaglep3\Utilities\RefineRTDCRunTimes.py" --tripid 131-07 --locoid 4006 --swversion DE.1.0.9.0 --startMP 204:442 --initTime 2017-03-07T07:27:47 --startdatetime 2017-03-07T07:31:28 --delay 1 --endMP 204:233299 --enddatetime 2017-03-07T08:08:00 --enforcementcount 2 &gt;&gt;C:\Users\stu\Documents\GitHub\eaglep3-reporting\EC\2017-03-07-refined-times.txt</v>
      </c>
      <c r="AI43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{"issue":{"subject":"","project_id":79,"tracker_id":40,"status_id":1,"priority_id":2,"assigned_to_id":23,"start_date":"2017-03-07","description":"","custom_fields":[{"id":1,"name":"Subdivision","value":"EC"},{"id":4,"name":"Milepost","value":"23.3299"},{"id":17,"name":"Train ID","value":"131-07"},{"id":16,"name":"Locomotive ID","value":"4006"},{"id":130,"name":"Impact","value":""},{"id":150,"name":"Time of Event (Mountain Time)","value":"08:08:00"},{"id":151,"name":"Denver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4006 --day 2017-03-07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"%USERPROFILE%\AppData\Local\Temp\OnboardLogs"\RTDC4006\*4006*20170307* | grep -SE "(Enforcement Action)|(\[TIMEOUT)|(CHR.+\|PRM\|1\|D.+(SWITCH|SIGNAL).+UNKNOWN)" - &gt;&gt; 2017-03-07-UncaughtWiMAX.txt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645</v>
      </c>
      <c r="B44" s="7">
        <v>4005</v>
      </c>
      <c r="C44" s="21" t="s">
        <v>233</v>
      </c>
      <c r="D44" s="21" t="s">
        <v>269</v>
      </c>
      <c r="E44" s="13">
        <v>42801.344930555555</v>
      </c>
      <c r="F44" s="13">
        <v>42801.351655092592</v>
      </c>
      <c r="G44" s="7">
        <v>1</v>
      </c>
      <c r="H44" s="21" t="s">
        <v>803</v>
      </c>
      <c r="I44" s="13">
        <v>42801.392569444448</v>
      </c>
      <c r="J44" s="7">
        <v>2</v>
      </c>
      <c r="K44" s="98" t="str">
        <f t="shared" si="0"/>
        <v>4005/4006</v>
      </c>
      <c r="L44" s="21" t="str">
        <f>VLOOKUP(A44,'Trips&amp;Operators'!$C$1:$G$99999,5,FALSE)</f>
        <v>MAELZER KURT</v>
      </c>
      <c r="M44" s="6">
        <f t="shared" si="1"/>
        <v>4.0914351855462883E-2</v>
      </c>
      <c r="N44" s="7"/>
      <c r="O44" s="7"/>
      <c r="P44" s="7">
        <f>24*60*SUM($M44:$M44)</f>
        <v>58.916666671866551</v>
      </c>
      <c r="Q44" s="22"/>
      <c r="R44" s="22" t="s">
        <v>992</v>
      </c>
      <c r="S44" s="31">
        <f t="shared" si="3"/>
        <v>1</v>
      </c>
      <c r="T44" s="46" t="str">
        <f t="shared" si="4"/>
        <v>Southbound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5"/>
        <v>https://d0f6bd738d7f1b3e5a7ca70fe4ff75f0.us-east-1.aws.found.io/app/kibana#/discover/Steve-Slow-Train-Analysis-(2080s-and-2083s)?_g=(refreshInterval:(display:Off,pause:!f,section:0,value:0),time:(from:'2017-03-07T07:16:42-0700',mode:absolute,to:'2017-03-07T10:25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4" s="187" t="str">
        <f t="shared" si="6"/>
        <v>Y</v>
      </c>
      <c r="X44" s="187">
        <f t="shared" si="22"/>
        <v>1</v>
      </c>
      <c r="Y44" s="62">
        <f t="shared" si="8"/>
        <v>23.2971</v>
      </c>
      <c r="Z44" s="62">
        <f t="shared" si="9"/>
        <v>0.30740000000000001</v>
      </c>
      <c r="AA44" s="62">
        <f t="shared" si="10"/>
        <v>22.989699999999999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0132-07</v>
      </c>
      <c r="AE44" s="85" t="str">
        <f t="shared" si="12"/>
        <v>aws s3 cp s3://rtdc.mdm.uploadarchive.raw/RTDC4005/ "%USERPROFILE%\AppData\Local\Temp\OnboardLogs"\RTDC4005\2017-03-07 --exclude "*" --recursive --include "*20170307*" &amp; "%USERPROFILE%\Documents\GitHub\mrs-test-scripts\Headless Mode &amp; Sideloading\WalkAndUnGZ.bat" "%USERPROFILE%\AppData\Local\Temp\OnboardLogs"\RTDC4005\2017-03-07 &amp; aws s3 cp s3://rtdc.mdm.uploadarchive.raw/RTDC4005/ "%USERPROFILE%\AppData\Local\Temp\OnboardLogs"\RTDC4005\2017-03-08 --exclude "*" --recursive --include "*20170308*" &amp; "%USERPROFILE%\Documents\GitHub\mrs-test-scripts\Headless Mode &amp; Sideloading\WalkAndUnGZ.bat" "%USERPROFILE%\AppData\Local\Temp\OnboardLogs"\RTDC4005\2017-03-08</v>
      </c>
      <c r="AF44" s="82" t="str">
        <f t="shared" si="13"/>
        <v>"C:\Program Files (x86)\AstroGrep\AstroGrep.exe" /spath="%USERPROFILE%\AppData\Local\Temp\OnboardLogs" /stypes="app*4005*20170307*"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6" t="str">
        <f t="shared" si="18"/>
        <v>"%USERPROFILE%\Documents\GitHub\eaglep3\Utilities\RefineRTDCRunTimes.py" --tripid 132-07 --locoid 4005 --swversion DE.1.0.9.0 --startMP 204:232971 --initTime 2017-03-07T08:16:42 --startdatetime 2017-03-07T08:26:23 --delay 1 --endMP 204:3074 --enddatetime 2017-03-07T09:25:18 --enforcementcount 2 &gt;&gt;C:\Users\stu\Documents\GitHub\eaglep3-reporting\EC\2017-03-07-refined-times.txt</v>
      </c>
      <c r="AI44" s="108" t="str">
        <f t="shared" si="19"/>
        <v>echo {"issue":{"subject":"DUS SW 1 failure","project_id":79,"tracker_id":40,"status_id":1,"priority_id":2,"assigned_to_id":23,"start_date":"2017-03-07","description":"","custom_fields":[{"id":1,"name":"Subdivision","value":"EC"},{"id":4,"name":"Milepost","value":"0.3074"},{"id":17,"name":"Train ID","value":"132-07"},{"id":16,"name":"Locomotive ID","value":"4005"},{"id":130,"name":"Impact","value":""},{"id":150,"name":"Time of Event (Mountain Time)","value":"09:25:18"},{"id":151,"name":"Denver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4005 --day 2017-03-07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"%USERPROFILE%\AppData\Local\Temp\OnboardLogs"\RTDC4005\*4005*20170307* | grep -SE "(Enforcement Action)|(\[TIMEOUT)|(CHR.+\|PRM\|1\|D.+(SWITCH|SIGNAL).+UNKNOWN)" - &gt;&gt; 2017-03-07-UncaughtWiMAX.txt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641</v>
      </c>
      <c r="B45" s="7">
        <v>4016</v>
      </c>
      <c r="C45" s="21" t="s">
        <v>233</v>
      </c>
      <c r="D45" s="21" t="s">
        <v>218</v>
      </c>
      <c r="E45" s="13">
        <v>42801.322534722225</v>
      </c>
      <c r="F45" s="13">
        <v>42801.326388888891</v>
      </c>
      <c r="G45" s="7">
        <v>1</v>
      </c>
      <c r="H45" s="21" t="s">
        <v>500</v>
      </c>
      <c r="I45" s="13">
        <v>42801.354490740741</v>
      </c>
      <c r="J45" s="7">
        <v>2</v>
      </c>
      <c r="K45" s="98" t="str">
        <f t="shared" si="0"/>
        <v>4015/4016</v>
      </c>
      <c r="L45" s="21" t="str">
        <f>VLOOKUP(A45,'Trips&amp;Operators'!$C$1:$G$99999,5,FALSE)</f>
        <v>STARKS ANGELINA</v>
      </c>
      <c r="M45" s="6">
        <f t="shared" si="1"/>
        <v>2.810185185080627E-2</v>
      </c>
      <c r="N45" s="7">
        <f>24*60*SUM($M45:$M45)</f>
        <v>40.466666665161029</v>
      </c>
      <c r="O45" s="7"/>
      <c r="P45" s="7"/>
      <c r="Q45" s="22"/>
      <c r="R45" s="22"/>
      <c r="S45" s="31">
        <f t="shared" si="3"/>
        <v>1</v>
      </c>
      <c r="T45" s="46" t="str">
        <f t="shared" si="4"/>
        <v>NorthBound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5"/>
        <v>https://d0f6bd738d7f1b3e5a7ca70fe4ff75f0.us-east-1.aws.found.io/app/kibana#/discover/Steve-Slow-Train-Analysis-(2080s-and-2083s)?_g=(refreshInterval:(display:Off,pause:!f,section:0,value:0),time:(from:'2017-03-07T06:44:27-0700',mode:absolute,to:'2017-03-07T09:30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5" s="187" t="str">
        <f t="shared" si="6"/>
        <v>N</v>
      </c>
      <c r="X45" s="187">
        <f t="shared" si="22"/>
        <v>1</v>
      </c>
      <c r="Y45" s="62">
        <f t="shared" ref="Y45:Y62" si="23">RIGHT(D45,LEN(D45)-4)/10000</f>
        <v>4.5499999999999999E-2</v>
      </c>
      <c r="Z45" s="62">
        <f t="shared" si="9"/>
        <v>23.3308</v>
      </c>
      <c r="AA45" s="62">
        <f t="shared" si="10"/>
        <v>23.285299999999999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0133-07</v>
      </c>
      <c r="AE45" s="85" t="str">
        <f t="shared" si="12"/>
        <v>aws s3 cp s3://rtdc.mdm.uploadarchive.raw/RTDC4016/ "%USERPROFILE%\AppData\Local\Temp\OnboardLogs"\RTDC4016\2017-03-07 --exclude "*" --recursive --include "*20170307*" &amp; "%USERPROFILE%\Documents\GitHub\mrs-test-scripts\Headless Mode &amp; Sideloading\WalkAndUnGZ.bat" "%USERPROFILE%\AppData\Local\Temp\OnboardLogs"\RTDC4016\2017-03-07 &amp; aws s3 cp s3://rtdc.mdm.uploadarchive.raw/RTDC4016/ "%USERPROFILE%\AppData\Local\Temp\OnboardLogs"\RTDC4016\2017-03-08 --exclude "*" --recursive --include "*20170308*" &amp; "%USERPROFILE%\Documents\GitHub\mrs-test-scripts\Headless Mode &amp; Sideloading\WalkAndUnGZ.bat" "%USERPROFILE%\AppData\Local\Temp\OnboardLogs"\RTDC4016\2017-03-08</v>
      </c>
      <c r="AF45" s="82" t="str">
        <f t="shared" si="13"/>
        <v>"C:\Program Files (x86)\AstroGrep\AstroGrep.exe" /spath="%USERPROFILE%\AppData\Local\Temp\OnboardLogs" /stypes="app*4016*20170307*"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6" t="str">
        <f t="shared" si="18"/>
        <v>"%USERPROFILE%\Documents\GitHub\eaglep3\Utilities\RefineRTDCRunTimes.py" --tripid 133-07 --locoid 4016 --swversion DE.1.0.9.0 --startMP 204:455 --initTime 2017-03-07T07:44:27 --startdatetime 2017-03-07T07:50:00 --delay 1 --endMP 204:233308 --enddatetime 2017-03-07T08:30:28 --enforcementcount 2 &gt;&gt;C:\Users\stu\Documents\GitHub\eaglep3-reporting\EC\2017-03-07-refined-times.txt</v>
      </c>
      <c r="AI45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{"issue":{"subject":"","project_id":79,"tracker_id":40,"status_id":1,"priority_id":2,"assigned_to_id":23,"start_date":"2017-03-07","description":"","custom_fields":[{"id":1,"name":"Subdivision","value":"EC"},{"id":4,"name":"Milepost","value":"23.3308"},{"id":17,"name":"Train ID","value":"133-07"},{"id":16,"name":"Locomotive ID","value":"4016"},{"id":130,"name":"Impact","value":""},{"id":150,"name":"Time of Event (Mountain Time)","value":"08:30:28"},{"id":151,"name":"Denver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4016 --day 2017-03-07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"%USERPROFILE%\AppData\Local\Temp\OnboardLogs"\RTDC4016\*4016*20170307* | grep -SE "(Enforcement Action)|(\[TIMEOUT)|(CHR.+\|PRM\|1\|D.+(SWITCH|SIGNAL).+UNKNOWN)" - &gt;&gt; 2017-03-07-UncaughtWiMAX.txt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562</v>
      </c>
      <c r="B46" s="7">
        <v>4015</v>
      </c>
      <c r="C46" s="21" t="s">
        <v>233</v>
      </c>
      <c r="D46" s="21" t="s">
        <v>255</v>
      </c>
      <c r="E46" s="13">
        <v>42801.359571759262</v>
      </c>
      <c r="F46" s="13">
        <v>42801.362141203703</v>
      </c>
      <c r="G46" s="7">
        <v>1</v>
      </c>
      <c r="H46" s="21" t="s">
        <v>804</v>
      </c>
      <c r="I46" s="13">
        <v>42801.398113425923</v>
      </c>
      <c r="J46" s="7">
        <v>2</v>
      </c>
      <c r="K46" s="98" t="str">
        <f t="shared" si="0"/>
        <v>4015/4016</v>
      </c>
      <c r="L46" s="21" t="str">
        <f>VLOOKUP(A46,'Trips&amp;Operators'!$C$1:$G$99999,5,FALSE)</f>
        <v>STARKS ANGELINA</v>
      </c>
      <c r="M46" s="6">
        <f t="shared" si="1"/>
        <v>3.5972222220152617E-2</v>
      </c>
      <c r="N46" s="7"/>
      <c r="O46" s="7"/>
      <c r="P46" s="7">
        <f>24*60*SUM($M46:$M46)</f>
        <v>51.799999997019768</v>
      </c>
      <c r="Q46" s="22"/>
      <c r="R46" s="22" t="s">
        <v>992</v>
      </c>
      <c r="S46" s="31">
        <f t="shared" si="3"/>
        <v>1</v>
      </c>
      <c r="T46" s="46" t="str">
        <f t="shared" si="4"/>
        <v>Southbound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5"/>
        <v>https://d0f6bd738d7f1b3e5a7ca70fe4ff75f0.us-east-1.aws.found.io/app/kibana#/discover/Steve-Slow-Train-Analysis-(2080s-and-2083s)?_g=(refreshInterval:(display:Off,pause:!f,section:0,value:0),time:(from:'2017-03-07T07:37:47-0700',mode:absolute,to:'2017-03-07T10:33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6" s="187" t="str">
        <f t="shared" si="6"/>
        <v>Y</v>
      </c>
      <c r="X46" s="187">
        <f t="shared" si="22"/>
        <v>1</v>
      </c>
      <c r="Y46" s="62">
        <f t="shared" si="23"/>
        <v>23.297899999999998</v>
      </c>
      <c r="Z46" s="62">
        <f t="shared" si="9"/>
        <v>0.3589</v>
      </c>
      <c r="AA46" s="62">
        <f t="shared" si="10"/>
        <v>22.939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0134-07</v>
      </c>
      <c r="AE46" s="85" t="str">
        <f t="shared" si="12"/>
        <v>aws s3 cp s3://rtdc.mdm.uploadarchive.raw/RTDC4015/ "%USERPROFILE%\AppData\Local\Temp\OnboardLogs"\RTDC4015\2017-03-07 --exclude "*" --recursive --include "*20170307*" &amp; "%USERPROFILE%\Documents\GitHub\mrs-test-scripts\Headless Mode &amp; Sideloading\WalkAndUnGZ.bat" "%USERPROFILE%\AppData\Local\Temp\OnboardLogs"\RTDC4015\2017-03-07 &amp; aws s3 cp s3://rtdc.mdm.uploadarchive.raw/RTDC4015/ "%USERPROFILE%\AppData\Local\Temp\OnboardLogs"\RTDC4015\2017-03-08 --exclude "*" --recursive --include "*20170308*" &amp; "%USERPROFILE%\Documents\GitHub\mrs-test-scripts\Headless Mode &amp; Sideloading\WalkAndUnGZ.bat" "%USERPROFILE%\AppData\Local\Temp\OnboardLogs"\RTDC4015\2017-03-08</v>
      </c>
      <c r="AF46" s="82" t="str">
        <f t="shared" si="13"/>
        <v>"C:\Program Files (x86)\AstroGrep\AstroGrep.exe" /spath="%USERPROFILE%\AppData\Local\Temp\OnboardLogs" /stypes="app*4015*20170307*"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6" t="str">
        <f t="shared" si="18"/>
        <v>"%USERPROFILE%\Documents\GitHub\eaglep3\Utilities\RefineRTDCRunTimes.py" --tripid 134-07 --locoid 4015 --swversion DE.1.0.9.0 --startMP 204:232979 --initTime 2017-03-07T08:37:47 --startdatetime 2017-03-07T08:41:29 --delay 1 --endMP 204:3589 --enddatetime 2017-03-07T09:33:17 --enforcementcount 2 &gt;&gt;C:\Users\stu\Documents\GitHub\eaglep3-reporting\EC\2017-03-07-refined-times.txt</v>
      </c>
      <c r="AI46" s="108" t="str">
        <f t="shared" si="19"/>
        <v>echo {"issue":{"subject":"DUS SW 1 failure","project_id":79,"tracker_id":40,"status_id":1,"priority_id":2,"assigned_to_id":23,"start_date":"2017-03-07","description":"","custom_fields":[{"id":1,"name":"Subdivision","value":"EC"},{"id":4,"name":"Milepost","value":"0.3589"},{"id":17,"name":"Train ID","value":"134-07"},{"id":16,"name":"Locomotive ID","value":"4015"},{"id":130,"name":"Impact","value":""},{"id":150,"name":"Time of Event (Mountain Time)","value":"09:33:17"},{"id":151,"name":"Denver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4015 --day 2017-03-07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"%USERPROFILE%\AppData\Local\Temp\OnboardLogs"\RTDC4015\*4015*20170307* | grep -SE "(Enforcement Action)|(\[TIMEOUT)|(CHR.+\|PRM\|1\|D.+(SWITCH|SIGNAL).+UNKNOWN)" - &gt;&gt; 2017-03-07-UncaughtWiMAX.txt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642</v>
      </c>
      <c r="B47" s="7">
        <v>4022</v>
      </c>
      <c r="C47" s="21" t="s">
        <v>233</v>
      </c>
      <c r="D47" s="21" t="s">
        <v>805</v>
      </c>
      <c r="E47" s="13">
        <v>42801.343425925923</v>
      </c>
      <c r="F47" s="13">
        <v>42801.344525462962</v>
      </c>
      <c r="G47" s="7">
        <v>1</v>
      </c>
      <c r="H47" s="21" t="s">
        <v>266</v>
      </c>
      <c r="I47" s="13">
        <v>42801.36986111111</v>
      </c>
      <c r="J47" s="7">
        <v>2</v>
      </c>
      <c r="K47" s="98" t="str">
        <f t="shared" si="0"/>
        <v>4021/4022</v>
      </c>
      <c r="L47" s="21" t="str">
        <f>VLOOKUP(A47,'Trips&amp;Operators'!$C$1:$G$99999,5,FALSE)</f>
        <v>BONDS REYNALDO</v>
      </c>
      <c r="M47" s="6">
        <f t="shared" si="1"/>
        <v>2.5335648148029577E-2</v>
      </c>
      <c r="N47" s="7"/>
      <c r="O47" s="7"/>
      <c r="P47" s="7">
        <f>24*60*SUM($M47:$M47)</f>
        <v>36.483333333162591</v>
      </c>
      <c r="Q47" s="22"/>
      <c r="R47" s="22" t="s">
        <v>992</v>
      </c>
      <c r="S47" s="31">
        <f t="shared" si="3"/>
        <v>1</v>
      </c>
      <c r="T47" s="46" t="str">
        <f t="shared" si="4"/>
        <v>NorthBound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5"/>
        <v>https://d0f6bd738d7f1b3e5a7ca70fe4ff75f0.us-east-1.aws.found.io/app/kibana#/discover/Steve-Slow-Train-Analysis-(2080s-and-2083s)?_g=(refreshInterval:(display:Off,pause:!f,section:0,value:0),time:(from:'2017-03-07T07:14:32-0700',mode:absolute,to:'2017-03-07T09:52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7" s="187" t="str">
        <f t="shared" si="6"/>
        <v>Y</v>
      </c>
      <c r="X47" s="187">
        <f t="shared" si="22"/>
        <v>1</v>
      </c>
      <c r="Y47" s="62">
        <f t="shared" si="23"/>
        <v>1.9132</v>
      </c>
      <c r="Z47" s="62">
        <f t="shared" si="9"/>
        <v>23.329499999999999</v>
      </c>
      <c r="AA47" s="62">
        <f t="shared" si="10"/>
        <v>21.4163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0135-07</v>
      </c>
      <c r="AE47" s="85" t="str">
        <f t="shared" si="12"/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AF47" s="82" t="str">
        <f t="shared" si="13"/>
        <v>"C:\Program Files (x86)\AstroGrep\AstroGrep.exe" /spath="%USERPROFILE%\AppData\Local\Temp\OnboardLogs" /stypes="app*4022*20170307*"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6" t="str">
        <f t="shared" si="18"/>
        <v>"%USERPROFILE%\Documents\GitHub\eaglep3\Utilities\RefineRTDCRunTimes.py" --tripid 135-07 --locoid 4022 --swversion DE.1.0.9.0 --startMP 204:19132 --initTime 2017-03-07T08:14:32 --startdatetime 2017-03-07T08:16:07 --delay 1 --endMP 204:233295 --enddatetime 2017-03-07T08:52:36 --enforcementcount 2 &gt;&gt;C:\Users\stu\Documents\GitHub\eaglep3-reporting\EC\2017-03-07-refined-times.txt</v>
      </c>
      <c r="AI47" s="108" t="str">
        <f t="shared" si="19"/>
        <v>echo {"issue":{"subject":"DUS SW 1 failure","project_id":79,"tracker_id":40,"status_id":1,"priority_id":2,"assigned_to_id":23,"start_date":"2017-03-07","description":"","custom_fields":[{"id":1,"name":"Subdivision","value":"EC"},{"id":4,"name":"Milepost","value":"23.3295"},{"id":17,"name":"Train ID","value":"135-07"},{"id":16,"name":"Locomotive ID","value":"4022"},{"id":130,"name":"Impact","value":""},{"id":150,"name":"Time of Event (Mountain Time)","value":"08:52:36"},{"id":151,"name":"Denver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4022 --day 2017-03-07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"%USERPROFILE%\AppData\Local\Temp\OnboardLogs"\RTDC4022\*4022*20170307* | grep -SE "(Enforcement Action)|(\[TIMEOUT)|(CHR.+\|PRM\|1\|D.+(SWITCH|SIGNAL).+UNKNOWN)" - &gt;&gt; 2017-03-07-UncaughtWiMAX.txt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642</v>
      </c>
      <c r="B48" s="7">
        <v>4022</v>
      </c>
      <c r="C48" s="21" t="s">
        <v>233</v>
      </c>
      <c r="D48" s="21" t="s">
        <v>806</v>
      </c>
      <c r="E48" s="13">
        <v>42801.334768518522</v>
      </c>
      <c r="F48" s="13">
        <v>42801.344525462962</v>
      </c>
      <c r="G48" s="7">
        <v>1</v>
      </c>
      <c r="H48" s="21" t="s">
        <v>807</v>
      </c>
      <c r="I48" s="13">
        <v>42801.36986111111</v>
      </c>
      <c r="J48" s="7">
        <v>2</v>
      </c>
      <c r="K48" s="98" t="str">
        <f t="shared" si="0"/>
        <v>4021/4022</v>
      </c>
      <c r="L48" s="21" t="str">
        <f>VLOOKUP(A48,'Trips&amp;Operators'!$C$1:$G$99999,5,FALSE)</f>
        <v>BONDS REYNALDO</v>
      </c>
      <c r="M48" s="6">
        <f t="shared" si="1"/>
        <v>2.5335648148029577E-2</v>
      </c>
      <c r="N48" s="7"/>
      <c r="O48" s="7"/>
      <c r="P48" s="7"/>
      <c r="Q48" s="22"/>
      <c r="R48" s="22"/>
      <c r="S48" s="31"/>
      <c r="T48" s="46" t="str">
        <f t="shared" si="4"/>
        <v>NorthBound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0</v>
      </c>
      <c r="V48" s="186" t="str">
        <f t="shared" si="5"/>
        <v>https://d0f6bd738d7f1b3e5a7ca70fe4ff75f0.us-east-1.aws.found.io/app/kibana#/discover/Steve-Slow-Train-Analysis-(2080s-and-2083s)?_g=(refreshInterval:(display:Off,pause:!f,section:0,value:0),time:(from:'2017-03-07T07:02:04-0700',mode:absolute,to:'2017-03-07T09:52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8" s="187" t="str">
        <f t="shared" si="6"/>
        <v>Y</v>
      </c>
      <c r="X48" s="187">
        <f t="shared" si="22"/>
        <v>0</v>
      </c>
      <c r="Y48" s="62">
        <f t="shared" si="23"/>
        <v>4.2200000000000001E-2</v>
      </c>
      <c r="Z48" s="62">
        <f t="shared" si="9"/>
        <v>0.1087</v>
      </c>
      <c r="AA48" s="62">
        <f t="shared" si="10"/>
        <v>6.6500000000000004E-2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0135-07</v>
      </c>
      <c r="AE48" s="85" t="str">
        <f t="shared" si="12"/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AF48" s="82" t="str">
        <f t="shared" si="13"/>
        <v>"C:\Program Files (x86)\AstroGrep\AstroGrep.exe" /spath="%USERPROFILE%\AppData\Local\Temp\OnboardLogs" /stypes="app*4022*20170307*" /stext=" 15:.+((SYSTEM_STATE.+slice.+state.+changed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6" t="str">
        <f t="shared" si="18"/>
        <v>"%USERPROFILE%\Documents\GitHub\eaglep3\Utilities\RefineRTDCRunTimes.py" --tripid 135-07 --locoid 4022 --swversion DE.1.0.9.0 --startMP 204:422 --initTime 2017-03-07T08:02:04 --startdatetime 2017-03-07T08:16:07 --delay 1 --endMP 204:1087 --enddatetime 2017-03-07T08:52:36 --enforcementcount 2 &gt;&gt;C:\Users\stu\Documents\GitHub\eaglep3-reporting\EC\2017-03-07-refined-times.txt</v>
      </c>
      <c r="AI48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{"issue":{"subject":"","project_id":79,"tracker_id":40,"status_id":1,"priority_id":2,"assigned_to_id":23,"start_date":"2017-03-07","description":"","custom_fields":[{"id":1,"name":"Subdivision","value":"EC"},{"id":4,"name":"Milepost","value":"0.1087"},{"id":17,"name":"Train ID","value":"135-07"},{"id":16,"name":"Locomotive ID","value":"4022"},{"id":130,"name":"Impact","value":""},{"id":150,"name":"Time of Event (Mountain Time)","value":"08:52:36"},{"id":151,"name":"Denver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4022 --day 2017-03-07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"%USERPROFILE%\AppData\Local\Temp\OnboardLogs"\RTDC4022\*4022*20170307* | grep -SE "(Enforcement Action)|(\[TIMEOUT)|(CHR.+\|PRM\|1\|D.+(SWITCH|SIGNAL).+UNKNOWN)" - &gt;&gt; 2017-03-07-UncaughtWiMAX.txt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650</v>
      </c>
      <c r="B49" s="7">
        <v>4021</v>
      </c>
      <c r="C49" s="21" t="s">
        <v>233</v>
      </c>
      <c r="D49" s="21" t="s">
        <v>248</v>
      </c>
      <c r="E49" s="13">
        <v>42801.37122685185</v>
      </c>
      <c r="F49" s="13">
        <v>42801.372615740744</v>
      </c>
      <c r="G49" s="7">
        <v>1</v>
      </c>
      <c r="H49" s="21" t="s">
        <v>808</v>
      </c>
      <c r="I49" s="13">
        <v>42801.400555555556</v>
      </c>
      <c r="J49" s="7">
        <v>2</v>
      </c>
      <c r="K49" s="98" t="str">
        <f t="shared" si="0"/>
        <v>4021/4022</v>
      </c>
      <c r="L49" s="21" t="str">
        <f>VLOOKUP(A49,'Trips&amp;Operators'!$C$1:$G$99999,5,FALSE)</f>
        <v>BONDS REYNALDO</v>
      </c>
      <c r="M49" s="6">
        <f t="shared" si="1"/>
        <v>2.7939814812270924E-2</v>
      </c>
      <c r="N49" s="7"/>
      <c r="O49" s="7"/>
      <c r="P49" s="7">
        <f>24*60*SUM($M49:$M49)</f>
        <v>40.233333329670131</v>
      </c>
      <c r="Q49" s="22"/>
      <c r="R49" s="22" t="s">
        <v>992</v>
      </c>
      <c r="S49" s="31">
        <f>SUM(U49:U49)/IF(AG49="EC",12,1)</f>
        <v>1</v>
      </c>
      <c r="T49" s="46" t="str">
        <f t="shared" si="4"/>
        <v>Southbound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5"/>
        <v>https://d0f6bd738d7f1b3e5a7ca70fe4ff75f0.us-east-1.aws.found.io/app/kibana#/discover/Steve-Slow-Train-Analysis-(2080s-and-2083s)?_g=(refreshInterval:(display:Off,pause:!f,section:0,value:0),time:(from:'2017-03-07T07:54:34-0700',mode:absolute,to:'2017-03-07T10:36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9" s="187" t="str">
        <f t="shared" si="6"/>
        <v>Y</v>
      </c>
      <c r="X49" s="187">
        <f t="shared" si="22"/>
        <v>1</v>
      </c>
      <c r="Y49" s="62">
        <f t="shared" si="23"/>
        <v>23.297499999999999</v>
      </c>
      <c r="Z49" s="62">
        <f t="shared" si="9"/>
        <v>1.8773</v>
      </c>
      <c r="AA49" s="62">
        <f t="shared" si="10"/>
        <v>21.420200000000001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0136-07</v>
      </c>
      <c r="AE49" s="85" t="str">
        <f t="shared" si="12"/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AF49" s="82" t="str">
        <f t="shared" si="13"/>
        <v>"C:\Program Files (x86)\AstroGrep\AstroGrep.exe" /spath="%USERPROFILE%\AppData\Local\Temp\OnboardLogs" /stypes="app*4021*20170307*" /stext=" 16:.+((SYSTEM_STATE.+slice.+state.+changed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6" t="str">
        <f t="shared" si="18"/>
        <v>"%USERPROFILE%\Documents\GitHub\eaglep3\Utilities\RefineRTDCRunTimes.py" --tripid 136-07 --locoid 4021 --swversion DE.1.0.9.0 --startMP 204:232975 --initTime 2017-03-07T08:54:34 --startdatetime 2017-03-07T08:56:34 --delay 1 --endMP 204:18773 --enddatetime 2017-03-07T09:36:48 --enforcementcount 2 &gt;&gt;C:\Users\stu\Documents\GitHub\eaglep3-reporting\EC\2017-03-07-refined-times.txt</v>
      </c>
      <c r="AI49" s="108" t="str">
        <f t="shared" si="19"/>
        <v>echo {"issue":{"subject":"DUS SW 1 failure","project_id":79,"tracker_id":40,"status_id":1,"priority_id":2,"assigned_to_id":23,"start_date":"2017-03-07","description":"","custom_fields":[{"id":1,"name":"Subdivision","value":"EC"},{"id":4,"name":"Milepost","value":"1.8773"},{"id":17,"name":"Train ID","value":"136-07"},{"id":16,"name":"Locomotive ID","value":"4021"},{"id":130,"name":"Impact","value":""},{"id":150,"name":"Time of Event (Mountain Time)","value":"09:36:48"},{"id":151,"name":"Denver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4021 --day 2017-03-07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"%USERPROFILE%\AppData\Local\Temp\OnboardLogs"\RTDC4021\*4021*20170307* | grep -SE "(Enforcement Action)|(\[TIMEOUT)|(CHR.+\|PRM\|1\|D.+(SWITCH|SIGNAL).+UNKNOWN)" - &gt;&gt; 2017-03-07-UncaughtWiMAX.txt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647</v>
      </c>
      <c r="B50" s="7">
        <v>4011</v>
      </c>
      <c r="C50" s="21" t="s">
        <v>233</v>
      </c>
      <c r="D50" s="21" t="s">
        <v>809</v>
      </c>
      <c r="E50" s="13">
        <v>42801.358993055554</v>
      </c>
      <c r="F50" s="13">
        <v>42801.360590277778</v>
      </c>
      <c r="G50" s="7">
        <v>1</v>
      </c>
      <c r="H50" s="21" t="s">
        <v>504</v>
      </c>
      <c r="I50" s="13">
        <v>42801.383344907408</v>
      </c>
      <c r="J50" s="7">
        <v>2</v>
      </c>
      <c r="K50" s="98" t="str">
        <f t="shared" si="0"/>
        <v>4011/4012</v>
      </c>
      <c r="L50" s="21" t="str">
        <f>VLOOKUP(A50,'Trips&amp;Operators'!$C$1:$G$99999,5,FALSE)</f>
        <v>DAVIS WENDY</v>
      </c>
      <c r="M50" s="6">
        <f t="shared" si="1"/>
        <v>2.2754629630071577E-2</v>
      </c>
      <c r="N50" s="7"/>
      <c r="O50" s="7"/>
      <c r="P50" s="7">
        <f>24*60*SUM($M50:$M50)</f>
        <v>32.76666666730307</v>
      </c>
      <c r="Q50" s="22"/>
      <c r="R50" s="22" t="s">
        <v>989</v>
      </c>
      <c r="S50" s="31">
        <f>SUM(U50:U50)/IF(AG50="EC",12,1)</f>
        <v>1</v>
      </c>
      <c r="T50" s="46" t="str">
        <f t="shared" si="4"/>
        <v>NorthBound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5"/>
        <v>https://d0f6bd738d7f1b3e5a7ca70fe4ff75f0.us-east-1.aws.found.io/app/kibana#/discover/Steve-Slow-Train-Analysis-(2080s-and-2083s)?_g=(refreshInterval:(display:Off,pause:!f,section:0,value:0),time:(from:'2017-03-07T07:36:57-0700',mode:absolute,to:'2017-03-07T10:12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0" s="187" t="str">
        <f t="shared" si="6"/>
        <v>Y</v>
      </c>
      <c r="X50" s="187">
        <f t="shared" si="22"/>
        <v>3</v>
      </c>
      <c r="Y50" s="62">
        <f t="shared" si="23"/>
        <v>2.1943999999999999</v>
      </c>
      <c r="Z50" s="62">
        <f t="shared" si="9"/>
        <v>23.330100000000002</v>
      </c>
      <c r="AA50" s="62">
        <f t="shared" si="10"/>
        <v>21.1357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0139-07</v>
      </c>
      <c r="AE50" s="85" t="str">
        <f t="shared" si="12"/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AF50" s="82" t="str">
        <f t="shared" si="13"/>
        <v>"C:\Program Files (x86)\AstroGrep\AstroGrep.exe" /spath="%USERPROFILE%\AppData\Local\Temp\OnboardLogs" /stypes="app*4011*20170307*"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6" t="str">
        <f t="shared" si="18"/>
        <v>"%USERPROFILE%\Documents\GitHub\eaglep3\Utilities\RefineRTDCRunTimes.py" --tripid 139-07 --locoid 4011 --swversion DE.1.0.9.0 --startMP 204:21944 --initTime 2017-03-07T08:36:57 --startdatetime 2017-03-07T08:39:15 --delay 1 --endMP 204:233301 --enddatetime 2017-03-07T09:12:01 --enforcementcount 2 &gt;&gt;C:\Users\stu\Documents\GitHub\eaglep3-reporting\EC\2017-03-07-refined-times.txt</v>
      </c>
      <c r="AI50" s="108" t="str">
        <f t="shared" si="19"/>
        <v>echo {"issue":{"subject":"CCROC/crew/equipment mismatch","project_id":79,"tracker_id":40,"status_id":1,"priority_id":2,"assigned_to_id":23,"start_date":"2017-03-07","description":"","custom_fields":[{"id":1,"name":"Subdivision","value":"EC"},{"id":4,"name":"Milepost","value":"23.3301"},{"id":17,"name":"Train ID","value":"139-07"},{"id":16,"name":"Locomotive ID","value":"4011"},{"id":130,"name":"Impact","value":""},{"id":150,"name":"Time of Event (Mountain Time)","value":"09:12:01"},{"id":151,"name":"Denver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4011 --day 2017-03-07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"%USERPROFILE%\AppData\Local\Temp\OnboardLogs"\RTDC4011\*4011*20170307* | grep -SE "(Enforcement Action)|(\[TIMEOUT)|(CHR.+\|PRM\|1\|D.+(SWITCH|SIGNAL).+UNKNOWN)" - &gt;&gt; 2017-03-07-UncaughtWiMAX.txt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647</v>
      </c>
      <c r="B51" s="7">
        <v>4011</v>
      </c>
      <c r="C51" s="21" t="s">
        <v>233</v>
      </c>
      <c r="D51" s="21" t="s">
        <v>201</v>
      </c>
      <c r="E51" s="13">
        <v>42801.353784722225</v>
      </c>
      <c r="F51" s="13">
        <v>42801.360590277778</v>
      </c>
      <c r="G51" s="7">
        <v>1</v>
      </c>
      <c r="H51" s="21" t="s">
        <v>211</v>
      </c>
      <c r="I51" s="13">
        <v>42801.383344907408</v>
      </c>
      <c r="J51" s="7">
        <v>2</v>
      </c>
      <c r="K51" s="98" t="str">
        <f t="shared" si="0"/>
        <v>4011/4012</v>
      </c>
      <c r="L51" s="21" t="str">
        <f>VLOOKUP(A51,'Trips&amp;Operators'!$C$1:$G$99999,5,FALSE)</f>
        <v>DAVIS WENDY</v>
      </c>
      <c r="M51" s="6">
        <f t="shared" si="1"/>
        <v>2.2754629630071577E-2</v>
      </c>
      <c r="N51" s="7"/>
      <c r="O51" s="7"/>
      <c r="P51" s="7"/>
      <c r="Q51" s="22"/>
      <c r="R51" s="22"/>
      <c r="S51" s="31"/>
      <c r="T51" s="46" t="str">
        <f t="shared" si="4"/>
        <v>NorthBound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0</v>
      </c>
      <c r="V51" s="186" t="str">
        <f t="shared" si="5"/>
        <v>https://d0f6bd738d7f1b3e5a7ca70fe4ff75f0.us-east-1.aws.found.io/app/kibana#/discover/Steve-Slow-Train-Analysis-(2080s-and-2083s)?_g=(refreshInterval:(display:Off,pause:!f,section:0,value:0),time:(from:'2017-03-07T07:29:27-0700',mode:absolute,to:'2017-03-07T10:12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1" s="187" t="str">
        <f t="shared" si="6"/>
        <v>Y</v>
      </c>
      <c r="X51" s="187">
        <f t="shared" si="22"/>
        <v>0</v>
      </c>
      <c r="Y51" s="62">
        <f t="shared" si="23"/>
        <v>4.6199999999999998E-2</v>
      </c>
      <c r="Z51" s="62">
        <f t="shared" si="9"/>
        <v>4.5999999999999999E-2</v>
      </c>
      <c r="AA51" s="62">
        <f t="shared" si="10"/>
        <v>1.9999999999999879E-4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0139-07</v>
      </c>
      <c r="AE51" s="85" t="str">
        <f t="shared" si="12"/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AF51" s="82" t="str">
        <f t="shared" si="13"/>
        <v>"C:\Program Files (x86)\AstroGrep\AstroGrep.exe" /spath="%USERPROFILE%\AppData\Local\Temp\OnboardLogs" /stypes="app*4011*20170307*"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6" t="str">
        <f t="shared" si="18"/>
        <v>"%USERPROFILE%\Documents\GitHub\eaglep3\Utilities\RefineRTDCRunTimes.py" --tripid 139-07 --locoid 4011 --swversion DE.1.0.9.0 --startMP 204:462 --initTime 2017-03-07T08:29:27 --startdatetime 2017-03-07T08:39:15 --delay 1 --endMP 204:460 --enddatetime 2017-03-07T09:12:01 --enforcementcount 2 &gt;&gt;C:\Users\stu\Documents\GitHub\eaglep3-reporting\EC\2017-03-07-refined-times.txt</v>
      </c>
      <c r="AI51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{"issue":{"subject":"","project_id":79,"tracker_id":40,"status_id":1,"priority_id":2,"assigned_to_id":23,"start_date":"2017-03-07","description":"","custom_fields":[{"id":1,"name":"Subdivision","value":"EC"},{"id":4,"name":"Milepost","value":"0.046"},{"id":17,"name":"Train ID","value":"139-07"},{"id":16,"name":"Locomotive ID","value":"4011"},{"id":130,"name":"Impact","value":""},{"id":150,"name":"Time of Event (Mountain Time)","value":"09:12:01"},{"id":151,"name":"Denver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4011 --day 2017-03-07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"%USERPROFILE%\AppData\Local\Temp\OnboardLogs"\RTDC4011\*4011*20170307* | grep -SE "(Enforcement Action)|(\[TIMEOUT)|(CHR.+\|PRM\|1\|D.+(SWITCH|SIGNAL).+UNKNOWN)" - &gt;&gt; 2017-03-07-UncaughtWiMAX.txt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653</v>
      </c>
      <c r="B52" s="7">
        <v>4012</v>
      </c>
      <c r="C52" s="21" t="s">
        <v>233</v>
      </c>
      <c r="D52" s="21" t="s">
        <v>279</v>
      </c>
      <c r="E52" s="13">
        <v>42801.389733796299</v>
      </c>
      <c r="F52" s="13">
        <v>42801.393229166664</v>
      </c>
      <c r="G52" s="7">
        <v>1</v>
      </c>
      <c r="H52" s="21" t="s">
        <v>226</v>
      </c>
      <c r="I52" s="13">
        <v>42801.430821759262</v>
      </c>
      <c r="J52" s="7">
        <v>2</v>
      </c>
      <c r="K52" s="98" t="str">
        <f t="shared" si="0"/>
        <v>4011/4012</v>
      </c>
      <c r="L52" s="21" t="str">
        <f>VLOOKUP(A52,'Trips&amp;Operators'!$C$1:$G$99999,5,FALSE)</f>
        <v>DAVIS WENDY</v>
      </c>
      <c r="M52" s="6">
        <f t="shared" si="1"/>
        <v>3.7592592598230112E-2</v>
      </c>
      <c r="N52" s="7">
        <f>24*60*SUM($M52:$M52)</f>
        <v>54.133333341451362</v>
      </c>
      <c r="O52" s="7"/>
      <c r="P52" s="7"/>
      <c r="Q52" s="22"/>
      <c r="R52" s="22"/>
      <c r="S52" s="31">
        <f t="shared" ref="S52:S57" si="24">SUM(U52:U52)/IF(AG52="EC",12,1)</f>
        <v>1</v>
      </c>
      <c r="T52" s="46" t="str">
        <f t="shared" si="4"/>
        <v>Southbound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5"/>
        <v>https://d0f6bd738d7f1b3e5a7ca70fe4ff75f0.us-east-1.aws.found.io/app/kibana#/discover/Steve-Slow-Train-Analysis-(2080s-and-2083s)?_g=(refreshInterval:(display:Off,pause:!f,section:0,value:0),time:(from:'2017-03-07T08:21:13-0700',mode:absolute,to:'2017-03-07T11:20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2" s="187" t="str">
        <f t="shared" si="6"/>
        <v>N</v>
      </c>
      <c r="X52" s="187">
        <f t="shared" si="22"/>
        <v>1</v>
      </c>
      <c r="Y52" s="62">
        <f t="shared" si="23"/>
        <v>23.2988</v>
      </c>
      <c r="Z52" s="62">
        <f t="shared" si="9"/>
        <v>1.47E-2</v>
      </c>
      <c r="AA52" s="62">
        <f t="shared" si="10"/>
        <v>23.284099999999999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0140-07</v>
      </c>
      <c r="AE52" s="85" t="str">
        <f t="shared" si="12"/>
        <v>aws s3 cp s3://rtdc.mdm.uploadarchive.raw/RTDC4012/ "%USERPROFILE%\AppData\Local\Temp\OnboardLogs"\RTDC4012\2017-03-07 --exclude "*" --recursive --include "*20170307*" &amp; "%USERPROFILE%\Documents\GitHub\mrs-test-scripts\Headless Mode &amp; Sideloading\WalkAndUnGZ.bat" "%USERPROFILE%\AppData\Local\Temp\OnboardLogs"\RTDC4012\2017-03-07 &amp; aws s3 cp s3://rtdc.mdm.uploadarchive.raw/RTDC4012/ "%USERPROFILE%\AppData\Local\Temp\OnboardLogs"\RTDC4012\2017-03-08 --exclude "*" --recursive --include "*20170308*" &amp; "%USERPROFILE%\Documents\GitHub\mrs-test-scripts\Headless Mode &amp; Sideloading\WalkAndUnGZ.bat" "%USERPROFILE%\AppData\Local\Temp\OnboardLogs"\RTDC4012\2017-03-08</v>
      </c>
      <c r="AF52" s="82" t="str">
        <f t="shared" si="13"/>
        <v>"C:\Program Files (x86)\AstroGrep\AstroGrep.exe" /spath="%USERPROFILE%\AppData\Local\Temp\OnboardLogs" /stypes="app*4012*20170307*"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6" t="str">
        <f t="shared" si="18"/>
        <v>"%USERPROFILE%\Documents\GitHub\eaglep3\Utilities\RefineRTDCRunTimes.py" --tripid 140-07 --locoid 4012 --swversion DE.1.0.9.0 --startMP 204:232988 --initTime 2017-03-07T09:21:13 --startdatetime 2017-03-07T09:26:15 --delay 1 --endMP 204:147 --enddatetime 2017-03-07T10:20:23 --enforcementcount 2 &gt;&gt;C:\Users\stu\Documents\GitHub\eaglep3-reporting\EC\2017-03-07-refined-times.txt</v>
      </c>
      <c r="AI52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{"issue":{"subject":"","project_id":79,"tracker_id":40,"status_id":1,"priority_id":2,"assigned_to_id":23,"start_date":"2017-03-07","description":"","custom_fields":[{"id":1,"name":"Subdivision","value":"EC"},{"id":4,"name":"Milepost","value":"0.0147"},{"id":17,"name":"Train ID","value":"140-07"},{"id":16,"name":"Locomotive ID","value":"4012"},{"id":130,"name":"Impact","value":""},{"id":150,"name":"Time of Event (Mountain Time)","value":"10:20:23"},{"id":151,"name":"Denver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4012 --day 2017-03-07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"%USERPROFILE%\AppData\Local\Temp\OnboardLogs"\RTDC4012\*4012*20170307* | grep -SE "(Enforcement Action)|(\[TIMEOUT)|(CHR.+\|PRM\|1\|D.+(SWITCH|SIGNAL).+UNKNOWN)" - &gt;&gt; 2017-03-07-UncaughtWiMAX.txt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649</v>
      </c>
      <c r="B53" s="7">
        <v>4044</v>
      </c>
      <c r="C53" s="21" t="s">
        <v>233</v>
      </c>
      <c r="D53" s="21" t="s">
        <v>810</v>
      </c>
      <c r="E53" s="13">
        <v>42801.369166666664</v>
      </c>
      <c r="F53" s="13">
        <v>42801.370289351849</v>
      </c>
      <c r="G53" s="7">
        <v>1</v>
      </c>
      <c r="H53" s="21" t="s">
        <v>493</v>
      </c>
      <c r="I53" s="13">
        <v>42801.392847222225</v>
      </c>
      <c r="J53" s="7">
        <v>2</v>
      </c>
      <c r="K53" s="98" t="str">
        <f t="shared" si="0"/>
        <v>4043/4044</v>
      </c>
      <c r="L53" s="21" t="str">
        <f>VLOOKUP(A53,'Trips&amp;Operators'!$C$1:$G$99999,5,FALSE)</f>
        <v>LOZA FIDEL</v>
      </c>
      <c r="M53" s="6">
        <f t="shared" si="1"/>
        <v>2.2557870375749189E-2</v>
      </c>
      <c r="N53" s="7"/>
      <c r="O53" s="7"/>
      <c r="P53" s="7">
        <f>24*60*SUM($M53:$M53)</f>
        <v>32.483333341078833</v>
      </c>
      <c r="Q53" s="22"/>
      <c r="R53" s="22" t="s">
        <v>992</v>
      </c>
      <c r="S53" s="31">
        <f t="shared" si="24"/>
        <v>1</v>
      </c>
      <c r="T53" s="46" t="str">
        <f t="shared" si="4"/>
        <v>NorthBound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5"/>
        <v>https://d0f6bd738d7f1b3e5a7ca70fe4ff75f0.us-east-1.aws.found.io/app/kibana#/discover/Steve-Slow-Train-Analysis-(2080s-and-2083s)?_g=(refreshInterval:(display:Off,pause:!f,section:0,value:0),time:(from:'2017-03-07T07:51:36-0700',mode:absolute,to:'2017-03-07T10:25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3" s="187" t="str">
        <f t="shared" si="6"/>
        <v>Y</v>
      </c>
      <c r="X53" s="187">
        <f t="shared" si="22"/>
        <v>1</v>
      </c>
      <c r="Y53" s="62">
        <f t="shared" si="23"/>
        <v>1.9136</v>
      </c>
      <c r="Z53" s="62">
        <f t="shared" si="9"/>
        <v>23.329799999999999</v>
      </c>
      <c r="AA53" s="62">
        <f t="shared" si="10"/>
        <v>21.4162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0141-07</v>
      </c>
      <c r="AE53" s="85" t="str">
        <f t="shared" si="12"/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AF53" s="82" t="str">
        <f t="shared" si="13"/>
        <v>"C:\Program Files (x86)\AstroGrep\AstroGrep.exe" /spath="%USERPROFILE%\AppData\Local\Temp\OnboardLogs" /stypes="app*4044*20170307*"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6" t="str">
        <f t="shared" si="18"/>
        <v>"%USERPROFILE%\Documents\GitHub\eaglep3\Utilities\RefineRTDCRunTimes.py" --tripid 141-07 --locoid 4044 --swversion DE.1.0.9.0 --startMP 204:19136 --initTime 2017-03-07T08:51:36 --startdatetime 2017-03-07T08:53:13 --delay 1 --endMP 204:233298 --enddatetime 2017-03-07T09:25:42 --enforcementcount 2 &gt;&gt;C:\Users\stu\Documents\GitHub\eaglep3-reporting\EC\2017-03-07-refined-times.txt</v>
      </c>
      <c r="AI53" s="108" t="str">
        <f t="shared" si="19"/>
        <v>echo {"issue":{"subject":"DUS SW 1 failure","project_id":79,"tracker_id":40,"status_id":1,"priority_id":2,"assigned_to_id":23,"start_date":"2017-03-07","description":"","custom_fields":[{"id":1,"name":"Subdivision","value":"EC"},{"id":4,"name":"Milepost","value":"23.3298"},{"id":17,"name":"Train ID","value":"141-07"},{"id":16,"name":"Locomotive ID","value":"4044"},{"id":130,"name":"Impact","value":""},{"id":150,"name":"Time of Event (Mountain Time)","value":"09:25:42"},{"id":151,"name":"Denver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4044 --day 2017-03-07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"%USERPROFILE%\AppData\Local\Temp\OnboardLogs"\RTDC4044\*4044*20170307* | grep -SE "(Enforcement Action)|(\[TIMEOUT)|(CHR.+\|PRM\|1\|D.+(SWITCH|SIGNAL).+UNKNOWN)" - &gt;&gt; 2017-03-07-UncaughtWiMAX.txt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649</v>
      </c>
      <c r="B54" s="7">
        <v>4044</v>
      </c>
      <c r="C54" s="21" t="s">
        <v>233</v>
      </c>
      <c r="D54" s="21" t="s">
        <v>214</v>
      </c>
      <c r="E54" s="13">
        <v>42801.358831018515</v>
      </c>
      <c r="F54" s="13">
        <v>42801.370289351849</v>
      </c>
      <c r="G54" s="7">
        <v>1</v>
      </c>
      <c r="H54" s="21" t="s">
        <v>797</v>
      </c>
      <c r="I54" s="13">
        <v>42801.392847222225</v>
      </c>
      <c r="J54" s="7">
        <v>2</v>
      </c>
      <c r="K54" s="98" t="str">
        <f t="shared" si="0"/>
        <v>4043/4044</v>
      </c>
      <c r="L54" s="21" t="str">
        <f>VLOOKUP(A54,'Trips&amp;Operators'!$C$1:$G$99999,5,FALSE)</f>
        <v>LOZA FIDEL</v>
      </c>
      <c r="M54" s="6">
        <f t="shared" si="1"/>
        <v>2.2557870375749189E-2</v>
      </c>
      <c r="N54" s="7"/>
      <c r="O54" s="7"/>
      <c r="P54" s="7"/>
      <c r="Q54" s="22"/>
      <c r="R54" s="22"/>
      <c r="S54" s="31">
        <f t="shared" si="24"/>
        <v>0</v>
      </c>
      <c r="T54" s="46" t="str">
        <f t="shared" si="4"/>
        <v>NorthBound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0</v>
      </c>
      <c r="V54" s="186" t="str">
        <f t="shared" si="5"/>
        <v>https://d0f6bd738d7f1b3e5a7ca70fe4ff75f0.us-east-1.aws.found.io/app/kibana#/discover/Steve-Slow-Train-Analysis-(2080s-and-2083s)?_g=(refreshInterval:(display:Off,pause:!f,section:0,value:0),time:(from:'2017-03-07T07:36:43-0700',mode:absolute,to:'2017-03-07T10:25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4" s="187" t="str">
        <f t="shared" si="6"/>
        <v>Y</v>
      </c>
      <c r="X54" s="187">
        <f t="shared" si="22"/>
        <v>0</v>
      </c>
      <c r="Y54" s="62">
        <f t="shared" si="23"/>
        <v>4.53E-2</v>
      </c>
      <c r="Z54" s="62">
        <f t="shared" si="9"/>
        <v>7.4399999999999994E-2</v>
      </c>
      <c r="AA54" s="62">
        <f t="shared" si="10"/>
        <v>2.9099999999999994E-2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0141-07</v>
      </c>
      <c r="AE54" s="85" t="str">
        <f t="shared" si="12"/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AF54" s="82" t="str">
        <f t="shared" si="13"/>
        <v>"C:\Program Files (x86)\AstroGrep\AstroGrep.exe" /spath="%USERPROFILE%\AppData\Local\Temp\OnboardLogs" /stypes="app*4044*20170307*" /stext=" 16:.+((SYSTEM_STATE.+slice.+state.+changed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6" t="str">
        <f t="shared" si="18"/>
        <v>"%USERPROFILE%\Documents\GitHub\eaglep3\Utilities\RefineRTDCRunTimes.py" --tripid 141-07 --locoid 4044 --swversion DE.1.0.9.0 --startMP 204:453 --initTime 2017-03-07T08:36:43 --startdatetime 2017-03-07T08:53:13 --delay 1 --endMP 204:744 --enddatetime 2017-03-07T09:25:42 --enforcementcount 2 &gt;&gt;C:\Users\stu\Documents\GitHub\eaglep3-reporting\EC\2017-03-07-refined-times.txt</v>
      </c>
      <c r="AI54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{"issue":{"subject":"","project_id":79,"tracker_id":40,"status_id":1,"priority_id":2,"assigned_to_id":23,"start_date":"2017-03-07","description":"","custom_fields":[{"id":1,"name":"Subdivision","value":"EC"},{"id":4,"name":"Milepost","value":"0.0744"},{"id":17,"name":"Train ID","value":"141-07"},{"id":16,"name":"Locomotive ID","value":"4044"},{"id":130,"name":"Impact","value":""},{"id":150,"name":"Time of Event (Mountain Time)","value":"09:25:42"},{"id":151,"name":"Denver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4044 --day 2017-03-07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"%USERPROFILE%\AppData\Local\Temp\OnboardLogs"\RTDC4044\*4044*20170307* | grep -SE "(Enforcement Action)|(\[TIMEOUT)|(CHR.+\|PRM\|1\|D.+(SWITCH|SIGNAL).+UNKNOWN)" - &gt;&gt; 2017-03-07-UncaughtWiMAX.txt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655</v>
      </c>
      <c r="B55" s="7">
        <v>4043</v>
      </c>
      <c r="C55" s="21" t="s">
        <v>233</v>
      </c>
      <c r="D55" s="21" t="s">
        <v>459</v>
      </c>
      <c r="E55" s="13">
        <v>42801.40148148148</v>
      </c>
      <c r="F55" s="13">
        <v>42801.403854166667</v>
      </c>
      <c r="G55" s="7">
        <v>2</v>
      </c>
      <c r="H55" s="21" t="s">
        <v>226</v>
      </c>
      <c r="I55" s="13">
        <v>42801.432569444441</v>
      </c>
      <c r="J55" s="7">
        <v>2</v>
      </c>
      <c r="K55" s="98" t="str">
        <f t="shared" si="0"/>
        <v>4043/4044</v>
      </c>
      <c r="L55" s="21" t="str">
        <f>VLOOKUP(A55,'Trips&amp;Operators'!$C$1:$G$99999,5,FALSE)</f>
        <v>LOZA FIDEL</v>
      </c>
      <c r="M55" s="6">
        <f t="shared" si="1"/>
        <v>2.8715277774608694E-2</v>
      </c>
      <c r="N55" s="7">
        <f>24*60*SUM($M55:$M55)</f>
        <v>41.349999995436519</v>
      </c>
      <c r="O55" s="7"/>
      <c r="P55" s="7"/>
      <c r="Q55" s="22"/>
      <c r="R55" s="22"/>
      <c r="S55" s="31">
        <f t="shared" si="24"/>
        <v>1</v>
      </c>
      <c r="T55" s="46" t="str">
        <f t="shared" si="4"/>
        <v>Southbound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5"/>
        <v>https://d0f6bd738d7f1b3e5a7ca70fe4ff75f0.us-east-1.aws.found.io/app/kibana#/discover/Steve-Slow-Train-Analysis-(2080s-and-2083s)?_g=(refreshInterval:(display:Off,pause:!f,section:0,value:0),time:(from:'2017-03-07T08:38:08-0700',mode:absolute,to:'2017-03-07T11:22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5" s="187" t="str">
        <f t="shared" si="6"/>
        <v>N</v>
      </c>
      <c r="X55" s="187">
        <f t="shared" si="22"/>
        <v>1</v>
      </c>
      <c r="Y55" s="62">
        <f t="shared" si="23"/>
        <v>23.2989</v>
      </c>
      <c r="Z55" s="62">
        <f t="shared" si="9"/>
        <v>1.47E-2</v>
      </c>
      <c r="AA55" s="62">
        <f t="shared" si="10"/>
        <v>23.284199999999998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0142-07</v>
      </c>
      <c r="AE55" s="85" t="str">
        <f t="shared" si="12"/>
        <v>aws s3 cp s3://rtdc.mdm.uploadarchive.raw/RTDC4043/ "%USERPROFILE%\AppData\Local\Temp\OnboardLogs"\RTDC4043\2017-03-07 --exclude "*" --recursive --include "*20170307*" &amp; "%USERPROFILE%\Documents\GitHub\mrs-test-scripts\Headless Mode &amp; Sideloading\WalkAndUnGZ.bat" "%USERPROFILE%\AppData\Local\Temp\OnboardLogs"\RTDC4043\2017-03-07 &amp; aws s3 cp s3://rtdc.mdm.uploadarchive.raw/RTDC4043/ "%USERPROFILE%\AppData\Local\Temp\OnboardLogs"\RTDC4043\2017-03-08 --exclude "*" --recursive --include "*20170308*" &amp; "%USERPROFILE%\Documents\GitHub\mrs-test-scripts\Headless Mode &amp; Sideloading\WalkAndUnGZ.bat" "%USERPROFILE%\AppData\Local\Temp\OnboardLogs"\RTDC4043\2017-03-08</v>
      </c>
      <c r="AF55" s="82" t="str">
        <f t="shared" si="13"/>
        <v>"C:\Program Files (x86)\AstroGrep\AstroGrep.exe" /spath="%USERPROFILE%\AppData\Local\Temp\OnboardLogs" /stypes="app*4043*20170307*" /stext=" 17:.+((SYSTEM_STATE.+slice.+state.+changed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6" t="str">
        <f t="shared" si="18"/>
        <v>"%USERPROFILE%\Documents\GitHub\eaglep3\Utilities\RefineRTDCRunTimes.py" --tripid 142-07 --locoid 4043 --swversion DE.1.0.9.0 --startMP 204:232989 --initTime 2017-03-07T09:38:08 --startdatetime 2017-03-07T09:41:33 --delay 2 --endMP 204:147 --enddatetime 2017-03-07T10:22:54 --enforcementcount 2 &gt;&gt;C:\Users\stu\Documents\GitHub\eaglep3-reporting\EC\2017-03-07-refined-times.txt</v>
      </c>
      <c r="AI55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{"issue":{"subject":"","project_id":79,"tracker_id":40,"status_id":1,"priority_id":2,"assigned_to_id":23,"start_date":"2017-03-07","description":"","custom_fields":[{"id":1,"name":"Subdivision","value":"EC"},{"id":4,"name":"Milepost","value":"0.0147"},{"id":17,"name":"Train ID","value":"142-07"},{"id":16,"name":"Locomotive ID","value":"4043"},{"id":130,"name":"Impact","value":""},{"id":150,"name":"Time of Event (Mountain Time)","value":"10:22:54"},{"id":151,"name":"Denver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4043 --day 2017-03-07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"%USERPROFILE%\AppData\Local\Temp\OnboardLogs"\RTDC4043\*4043*20170307* | grep -SE "(Enforcement Action)|(\[TIMEOUT)|(CHR.+\|PRM\|1\|D.+(SWITCH|SIGNAL).+UNKNOWN)" - &gt;&gt; 2017-03-07-UncaughtWiMAX.txt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651</v>
      </c>
      <c r="B56" s="7">
        <v>4020</v>
      </c>
      <c r="C56" s="21" t="s">
        <v>233</v>
      </c>
      <c r="D56" s="21" t="s">
        <v>811</v>
      </c>
      <c r="E56" s="13">
        <v>42801.383368055554</v>
      </c>
      <c r="F56" s="13">
        <v>42801.384594907409</v>
      </c>
      <c r="G56" s="7">
        <v>1</v>
      </c>
      <c r="H56" s="21" t="s">
        <v>236</v>
      </c>
      <c r="I56" s="13">
        <v>42801.407789351855</v>
      </c>
      <c r="J56" s="7">
        <v>2</v>
      </c>
      <c r="K56" s="98" t="str">
        <f t="shared" si="0"/>
        <v>4019/4020</v>
      </c>
      <c r="L56" s="21" t="str">
        <f>VLOOKUP(A56,'Trips&amp;Operators'!$C$1:$G$99999,5,FALSE)</f>
        <v>SANTIZO D. EDY</v>
      </c>
      <c r="M56" s="6">
        <f t="shared" si="1"/>
        <v>2.3194444445834961E-2</v>
      </c>
      <c r="N56" s="7"/>
      <c r="O56" s="7"/>
      <c r="P56" s="7">
        <f>24*60*SUM($M56:$M56)</f>
        <v>33.400000002002344</v>
      </c>
      <c r="Q56" s="22"/>
      <c r="R56" s="22" t="s">
        <v>992</v>
      </c>
      <c r="S56" s="31">
        <f t="shared" si="24"/>
        <v>1</v>
      </c>
      <c r="T56" s="46" t="str">
        <f t="shared" si="4"/>
        <v>NorthBound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5"/>
        <v>https://d0f6bd738d7f1b3e5a7ca70fe4ff75f0.us-east-1.aws.found.io/app/kibana#/discover/Steve-Slow-Train-Analysis-(2080s-and-2083s)?_g=(refreshInterval:(display:Off,pause:!f,section:0,value:0),time:(from:'2017-03-07T08:12:03-0700',mode:absolute,to:'2017-03-07T10:47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6" s="187" t="str">
        <f t="shared" si="6"/>
        <v>Y</v>
      </c>
      <c r="X56" s="187">
        <f t="shared" si="22"/>
        <v>1</v>
      </c>
      <c r="Y56" s="62">
        <f t="shared" si="23"/>
        <v>1.9140999999999999</v>
      </c>
      <c r="Z56" s="62">
        <f t="shared" si="9"/>
        <v>23.331399999999999</v>
      </c>
      <c r="AA56" s="62">
        <f t="shared" si="10"/>
        <v>21.417299999999997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0143-07</v>
      </c>
      <c r="AE56" s="85" t="str">
        <f t="shared" si="12"/>
        <v>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 &amp; aws s3 cp s3://rtdc.mdm.uploadarchive.raw/RTDC4020/ "%USERPROFILE%\AppData\Local\Temp\OnboardLogs"\RTDC4020\2017-03-08 --exclude "*" --recursive --include "*20170308*" &amp; "%USERPROFILE%\Documents\GitHub\mrs-test-scripts\Headless Mode &amp; Sideloading\WalkAndUnGZ.bat" "%USERPROFILE%\AppData\Local\Temp\OnboardLogs"\RTDC4020\2017-03-08</v>
      </c>
      <c r="AF56" s="82" t="str">
        <f t="shared" si="13"/>
        <v>"C:\Program Files (x86)\AstroGrep\AstroGrep.exe" /spath="%USERPROFILE%\AppData\Local\Temp\OnboardLogs" /stypes="app*4020*20170307*" /stext=" 16:.+((SYSTEM_STATE.+slice.+state.+changed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6" t="str">
        <f t="shared" si="18"/>
        <v>"%USERPROFILE%\Documents\GitHub\eaglep3\Utilities\RefineRTDCRunTimes.py" --tripid 143-07 --locoid 4020 --swversion DE.1.0.9.0 --startMP 204:19141 --initTime 2017-03-07T09:12:03 --startdatetime 2017-03-07T09:13:49 --delay 1 --endMP 204:233314 --enddatetime 2017-03-07T09:47:13 --enforcementcount 2 &gt;&gt;C:\Users\stu\Documents\GitHub\eaglep3-reporting\EC\2017-03-07-refined-times.txt</v>
      </c>
      <c r="AI56" s="108" t="str">
        <f t="shared" si="19"/>
        <v>echo {"issue":{"subject":"DUS SW 1 failure","project_id":79,"tracker_id":40,"status_id":1,"priority_id":2,"assigned_to_id":23,"start_date":"2017-03-07","description":"","custom_fields":[{"id":1,"name":"Subdivision","value":"EC"},{"id":4,"name":"Milepost","value":"23.3314"},{"id":17,"name":"Train ID","value":"143-07"},{"id":16,"name":"Locomotive ID","value":"4020"},{"id":130,"name":"Impact","value":""},{"id":150,"name":"Time of Event (Mountain Time)","value":"09:47:13"},{"id":151,"name":"Denver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4020 --day 2017-03-07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"%USERPROFILE%\AppData\Local\Temp\OnboardLogs"\RTDC4020\*4020*20170307* | grep -SE "(Enforcement Action)|(\[TIMEOUT)|(CHR.+\|PRM\|1\|D.+(SWITCH|SIGNAL).+UNKNOWN)" - &gt;&gt; 2017-03-07-UncaughtWiMAX.txt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563</v>
      </c>
      <c r="B57" s="7">
        <v>4019</v>
      </c>
      <c r="C57" s="21" t="s">
        <v>233</v>
      </c>
      <c r="D57" s="21" t="s">
        <v>812</v>
      </c>
      <c r="E57" s="13">
        <v>42801.42528935185</v>
      </c>
      <c r="F57" s="13">
        <v>42801.427037037036</v>
      </c>
      <c r="G57" s="7">
        <v>1</v>
      </c>
      <c r="H57" s="21" t="s">
        <v>184</v>
      </c>
      <c r="I57" s="13">
        <v>42801.448564814818</v>
      </c>
      <c r="J57" s="7">
        <v>2</v>
      </c>
      <c r="K57" s="98" t="str">
        <f t="shared" si="0"/>
        <v>4019/4020</v>
      </c>
      <c r="L57" s="21" t="str">
        <f>VLOOKUP(A57,'Trips&amp;Operators'!$C$1:$G$99999,5,FALSE)</f>
        <v>SANTIZO D. EDY</v>
      </c>
      <c r="M57" s="6">
        <f t="shared" si="1"/>
        <v>2.1527777782466728E-2</v>
      </c>
      <c r="N57" s="7"/>
      <c r="O57" s="7"/>
      <c r="P57" s="7">
        <f>24*60*SUM($M57:$M57)</f>
        <v>31.000000006752089</v>
      </c>
      <c r="Q57" s="22"/>
      <c r="R57" s="22" t="s">
        <v>466</v>
      </c>
      <c r="S57" s="31">
        <f t="shared" si="24"/>
        <v>1</v>
      </c>
      <c r="T57" s="46" t="str">
        <f t="shared" si="4"/>
        <v>Southbound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5"/>
        <v>https://d0f6bd738d7f1b3e5a7ca70fe4ff75f0.us-east-1.aws.found.io/app/kibana#/discover/Steve-Slow-Train-Analysis-(2080s-and-2083s)?_g=(refreshInterval:(display:Off,pause:!f,section:0,value:0),time:(from:'2017-03-07T09:12:25-0700',mode:absolute,to:'2017-03-07T11:45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7" s="187" t="str">
        <f t="shared" si="6"/>
        <v>Y</v>
      </c>
      <c r="X57" s="187">
        <f t="shared" si="22"/>
        <v>1</v>
      </c>
      <c r="Y57" s="62">
        <f t="shared" si="23"/>
        <v>15.401</v>
      </c>
      <c r="Z57" s="62">
        <f t="shared" si="9"/>
        <v>1.49E-2</v>
      </c>
      <c r="AA57" s="62">
        <f t="shared" si="10"/>
        <v>15.386099999999999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0144-07</v>
      </c>
      <c r="AE57" s="85" t="str">
        <f t="shared" si="12"/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AF57" s="82" t="str">
        <f t="shared" si="13"/>
        <v>"C:\Program Files (x86)\AstroGrep\AstroGrep.exe" /spath="%USERPROFILE%\AppData\Local\Temp\OnboardLogs" /stypes="app*4019*20170307*" /stext=" 17:.+((SYSTEM_STATE.+slice.+state.+changed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6" t="str">
        <f t="shared" si="18"/>
        <v>"%USERPROFILE%\Documents\GitHub\eaglep3\Utilities\RefineRTDCRunTimes.py" --tripid 144-07 --locoid 4019 --swversion DE.1.0.9.0 --startMP 204:154010 --initTime 2017-03-07T10:12:25 --startdatetime 2017-03-07T10:14:56 --delay 1 --endMP 204:149 --enddatetime 2017-03-07T10:45:56 --enforcementcount 2 &gt;&gt;C:\Users\stu\Documents\GitHub\eaglep3-reporting\EC\2017-03-07-refined-times.txt</v>
      </c>
      <c r="AI57" s="108" t="str">
        <f t="shared" si="19"/>
        <v>echo {"issue":{"subject":"Onboard in-route failure","project_id":79,"tracker_id":40,"status_id":1,"priority_id":2,"assigned_to_id":23,"start_date":"2017-03-07","description":"","custom_fields":[{"id":1,"name":"Subdivision","value":"EC"},{"id":4,"name":"Milepost","value":"0.0149"},{"id":17,"name":"Train ID","value":"144-07"},{"id":16,"name":"Locomotive ID","value":"4019"},{"id":130,"name":"Impact","value":""},{"id":150,"name":"Time of Event (Mountain Time)","value":"10:45:56"},{"id":151,"name":"Denver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4019 --day 2017-03-07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"%USERPROFILE%\AppData\Local\Temp\OnboardLogs"\RTDC4019\*4019*20170307* | grep -SE "(Enforcement Action)|(\[TIMEOUT)|(CHR.+\|PRM\|1\|D.+(SWITCH|SIGNAL).+UNKNOWN)" - &gt;&gt; 2017-03-07-UncaughtWiMAX.txt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563</v>
      </c>
      <c r="B58" s="7">
        <v>4019</v>
      </c>
      <c r="C58" s="21" t="s">
        <v>233</v>
      </c>
      <c r="D58" s="21" t="s">
        <v>423</v>
      </c>
      <c r="E58" s="13">
        <v>42801.412905092591</v>
      </c>
      <c r="F58" s="13">
        <v>42801.427037037036</v>
      </c>
      <c r="G58" s="7">
        <v>1</v>
      </c>
      <c r="H58" s="21" t="s">
        <v>184</v>
      </c>
      <c r="I58" s="13">
        <v>42801.448564814818</v>
      </c>
      <c r="J58" s="7">
        <v>2</v>
      </c>
      <c r="K58" s="98" t="str">
        <f t="shared" si="0"/>
        <v>4019/4020</v>
      </c>
      <c r="L58" s="21" t="str">
        <f>VLOOKUP(A58,'Trips&amp;Operators'!$C$1:$G$99999,5,FALSE)</f>
        <v>SANTIZO D. EDY</v>
      </c>
      <c r="M58" s="6">
        <f t="shared" si="1"/>
        <v>2.1527777782466728E-2</v>
      </c>
      <c r="N58" s="7"/>
      <c r="O58" s="7"/>
      <c r="P58" s="7"/>
      <c r="Q58" s="22"/>
      <c r="R58" s="22"/>
      <c r="S58" s="31"/>
      <c r="T58" s="46" t="str">
        <f t="shared" si="4"/>
        <v>Southbound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5"/>
        <v>https://d0f6bd738d7f1b3e5a7ca70fe4ff75f0.us-east-1.aws.found.io/app/kibana#/discover/Steve-Slow-Train-Analysis-(2080s-and-2083s)?_g=(refreshInterval:(display:Off,pause:!f,section:0,value:0),time:(from:'2017-03-07T08:54:35-0700',mode:absolute,to:'2017-03-07T11:45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8" s="187" t="str">
        <f t="shared" si="6"/>
        <v>N</v>
      </c>
      <c r="X58" s="187">
        <f t="shared" si="22"/>
        <v>0</v>
      </c>
      <c r="Y58" s="62">
        <f t="shared" si="23"/>
        <v>23.298200000000001</v>
      </c>
      <c r="Z58" s="62">
        <f t="shared" si="9"/>
        <v>1.49E-2</v>
      </c>
      <c r="AA58" s="62">
        <f t="shared" si="10"/>
        <v>23.283300000000001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0144-07</v>
      </c>
      <c r="AE58" s="85" t="str">
        <f t="shared" si="12"/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AF58" s="82" t="str">
        <f t="shared" si="13"/>
        <v>"C:\Program Files (x86)\AstroGrep\AstroGrep.exe" /spath="%USERPROFILE%\AppData\Local\Temp\OnboardLogs" /stypes="app*4019*20170307*"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6" t="str">
        <f t="shared" si="18"/>
        <v>"%USERPROFILE%\Documents\GitHub\eaglep3\Utilities\RefineRTDCRunTimes.py" --tripid 144-07 --locoid 4019 --swversion DE.1.0.9.0 --startMP 204:232982 --initTime 2017-03-07T09:54:35 --startdatetime 2017-03-07T10:14:56 --delay 1 --endMP 204:149 --enddatetime 2017-03-07T10:45:56 --enforcementcount 2 &gt;&gt;C:\Users\stu\Documents\GitHub\eaglep3-reporting\EC\2017-03-07-refined-times.txt</v>
      </c>
      <c r="AI58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{"issue":{"subject":"","project_id":79,"tracker_id":40,"status_id":1,"priority_id":2,"assigned_to_id":23,"start_date":"2017-03-07","description":"","custom_fields":[{"id":1,"name":"Subdivision","value":"EC"},{"id":4,"name":"Milepost","value":"0.0149"},{"id":17,"name":"Train ID","value":"144-07"},{"id":16,"name":"Locomotive ID","value":"4019"},{"id":130,"name":"Impact","value":""},{"id":150,"name":"Time of Event (Mountain Time)","value":"10:45:56"},{"id":151,"name":"Denver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4019 --day 2017-03-07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"%USERPROFILE%\AppData\Local\Temp\OnboardLogs"\RTDC4019\*4019*20170307* | grep -SE "(Enforcement Action)|(\[TIMEOUT)|(CHR.+\|PRM\|1\|D.+(SWITCH|SIGNAL).+UNKNOWN)" - &gt;&gt; 2017-03-07-UncaughtWiMAX.txt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563</v>
      </c>
      <c r="B59" s="7">
        <v>4019</v>
      </c>
      <c r="C59" s="21" t="s">
        <v>233</v>
      </c>
      <c r="D59" s="21" t="s">
        <v>423</v>
      </c>
      <c r="E59" s="13">
        <v>42801.412905092591</v>
      </c>
      <c r="F59" s="13">
        <v>42801.427037037036</v>
      </c>
      <c r="G59" s="7">
        <v>4</v>
      </c>
      <c r="H59" s="21" t="s">
        <v>184</v>
      </c>
      <c r="I59" s="13">
        <v>42801.448564814818</v>
      </c>
      <c r="J59" s="7">
        <v>2</v>
      </c>
      <c r="K59" s="98" t="str">
        <f t="shared" si="0"/>
        <v>4019/4020</v>
      </c>
      <c r="L59" s="21" t="str">
        <f>VLOOKUP(A59,'Trips&amp;Operators'!$C$1:$G$99999,5,FALSE)</f>
        <v>SANTIZO D. EDY</v>
      </c>
      <c r="M59" s="6">
        <f t="shared" si="1"/>
        <v>2.1527777782466728E-2</v>
      </c>
      <c r="N59" s="7"/>
      <c r="O59" s="7"/>
      <c r="P59" s="7"/>
      <c r="Q59" s="22"/>
      <c r="R59" s="22"/>
      <c r="S59" s="31"/>
      <c r="T59" s="46" t="str">
        <f t="shared" si="4"/>
        <v>Southbound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5"/>
        <v>https://d0f6bd738d7f1b3e5a7ca70fe4ff75f0.us-east-1.aws.found.io/app/kibana#/discover/Steve-Slow-Train-Analysis-(2080s-and-2083s)?_g=(refreshInterval:(display:Off,pause:!f,section:0,value:0),time:(from:'2017-03-07T08:54:35-0700',mode:absolute,to:'2017-03-07T11:45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9" s="187" t="str">
        <f t="shared" si="6"/>
        <v>N</v>
      </c>
      <c r="X59" s="187">
        <f t="shared" ref="X59:X65" si="25">VALUE(LEFT(AD59,4))-VALUE(LEFT(AD58,4))</f>
        <v>0</v>
      </c>
      <c r="Y59" s="62">
        <f t="shared" si="23"/>
        <v>23.298200000000001</v>
      </c>
      <c r="Z59" s="62">
        <f t="shared" si="9"/>
        <v>1.49E-2</v>
      </c>
      <c r="AA59" s="62">
        <f t="shared" si="10"/>
        <v>23.283300000000001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0144-07</v>
      </c>
      <c r="AE59" s="85" t="str">
        <f t="shared" si="12"/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AF59" s="82" t="str">
        <f t="shared" si="13"/>
        <v>"C:\Program Files (x86)\AstroGrep\AstroGrep.exe" /spath="%USERPROFILE%\AppData\Local\Temp\OnboardLogs" /stypes="app*4019*20170307*"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6" t="str">
        <f t="shared" si="18"/>
        <v>"%USERPROFILE%\Documents\GitHub\eaglep3\Utilities\RefineRTDCRunTimes.py" --tripid 144-07 --locoid 4019 --swversion DE.1.0.9.0 --startMP 204:232982 --initTime 2017-03-07T09:54:35 --startdatetime 2017-03-07T10:14:56 --delay 4 --endMP 204:149 --enddatetime 2017-03-07T10:45:56 --enforcementcount 2 &gt;&gt;C:\Users\stu\Documents\GitHub\eaglep3-reporting\EC\2017-03-07-refined-times.txt</v>
      </c>
      <c r="AI59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{"issue":{"subject":"","project_id":79,"tracker_id":40,"status_id":1,"priority_id":2,"assigned_to_id":23,"start_date":"2017-03-07","description":"","custom_fields":[{"id":1,"name":"Subdivision","value":"EC"},{"id":4,"name":"Milepost","value":"0.0149"},{"id":17,"name":"Train ID","value":"144-07"},{"id":16,"name":"Locomotive ID","value":"4019"},{"id":130,"name":"Impact","value":""},{"id":150,"name":"Time of Event (Mountain Time)","value":"10:45:56"},{"id":151,"name":"Denver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4019 --day 2017-03-07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"%USERPROFILE%\AppData\Local\Temp\OnboardLogs"\RTDC4019\*4019*20170307* | grep -SE "(Enforcement Action)|(\[TIMEOUT)|(CHR.+\|PRM\|1\|D.+(SWITCH|SIGNAL).+UNKNOWN)" - &gt;&gt; 2017-03-07-UncaughtWiMAX.txt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659</v>
      </c>
      <c r="B60" s="7">
        <v>4013</v>
      </c>
      <c r="C60" s="21" t="s">
        <v>233</v>
      </c>
      <c r="D60" s="21" t="s">
        <v>813</v>
      </c>
      <c r="E60" s="13">
        <v>42801.423020833332</v>
      </c>
      <c r="F60" s="13">
        <v>42801.424560185187</v>
      </c>
      <c r="G60" s="7">
        <v>1</v>
      </c>
      <c r="H60" s="21" t="s">
        <v>455</v>
      </c>
      <c r="I60" s="13">
        <v>42801.453969907408</v>
      </c>
      <c r="J60" s="7">
        <v>2</v>
      </c>
      <c r="K60" s="98" t="str">
        <f t="shared" si="0"/>
        <v>4013/4014</v>
      </c>
      <c r="L60" s="21" t="str">
        <f>VLOOKUP(A60,'Trips&amp;Operators'!$C$1:$G$99999,5,FALSE)</f>
        <v>ROCHA YAOTL</v>
      </c>
      <c r="M60" s="6">
        <f t="shared" si="1"/>
        <v>2.940972222131677E-2</v>
      </c>
      <c r="N60" s="7">
        <f>24*60*SUM($M60:$M60)</f>
        <v>42.349999998696148</v>
      </c>
      <c r="O60" s="7"/>
      <c r="P60" s="7"/>
      <c r="Q60" s="22"/>
      <c r="R60" s="22"/>
      <c r="S60" s="31">
        <f t="shared" ref="S60:S75" si="26">SUM(U60:U60)/IF(AG60="EC",12,1)</f>
        <v>1</v>
      </c>
      <c r="T60" s="46" t="str">
        <f t="shared" si="4"/>
        <v>Southbound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5"/>
        <v>https://d0f6bd738d7f1b3e5a7ca70fe4ff75f0.us-east-1.aws.found.io/app/kibana#/discover/Steve-Slow-Train-Analysis-(2080s-and-2083s)?_g=(refreshInterval:(display:Off,pause:!f,section:0,value:0),time:(from:'2017-03-07T09:09:09-0700',mode:absolute,to:'2017-03-07T11:53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0" s="187" t="str">
        <f t="shared" si="6"/>
        <v>N</v>
      </c>
      <c r="X60" s="187">
        <f t="shared" si="25"/>
        <v>2</v>
      </c>
      <c r="Y60" s="62">
        <f t="shared" si="23"/>
        <v>23.319099999999999</v>
      </c>
      <c r="Z60" s="62">
        <f t="shared" si="9"/>
        <v>1.6E-2</v>
      </c>
      <c r="AA60" s="62">
        <f t="shared" si="10"/>
        <v>23.303100000000001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0146-07</v>
      </c>
      <c r="AE60" s="85" t="str">
        <f t="shared" si="12"/>
        <v>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 &amp; aws s3 cp s3://rtdc.mdm.uploadarchive.raw/RTDC4013/ "%USERPROFILE%\AppData\Local\Temp\OnboardLogs"\RTDC4013\2017-03-08 --exclude "*" --recursive --include "*20170308*" &amp; "%USERPROFILE%\Documents\GitHub\mrs-test-scripts\Headless Mode &amp; Sideloading\WalkAndUnGZ.bat" "%USERPROFILE%\AppData\Local\Temp\OnboardLogs"\RTDC4013\2017-03-08</v>
      </c>
      <c r="AF60" s="82" t="str">
        <f t="shared" si="13"/>
        <v>"C:\Program Files (x86)\AstroGrep\AstroGrep.exe" /spath="%USERPROFILE%\AppData\Local\Temp\OnboardLogs" /stypes="app*4013*20170307*" /stext=" 17:.+((SYSTEM_STATE.+slice.+state.+changed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6" t="str">
        <f t="shared" si="18"/>
        <v>"%USERPROFILE%\Documents\GitHub\eaglep3\Utilities\RefineRTDCRunTimes.py" --tripid 146-07 --locoid 4013 --swversion DE.1.0.9.0 --startMP 204:233191 --initTime 2017-03-07T10:09:09 --startdatetime 2017-03-07T10:11:22 --delay 1 --endMP 204:160 --enddatetime 2017-03-07T10:53:43 --enforcementcount 2 &gt;&gt;C:\Users\stu\Documents\GitHub\eaglep3-reporting\EC\2017-03-07-refined-times.txt</v>
      </c>
      <c r="AI60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{"issue":{"subject":"","project_id":79,"tracker_id":40,"status_id":1,"priority_id":2,"assigned_to_id":23,"start_date":"2017-03-07","description":"","custom_fields":[{"id":1,"name":"Subdivision","value":"EC"},{"id":4,"name":"Milepost","value":"0.016"},{"id":17,"name":"Train ID","value":"146-07"},{"id":16,"name":"Locomotive ID","value":"4013"},{"id":130,"name":"Impact","value":""},{"id":150,"name":"Time of Event (Mountain Time)","value":"10:53:43"},{"id":151,"name":"Denver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4013 --day 2017-03-07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"%USERPROFILE%\AppData\Local\Temp\OnboardLogs"\RTDC4013\*4013*20170307* | grep -SE "(Enforcement Action)|(\[TIMEOUT)|(CHR.+\|PRM\|1\|D.+(SWITCH|SIGNAL).+UNKNOWN)" - &gt;&gt; 2017-03-07-UncaughtWiMAX.txt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657</v>
      </c>
      <c r="B61" s="7">
        <v>4006</v>
      </c>
      <c r="C61" s="21" t="s">
        <v>233</v>
      </c>
      <c r="D61" s="21" t="s">
        <v>814</v>
      </c>
      <c r="E61" s="13">
        <v>42801.405960648146</v>
      </c>
      <c r="F61" s="13">
        <v>42801.407152777778</v>
      </c>
      <c r="G61" s="7">
        <v>0</v>
      </c>
      <c r="H61" s="21" t="s">
        <v>497</v>
      </c>
      <c r="I61" s="13">
        <v>42801.431875000002</v>
      </c>
      <c r="J61" s="7">
        <v>2</v>
      </c>
      <c r="K61" s="98" t="str">
        <f t="shared" si="0"/>
        <v>4005/4006</v>
      </c>
      <c r="L61" s="21" t="str">
        <f>VLOOKUP(A61,'Trips&amp;Operators'!$C$1:$G$99999,5,FALSE)</f>
        <v>MAELZER KURT</v>
      </c>
      <c r="M61" s="6">
        <f t="shared" si="1"/>
        <v>2.4722222224227153E-2</v>
      </c>
      <c r="N61" s="7"/>
      <c r="O61" s="7"/>
      <c r="P61" s="7">
        <f>24*60*SUM($M61:$M61)</f>
        <v>35.6000000028871</v>
      </c>
      <c r="Q61" s="22"/>
      <c r="R61" s="22" t="s">
        <v>992</v>
      </c>
      <c r="S61" s="31">
        <f t="shared" si="26"/>
        <v>1</v>
      </c>
      <c r="T61" s="46" t="str">
        <f t="shared" si="4"/>
        <v>NorthBound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5"/>
        <v>https://d0f6bd738d7f1b3e5a7ca70fe4ff75f0.us-east-1.aws.found.io/app/kibana#/discover/Steve-Slow-Train-Analysis-(2080s-and-2083s)?_g=(refreshInterval:(display:Off,pause:!f,section:0,value:0),time:(from:'2017-03-07T08:44:35-0700',mode:absolute,to:'2017-03-07T11:21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1" s="187" t="str">
        <f t="shared" si="6"/>
        <v>Y</v>
      </c>
      <c r="X61" s="187">
        <f t="shared" si="25"/>
        <v>1</v>
      </c>
      <c r="Y61" s="62">
        <f t="shared" si="23"/>
        <v>1.9139999999999999</v>
      </c>
      <c r="Z61" s="62">
        <f t="shared" si="9"/>
        <v>23.330500000000001</v>
      </c>
      <c r="AA61" s="62">
        <f t="shared" si="10"/>
        <v>21.416499999999999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0147-07</v>
      </c>
      <c r="AE61" s="85" t="str">
        <f t="shared" si="12"/>
        <v>aws s3 cp s3://rtdc.mdm.uploadarchive.raw/RTDC4006/ "%USERPROFILE%\AppData\Local\Temp\OnboardLogs"\RTDC4006\2017-03-07 --exclude "*" --recursive --include "*20170307*" &amp; "%USERPROFILE%\Documents\GitHub\mrs-test-scripts\Headless Mode &amp; Sideloading\WalkAndUnGZ.bat" "%USERPROFILE%\AppData\Local\Temp\OnboardLogs"\RTDC4006\2017-03-07 &amp; aws s3 cp s3://rtdc.mdm.uploadarchive.raw/RTDC4006/ "%USERPROFILE%\AppData\Local\Temp\OnboardLogs"\RTDC4006\2017-03-08 --exclude "*" --recursive --include "*20170308*" &amp; "%USERPROFILE%\Documents\GitHub\mrs-test-scripts\Headless Mode &amp; Sideloading\WalkAndUnGZ.bat" "%USERPROFILE%\AppData\Local\Temp\OnboardLogs"\RTDC4006\2017-03-08</v>
      </c>
      <c r="AF61" s="82" t="str">
        <f t="shared" si="13"/>
        <v>"C:\Program Files (x86)\AstroGrep\AstroGrep.exe" /spath="%USERPROFILE%\AppData\Local\Temp\OnboardLogs" /stypes="app*4006*20170307*"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6" t="str">
        <f t="shared" si="18"/>
        <v>"%USERPROFILE%\Documents\GitHub\eaglep3\Utilities\RefineRTDCRunTimes.py" --tripid 147-07 --locoid 4006 --swversion DE.1.0.9.0 --startMP 204:19140 --initTime 2017-03-07T09:44:35 --startdatetime 2017-03-07T09:46:18 --delay 0 --endMP 204:233305 --enddatetime 2017-03-07T10:21:54 --enforcementcount 2 &gt;&gt;C:\Users\stu\Documents\GitHub\eaglep3-reporting\EC\2017-03-07-refined-times.txt</v>
      </c>
      <c r="AI61" s="108" t="str">
        <f t="shared" si="19"/>
        <v>echo {"issue":{"subject":"DUS SW 1 failure","project_id":79,"tracker_id":40,"status_id":1,"priority_id":2,"assigned_to_id":23,"start_date":"2017-03-07","description":"","custom_fields":[{"id":1,"name":"Subdivision","value":"EC"},{"id":4,"name":"Milepost","value":"23.3305"},{"id":17,"name":"Train ID","value":"147-07"},{"id":16,"name":"Locomotive ID","value":"4006"},{"id":130,"name":"Impact","value":""},{"id":150,"name":"Time of Event (Mountain Time)","value":"10:21:54"},{"id":151,"name":"Denver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4006 --day 2017-03-07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"%USERPROFILE%\AppData\Local\Temp\OnboardLogs"\RTDC4006\*4006*20170307* | grep -SE "(Enforcement Action)|(\[TIMEOUT)|(CHR.+\|PRM\|1\|D.+(SWITCH|SIGNAL).+UNKNOWN)" - &gt;&gt; 2017-03-07-UncaughtWiMAX.txt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987</v>
      </c>
      <c r="B62" s="7">
        <v>4005</v>
      </c>
      <c r="C62" s="21" t="s">
        <v>233</v>
      </c>
      <c r="D62" s="21" t="s">
        <v>235</v>
      </c>
      <c r="E62" s="13">
        <v>42801.43540509259</v>
      </c>
      <c r="F62" s="13">
        <v>42801.437210648146</v>
      </c>
      <c r="G62" s="7">
        <v>1</v>
      </c>
      <c r="H62" s="21" t="s">
        <v>544</v>
      </c>
      <c r="I62" s="13">
        <v>42801.467175925929</v>
      </c>
      <c r="J62" s="7">
        <v>2</v>
      </c>
      <c r="K62" s="98" t="str">
        <f t="shared" si="0"/>
        <v>4005/4006</v>
      </c>
      <c r="L62" s="21" t="s">
        <v>988</v>
      </c>
      <c r="M62" s="6">
        <f t="shared" si="1"/>
        <v>2.9965277783048805E-2</v>
      </c>
      <c r="N62" s="7">
        <f>24*60*SUM($M62:$M62)</f>
        <v>43.150000007590279</v>
      </c>
      <c r="O62" s="7"/>
      <c r="P62" s="7"/>
      <c r="Q62" s="22"/>
      <c r="R62" s="22" t="s">
        <v>986</v>
      </c>
      <c r="S62" s="31">
        <f t="shared" si="26"/>
        <v>1</v>
      </c>
      <c r="T62" s="46" t="str">
        <f t="shared" si="4"/>
        <v>Southbound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5"/>
        <v>https://d0f6bd738d7f1b3e5a7ca70fe4ff75f0.us-east-1.aws.found.io/app/kibana#/discover/Steve-Slow-Train-Analysis-(2080s-and-2083s)?_g=(refreshInterval:(display:Off,pause:!f,section:0,value:0),time:(from:'2017-03-07T09:26:59-0700',mode:absolute,to:'2017-03-07T12:12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2" s="187" t="str">
        <f t="shared" si="6"/>
        <v>N</v>
      </c>
      <c r="X62" s="187">
        <f t="shared" si="25"/>
        <v>1</v>
      </c>
      <c r="Y62" s="62">
        <f t="shared" si="23"/>
        <v>23.299399999999999</v>
      </c>
      <c r="Z62" s="62">
        <f t="shared" si="9"/>
        <v>1.3599999999999999E-2</v>
      </c>
      <c r="AA62" s="62">
        <f t="shared" si="10"/>
        <v>23.285799999999998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0148-07</v>
      </c>
      <c r="AE62" s="85" t="str">
        <f t="shared" si="12"/>
        <v>aws s3 cp s3://rtdc.mdm.uploadarchive.raw/RTDC4005/ "%USERPROFILE%\AppData\Local\Temp\OnboardLogs"\RTDC4005\2017-03-07 --exclude "*" --recursive --include "*20170307*" &amp; "%USERPROFILE%\Documents\GitHub\mrs-test-scripts\Headless Mode &amp; Sideloading\WalkAndUnGZ.bat" "%USERPROFILE%\AppData\Local\Temp\OnboardLogs"\RTDC4005\2017-03-07 &amp; aws s3 cp s3://rtdc.mdm.uploadarchive.raw/RTDC4005/ "%USERPROFILE%\AppData\Local\Temp\OnboardLogs"\RTDC4005\2017-03-08 --exclude "*" --recursive --include "*20170308*" &amp; "%USERPROFILE%\Documents\GitHub\mrs-test-scripts\Headless Mode &amp; Sideloading\WalkAndUnGZ.bat" "%USERPROFILE%\AppData\Local\Temp\OnboardLogs"\RTDC4005\2017-03-08</v>
      </c>
      <c r="AF62" s="82" t="str">
        <f t="shared" si="13"/>
        <v>"C:\Program Files (x86)\AstroGrep\AstroGrep.exe" /spath="%USERPROFILE%\AppData\Local\Temp\OnboardLogs" /stypes="app*4005*20170307*"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6" t="str">
        <f>refinertdcruntimes&amp;" --tripid "&amp;A62&amp;" --locoid "&amp;B62&amp;" --swversion "&amp;C62&amp;" --startMP "&amp;D62&amp;" --initTime "&amp;TEXT(E62,"yyyy-mm-ddTHH:MM:SS")&amp;" --startdatetime "&amp;TEXT(F62,"yyyy-mm-ddTHH:MM:SS")&amp;" --delay "&amp;G62&amp;" --endMP "&amp;H62&amp;" --enddatetime "&amp;TEXT(I62,"yyyy-mm-ddTHH:MM:SS")&amp;" --enforcementcount "&amp;J62&amp;IF(outputrefinedruntimes," &gt;&gt;"&amp;RefinedRTDCRunTimesOutputFile,"")</f>
        <v>"%USERPROFILE%\Documents\GitHub\eaglep3\Utilities\RefineRTDCRunTimes.py" --tripid 148-07 --locoid 4005 --swversion DE.1.0.9.0 --startMP 204:232994 --initTime 2017-03-07T10:26:59 --startdatetime 2017-03-07T10:29:35 --delay 1 --endMP 204:136 --enddatetime 2017-03-07T11:12:44 --enforcementcount 2 &gt;&gt;C:\Users\stu\Documents\GitHub\eaglep3-reporting\EC\2017-03-07-refined-times.txt</v>
      </c>
      <c r="AI62" s="108" t="str">
        <f>"echo {""issue"":{""subject"":"""&amp;R62&amp;""",""project_id"":79,""tracker_id"":40,""status_id"":"&amp;redmine_status&amp;",""priority_id"":"&amp;redmine_priority&amp;",""assigned_to_id"":"&amp;redmine_assignee&amp;",""start_date"":"""&amp;TEXT(I62,"YYYY-mm-dd")&amp;""",""description"":"""&amp;AJ62&amp;""",""custom_fields"":[{""id"":1,""name"":""Subdivision"",""value"":"""&amp;AG62&amp;"""},{""id"":4,""name"":""Milepost"",""value"":"""&amp;Z62&amp;"""},{""id"":17,""name"":""Train ID"",""value"":"""&amp;A62&amp;"""},{""id"":16,""name"":""Locomotive ID"",""value"":"""&amp;B62&amp;"""},{""id"":130,""name"":""Impact"",""value"":"""&amp;AK62&amp;"""},{""id"":150,""name"":""Time of Event (Mountain Time)"",""value"":"""&amp;TEXT(I62,"hh:mm:ss")&amp;"""},{""id"":151,""name"":""Denver Issue ID"",""value"":"""&amp;"""},{""id"":178,""name"":""Operational Impact"",""value"":"""&amp;redmine_op_impact&amp;"""},{""id"":179,""name"":""Denver Segment Assigned"",""value"":"""&amp;AL62&amp;"""}]}}"&amp;" | curl -X POST -H ""Content-Type: application/json"" -H ""X-Redmine-API-Key: "&amp;redm_api_key&amp;""" "&amp;redm_url&amp;" --data @-"</f>
        <v>echo {"issue":{"subject":"Accidentally picked 118-07 instead of 148-07","project_id":79,"tracker_id":40,"status_id":1,"priority_id":2,"assigned_to_id":23,"start_date":"2017-03-07","description":"","custom_fields":[{"id":1,"name":"Subdivision","value":"EC"},{"id":4,"name":"Milepost","value":"0.0136"},{"id":17,"name":"Train ID","value":"148-07"},{"id":16,"name":"Locomotive ID","value":"4005"},{"id":130,"name":"Impact","value":""},{"id":150,"name":"Time of Event (Mountain Time)","value":"11:12:44"},{"id":151,"name":"Denver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>"start /low /b "&amp;dls3logs&amp;" --loco "&amp;B62&amp;" --day "&amp;TEXT(F62,"YYYY-MM-DD")</f>
        <v>start /low /b %USERPROFILE%\Documents\GitHub\eaglep3\Utilities\DownloadLogsFromS3.py --loco 4005 --day 2017-03-07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"%USERPROFILE%\AppData\Local\Temp\OnboardLogs"\RTDC4005\*4005*20170307* | grep -SE "(Enforcement Action)|(\[TIMEOUT)|(CHR.+\|PRM\|1\|D.+(SWITCH|SIGNAL).+UNKNOWN)" - &gt;&gt; 2017-03-07-UncaughtWiMAX.txt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656</v>
      </c>
      <c r="B63" s="7">
        <v>4016</v>
      </c>
      <c r="C63" s="21" t="s">
        <v>233</v>
      </c>
      <c r="D63" s="21" t="s">
        <v>465</v>
      </c>
      <c r="E63" s="13">
        <v>42801.40384259259</v>
      </c>
      <c r="F63" s="13">
        <v>42801.412314814814</v>
      </c>
      <c r="G63" s="7">
        <v>1</v>
      </c>
      <c r="H63" s="21" t="s">
        <v>790</v>
      </c>
      <c r="I63" s="13">
        <v>42801.44023148148</v>
      </c>
      <c r="J63" s="7">
        <v>2</v>
      </c>
      <c r="K63" s="98" t="str">
        <f t="shared" si="0"/>
        <v>4015/4016</v>
      </c>
      <c r="L63" s="21" t="str">
        <f>VLOOKUP(A63,'Trips&amp;Operators'!$C$1:$G$99999,5,FALSE)</f>
        <v>STARKS ANGELINA</v>
      </c>
      <c r="M63" s="6">
        <f t="shared" si="1"/>
        <v>2.7916666665987577E-2</v>
      </c>
      <c r="N63" s="7"/>
      <c r="O63" s="7"/>
      <c r="P63" s="7">
        <f>24*60*SUM($M63:$M63)</f>
        <v>40.199999999022111</v>
      </c>
      <c r="Q63" s="22"/>
      <c r="R63" s="22" t="s">
        <v>992</v>
      </c>
      <c r="S63" s="31">
        <f t="shared" si="26"/>
        <v>1</v>
      </c>
      <c r="T63" s="46" t="str">
        <f t="shared" si="4"/>
        <v>NorthBound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5"/>
        <v>https://d0f6bd738d7f1b3e5a7ca70fe4ff75f0.us-east-1.aws.found.io/app/kibana#/discover/Steve-Slow-Train-Analysis-(2080s-and-2083s)?_g=(refreshInterval:(display:Off,pause:!f,section:0,value:0),time:(from:'2017-03-07T08:41:32-0700',mode:absolute,to:'2017-03-07T11:33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3" s="187" t="str">
        <f t="shared" si="6"/>
        <v>Y</v>
      </c>
      <c r="X63" s="187">
        <f t="shared" si="25"/>
        <v>1</v>
      </c>
      <c r="Y63" s="62">
        <v>1.9</v>
      </c>
      <c r="Z63" s="62">
        <f t="shared" si="9"/>
        <v>23.3306</v>
      </c>
      <c r="AA63" s="62">
        <f t="shared" si="10"/>
        <v>21.430600000000002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0149-07</v>
      </c>
      <c r="AE63" s="85" t="str">
        <f t="shared" si="12"/>
        <v>aws s3 cp s3://rtdc.mdm.uploadarchive.raw/RTDC4016/ "%USERPROFILE%\AppData\Local\Temp\OnboardLogs"\RTDC4016\2017-03-07 --exclude "*" --recursive --include "*20170307*" &amp; "%USERPROFILE%\Documents\GitHub\mrs-test-scripts\Headless Mode &amp; Sideloading\WalkAndUnGZ.bat" "%USERPROFILE%\AppData\Local\Temp\OnboardLogs"\RTDC4016\2017-03-07 &amp; aws s3 cp s3://rtdc.mdm.uploadarchive.raw/RTDC4016/ "%USERPROFILE%\AppData\Local\Temp\OnboardLogs"\RTDC4016\2017-03-08 --exclude "*" --recursive --include "*20170308*" &amp; "%USERPROFILE%\Documents\GitHub\mrs-test-scripts\Headless Mode &amp; Sideloading\WalkAndUnGZ.bat" "%USERPROFILE%\AppData\Local\Temp\OnboardLogs"\RTDC4016\2017-03-08</v>
      </c>
      <c r="AF63" s="82" t="str">
        <f t="shared" si="13"/>
        <v>"C:\Program Files (x86)\AstroGrep\AstroGrep.exe" /spath="%USERPROFILE%\AppData\Local\Temp\OnboardLogs" /stypes="app*4016*20170307*"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6" t="str">
        <f t="shared" si="18"/>
        <v>"%USERPROFILE%\Documents\GitHub\eaglep3\Utilities\RefineRTDCRunTimes.py" --tripid 149-07 --locoid 4016 --swversion DE.1.0.9.0 --startMP 204:471 --initTime 2017-03-07T09:41:32 --startdatetime 2017-03-07T09:53:44 --delay 1 --endMP 204:233306 --enddatetime 2017-03-07T10:33:56 --enforcementcount 2 &gt;&gt;C:\Users\stu\Documents\GitHub\eaglep3-reporting\EC\2017-03-07-refined-times.txt</v>
      </c>
      <c r="AI63" s="108" t="str">
        <f t="shared" si="19"/>
        <v>echo {"issue":{"subject":"DUS SW 1 failure","project_id":79,"tracker_id":40,"status_id":1,"priority_id":2,"assigned_to_id":23,"start_date":"2017-03-07","description":"","custom_fields":[{"id":1,"name":"Subdivision","value":"EC"},{"id":4,"name":"Milepost","value":"23.3306"},{"id":17,"name":"Train ID","value":"149-07"},{"id":16,"name":"Locomotive ID","value":"4016"},{"id":130,"name":"Impact","value":""},{"id":150,"name":"Time of Event (Mountain Time)","value":"10:33:56"},{"id":151,"name":"Denver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4016 --day 2017-03-07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"%USERPROFILE%\AppData\Local\Temp\OnboardLogs"\RTDC4016\*4016*20170307* | grep -SE "(Enforcement Action)|(\[TIMEOUT)|(CHR.+\|PRM\|1\|D.+(SWITCH|SIGNAL).+UNKNOWN)" - &gt;&gt; 2017-03-07-UncaughtWiMAX.txt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565</v>
      </c>
      <c r="B64" s="7">
        <v>4015</v>
      </c>
      <c r="C64" s="21" t="s">
        <v>233</v>
      </c>
      <c r="D64" s="21" t="s">
        <v>424</v>
      </c>
      <c r="E64" s="13">
        <v>42801.444189814814</v>
      </c>
      <c r="F64" s="13">
        <v>42801.445636574077</v>
      </c>
      <c r="G64" s="7">
        <v>1</v>
      </c>
      <c r="H64" s="21" t="s">
        <v>815</v>
      </c>
      <c r="I64" s="13">
        <v>42801.474814814814</v>
      </c>
      <c r="J64" s="7">
        <v>2</v>
      </c>
      <c r="K64" s="98" t="str">
        <f t="shared" si="0"/>
        <v>4015/4016</v>
      </c>
      <c r="L64" s="21" t="str">
        <f>VLOOKUP(A64,'Trips&amp;Operators'!$C$1:$G$99999,5,FALSE)</f>
        <v>STARKS ANGELINA</v>
      </c>
      <c r="M64" s="6">
        <f t="shared" si="1"/>
        <v>2.9178240736655425E-2</v>
      </c>
      <c r="N64" s="7">
        <f t="shared" ref="N64:N74" si="27">24*60*SUM($M64:$M64)</f>
        <v>42.016666660783812</v>
      </c>
      <c r="O64" s="7"/>
      <c r="P64" s="7"/>
      <c r="Q64" s="22"/>
      <c r="R64" s="22"/>
      <c r="S64" s="31">
        <f t="shared" si="26"/>
        <v>1</v>
      </c>
      <c r="T64" s="46" t="str">
        <f t="shared" si="4"/>
        <v>Southbound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5"/>
        <v>https://d0f6bd738d7f1b3e5a7ca70fe4ff75f0.us-east-1.aws.found.io/app/kibana#/discover/Steve-Slow-Train-Analysis-(2080s-and-2083s)?_g=(refreshInterval:(display:Off,pause:!f,section:0,value:0),time:(from:'2017-03-07T09:39:38-0700',mode:absolute,to:'2017-03-07T12:23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4" s="187" t="str">
        <f t="shared" si="6"/>
        <v>N</v>
      </c>
      <c r="X64" s="187">
        <f t="shared" si="25"/>
        <v>1</v>
      </c>
      <c r="Y64" s="62">
        <f t="shared" ref="Y64:Y95" si="28">RIGHT(D64,LEN(D64)-4)/10000</f>
        <v>23.298300000000001</v>
      </c>
      <c r="Z64" s="62">
        <f t="shared" si="9"/>
        <v>1.6899999999999998E-2</v>
      </c>
      <c r="AA64" s="62">
        <f t="shared" si="10"/>
        <v>23.281400000000001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0150-07</v>
      </c>
      <c r="AE64" s="85" t="str">
        <f t="shared" si="12"/>
        <v>aws s3 cp s3://rtdc.mdm.uploadarchive.raw/RTDC4015/ "%USERPROFILE%\AppData\Local\Temp\OnboardLogs"\RTDC4015\2017-03-07 --exclude "*" --recursive --include "*20170307*" &amp; "%USERPROFILE%\Documents\GitHub\mrs-test-scripts\Headless Mode &amp; Sideloading\WalkAndUnGZ.bat" "%USERPROFILE%\AppData\Local\Temp\OnboardLogs"\RTDC4015\2017-03-07 &amp; aws s3 cp s3://rtdc.mdm.uploadarchive.raw/RTDC4015/ "%USERPROFILE%\AppData\Local\Temp\OnboardLogs"\RTDC4015\2017-03-08 --exclude "*" --recursive --include "*20170308*" &amp; "%USERPROFILE%\Documents\GitHub\mrs-test-scripts\Headless Mode &amp; Sideloading\WalkAndUnGZ.bat" "%USERPROFILE%\AppData\Local\Temp\OnboardLogs"\RTDC4015\2017-03-08</v>
      </c>
      <c r="AF64" s="82" t="str">
        <f t="shared" si="13"/>
        <v>"C:\Program Files (x86)\AstroGrep\AstroGrep.exe" /spath="%USERPROFILE%\AppData\Local\Temp\OnboardLogs" /stypes="app*4015*20170307*"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6" t="str">
        <f t="shared" si="18"/>
        <v>"%USERPROFILE%\Documents\GitHub\eaglep3\Utilities\RefineRTDCRunTimes.py" --tripid 150-07 --locoid 4015 --swversion DE.1.0.9.0 --startMP 204:232983 --initTime 2017-03-07T10:39:38 --startdatetime 2017-03-07T10:41:43 --delay 1 --endMP 204:169 --enddatetime 2017-03-07T11:23:44 --enforcementcount 2 &gt;&gt;C:\Users\stu\Documents\GitHub\eaglep3-reporting\EC\2017-03-07-refined-times.txt</v>
      </c>
      <c r="AI64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{"issue":{"subject":"","project_id":79,"tracker_id":40,"status_id":1,"priority_id":2,"assigned_to_id":23,"start_date":"2017-03-07","description":"","custom_fields":[{"id":1,"name":"Subdivision","value":"EC"},{"id":4,"name":"Milepost","value":"0.0169"},{"id":17,"name":"Train ID","value":"150-07"},{"id":16,"name":"Locomotive ID","value":"4015"},{"id":130,"name":"Impact","value":""},{"id":150,"name":"Time of Event (Mountain Time)","value":"11:23:44"},{"id":151,"name":"Denver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4015 --day 2017-03-07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"%USERPROFILE%\AppData\Local\Temp\OnboardLogs"\RTDC4015\*4015*20170307* | grep -SE "(Enforcement Action)|(\[TIMEOUT)|(CHR.+\|PRM\|1\|D.+(SWITCH|SIGNAL).+UNKNOWN)" - &gt;&gt; 2017-03-07-UncaughtWiMAX.txt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658</v>
      </c>
      <c r="B65" s="7">
        <v>4022</v>
      </c>
      <c r="C65" s="21" t="s">
        <v>233</v>
      </c>
      <c r="D65" s="21" t="s">
        <v>816</v>
      </c>
      <c r="E65" s="13">
        <v>42801.412245370368</v>
      </c>
      <c r="F65" s="13">
        <v>42801.425868055558</v>
      </c>
      <c r="G65" s="7">
        <v>1</v>
      </c>
      <c r="H65" s="21" t="s">
        <v>237</v>
      </c>
      <c r="I65" s="13">
        <v>42801.45212962963</v>
      </c>
      <c r="J65" s="7">
        <v>2</v>
      </c>
      <c r="K65" s="98" t="str">
        <f t="shared" si="0"/>
        <v>4021/4022</v>
      </c>
      <c r="L65" s="21" t="str">
        <f>VLOOKUP(A65,'Trips&amp;Operators'!$C$1:$G$99999,5,FALSE)</f>
        <v>BONDS REYNALDO</v>
      </c>
      <c r="M65" s="6">
        <f t="shared" si="1"/>
        <v>2.626157407212304E-2</v>
      </c>
      <c r="N65" s="7">
        <f t="shared" si="27"/>
        <v>37.816666663857177</v>
      </c>
      <c r="O65" s="7"/>
      <c r="P65" s="7"/>
      <c r="Q65" s="22"/>
      <c r="R65" s="22"/>
      <c r="S65" s="31">
        <f t="shared" si="26"/>
        <v>1</v>
      </c>
      <c r="T65" s="46" t="str">
        <f t="shared" si="4"/>
        <v>NorthBound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5"/>
        <v>https://d0f6bd738d7f1b3e5a7ca70fe4ff75f0.us-east-1.aws.found.io/app/kibana#/discover/Steve-Slow-Train-Analysis-(2080s-and-2083s)?_g=(refreshInterval:(display:Off,pause:!f,section:0,value:0),time:(from:'2017-03-07T08:53:38-0700',mode:absolute,to:'2017-03-07T11:51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5" s="187" t="str">
        <f t="shared" si="6"/>
        <v>N</v>
      </c>
      <c r="X65" s="187">
        <f t="shared" si="25"/>
        <v>1</v>
      </c>
      <c r="Y65" s="62">
        <f t="shared" si="28"/>
        <v>4.6399999999999997E-2</v>
      </c>
      <c r="Z65" s="62">
        <f t="shared" si="9"/>
        <v>23.329699999999999</v>
      </c>
      <c r="AA65" s="62">
        <f t="shared" si="10"/>
        <v>23.283300000000001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0151-07</v>
      </c>
      <c r="AE65" s="85" t="str">
        <f t="shared" si="12"/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AF65" s="82" t="str">
        <f t="shared" si="13"/>
        <v>"C:\Program Files (x86)\AstroGrep\AstroGrep.exe" /spath="%USERPROFILE%\AppData\Local\Temp\OnboardLogs" /stypes="app*4022*20170307*"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6" t="str">
        <f t="shared" si="18"/>
        <v>"%USERPROFILE%\Documents\GitHub\eaglep3\Utilities\RefineRTDCRunTimes.py" --tripid 151-07 --locoid 4022 --swversion DE.1.0.9.0 --startMP 204:464 --initTime 2017-03-07T09:53:38 --startdatetime 2017-03-07T10:13:15 --delay 1 --endMP 204:233297 --enddatetime 2017-03-07T10:51:04 --enforcementcount 2 &gt;&gt;C:\Users\stu\Documents\GitHub\eaglep3-reporting\EC\2017-03-07-refined-times.txt</v>
      </c>
      <c r="AI65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{"issue":{"subject":"","project_id":79,"tracker_id":40,"status_id":1,"priority_id":2,"assigned_to_id":23,"start_date":"2017-03-07","description":"","custom_fields":[{"id":1,"name":"Subdivision","value":"EC"},{"id":4,"name":"Milepost","value":"23.3297"},{"id":17,"name":"Train ID","value":"151-07"},{"id":16,"name":"Locomotive ID","value":"4022"},{"id":130,"name":"Impact","value":""},{"id":150,"name":"Time of Event (Mountain Time)","value":"10:51:04"},{"id":151,"name":"Denver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4022 --day 2017-03-07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"%USERPROFILE%\AppData\Local\Temp\OnboardLogs"\RTDC4022\*4022*20170307* | grep -SE "(Enforcement Action)|(\[TIMEOUT)|(CHR.+\|PRM\|1\|D.+(SWITCH|SIGNAL).+UNKNOWN)" - &gt;&gt; 2017-03-07-UncaughtWiMAX.txt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566</v>
      </c>
      <c r="B66" s="7">
        <v>4021</v>
      </c>
      <c r="C66" s="21" t="s">
        <v>233</v>
      </c>
      <c r="D66" s="21" t="s">
        <v>280</v>
      </c>
      <c r="E66" s="13">
        <v>42801.453321759262</v>
      </c>
      <c r="F66" s="13">
        <v>42801.455706018518</v>
      </c>
      <c r="G66" s="7">
        <v>1</v>
      </c>
      <c r="H66" s="21" t="s">
        <v>219</v>
      </c>
      <c r="I66" s="13">
        <v>42801.48505787037</v>
      </c>
      <c r="J66" s="7">
        <v>2</v>
      </c>
      <c r="K66" s="98" t="str">
        <f t="shared" si="0"/>
        <v>4021/4022</v>
      </c>
      <c r="L66" s="21" t="str">
        <f>VLOOKUP(A66,'Trips&amp;Operators'!$C$1:$G$99999,5,FALSE)</f>
        <v>BONDS REYNALDO</v>
      </c>
      <c r="M66" s="6">
        <f t="shared" si="1"/>
        <v>2.9351851851970423E-2</v>
      </c>
      <c r="N66" s="7">
        <f t="shared" si="27"/>
        <v>42.266666666837409</v>
      </c>
      <c r="O66" s="7"/>
      <c r="P66" s="7"/>
      <c r="Q66" s="22"/>
      <c r="R66" s="22"/>
      <c r="S66" s="31">
        <f t="shared" si="26"/>
        <v>1</v>
      </c>
      <c r="T66" s="46" t="str">
        <f t="shared" si="4"/>
        <v>Southbound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5"/>
        <v>https://d0f6bd738d7f1b3e5a7ca70fe4ff75f0.us-east-1.aws.found.io/app/kibana#/discover/Steve-Slow-Train-Analysis-(2080s-and-2083s)?_g=(refreshInterval:(display:Off,pause:!f,section:0,value:0),time:(from:'2017-03-07T09:52:47-0700',mode:absolute,to:'2017-03-07T12:38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6" s="187" t="str">
        <f t="shared" si="6"/>
        <v>N</v>
      </c>
      <c r="X66" s="187">
        <f t="shared" ref="X66:X89" si="29">VALUE(LEFT(AD66,4))-VALUE(LEFT(AD65,4))</f>
        <v>1</v>
      </c>
      <c r="Y66" s="62">
        <f t="shared" si="28"/>
        <v>23.297799999999999</v>
      </c>
      <c r="Z66" s="62">
        <f t="shared" si="9"/>
        <v>1.3899999999999999E-2</v>
      </c>
      <c r="AA66" s="62">
        <f t="shared" si="10"/>
        <v>23.283899999999999</v>
      </c>
      <c r="AB66" s="59" t="str">
        <f>VLOOKUP(A66,Enforcements!$C$7:$K$13,8,0)</f>
        <v>Bulletin (2)</v>
      </c>
      <c r="AC66" s="55" t="str">
        <f>VLOOKUP(A66,Enforcements!$C$7:$E$13,3,0)</f>
        <v>GRADE CROSSING</v>
      </c>
      <c r="AD66" s="56" t="str">
        <f t="shared" si="11"/>
        <v>0152-07</v>
      </c>
      <c r="AE66" s="85" t="str">
        <f t="shared" si="12"/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AF66" s="82" t="str">
        <f t="shared" si="13"/>
        <v>"C:\Program Files (x86)\AstroGrep\AstroGrep.exe" /spath="%USERPROFILE%\AppData\Local\Temp\OnboardLogs" /stypes="app*4021*20170307*"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6" t="str">
        <f t="shared" si="18"/>
        <v>"%USERPROFILE%\Documents\GitHub\eaglep3\Utilities\RefineRTDCRunTimes.py" --tripid 152-07 --locoid 4021 --swversion DE.1.0.9.0 --startMP 204:232978 --initTime 2017-03-07T10:52:47 --startdatetime 2017-03-07T10:56:13 --delay 1 --endMP 204:139 --enddatetime 2017-03-07T11:38:29 --enforcementcount 2 &gt;&gt;C:\Users\stu\Documents\GitHub\eaglep3-reporting\EC\2017-03-07-refined-times.txt</v>
      </c>
      <c r="AI66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{"issue":{"subject":"","project_id":79,"tracker_id":40,"status_id":1,"priority_id":2,"assigned_to_id":23,"start_date":"2017-03-07","description":"","custom_fields":[{"id":1,"name":"Subdivision","value":"EC"},{"id":4,"name":"Milepost","value":"0.0139"},{"id":17,"name":"Train ID","value":"152-07"},{"id":16,"name":"Locomotive ID","value":"4021"},{"id":130,"name":"Impact","value":""},{"id":150,"name":"Time of Event (Mountain Time)","value":"11:38:29"},{"id":151,"name":"Denver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4021 --day 2017-03-07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"%USERPROFILE%\AppData\Local\Temp\OnboardLogs"\RTDC4021\*4021*20170307* | grep -SE "(Enforcement Action)|(\[TIMEOUT)|(CHR.+\|PRM\|1\|D.+(SWITCH|SIGNAL).+UNKNOWN)" - &gt;&gt; 2017-03-07-UncaughtWiMAX.txt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661</v>
      </c>
      <c r="B67" s="7">
        <v>4011</v>
      </c>
      <c r="C67" s="21" t="s">
        <v>233</v>
      </c>
      <c r="D67" s="21" t="s">
        <v>514</v>
      </c>
      <c r="E67" s="13">
        <v>42801.432951388888</v>
      </c>
      <c r="F67" s="13">
        <v>42801.437789351854</v>
      </c>
      <c r="G67" s="7">
        <v>2</v>
      </c>
      <c r="H67" s="21" t="s">
        <v>247</v>
      </c>
      <c r="I67" s="13">
        <v>42801.463634259257</v>
      </c>
      <c r="J67" s="7">
        <v>2</v>
      </c>
      <c r="K67" s="98" t="str">
        <f t="shared" si="0"/>
        <v>4011/4012</v>
      </c>
      <c r="L67" s="21" t="str">
        <f>VLOOKUP(A67,'Trips&amp;Operators'!$C$1:$G$99999,5,FALSE)</f>
        <v>MAYBERRY BILL</v>
      </c>
      <c r="M67" s="6">
        <f t="shared" si="1"/>
        <v>2.5844907402643003E-2</v>
      </c>
      <c r="N67" s="7">
        <f t="shared" si="27"/>
        <v>37.216666659805924</v>
      </c>
      <c r="O67" s="7"/>
      <c r="P67" s="7"/>
      <c r="Q67" s="22"/>
      <c r="R67" s="22"/>
      <c r="S67" s="31">
        <f t="shared" si="26"/>
        <v>1</v>
      </c>
      <c r="T67" s="46" t="str">
        <f t="shared" si="4"/>
        <v>NorthBound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5"/>
        <v>https://d0f6bd738d7f1b3e5a7ca70fe4ff75f0.us-east-1.aws.found.io/app/kibana#/discover/Steve-Slow-Train-Analysis-(2080s-and-2083s)?_g=(refreshInterval:(display:Off,pause:!f,section:0,value:0),time:(from:'2017-03-07T09:23:27-0700',mode:absolute,to:'2017-03-07T12:07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7" s="187" t="str">
        <f t="shared" si="6"/>
        <v>N</v>
      </c>
      <c r="X67" s="187">
        <f t="shared" si="29"/>
        <v>3</v>
      </c>
      <c r="Y67" s="62">
        <f t="shared" si="28"/>
        <v>4.3299999999999998E-2</v>
      </c>
      <c r="Z67" s="62">
        <f t="shared" si="9"/>
        <v>23.331499999999998</v>
      </c>
      <c r="AA67" s="62">
        <f t="shared" si="10"/>
        <v>23.2882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0155-07</v>
      </c>
      <c r="AE67" s="85" t="str">
        <f t="shared" si="12"/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AF67" s="82" t="str">
        <f t="shared" si="13"/>
        <v>"C:\Program Files (x86)\AstroGrep\AstroGrep.exe" /spath="%USERPROFILE%\AppData\Local\Temp\OnboardLogs" /stypes="app*4011*20170307*"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6" t="str">
        <f t="shared" si="18"/>
        <v>"%USERPROFILE%\Documents\GitHub\eaglep3\Utilities\RefineRTDCRunTimes.py" --tripid 155-07 --locoid 4011 --swversion DE.1.0.9.0 --startMP 204:433 --initTime 2017-03-07T10:23:27 --startdatetime 2017-03-07T10:30:25 --delay 2 --endMP 204:233315 --enddatetime 2017-03-07T11:07:38 --enforcementcount 2 &gt;&gt;C:\Users\stu\Documents\GitHub\eaglep3-reporting\EC\2017-03-07-refined-times.txt</v>
      </c>
      <c r="AI67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{"issue":{"subject":"","project_id":79,"tracker_id":40,"status_id":1,"priority_id":2,"assigned_to_id":23,"start_date":"2017-03-07","description":"","custom_fields":[{"id":1,"name":"Subdivision","value":"EC"},{"id":4,"name":"Milepost","value":"23.3315"},{"id":17,"name":"Train ID","value":"155-07"},{"id":16,"name":"Locomotive ID","value":"4011"},{"id":130,"name":"Impact","value":""},{"id":150,"name":"Time of Event (Mountain Time)","value":"11:07:38"},{"id":151,"name":"Denver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4011 --day 2017-03-07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"%USERPROFILE%\AppData\Local\Temp\OnboardLogs"\RTDC4011\*4011*20170307* | grep -SE "(Enforcement Action)|(\[TIMEOUT)|(CHR.+\|PRM\|1\|D.+(SWITCH|SIGNAL).+UNKNOWN)" - &gt;&gt; 2017-03-07-UncaughtWiMAX.txt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670</v>
      </c>
      <c r="B68" s="7">
        <v>4012</v>
      </c>
      <c r="C68" s="21" t="s">
        <v>233</v>
      </c>
      <c r="D68" s="21" t="s">
        <v>793</v>
      </c>
      <c r="E68" s="13">
        <v>42801.469351851854</v>
      </c>
      <c r="F68" s="13">
        <v>42801.476655092592</v>
      </c>
      <c r="G68" s="7">
        <v>1</v>
      </c>
      <c r="H68" s="21" t="s">
        <v>207</v>
      </c>
      <c r="I68" s="13">
        <v>42801.50513888889</v>
      </c>
      <c r="J68" s="7">
        <v>2</v>
      </c>
      <c r="K68" s="98" t="str">
        <f t="shared" si="0"/>
        <v>4011/4012</v>
      </c>
      <c r="L68" s="21" t="str">
        <f>VLOOKUP(A68,'Trips&amp;Operators'!$C$1:$G$99999,5,FALSE)</f>
        <v>MAYBERRY BILL</v>
      </c>
      <c r="M68" s="6">
        <f t="shared" si="1"/>
        <v>2.8483796297223307E-2</v>
      </c>
      <c r="N68" s="7">
        <f t="shared" si="27"/>
        <v>41.016666668001562</v>
      </c>
      <c r="O68" s="7"/>
      <c r="P68" s="7"/>
      <c r="Q68" s="22"/>
      <c r="R68" s="22"/>
      <c r="S68" s="31">
        <f t="shared" si="26"/>
        <v>1</v>
      </c>
      <c r="T68" s="46" t="str">
        <f t="shared" si="4"/>
        <v>Southbound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5"/>
        <v>https://d0f6bd738d7f1b3e5a7ca70fe4ff75f0.us-east-1.aws.found.io/app/kibana#/discover/Steve-Slow-Train-Analysis-(2080s-and-2083s)?_g=(refreshInterval:(display:Off,pause:!f,section:0,value:0),time:(from:'2017-03-07T10:15:52-0700',mode:absolute,to:'2017-03-07T13:07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8" s="187" t="str">
        <f t="shared" si="6"/>
        <v>N</v>
      </c>
      <c r="X68" s="187">
        <f t="shared" si="29"/>
        <v>1</v>
      </c>
      <c r="Y68" s="62">
        <f t="shared" si="28"/>
        <v>23.299600000000002</v>
      </c>
      <c r="Z68" s="62">
        <f t="shared" si="9"/>
        <v>1.54E-2</v>
      </c>
      <c r="AA68" s="62">
        <f t="shared" si="10"/>
        <v>23.284200000000002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0156-07</v>
      </c>
      <c r="AE68" s="85" t="str">
        <f t="shared" si="12"/>
        <v>aws s3 cp s3://rtdc.mdm.uploadarchive.raw/RTDC4012/ "%USERPROFILE%\AppData\Local\Temp\OnboardLogs"\RTDC4012\2017-03-07 --exclude "*" --recursive --include "*20170307*" &amp; "%USERPROFILE%\Documents\GitHub\mrs-test-scripts\Headless Mode &amp; Sideloading\WalkAndUnGZ.bat" "%USERPROFILE%\AppData\Local\Temp\OnboardLogs"\RTDC4012\2017-03-07 &amp; aws s3 cp s3://rtdc.mdm.uploadarchive.raw/RTDC4012/ "%USERPROFILE%\AppData\Local\Temp\OnboardLogs"\RTDC4012\2017-03-08 --exclude "*" --recursive --include "*20170308*" &amp; "%USERPROFILE%\Documents\GitHub\mrs-test-scripts\Headless Mode &amp; Sideloading\WalkAndUnGZ.bat" "%USERPROFILE%\AppData\Local\Temp\OnboardLogs"\RTDC4012\2017-03-08</v>
      </c>
      <c r="AF68" s="82" t="str">
        <f t="shared" si="13"/>
        <v>"C:\Program Files (x86)\AstroGrep\AstroGrep.exe" /spath="%USERPROFILE%\AppData\Local\Temp\OnboardLogs" /stypes="app*4012*20170307*"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6" t="str">
        <f t="shared" si="18"/>
        <v>"%USERPROFILE%\Documents\GitHub\eaglep3\Utilities\RefineRTDCRunTimes.py" --tripid 156-07 --locoid 4012 --swversion DE.1.0.9.0 --startMP 204:232996 --initTime 2017-03-07T11:15:52 --startdatetime 2017-03-07T11:26:23 --delay 1 --endMP 204:154 --enddatetime 2017-03-07T12:07:24 --enforcementcount 2 &gt;&gt;C:\Users\stu\Documents\GitHub\eaglep3-reporting\EC\2017-03-07-refined-times.txt</v>
      </c>
      <c r="AI68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{"issue":{"subject":"","project_id":79,"tracker_id":40,"status_id":1,"priority_id":2,"assigned_to_id":23,"start_date":"2017-03-07","description":"","custom_fields":[{"id":1,"name":"Subdivision","value":"EC"},{"id":4,"name":"Milepost","value":"0.0154"},{"id":17,"name":"Train ID","value":"156-07"},{"id":16,"name":"Locomotive ID","value":"4012"},{"id":130,"name":"Impact","value":""},{"id":150,"name":"Time of Event (Mountain Time)","value":"12:07:24"},{"id":151,"name":"Denver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4012 --day 2017-03-07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"%USERPROFILE%\AppData\Local\Temp\OnboardLogs"\RTDC4012\*4012*20170307* | grep -SE "(Enforcement Action)|(\[TIMEOUT)|(CHR.+\|PRM\|1\|D.+(SWITCH|SIGNAL).+UNKNOWN)" - &gt;&gt; 2017-03-07-UncaughtWiMAX.txt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664</v>
      </c>
      <c r="B69" s="7">
        <v>4044</v>
      </c>
      <c r="C69" s="21" t="s">
        <v>233</v>
      </c>
      <c r="D69" s="21" t="s">
        <v>225</v>
      </c>
      <c r="E69" s="13">
        <v>42801.441469907404</v>
      </c>
      <c r="F69" s="13">
        <v>42801.448078703703</v>
      </c>
      <c r="G69" s="7">
        <v>1</v>
      </c>
      <c r="H69" s="21" t="s">
        <v>817</v>
      </c>
      <c r="I69" s="13">
        <v>42801.47284722222</v>
      </c>
      <c r="J69" s="7">
        <v>2</v>
      </c>
      <c r="K69" s="98" t="str">
        <f t="shared" si="0"/>
        <v>4043/4044</v>
      </c>
      <c r="L69" s="21" t="str">
        <f>VLOOKUP(A69,'Trips&amp;Operators'!$C$1:$G$99999,5,FALSE)</f>
        <v>YANAI IAN</v>
      </c>
      <c r="M69" s="6">
        <f t="shared" si="1"/>
        <v>2.4768518516793847E-2</v>
      </c>
      <c r="N69" s="7">
        <f t="shared" si="27"/>
        <v>35.66666666418314</v>
      </c>
      <c r="O69" s="7"/>
      <c r="P69" s="7"/>
      <c r="Q69" s="22"/>
      <c r="R69" s="22"/>
      <c r="S69" s="31">
        <f t="shared" si="26"/>
        <v>1</v>
      </c>
      <c r="T69" s="46" t="str">
        <f t="shared" si="4"/>
        <v>NorthBound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5"/>
        <v>https://d0f6bd738d7f1b3e5a7ca70fe4ff75f0.us-east-1.aws.found.io/app/kibana#/discover/Steve-Slow-Train-Analysis-(2080s-and-2083s)?_g=(refreshInterval:(display:Off,pause:!f,section:0,value:0),time:(from:'2017-03-07T09:35:43-0700',mode:absolute,to:'2017-03-07T12:20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9" s="187" t="str">
        <f t="shared" si="6"/>
        <v>N</v>
      </c>
      <c r="X69" s="187">
        <f t="shared" si="29"/>
        <v>1</v>
      </c>
      <c r="Y69" s="62">
        <f t="shared" si="28"/>
        <v>4.4400000000000002E-2</v>
      </c>
      <c r="Z69" s="62">
        <f t="shared" si="9"/>
        <v>23.328399999999998</v>
      </c>
      <c r="AA69" s="62">
        <f t="shared" si="10"/>
        <v>23.283999999999999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0157-07</v>
      </c>
      <c r="AE69" s="85" t="str">
        <f t="shared" si="12"/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AF69" s="82" t="str">
        <f t="shared" si="13"/>
        <v>"C:\Program Files (x86)\AstroGrep\AstroGrep.exe" /spath="%USERPROFILE%\AppData\Local\Temp\OnboardLogs" /stypes="app*4044*20170307*"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6" t="str">
        <f t="shared" si="18"/>
        <v>"%USERPROFILE%\Documents\GitHub\eaglep3\Utilities\RefineRTDCRunTimes.py" --tripid 157-07 --locoid 4044 --swversion DE.1.0.9.0 --startMP 204:444 --initTime 2017-03-07T10:35:43 --startdatetime 2017-03-07T10:45:14 --delay 1 --endMP 204:233284 --enddatetime 2017-03-07T11:20:54 --enforcementcount 2 &gt;&gt;C:\Users\stu\Documents\GitHub\eaglep3-reporting\EC\2017-03-07-refined-times.txt</v>
      </c>
      <c r="AI69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{"issue":{"subject":"","project_id":79,"tracker_id":40,"status_id":1,"priority_id":2,"assigned_to_id":23,"start_date":"2017-03-07","description":"","custom_fields":[{"id":1,"name":"Subdivision","value":"EC"},{"id":4,"name":"Milepost","value":"23.3284"},{"id":17,"name":"Train ID","value":"157-07"},{"id":16,"name":"Locomotive ID","value":"4044"},{"id":130,"name":"Impact","value":""},{"id":150,"name":"Time of Event (Mountain Time)","value":"11:20:54"},{"id":151,"name":"Denver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4044 --day 2017-03-07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"%USERPROFILE%\AppData\Local\Temp\OnboardLogs"\RTDC4044\*4044*20170307* | grep -SE "(Enforcement Action)|(\[TIMEOUT)|(CHR.+\|PRM\|1\|D.+(SWITCH|SIGNAL).+UNKNOWN)" - &gt;&gt; 2017-03-07-UncaughtWiMAX.txt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673</v>
      </c>
      <c r="B70" s="7">
        <v>4043</v>
      </c>
      <c r="C70" s="21" t="s">
        <v>233</v>
      </c>
      <c r="D70" s="21" t="s">
        <v>798</v>
      </c>
      <c r="E70" s="13">
        <v>42801.474444444444</v>
      </c>
      <c r="F70" s="13">
        <v>42801.486979166664</v>
      </c>
      <c r="G70" s="7">
        <v>1</v>
      </c>
      <c r="H70" s="21" t="s">
        <v>455</v>
      </c>
      <c r="I70" s="13">
        <v>42801.518541666665</v>
      </c>
      <c r="J70" s="7">
        <v>2</v>
      </c>
      <c r="K70" s="98" t="str">
        <f t="shared" si="0"/>
        <v>4043/4044</v>
      </c>
      <c r="L70" s="21" t="str">
        <f>VLOOKUP(A70,'Trips&amp;Operators'!$C$1:$G$99999,5,FALSE)</f>
        <v>YANAI IAN</v>
      </c>
      <c r="M70" s="6">
        <f t="shared" si="1"/>
        <v>3.1562500000291038E-2</v>
      </c>
      <c r="N70" s="7">
        <f t="shared" si="27"/>
        <v>45.450000000419095</v>
      </c>
      <c r="O70" s="7"/>
      <c r="P70" s="7"/>
      <c r="Q70" s="22"/>
      <c r="R70" s="22"/>
      <c r="S70" s="31">
        <f t="shared" si="26"/>
        <v>1</v>
      </c>
      <c r="T70" s="46" t="str">
        <f t="shared" si="4"/>
        <v>Southbound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5"/>
        <v>https://d0f6bd738d7f1b3e5a7ca70fe4ff75f0.us-east-1.aws.found.io/app/kibana#/discover/Steve-Slow-Train-Analysis-(2080s-and-2083s)?_g=(refreshInterval:(display:Off,pause:!f,section:0,value:0),time:(from:'2017-03-07T10:23:12-0700',mode:absolute,to:'2017-03-07T13:26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0" s="187" t="str">
        <f t="shared" si="6"/>
        <v>N</v>
      </c>
      <c r="X70" s="187">
        <f t="shared" si="29"/>
        <v>1</v>
      </c>
      <c r="Y70" s="62">
        <f t="shared" si="28"/>
        <v>23.298400000000001</v>
      </c>
      <c r="Z70" s="62">
        <f t="shared" si="9"/>
        <v>1.6E-2</v>
      </c>
      <c r="AA70" s="62">
        <f t="shared" si="10"/>
        <v>23.282400000000003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0158-07</v>
      </c>
      <c r="AE70" s="85" t="str">
        <f t="shared" si="12"/>
        <v>aws s3 cp s3://rtdc.mdm.uploadarchive.raw/RTDC4043/ "%USERPROFILE%\AppData\Local\Temp\OnboardLogs"\RTDC4043\2017-03-07 --exclude "*" --recursive --include "*20170307*" &amp; "%USERPROFILE%\Documents\GitHub\mrs-test-scripts\Headless Mode &amp; Sideloading\WalkAndUnGZ.bat" "%USERPROFILE%\AppData\Local\Temp\OnboardLogs"\RTDC4043\2017-03-07 &amp; aws s3 cp s3://rtdc.mdm.uploadarchive.raw/RTDC4043/ "%USERPROFILE%\AppData\Local\Temp\OnboardLogs"\RTDC4043\2017-03-08 --exclude "*" --recursive --include "*20170308*" &amp; "%USERPROFILE%\Documents\GitHub\mrs-test-scripts\Headless Mode &amp; Sideloading\WalkAndUnGZ.bat" "%USERPROFILE%\AppData\Local\Temp\OnboardLogs"\RTDC4043\2017-03-08</v>
      </c>
      <c r="AF70" s="82" t="str">
        <f t="shared" si="13"/>
        <v>"C:\Program Files (x86)\AstroGrep\AstroGrep.exe" /spath="%USERPROFILE%\AppData\Local\Temp\OnboardLogs" /stypes="app*4043*20170307*"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6" t="str">
        <f t="shared" si="18"/>
        <v>"%USERPROFILE%\Documents\GitHub\eaglep3\Utilities\RefineRTDCRunTimes.py" --tripid 158-07 --locoid 4043 --swversion DE.1.0.9.0 --startMP 204:232984 --initTime 2017-03-07T11:23:12 --startdatetime 2017-03-07T11:41:15 --delay 1 --endMP 204:160 --enddatetime 2017-03-07T12:26:42 --enforcementcount 2 &gt;&gt;C:\Users\stu\Documents\GitHub\eaglep3-reporting\EC\2017-03-07-refined-times.txt</v>
      </c>
      <c r="AI70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{"issue":{"subject":"","project_id":79,"tracker_id":40,"status_id":1,"priority_id":2,"assigned_to_id":23,"start_date":"2017-03-07","description":"","custom_fields":[{"id":1,"name":"Subdivision","value":"EC"},{"id":4,"name":"Milepost","value":"0.016"},{"id":17,"name":"Train ID","value":"158-07"},{"id":16,"name":"Locomotive ID","value":"4043"},{"id":130,"name":"Impact","value":""},{"id":150,"name":"Time of Event (Mountain Time)","value":"12:26:42"},{"id":151,"name":"Denver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4043 --day 2017-03-07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"%USERPROFILE%\AppData\Local\Temp\OnboardLogs"\RTDC4043\*4043*20170307* | grep -SE "(Enforcement Action)|(\[TIMEOUT)|(CHR.+\|PRM\|1\|D.+(SWITCH|SIGNAL).+UNKNOWN)" - &gt;&gt; 2017-03-07-UncaughtWiMAX.txt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666</v>
      </c>
      <c r="B71" s="7">
        <v>4020</v>
      </c>
      <c r="C71" s="21" t="s">
        <v>233</v>
      </c>
      <c r="D71" s="21" t="s">
        <v>498</v>
      </c>
      <c r="E71" s="13">
        <v>42801.455833333333</v>
      </c>
      <c r="F71" s="13">
        <v>42801.462442129632</v>
      </c>
      <c r="G71" s="7">
        <v>0</v>
      </c>
      <c r="H71" s="21" t="s">
        <v>818</v>
      </c>
      <c r="I71" s="13">
        <v>42801.492546296293</v>
      </c>
      <c r="J71" s="7">
        <v>2</v>
      </c>
      <c r="K71" s="98" t="str">
        <f t="shared" si="0"/>
        <v>4019/4020</v>
      </c>
      <c r="L71" s="21" t="str">
        <f>VLOOKUP(A71,'Trips&amp;Operators'!$C$1:$G$99999,5,FALSE)</f>
        <v>DAVIS MICHAEL</v>
      </c>
      <c r="M71" s="6">
        <f t="shared" si="1"/>
        <v>3.0104166660748888E-2</v>
      </c>
      <c r="N71" s="7">
        <f t="shared" si="27"/>
        <v>43.349999991478398</v>
      </c>
      <c r="O71" s="7"/>
      <c r="P71" s="7"/>
      <c r="Q71" s="22"/>
      <c r="R71" s="22"/>
      <c r="S71" s="31">
        <f t="shared" si="26"/>
        <v>1</v>
      </c>
      <c r="T71" s="46" t="str">
        <f t="shared" si="4"/>
        <v>NorthBound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5"/>
        <v>https://d0f6bd738d7f1b3e5a7ca70fe4ff75f0.us-east-1.aws.found.io/app/kibana#/discover/Steve-Slow-Train-Analysis-(2080s-and-2083s)?_g=(refreshInterval:(display:Off,pause:!f,section:0,value:0),time:(from:'2017-03-07T09:56:24-0700',mode:absolute,to:'2017-03-07T12:49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1" s="187" t="str">
        <f t="shared" si="6"/>
        <v>N</v>
      </c>
      <c r="X71" s="187">
        <f t="shared" si="29"/>
        <v>1</v>
      </c>
      <c r="Y71" s="62">
        <f t="shared" si="28"/>
        <v>4.7500000000000001E-2</v>
      </c>
      <c r="Z71" s="62">
        <f t="shared" si="9"/>
        <v>23.337800000000001</v>
      </c>
      <c r="AA71" s="62">
        <f t="shared" si="10"/>
        <v>23.290300000000002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0159-07</v>
      </c>
      <c r="AE71" s="85" t="str">
        <f t="shared" si="12"/>
        <v>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 &amp; aws s3 cp s3://rtdc.mdm.uploadarchive.raw/RTDC4020/ "%USERPROFILE%\AppData\Local\Temp\OnboardLogs"\RTDC4020\2017-03-08 --exclude "*" --recursive --include "*20170308*" &amp; "%USERPROFILE%\Documents\GitHub\mrs-test-scripts\Headless Mode &amp; Sideloading\WalkAndUnGZ.bat" "%USERPROFILE%\AppData\Local\Temp\OnboardLogs"\RTDC4020\2017-03-08</v>
      </c>
      <c r="AF71" s="82" t="str">
        <f t="shared" si="13"/>
        <v>"C:\Program Files (x86)\AstroGrep\AstroGrep.exe" /spath="%USERPROFILE%\AppData\Local\Temp\OnboardLogs" /stypes="app*4020*20170307*"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6" t="str">
        <f t="shared" si="18"/>
        <v>"%USERPROFILE%\Documents\GitHub\eaglep3\Utilities\RefineRTDCRunTimes.py" --tripid 159-07 --locoid 4020 --swversion DE.1.0.9.0 --startMP 204:475 --initTime 2017-03-07T10:56:24 --startdatetime 2017-03-07T11:05:55 --delay 0 --endMP 204:233378 --enddatetime 2017-03-07T11:49:16 --enforcementcount 2 &gt;&gt;C:\Users\stu\Documents\GitHub\eaglep3-reporting\EC\2017-03-07-refined-times.txt</v>
      </c>
      <c r="AI71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{"issue":{"subject":"","project_id":79,"tracker_id":40,"status_id":1,"priority_id":2,"assigned_to_id":23,"start_date":"2017-03-07","description":"","custom_fields":[{"id":1,"name":"Subdivision","value":"EC"},{"id":4,"name":"Milepost","value":"23.3378"},{"id":17,"name":"Train ID","value":"159-07"},{"id":16,"name":"Locomotive ID","value":"4020"},{"id":130,"name":"Impact","value":""},{"id":150,"name":"Time of Event (Mountain Time)","value":"11:49:16"},{"id":151,"name":"Denver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4020 --day 2017-03-07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"%USERPROFILE%\AppData\Local\Temp\OnboardLogs"\RTDC4020\*4020*20170307* | grep -SE "(Enforcement Action)|(\[TIMEOUT)|(CHR.+\|PRM\|1\|D.+(SWITCH|SIGNAL).+UNKNOWN)" - &gt;&gt; 2017-03-07-UncaughtWiMAX.txt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677</v>
      </c>
      <c r="B72" s="7">
        <v>4019</v>
      </c>
      <c r="C72" s="21" t="s">
        <v>233</v>
      </c>
      <c r="D72" s="21" t="s">
        <v>456</v>
      </c>
      <c r="E72" s="13">
        <v>42801.496921296297</v>
      </c>
      <c r="F72" s="13">
        <v>42801.498599537037</v>
      </c>
      <c r="G72" s="7">
        <v>1</v>
      </c>
      <c r="H72" s="21" t="s">
        <v>254</v>
      </c>
      <c r="I72" s="13">
        <v>42801.539976851855</v>
      </c>
      <c r="J72" s="7">
        <v>2</v>
      </c>
      <c r="K72" s="98" t="str">
        <f t="shared" si="0"/>
        <v>4019/4020</v>
      </c>
      <c r="L72" s="21" t="str">
        <f>VLOOKUP(A72,'Trips&amp;Operators'!$C$1:$G$99999,5,FALSE)</f>
        <v>DAVIS MICHAEL</v>
      </c>
      <c r="M72" s="6">
        <f t="shared" si="1"/>
        <v>4.1377314817509614E-2</v>
      </c>
      <c r="N72" s="7">
        <f t="shared" si="27"/>
        <v>59.583333337213844</v>
      </c>
      <c r="O72" s="7"/>
      <c r="P72" s="7"/>
      <c r="Q72" s="22"/>
      <c r="R72" s="22" t="s">
        <v>990</v>
      </c>
      <c r="S72" s="31">
        <f t="shared" si="26"/>
        <v>1</v>
      </c>
      <c r="T72" s="46" t="str">
        <f t="shared" si="4"/>
        <v>Southbound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5"/>
        <v>https://d0f6bd738d7f1b3e5a7ca70fe4ff75f0.us-east-1.aws.found.io/app/kibana#/discover/Steve-Slow-Train-Analysis-(2080s-and-2083s)?_g=(refreshInterval:(display:Off,pause:!f,section:0,value:0),time:(from:'2017-03-07T10:55:34-0700',mode:absolute,to:'2017-03-07T13:57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2" s="187" t="str">
        <f t="shared" si="6"/>
        <v>N</v>
      </c>
      <c r="X72" s="187">
        <f t="shared" si="29"/>
        <v>1</v>
      </c>
      <c r="Y72" s="62">
        <f t="shared" si="28"/>
        <v>23.299299999999999</v>
      </c>
      <c r="Z72" s="62">
        <f t="shared" si="9"/>
        <v>1.34E-2</v>
      </c>
      <c r="AA72" s="62">
        <f t="shared" si="10"/>
        <v>23.285899999999998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0160-07</v>
      </c>
      <c r="AE72" s="85" t="str">
        <f t="shared" si="12"/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AF72" s="82" t="str">
        <f t="shared" si="13"/>
        <v>"C:\Program Files (x86)\AstroGrep\AstroGrep.exe" /spath="%USERPROFILE%\AppData\Local\Temp\OnboardLogs" /stypes="app*4019*20170307*"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6" t="str">
        <f t="shared" si="18"/>
        <v>"%USERPROFILE%\Documents\GitHub\eaglep3\Utilities\RefineRTDCRunTimes.py" --tripid 160-07 --locoid 4019 --swversion DE.1.0.9.0 --startMP 204:232993 --initTime 2017-03-07T11:55:34 --startdatetime 2017-03-07T11:57:59 --delay 1 --endMP 204:134 --enddatetime 2017-03-07T12:57:34 --enforcementcount 2 &gt;&gt;C:\Users\stu\Documents\GitHub\eaglep3-reporting\EC\2017-03-07-refined-times.txt</v>
      </c>
      <c r="AI72" s="108" t="str">
        <f t="shared" si="19"/>
        <v>echo {"issue":{"subject":"Delayed at CO station","project_id":79,"tracker_id":40,"status_id":1,"priority_id":2,"assigned_to_id":23,"start_date":"2017-03-07","description":"","custom_fields":[{"id":1,"name":"Subdivision","value":"EC"},{"id":4,"name":"Milepost","value":"0.0134"},{"id":17,"name":"Train ID","value":"160-07"},{"id":16,"name":"Locomotive ID","value":"4019"},{"id":130,"name":"Impact","value":""},{"id":150,"name":"Time of Event (Mountain Time)","value":"12:57:34"},{"id":151,"name":"Denver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4019 --day 2017-03-07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"%USERPROFILE%\AppData\Local\Temp\OnboardLogs"\RTDC4019\*4019*20170307* | grep -SE "(Enforcement Action)|(\[TIMEOUT)|(CHR.+\|PRM\|1\|D.+(SWITCH|SIGNAL).+UNKNOWN)" - &gt;&gt; 2017-03-07-UncaughtWiMAX.txt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669</v>
      </c>
      <c r="B73" s="7">
        <v>4014</v>
      </c>
      <c r="C73" s="21" t="s">
        <v>233</v>
      </c>
      <c r="D73" s="21" t="s">
        <v>225</v>
      </c>
      <c r="E73" s="13">
        <v>42801.462638888886</v>
      </c>
      <c r="F73" s="13">
        <v>42801.468923611108</v>
      </c>
      <c r="G73" s="7">
        <v>2</v>
      </c>
      <c r="H73" s="21" t="s">
        <v>242</v>
      </c>
      <c r="I73" s="13">
        <v>42801.49560185185</v>
      </c>
      <c r="J73" s="7">
        <v>2</v>
      </c>
      <c r="K73" s="98" t="str">
        <f t="shared" si="0"/>
        <v>4013/4014</v>
      </c>
      <c r="L73" s="21" t="str">
        <f>VLOOKUP(A73,'Trips&amp;Operators'!$C$1:$G$99999,5,FALSE)</f>
        <v>STEWART MICHAEL</v>
      </c>
      <c r="M73" s="6">
        <f t="shared" si="1"/>
        <v>2.6678240741603076E-2</v>
      </c>
      <c r="N73" s="7">
        <f t="shared" si="27"/>
        <v>38.41666666790843</v>
      </c>
      <c r="O73" s="7"/>
      <c r="P73" s="7"/>
      <c r="Q73" s="22"/>
      <c r="R73" s="22"/>
      <c r="S73" s="31">
        <f t="shared" si="26"/>
        <v>1</v>
      </c>
      <c r="T73" s="46" t="str">
        <f t="shared" si="4"/>
        <v>NorthBound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5"/>
        <v>https://d0f6bd738d7f1b3e5a7ca70fe4ff75f0.us-east-1.aws.found.io/app/kibana#/discover/Steve-Slow-Train-Analysis-(2080s-and-2083s)?_g=(refreshInterval:(display:Off,pause:!f,section:0,value:0),time:(from:'2017-03-07T10:06:12-0700',mode:absolute,to:'2017-03-07T12:53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3" s="187" t="str">
        <f t="shared" si="6"/>
        <v>N</v>
      </c>
      <c r="X73" s="187">
        <f t="shared" si="29"/>
        <v>1</v>
      </c>
      <c r="Y73" s="62">
        <f t="shared" si="28"/>
        <v>4.4400000000000002E-2</v>
      </c>
      <c r="Z73" s="62">
        <f t="shared" si="9"/>
        <v>23.331199999999999</v>
      </c>
      <c r="AA73" s="62">
        <f t="shared" si="10"/>
        <v>23.286799999999999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0161-07</v>
      </c>
      <c r="AE73" s="85" t="str">
        <f t="shared" si="12"/>
        <v>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 &amp; aws s3 cp s3://rtdc.mdm.uploadarchive.raw/RTDC4014/ "%USERPROFILE%\AppData\Local\Temp\OnboardLogs"\RTDC4014\2017-03-08 --exclude "*" --recursive --include "*20170308*" &amp; "%USERPROFILE%\Documents\GitHub\mrs-test-scripts\Headless Mode &amp; Sideloading\WalkAndUnGZ.bat" "%USERPROFILE%\AppData\Local\Temp\OnboardLogs"\RTDC4014\2017-03-08</v>
      </c>
      <c r="AF73" s="82" t="str">
        <f t="shared" si="13"/>
        <v>"C:\Program Files (x86)\AstroGrep\AstroGrep.exe" /spath="%USERPROFILE%\AppData\Local\Temp\OnboardLogs" /stypes="app*4014*20170307*"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6" t="str">
        <f t="shared" si="18"/>
        <v>"%USERPROFILE%\Documents\GitHub\eaglep3\Utilities\RefineRTDCRunTimes.py" --tripid 161-07 --locoid 4014 --swversion DE.1.0.9.0 --startMP 204:444 --initTime 2017-03-07T11:06:12 --startdatetime 2017-03-07T11:15:15 --delay 2 --endMP 204:233312 --enddatetime 2017-03-07T11:53:40 --enforcementcount 2 &gt;&gt;C:\Users\stu\Documents\GitHub\eaglep3-reporting\EC\2017-03-07-refined-times.txt</v>
      </c>
      <c r="AI73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{"issue":{"subject":"","project_id":79,"tracker_id":40,"status_id":1,"priority_id":2,"assigned_to_id":23,"start_date":"2017-03-07","description":"","custom_fields":[{"id":1,"name":"Subdivision","value":"EC"},{"id":4,"name":"Milepost","value":"23.3312"},{"id":17,"name":"Train ID","value":"161-07"},{"id":16,"name":"Locomotive ID","value":"4014"},{"id":130,"name":"Impact","value":""},{"id":150,"name":"Time of Event (Mountain Time)","value":"11:53:40"},{"id":151,"name":"Denver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4014 --day 2017-03-07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"%USERPROFILE%\AppData\Local\Temp\OnboardLogs"\RTDC4014\*4014*20170307* | grep -SE "(Enforcement Action)|(\[TIMEOUT)|(CHR.+\|PRM\|1\|D.+(SWITCH|SIGNAL).+UNKNOWN)" - &gt;&gt; 2017-03-07-UncaughtWiMAX.txt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678</v>
      </c>
      <c r="B74" s="7">
        <v>4013</v>
      </c>
      <c r="C74" s="21" t="s">
        <v>233</v>
      </c>
      <c r="D74" s="21" t="s">
        <v>423</v>
      </c>
      <c r="E74" s="13">
        <v>42801.506562499999</v>
      </c>
      <c r="F74" s="13">
        <v>42801.508321759262</v>
      </c>
      <c r="G74" s="7">
        <v>1</v>
      </c>
      <c r="H74" s="21" t="s">
        <v>192</v>
      </c>
      <c r="I74" s="13">
        <v>42801.543379629627</v>
      </c>
      <c r="J74" s="7">
        <v>2</v>
      </c>
      <c r="K74" s="98" t="str">
        <f t="shared" si="0"/>
        <v>4013/4014</v>
      </c>
      <c r="L74" s="21" t="str">
        <f>VLOOKUP(A74,'Trips&amp;Operators'!$C$1:$G$99999,5,FALSE)</f>
        <v>STEWART MICHAEL</v>
      </c>
      <c r="M74" s="6">
        <f t="shared" si="1"/>
        <v>3.5057870365562849E-2</v>
      </c>
      <c r="N74" s="7">
        <f t="shared" si="27"/>
        <v>50.483333326410502</v>
      </c>
      <c r="O74" s="7"/>
      <c r="P74" s="7"/>
      <c r="Q74" s="22"/>
      <c r="R74" s="22"/>
      <c r="S74" s="31">
        <f t="shared" si="26"/>
        <v>1</v>
      </c>
      <c r="T74" s="46" t="str">
        <f t="shared" si="4"/>
        <v>Southbound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5"/>
        <v>https://d0f6bd738d7f1b3e5a7ca70fe4ff75f0.us-east-1.aws.found.io/app/kibana#/discover/Steve-Slow-Train-Analysis-(2080s-and-2083s)?_g=(refreshInterval:(display:Off,pause:!f,section:0,value:0),time:(from:'2017-03-07T11:09:27-0700',mode:absolute,to:'2017-03-07T14:02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4" s="187" t="str">
        <f t="shared" si="6"/>
        <v>N</v>
      </c>
      <c r="X74" s="187">
        <f t="shared" si="29"/>
        <v>1</v>
      </c>
      <c r="Y74" s="62">
        <f t="shared" si="28"/>
        <v>23.298200000000001</v>
      </c>
      <c r="Z74" s="62">
        <f t="shared" si="9"/>
        <v>1.4999999999999999E-2</v>
      </c>
      <c r="AA74" s="62">
        <f t="shared" si="10"/>
        <v>23.283200000000001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0162-07</v>
      </c>
      <c r="AE74" s="85" t="str">
        <f t="shared" si="12"/>
        <v>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 &amp; aws s3 cp s3://rtdc.mdm.uploadarchive.raw/RTDC4013/ "%USERPROFILE%\AppData\Local\Temp\OnboardLogs"\RTDC4013\2017-03-08 --exclude "*" --recursive --include "*20170308*" &amp; "%USERPROFILE%\Documents\GitHub\mrs-test-scripts\Headless Mode &amp; Sideloading\WalkAndUnGZ.bat" "%USERPROFILE%\AppData\Local\Temp\OnboardLogs"\RTDC4013\2017-03-08</v>
      </c>
      <c r="AF74" s="82" t="str">
        <f t="shared" si="13"/>
        <v>"C:\Program Files (x86)\AstroGrep\AstroGrep.exe" /spath="%USERPROFILE%\AppData\Local\Temp\OnboardLogs" /stypes="app*4013*20170307*" /stext=" 20:.+((SYSTEM_STATE.+slice.+state.+changed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6" t="str">
        <f t="shared" si="18"/>
        <v>"%USERPROFILE%\Documents\GitHub\eaglep3\Utilities\RefineRTDCRunTimes.py" --tripid 162-07 --locoid 4013 --swversion DE.1.0.9.0 --startMP 204:232982 --initTime 2017-03-07T12:09:27 --startdatetime 2017-03-07T12:11:59 --delay 1 --endMP 204:150 --enddatetime 2017-03-07T13:02:28 --enforcementcount 2 &gt;&gt;C:\Users\stu\Documents\GitHub\eaglep3-reporting\EC\2017-03-07-refined-times.txt</v>
      </c>
      <c r="AI74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{"issue":{"subject":"","project_id":79,"tracker_id":40,"status_id":1,"priority_id":2,"assigned_to_id":23,"start_date":"2017-03-07","description":"","custom_fields":[{"id":1,"name":"Subdivision","value":"EC"},{"id":4,"name":"Milepost","value":"0.015"},{"id":17,"name":"Train ID","value":"162-07"},{"id":16,"name":"Locomotive ID","value":"4013"},{"id":130,"name":"Impact","value":""},{"id":150,"name":"Time of Event (Mountain Time)","value":"13:02:28"},{"id":151,"name":"Denver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4013 --day 2017-03-07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"%USERPROFILE%\AppData\Local\Temp\OnboardLogs"\RTDC4013\*4013*20170307* | grep -SE "(Enforcement Action)|(\[TIMEOUT)|(CHR.+\|PRM\|1\|D.+(SWITCH|SIGNAL).+UNKNOWN)" - &gt;&gt; 2017-03-07-UncaughtWiMAX.txt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672</v>
      </c>
      <c r="B75" s="7">
        <v>4006</v>
      </c>
      <c r="C75" s="21" t="s">
        <v>233</v>
      </c>
      <c r="D75" s="21" t="s">
        <v>819</v>
      </c>
      <c r="E75" s="13">
        <v>42801.486076388886</v>
      </c>
      <c r="F75" s="13">
        <v>42801.487650462965</v>
      </c>
      <c r="G75" s="7">
        <v>1</v>
      </c>
      <c r="H75" s="21" t="s">
        <v>820</v>
      </c>
      <c r="I75" s="13">
        <v>42801.513796296298</v>
      </c>
      <c r="J75" s="7">
        <v>2</v>
      </c>
      <c r="K75" s="98" t="str">
        <f t="shared" si="0"/>
        <v>4005/4006</v>
      </c>
      <c r="L75" s="21" t="str">
        <f>VLOOKUP(A75,'Trips&amp;Operators'!$C$1:$G$99999,5,FALSE)</f>
        <v>LEVERE CRAIG</v>
      </c>
      <c r="M75" s="6">
        <f t="shared" si="1"/>
        <v>2.6145833333430346E-2</v>
      </c>
      <c r="N75" s="7"/>
      <c r="O75" s="7"/>
      <c r="P75" s="7">
        <f>24*60*SUM($M75:$M75)</f>
        <v>37.650000000139698</v>
      </c>
      <c r="Q75" s="22"/>
      <c r="R75" s="22" t="s">
        <v>466</v>
      </c>
      <c r="S75" s="31">
        <f t="shared" si="26"/>
        <v>1</v>
      </c>
      <c r="T75" s="46" t="str">
        <f t="shared" si="4"/>
        <v>NorthBound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5"/>
        <v>https://d0f6bd738d7f1b3e5a7ca70fe4ff75f0.us-east-1.aws.found.io/app/kibana#/discover/Steve-Slow-Train-Analysis-(2080s-and-2083s)?_g=(refreshInterval:(display:Off,pause:!f,section:0,value:0),time:(from:'2017-03-07T10:39:57-0700',mode:absolute,to:'2017-03-07T13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5" s="187" t="str">
        <f t="shared" si="6"/>
        <v>Y</v>
      </c>
      <c r="X75" s="187">
        <f t="shared" si="29"/>
        <v>1</v>
      </c>
      <c r="Y75" s="62">
        <f t="shared" si="28"/>
        <v>1.9134</v>
      </c>
      <c r="Z75" s="62">
        <f t="shared" si="9"/>
        <v>23.3293</v>
      </c>
      <c r="AA75" s="62">
        <f t="shared" si="10"/>
        <v>21.415900000000001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0163-07</v>
      </c>
      <c r="AE75" s="85" t="str">
        <f t="shared" si="12"/>
        <v>aws s3 cp s3://rtdc.mdm.uploadarchive.raw/RTDC4006/ "%USERPROFILE%\AppData\Local\Temp\OnboardLogs"\RTDC4006\2017-03-07 --exclude "*" --recursive --include "*20170307*" &amp; "%USERPROFILE%\Documents\GitHub\mrs-test-scripts\Headless Mode &amp; Sideloading\WalkAndUnGZ.bat" "%USERPROFILE%\AppData\Local\Temp\OnboardLogs"\RTDC4006\2017-03-07 &amp; aws s3 cp s3://rtdc.mdm.uploadarchive.raw/RTDC4006/ "%USERPROFILE%\AppData\Local\Temp\OnboardLogs"\RTDC4006\2017-03-08 --exclude "*" --recursive --include "*20170308*" &amp; "%USERPROFILE%\Documents\GitHub\mrs-test-scripts\Headless Mode &amp; Sideloading\WalkAndUnGZ.bat" "%USERPROFILE%\AppData\Local\Temp\OnboardLogs"\RTDC4006\2017-03-08</v>
      </c>
      <c r="AF75" s="82" t="str">
        <f t="shared" si="13"/>
        <v>"C:\Program Files (x86)\AstroGrep\AstroGrep.exe" /spath="%USERPROFILE%\AppData\Local\Temp\OnboardLogs" /stypes="app*4006*20170307*"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6" t="str">
        <f t="shared" si="18"/>
        <v>"%USERPROFILE%\Documents\GitHub\eaglep3\Utilities\RefineRTDCRunTimes.py" --tripid 163-07 --locoid 4006 --swversion DE.1.0.9.0 --startMP 204:19134 --initTime 2017-03-07T11:39:57 --startdatetime 2017-03-07T11:42:13 --delay 1 --endMP 204:233293 --enddatetime 2017-03-07T12:19:52 --enforcementcount 2 &gt;&gt;C:\Users\stu\Documents\GitHub\eaglep3-reporting\EC\2017-03-07-refined-times.txt</v>
      </c>
      <c r="AI75" s="108" t="str">
        <f t="shared" si="19"/>
        <v>echo {"issue":{"subject":"Onboard in-route failure","project_id":79,"tracker_id":40,"status_id":1,"priority_id":2,"assigned_to_id":23,"start_date":"2017-03-07","description":"","custom_fields":[{"id":1,"name":"Subdivision","value":"EC"},{"id":4,"name":"Milepost","value":"23.3293"},{"id":17,"name":"Train ID","value":"163-07"},{"id":16,"name":"Locomotive ID","value":"4006"},{"id":130,"name":"Impact","value":""},{"id":150,"name":"Time of Event (Mountain Time)","value":"12:19:52"},{"id":151,"name":"Denver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4006 --day 2017-03-07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"%USERPROFILE%\AppData\Local\Temp\OnboardLogs"\RTDC4006\*4006*20170307* | grep -SE "(Enforcement Action)|(\[TIMEOUT)|(CHR.+\|PRM\|1\|D.+(SWITCH|SIGNAL).+UNKNOWN)" - &gt;&gt; 2017-03-07-UncaughtWiMAX.txt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672</v>
      </c>
      <c r="B76" s="7">
        <v>4006</v>
      </c>
      <c r="C76" s="21" t="s">
        <v>233</v>
      </c>
      <c r="D76" s="21" t="s">
        <v>201</v>
      </c>
      <c r="E76" s="13">
        <v>42801.476053240738</v>
      </c>
      <c r="F76" s="13">
        <v>42801.487650462965</v>
      </c>
      <c r="G76" s="7">
        <v>1</v>
      </c>
      <c r="H76" s="21" t="s">
        <v>820</v>
      </c>
      <c r="I76" s="13">
        <v>42801.513796296298</v>
      </c>
      <c r="J76" s="7">
        <v>2</v>
      </c>
      <c r="K76" s="98" t="str">
        <f t="shared" si="0"/>
        <v>4005/4006</v>
      </c>
      <c r="L76" s="21" t="str">
        <f>VLOOKUP(A76,'Trips&amp;Operators'!$C$1:$G$99999,5,FALSE)</f>
        <v>LEVERE CRAIG</v>
      </c>
      <c r="M76" s="6">
        <f t="shared" si="1"/>
        <v>2.6145833333430346E-2</v>
      </c>
      <c r="N76" s="7"/>
      <c r="O76" s="7"/>
      <c r="P76" s="7"/>
      <c r="Q76" s="22"/>
      <c r="R76" s="22"/>
      <c r="S76" s="31"/>
      <c r="T76" s="46" t="str">
        <f t="shared" si="4"/>
        <v>NorthBound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5"/>
        <v>https://d0f6bd738d7f1b3e5a7ca70fe4ff75f0.us-east-1.aws.found.io/app/kibana#/discover/Steve-Slow-Train-Analysis-(2080s-and-2083s)?_g=(refreshInterval:(display:Off,pause:!f,section:0,value:0),time:(from:'2017-03-07T10:25:31-0700',mode:absolute,to:'2017-03-07T13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6" s="187" t="str">
        <f t="shared" si="6"/>
        <v>N</v>
      </c>
      <c r="X76" s="187">
        <f t="shared" si="29"/>
        <v>0</v>
      </c>
      <c r="Y76" s="62">
        <f t="shared" si="28"/>
        <v>4.6199999999999998E-2</v>
      </c>
      <c r="Z76" s="62">
        <f t="shared" si="9"/>
        <v>23.3293</v>
      </c>
      <c r="AA76" s="62">
        <f t="shared" si="10"/>
        <v>23.283100000000001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0163-07</v>
      </c>
      <c r="AE76" s="85" t="str">
        <f t="shared" si="12"/>
        <v>aws s3 cp s3://rtdc.mdm.uploadarchive.raw/RTDC4006/ "%USERPROFILE%\AppData\Local\Temp\OnboardLogs"\RTDC4006\2017-03-07 --exclude "*" --recursive --include "*20170307*" &amp; "%USERPROFILE%\Documents\GitHub\mrs-test-scripts\Headless Mode &amp; Sideloading\WalkAndUnGZ.bat" "%USERPROFILE%\AppData\Local\Temp\OnboardLogs"\RTDC4006\2017-03-07 &amp; aws s3 cp s3://rtdc.mdm.uploadarchive.raw/RTDC4006/ "%USERPROFILE%\AppData\Local\Temp\OnboardLogs"\RTDC4006\2017-03-08 --exclude "*" --recursive --include "*20170308*" &amp; "%USERPROFILE%\Documents\GitHub\mrs-test-scripts\Headless Mode &amp; Sideloading\WalkAndUnGZ.bat" "%USERPROFILE%\AppData\Local\Temp\OnboardLogs"\RTDC4006\2017-03-08</v>
      </c>
      <c r="AF76" s="82" t="str">
        <f t="shared" si="13"/>
        <v>"C:\Program Files (x86)\AstroGrep\AstroGrep.exe" /spath="%USERPROFILE%\AppData\Local\Temp\OnboardLogs" /stypes="app*4006*20170307*" /stext=" 19:.+((SYSTEM_STATE.+slice.+state.+changed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6" t="str">
        <f t="shared" si="18"/>
        <v>"%USERPROFILE%\Documents\GitHub\eaglep3\Utilities\RefineRTDCRunTimes.py" --tripid 163-07 --locoid 4006 --swversion DE.1.0.9.0 --startMP 204:462 --initTime 2017-03-07T11:25:31 --startdatetime 2017-03-07T11:42:13 --delay 1 --endMP 204:233293 --enddatetime 2017-03-07T12:19:52 --enforcementcount 2 &gt;&gt;C:\Users\stu\Documents\GitHub\eaglep3-reporting\EC\2017-03-07-refined-times.txt</v>
      </c>
      <c r="AI76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{"issue":{"subject":"","project_id":79,"tracker_id":40,"status_id":1,"priority_id":2,"assigned_to_id":23,"start_date":"2017-03-07","description":"","custom_fields":[{"id":1,"name":"Subdivision","value":"EC"},{"id":4,"name":"Milepost","value":"23.3293"},{"id":17,"name":"Train ID","value":"163-07"},{"id":16,"name":"Locomotive ID","value":"4006"},{"id":130,"name":"Impact","value":""},{"id":150,"name":"Time of Event (Mountain Time)","value":"12:19:52"},{"id":151,"name":"Denver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4006 --day 2017-03-07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"%USERPROFILE%\AppData\Local\Temp\OnboardLogs"\RTDC4006\*4006*20170307* | grep -SE "(Enforcement Action)|(\[TIMEOUT)|(CHR.+\|PRM\|1\|D.+(SWITCH|SIGNAL).+UNKNOWN)" - &gt;&gt; 2017-03-07-UncaughtWiMAX.txt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680</v>
      </c>
      <c r="B77" s="7">
        <v>4005</v>
      </c>
      <c r="C77" s="21" t="s">
        <v>233</v>
      </c>
      <c r="D77" s="21" t="s">
        <v>821</v>
      </c>
      <c r="E77" s="13">
        <v>42801.516759259262</v>
      </c>
      <c r="F77" s="13">
        <v>42801.519189814811</v>
      </c>
      <c r="G77" s="7">
        <v>2</v>
      </c>
      <c r="H77" s="21" t="s">
        <v>822</v>
      </c>
      <c r="I77" s="13">
        <v>42801.551782407405</v>
      </c>
      <c r="J77" s="7">
        <v>2</v>
      </c>
      <c r="K77" s="98" t="str">
        <f t="shared" ref="K77:K140" si="30">IF(ISEVEN(B77),(B77-1)&amp;"/"&amp;B77,B77&amp;"/"&amp;(B77+1))</f>
        <v>4005/4006</v>
      </c>
      <c r="L77" s="21" t="str">
        <f>VLOOKUP(A77,'Trips&amp;Operators'!$C$1:$G$99999,5,FALSE)</f>
        <v>LEVERE CRAIG</v>
      </c>
      <c r="M77" s="6">
        <f t="shared" ref="M77:M140" si="31">I77-F77</f>
        <v>3.2592592593573499E-2</v>
      </c>
      <c r="N77" s="7">
        <f t="shared" ref="N77:N83" si="32">24*60*SUM($M77:$M77)</f>
        <v>46.933333334745839</v>
      </c>
      <c r="O77" s="7"/>
      <c r="P77" s="7"/>
      <c r="Q77" s="22"/>
      <c r="R77" s="22"/>
      <c r="S77" s="31">
        <f t="shared" ref="S77:S84" si="33">SUM(U77:U77)/IF(AG77="EC",12,1)</f>
        <v>1</v>
      </c>
      <c r="T77" s="46" t="str">
        <f t="shared" ref="T77:T140" si="34">IF(ISEVEN(LEFT(AD77,4)),"Southbound","NorthBound")</f>
        <v>Southbound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35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-07T11:24:08-0700',mode:absolute,to:'2017-03-07T14:14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7" s="187" t="str">
        <f t="shared" ref="W77:W140" si="36">IF(AA77&lt;IF(AG77="EC",23,5.65),"Y","N")</f>
        <v>N</v>
      </c>
      <c r="X77" s="187">
        <f t="shared" si="29"/>
        <v>1</v>
      </c>
      <c r="Y77" s="62">
        <f t="shared" si="28"/>
        <v>23.297000000000001</v>
      </c>
      <c r="Z77" s="62">
        <f t="shared" ref="Z77:Z140" si="37">RIGHT(H77,LEN(H77)-4)/10000</f>
        <v>0.11650000000000001</v>
      </c>
      <c r="AA77" s="62">
        <f t="shared" ref="AA77:AA140" si="38">ABS(Z77-Y77)</f>
        <v>23.180500000000002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9">IF(LEN(A77)=6,"0"&amp;A77,A77)</f>
        <v>0164-07</v>
      </c>
      <c r="AE77" s="85" t="str">
        <f t="shared" ref="AE77:AE140" si="40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s3://rtdc.mdm.uploadarchive.raw/RTDC4005/ "%USERPROFILE%\AppData\Local\Temp\OnboardLogs"\RTDC4005\2017-03-07 --exclude "*" --recursive --include "*20170307*" &amp; "%USERPROFILE%\Documents\GitHub\mrs-test-scripts\Headless Mode &amp; Sideloading\WalkAndUnGZ.bat" "%USERPROFILE%\AppData\Local\Temp\OnboardLogs"\RTDC4005\2017-03-07 &amp; aws s3 cp s3://rtdc.mdm.uploadarchive.raw/RTDC4005/ "%USERPROFILE%\AppData\Local\Temp\OnboardLogs"\RTDC4005\2017-03-08 --exclude "*" --recursive --include "*20170308*" &amp; "%USERPROFILE%\Documents\GitHub\mrs-test-scripts\Headless Mode &amp; Sideloading\WalkAndUnGZ.bat" "%USERPROFILE%\AppData\Local\Temp\OnboardLogs"\RTDC4005\2017-03-08</v>
      </c>
      <c r="AF77" s="82" t="str">
        <f t="shared" ref="AF77:AF140" si="41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/stypes="app*4005*20170307*" /stext=" 20:.+((SYSTEM_STATE.+slice.+state.+changed )|(ment ac)|(multiple cpu faults)|(system.+state.+changed )|(\[timeout)|(PRM\|1\|D)|(kpr)|(kdp)|(\|lc)|(penalty))" /e /r /s</v>
      </c>
      <c r="AG77" s="1" t="str">
        <f t="shared" ref="AG77:AG140" si="42">IFERROR(IF(VALUE(LEFT(AD77,2))&lt;=2,"EC",IF(OR(VALUE(LEFT(AD77,2))=8,VALUE(LEFT(AD77,2))=18),"NW","Other")),"Other")</f>
        <v>EC</v>
      </c>
      <c r="AH77" s="86" t="str">
        <f t="shared" si="18"/>
        <v>"%USERPROFILE%\Documents\GitHub\eaglep3\Utilities\RefineRTDCRunTimes.py" --tripid 164-07 --locoid 4005 --swversion DE.1.0.9.0 --startMP 204:232970 --initTime 2017-03-07T12:24:08 --startdatetime 2017-03-07T12:27:38 --delay 2 --endMP 204:1165 --enddatetime 2017-03-07T13:14:34 --enforcementcount 2 &gt;&gt;C:\Users\stu\Documents\GitHub\eaglep3-reporting\EC\2017-03-07-refined-times.txt</v>
      </c>
      <c r="AI77" s="108" t="str">
        <f t="shared" si="19"/>
        <v>echo {"issue":{"subject":"","project_id":79,"tracker_id":40,"status_id":1,"priority_id":2,"assigned_to_id":23,"start_date":"2017-03-07","description":"","custom_fields":[{"id":1,"name":"Subdivision","value":"EC"},{"id":4,"name":"Milepost","value":"0.1165"},{"id":17,"name":"Train ID","value":"164-07"},{"id":16,"name":"Locomotive ID","value":"4005"},{"id":130,"name":"Impact","value":""},{"id":150,"name":"Time of Event (Mountain Time)","value":"13:14:34"},{"id":151,"name":"Denver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0"/>
        <v>start /low /b %USERPROFILE%\Documents\GitHub\eaglep3\Utilities\DownloadLogsFromS3.py --loco 4005 --day 2017-03-07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"%USERPROFILE%\AppData\Local\Temp\OnboardLogs"\RTDC4005\*4005*20170307* | grep -SE "(Enforcement Action)|(\[TIMEOUT)|(CHR.+\|PRM\|1\|D.+(SWITCH|SIGNAL).+UNKNOWN)" - &gt;&gt; 2017-03-07-UncaughtWiMAX.txt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20" customFormat="1" x14ac:dyDescent="0.25">
      <c r="A78" s="33" t="s">
        <v>675</v>
      </c>
      <c r="B78" s="7">
        <v>4016</v>
      </c>
      <c r="C78" s="21" t="s">
        <v>233</v>
      </c>
      <c r="D78" s="21" t="s">
        <v>210</v>
      </c>
      <c r="E78" s="13">
        <v>42801.482997685183</v>
      </c>
      <c r="F78" s="13">
        <v>42801.489768518521</v>
      </c>
      <c r="G78" s="7">
        <v>1</v>
      </c>
      <c r="H78" s="21" t="s">
        <v>823</v>
      </c>
      <c r="I78" s="13">
        <v>42801.523333333331</v>
      </c>
      <c r="J78" s="7">
        <v>2</v>
      </c>
      <c r="K78" s="98" t="str">
        <f t="shared" si="30"/>
        <v>4015/4016</v>
      </c>
      <c r="L78" s="21" t="str">
        <f>VLOOKUP(A78,'Trips&amp;Operators'!$C$1:$G$99999,5,FALSE)</f>
        <v>CLARK KATHLEEN</v>
      </c>
      <c r="M78" s="6">
        <f t="shared" si="31"/>
        <v>3.3564814810233656E-2</v>
      </c>
      <c r="N78" s="7">
        <f t="shared" si="32"/>
        <v>48.333333326736465</v>
      </c>
      <c r="O78" s="7"/>
      <c r="P78" s="7"/>
      <c r="Q78" s="22"/>
      <c r="R78" s="22"/>
      <c r="S78" s="31">
        <f t="shared" si="33"/>
        <v>1</v>
      </c>
      <c r="T78" s="46" t="str">
        <f t="shared" si="34"/>
        <v>NorthBound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35"/>
        <v>https://d0f6bd738d7f1b3e5a7ca70fe4ff75f0.us-east-1.aws.found.io/app/kibana#/discover/Steve-Slow-Train-Analysis-(2080s-and-2083s)?_g=(refreshInterval:(display:Off,pause:!f,section:0,value:0),time:(from:'2017-03-07T10:35:31-0700',mode:absolute,to:'2017-03-07T13:33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8" s="187" t="str">
        <f t="shared" si="36"/>
        <v>N</v>
      </c>
      <c r="X78" s="187">
        <f t="shared" si="29"/>
        <v>1</v>
      </c>
      <c r="Y78" s="62">
        <f t="shared" si="28"/>
        <v>4.5699999999999998E-2</v>
      </c>
      <c r="Z78" s="62">
        <f t="shared" si="37"/>
        <v>23.327200000000001</v>
      </c>
      <c r="AA78" s="62">
        <f t="shared" si="38"/>
        <v>23.281500000000001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9"/>
        <v>0165-07</v>
      </c>
      <c r="AE78" s="85" t="str">
        <f t="shared" si="40"/>
        <v>aws s3 cp s3://rtdc.mdm.uploadarchive.raw/RTDC4016/ "%USERPROFILE%\AppData\Local\Temp\OnboardLogs"\RTDC4016\2017-03-07 --exclude "*" --recursive --include "*20170307*" &amp; "%USERPROFILE%\Documents\GitHub\mrs-test-scripts\Headless Mode &amp; Sideloading\WalkAndUnGZ.bat" "%USERPROFILE%\AppData\Local\Temp\OnboardLogs"\RTDC4016\2017-03-07 &amp; aws s3 cp s3://rtdc.mdm.uploadarchive.raw/RTDC4016/ "%USERPROFILE%\AppData\Local\Temp\OnboardLogs"\RTDC4016\2017-03-08 --exclude "*" --recursive --include "*20170308*" &amp; "%USERPROFILE%\Documents\GitHub\mrs-test-scripts\Headless Mode &amp; Sideloading\WalkAndUnGZ.bat" "%USERPROFILE%\AppData\Local\Temp\OnboardLogs"\RTDC4016\2017-03-08</v>
      </c>
      <c r="AF78" s="82" t="str">
        <f t="shared" si="41"/>
        <v>"C:\Program Files (x86)\AstroGrep\AstroGrep.exe" /spath="%USERPROFILE%\AppData\Local\Temp\OnboardLogs" /stypes="app*4016*20170307*" /stext=" 19:.+((SYSTEM_STATE.+slice.+state.+changed )|(ment ac)|(multiple cpu faults)|(system.+state.+changed )|(\[timeout)|(PRM\|1\|D)|(kpr)|(kdp)|(\|lc)|(penalty))" /e /r /s</v>
      </c>
      <c r="AG78" s="1" t="str">
        <f t="shared" si="42"/>
        <v>EC</v>
      </c>
      <c r="AH78" s="86" t="str">
        <f t="shared" ref="AH78:AH141" si="43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165-07 --locoid 4016 --swversion DE.1.0.9.0 --startMP 204:457 --initTime 2017-03-07T11:35:31 --startdatetime 2017-03-07T11:45:16 --delay 1 --endMP 204:233272 --enddatetime 2017-03-07T12:33:36 --enforcementcount 2 &gt;&gt;C:\Users\stu\Documents\GitHub\eaglep3-reporting\EC\2017-03-07-refined-times.txt</v>
      </c>
      <c r="AI78" s="108" t="str">
        <f t="shared" ref="AI78:AI141" si="44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{"issue":{"subject":"","project_id":79,"tracker_id":40,"status_id":1,"priority_id":2,"assigned_to_id":23,"start_date":"2017-03-07","description":"","custom_fields":[{"id":1,"name":"Subdivision","value":"EC"},{"id":4,"name":"Milepost","value":"23.3272"},{"id":17,"name":"Train ID","value":"165-07"},{"id":16,"name":"Locomotive ID","value":"4016"},{"id":130,"name":"Impact","value":""},{"id":150,"name":"Time of Event (Mountain Time)","value":"12:33:36"},{"id":151,"name":"Denver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1" si="45">"start /low /b "&amp;dls3logs&amp;" --loco "&amp;B78&amp;" --day "&amp;TEXT(F78,"YYYY-MM-DD")</f>
        <v>start /low /b %USERPROFILE%\Documents\GitHub\eaglep3\Utilities\DownloadLogsFromS3.py --loco 4016 --day 2017-03-07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"%USERPROFILE%\AppData\Local\Temp\OnboardLogs"\RTDC4016\*4016*20170307* | grep -SE "(Enforcement Action)|(\[TIMEOUT)|(CHR.+\|PRM\|1\|D.+(SWITCH|SIGNAL).+UNKNOWN)" - &gt;&gt; 2017-03-07-UncaughtWiMAX.txt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684</v>
      </c>
      <c r="B79" s="7">
        <v>4015</v>
      </c>
      <c r="C79" s="21" t="s">
        <v>233</v>
      </c>
      <c r="D79" s="21" t="s">
        <v>506</v>
      </c>
      <c r="E79" s="13">
        <v>42801.527245370373</v>
      </c>
      <c r="F79" s="13">
        <v>42801.528993055559</v>
      </c>
      <c r="G79" s="7">
        <v>1</v>
      </c>
      <c r="H79" s="21" t="s">
        <v>824</v>
      </c>
      <c r="I79" s="13">
        <v>42801.558194444442</v>
      </c>
      <c r="J79" s="7">
        <v>2</v>
      </c>
      <c r="K79" s="98" t="str">
        <f t="shared" si="30"/>
        <v>4015/4016</v>
      </c>
      <c r="L79" s="21" t="str">
        <f>VLOOKUP(A79,'Trips&amp;Operators'!$C$1:$G$99999,5,FALSE)</f>
        <v>CLARK KATHLEEN</v>
      </c>
      <c r="M79" s="6">
        <f t="shared" si="31"/>
        <v>2.9201388882938772E-2</v>
      </c>
      <c r="N79" s="7">
        <f t="shared" si="32"/>
        <v>42.049999991431832</v>
      </c>
      <c r="O79" s="7"/>
      <c r="P79" s="7"/>
      <c r="Q79" s="22"/>
      <c r="R79" s="22"/>
      <c r="S79" s="31">
        <f t="shared" si="33"/>
        <v>1</v>
      </c>
      <c r="T79" s="46" t="str">
        <f t="shared" si="34"/>
        <v>Southbound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35"/>
        <v>https://d0f6bd738d7f1b3e5a7ca70fe4ff75f0.us-east-1.aws.found.io/app/kibana#/discover/Steve-Slow-Train-Analysis-(2080s-and-2083s)?_g=(refreshInterval:(display:Off,pause:!f,section:0,value:0),time:(from:'2017-03-07T11:39:14-0700',mode:absolute,to:'2017-03-07T14:23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9" s="187" t="str">
        <f t="shared" si="36"/>
        <v>N</v>
      </c>
      <c r="X79" s="187">
        <f t="shared" si="29"/>
        <v>1</v>
      </c>
      <c r="Y79" s="62">
        <f t="shared" si="28"/>
        <v>23.296299999999999</v>
      </c>
      <c r="Z79" s="62">
        <f t="shared" si="37"/>
        <v>1.7999999999999999E-2</v>
      </c>
      <c r="AA79" s="62">
        <f t="shared" si="38"/>
        <v>23.278299999999998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9"/>
        <v>0166-07</v>
      </c>
      <c r="AE79" s="85" t="str">
        <f t="shared" si="40"/>
        <v>aws s3 cp s3://rtdc.mdm.uploadarchive.raw/RTDC4015/ "%USERPROFILE%\AppData\Local\Temp\OnboardLogs"\RTDC4015\2017-03-07 --exclude "*" --recursive --include "*20170307*" &amp; "%USERPROFILE%\Documents\GitHub\mrs-test-scripts\Headless Mode &amp; Sideloading\WalkAndUnGZ.bat" "%USERPROFILE%\AppData\Local\Temp\OnboardLogs"\RTDC4015\2017-03-07 &amp; aws s3 cp s3://rtdc.mdm.uploadarchive.raw/RTDC4015/ "%USERPROFILE%\AppData\Local\Temp\OnboardLogs"\RTDC4015\2017-03-08 --exclude "*" --recursive --include "*20170308*" &amp; "%USERPROFILE%\Documents\GitHub\mrs-test-scripts\Headless Mode &amp; Sideloading\WalkAndUnGZ.bat" "%USERPROFILE%\AppData\Local\Temp\OnboardLogs"\RTDC4015\2017-03-08</v>
      </c>
      <c r="AF79" s="82" t="str">
        <f t="shared" si="41"/>
        <v>"C:\Program Files (x86)\AstroGrep\AstroGrep.exe" /spath="%USERPROFILE%\AppData\Local\Temp\OnboardLogs" /stypes="app*4015*20170307*" /stext=" 20:.+((SYSTEM_STATE.+slice.+state.+changed )|(ment ac)|(multiple cpu faults)|(system.+state.+changed )|(\[timeout)|(PRM\|1\|D)|(kpr)|(kdp)|(\|lc)|(penalty))" /e /r /s</v>
      </c>
      <c r="AG79" s="1" t="str">
        <f t="shared" si="42"/>
        <v>EC</v>
      </c>
      <c r="AH79" s="86" t="str">
        <f t="shared" si="43"/>
        <v>"%USERPROFILE%\Documents\GitHub\eaglep3\Utilities\RefineRTDCRunTimes.py" --tripid 166-07 --locoid 4015 --swversion DE.1.0.9.0 --startMP 204:232963 --initTime 2017-03-07T12:39:14 --startdatetime 2017-03-07T12:41:45 --delay 1 --endMP 204:180 --enddatetime 2017-03-07T13:23:48 --enforcementcount 2 &gt;&gt;C:\Users\stu\Documents\GitHub\eaglep3-reporting\EC\2017-03-07-refined-times.txt</v>
      </c>
      <c r="AI79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{"issue":{"subject":"","project_id":79,"tracker_id":40,"status_id":1,"priority_id":2,"assigned_to_id":23,"start_date":"2017-03-07","description":"","custom_fields":[{"id":1,"name":"Subdivision","value":"EC"},{"id":4,"name":"Milepost","value":"0.018"},{"id":17,"name":"Train ID","value":"166-07"},{"id":16,"name":"Locomotive ID","value":"4015"},{"id":130,"name":"Impact","value":""},{"id":150,"name":"Time of Event (Mountain Time)","value":"13:23:48"},{"id":151,"name":"Denver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45"/>
        <v>start /low /b %USERPROFILE%\Documents\GitHub\eaglep3\Utilities\DownloadLogsFromS3.py --loco 4015 --day 2017-03-07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"%USERPROFILE%\AppData\Local\Temp\OnboardLogs"\RTDC4015\*4015*20170307* | grep -SE "(Enforcement Action)|(\[TIMEOUT)|(CHR.+\|PRM\|1\|D.+(SWITCH|SIGNAL).+UNKNOWN)" - &gt;&gt; 2017-03-07-UncaughtWiMAX.txt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x14ac:dyDescent="0.25">
      <c r="A80" s="33" t="s">
        <v>567</v>
      </c>
      <c r="B80" s="7">
        <v>4022</v>
      </c>
      <c r="C80" s="21" t="s">
        <v>233</v>
      </c>
      <c r="D80" s="21" t="s">
        <v>234</v>
      </c>
      <c r="E80" s="13">
        <v>42801.493888888886</v>
      </c>
      <c r="F80" s="13">
        <v>42801.500162037039</v>
      </c>
      <c r="G80" s="7">
        <v>1</v>
      </c>
      <c r="H80" s="21" t="s">
        <v>825</v>
      </c>
      <c r="I80" s="13">
        <v>42801.533333333333</v>
      </c>
      <c r="J80" s="7">
        <v>2</v>
      </c>
      <c r="K80" s="98" t="str">
        <f t="shared" si="30"/>
        <v>4021/4022</v>
      </c>
      <c r="L80" s="21" t="str">
        <f>VLOOKUP(A80,'Trips&amp;Operators'!$C$1:$G$99999,5,FALSE)</f>
        <v>LOCKLEAR TRAVIS</v>
      </c>
      <c r="M80" s="6">
        <f t="shared" si="31"/>
        <v>3.3171296294312924E-2</v>
      </c>
      <c r="N80" s="7">
        <f t="shared" si="32"/>
        <v>47.766666663810611</v>
      </c>
      <c r="O80" s="7"/>
      <c r="P80" s="7"/>
      <c r="Q80" s="22"/>
      <c r="R80" s="22"/>
      <c r="S80" s="31">
        <f t="shared" si="33"/>
        <v>1</v>
      </c>
      <c r="T80" s="46" t="str">
        <f t="shared" si="34"/>
        <v>NorthBound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35"/>
        <v>https://d0f6bd738d7f1b3e5a7ca70fe4ff75f0.us-east-1.aws.found.io/app/kibana#/discover/Steve-Slow-Train-Analysis-(2080s-and-2083s)?_g=(refreshInterval:(display:Off,pause:!f,section:0,value:0),time:(from:'2017-03-07T10:51:12-0700',mode:absolute,to:'2017-03-07T13:48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0" s="187" t="str">
        <f t="shared" si="36"/>
        <v>N</v>
      </c>
      <c r="X80" s="187">
        <f t="shared" si="29"/>
        <v>1</v>
      </c>
      <c r="Y80" s="62">
        <f t="shared" si="28"/>
        <v>4.58E-2</v>
      </c>
      <c r="Z80" s="62">
        <f t="shared" si="37"/>
        <v>23.332799999999999</v>
      </c>
      <c r="AA80" s="62">
        <f t="shared" si="38"/>
        <v>23.286999999999999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9"/>
        <v>0167-07</v>
      </c>
      <c r="AE80" s="85" t="str">
        <f t="shared" si="40"/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AF80" s="82" t="str">
        <f t="shared" si="41"/>
        <v>"C:\Program Files (x86)\AstroGrep\AstroGrep.exe" /spath="%USERPROFILE%\AppData\Local\Temp\OnboardLogs" /stypes="app*4022*20170307*" /stext=" 19:.+((SYSTEM_STATE.+slice.+state.+changed )|(ment ac)|(multiple cpu faults)|(system.+state.+changed )|(\[timeout)|(PRM\|1\|D)|(kpr)|(kdp)|(\|lc)|(penalty))" /e /r /s</v>
      </c>
      <c r="AG80" s="1" t="str">
        <f t="shared" si="42"/>
        <v>EC</v>
      </c>
      <c r="AH80" s="86" t="str">
        <f t="shared" si="43"/>
        <v>"%USERPROFILE%\Documents\GitHub\eaglep3\Utilities\RefineRTDCRunTimes.py" --tripid 167-07 --locoid 4022 --swversion DE.1.0.9.0 --startMP 204:458 --initTime 2017-03-07T11:51:12 --startdatetime 2017-03-07T12:00:14 --delay 1 --endMP 204:233328 --enddatetime 2017-03-07T12:48:00 --enforcementcount 2 &gt;&gt;C:\Users\stu\Documents\GitHub\eaglep3-reporting\EC\2017-03-07-refined-times.txt</v>
      </c>
      <c r="AI80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{"issue":{"subject":"","project_id":79,"tracker_id":40,"status_id":1,"priority_id":2,"assigned_to_id":23,"start_date":"2017-03-07","description":"","custom_fields":[{"id":1,"name":"Subdivision","value":"EC"},{"id":4,"name":"Milepost","value":"23.3328"},{"id":17,"name":"Train ID","value":"167-07"},{"id":16,"name":"Locomotive ID","value":"4022"},{"id":130,"name":"Impact","value":""},{"id":150,"name":"Time of Event (Mountain Time)","value":"12:48:00"},{"id":151,"name":"Denver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45"/>
        <v>start /low /b %USERPROFILE%\Documents\GitHub\eaglep3\Utilities\DownloadLogsFromS3.py --loco 4022 --day 2017-03-07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"%USERPROFILE%\AppData\Local\Temp\OnboardLogs"\RTDC4022\*4022*20170307* | grep -SE "(Enforcement Action)|(\[TIMEOUT)|(CHR.+\|PRM\|1\|D.+(SWITCH|SIGNAL).+UNKNOWN)" - &gt;&gt; 2017-03-07-UncaughtWiMAX.txt</v>
      </c>
    </row>
    <row r="81" spans="1:91" s="20" customFormat="1" x14ac:dyDescent="0.25">
      <c r="A81" s="33" t="s">
        <v>687</v>
      </c>
      <c r="B81" s="7">
        <v>4021</v>
      </c>
      <c r="C81" s="21" t="s">
        <v>233</v>
      </c>
      <c r="D81" s="21" t="s">
        <v>826</v>
      </c>
      <c r="E81" s="13">
        <v>42801.535162037035</v>
      </c>
      <c r="F81" s="13">
        <v>42801.5391087963</v>
      </c>
      <c r="G81" s="7">
        <v>1</v>
      </c>
      <c r="H81" s="21" t="s">
        <v>184</v>
      </c>
      <c r="I81" s="13">
        <v>42801.569560185184</v>
      </c>
      <c r="J81" s="7">
        <v>2</v>
      </c>
      <c r="K81" s="98" t="str">
        <f t="shared" si="30"/>
        <v>4021/4022</v>
      </c>
      <c r="L81" s="21" t="str">
        <f>VLOOKUP(A81,'Trips&amp;Operators'!$C$1:$G$99999,5,FALSE)</f>
        <v>LOCKLEAR TRAVIS</v>
      </c>
      <c r="M81" s="6">
        <f t="shared" si="31"/>
        <v>3.0451388884102926E-2</v>
      </c>
      <c r="N81" s="7">
        <f t="shared" si="32"/>
        <v>43.849999993108213</v>
      </c>
      <c r="O81" s="7"/>
      <c r="P81" s="7"/>
      <c r="Q81" s="22"/>
      <c r="R81" s="22"/>
      <c r="S81" s="31">
        <f t="shared" si="33"/>
        <v>1</v>
      </c>
      <c r="T81" s="46" t="str">
        <f t="shared" si="34"/>
        <v>Southbound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35"/>
        <v>https://d0f6bd738d7f1b3e5a7ca70fe4ff75f0.us-east-1.aws.found.io/app/kibana#/discover/Steve-Slow-Train-Analysis-(2080s-and-2083s)?_g=(refreshInterval:(display:Off,pause:!f,section:0,value:0),time:(from:'2017-03-07T11:50:38-0700',mode:absolute,to:'2017-03-07T14:40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1" s="187" t="str">
        <f t="shared" si="36"/>
        <v>N</v>
      </c>
      <c r="X81" s="187">
        <f t="shared" si="29"/>
        <v>1</v>
      </c>
      <c r="Y81" s="62">
        <f t="shared" si="28"/>
        <v>23.300699999999999</v>
      </c>
      <c r="Z81" s="62">
        <f t="shared" si="37"/>
        <v>1.49E-2</v>
      </c>
      <c r="AA81" s="62">
        <f t="shared" si="38"/>
        <v>23.285799999999998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9"/>
        <v>0168-07</v>
      </c>
      <c r="AE81" s="85" t="str">
        <f t="shared" si="40"/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AF81" s="82" t="str">
        <f t="shared" si="41"/>
        <v>"C:\Program Files (x86)\AstroGrep\AstroGrep.exe" /spath="%USERPROFILE%\AppData\Local\Temp\OnboardLogs" /stypes="app*4021*20170307*" /stext=" 20:.+((SYSTEM_STATE.+slice.+state.+changed )|(ment ac)|(multiple cpu faults)|(system.+state.+changed )|(\[timeout)|(PRM\|1\|D)|(kpr)|(kdp)|(\|lc)|(penalty))" /e /r /s</v>
      </c>
      <c r="AG81" s="1" t="str">
        <f t="shared" si="42"/>
        <v>EC</v>
      </c>
      <c r="AH81" s="86" t="str">
        <f t="shared" si="43"/>
        <v>"%USERPROFILE%\Documents\GitHub\eaglep3\Utilities\RefineRTDCRunTimes.py" --tripid 168-07 --locoid 4021 --swversion DE.1.0.9.0 --startMP 204:233007 --initTime 2017-03-07T12:50:38 --startdatetime 2017-03-07T12:56:19 --delay 1 --endMP 204:149 --enddatetime 2017-03-07T13:40:10 --enforcementcount 2 &gt;&gt;C:\Users\stu\Documents\GitHub\eaglep3-reporting\EC\2017-03-07-refined-times.txt</v>
      </c>
      <c r="AI81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{"issue":{"subject":"","project_id":79,"tracker_id":40,"status_id":1,"priority_id":2,"assigned_to_id":23,"start_date":"2017-03-07","description":"","custom_fields":[{"id":1,"name":"Subdivision","value":"EC"},{"id":4,"name":"Milepost","value":"0.0149"},{"id":17,"name":"Train ID","value":"168-07"},{"id":16,"name":"Locomotive ID","value":"4021"},{"id":130,"name":"Impact","value":""},{"id":150,"name":"Time of Event (Mountain Time)","value":"13:40:10"},{"id":151,"name":"Denver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45"/>
        <v>start /low /b %USERPROFILE%\Documents\GitHub\eaglep3\Utilities\DownloadLogsFromS3.py --loco 4021 --day 2017-03-07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"%USERPROFILE%\AppData\Local\Temp\OnboardLogs"\RTDC4021\*4021*20170307* | grep -SE "(Enforcement Action)|(\[TIMEOUT)|(CHR.+\|PRM\|1\|D.+(SWITCH|SIGNAL).+UNKNOWN)" - &gt;&gt; 2017-03-07-UncaughtWiMAX.txt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568</v>
      </c>
      <c r="B82" s="7">
        <v>4011</v>
      </c>
      <c r="C82" s="21" t="s">
        <v>233</v>
      </c>
      <c r="D82" s="21" t="s">
        <v>214</v>
      </c>
      <c r="E82" s="13">
        <v>42801.507280092592</v>
      </c>
      <c r="F82" s="13">
        <v>42801.510648148149</v>
      </c>
      <c r="G82" s="7">
        <v>2</v>
      </c>
      <c r="H82" s="21" t="s">
        <v>238</v>
      </c>
      <c r="I82" s="13">
        <v>42801.536365740743</v>
      </c>
      <c r="J82" s="7">
        <v>2</v>
      </c>
      <c r="K82" s="98" t="str">
        <f t="shared" si="30"/>
        <v>4011/4012</v>
      </c>
      <c r="L82" s="21" t="str">
        <f>VLOOKUP(A82,'Trips&amp;Operators'!$C$1:$G$99999,5,FALSE)</f>
        <v>ROMERO CHAD</v>
      </c>
      <c r="M82" s="6">
        <f t="shared" si="31"/>
        <v>2.5717592594446614E-2</v>
      </c>
      <c r="N82" s="7">
        <f t="shared" si="32"/>
        <v>37.033333336003125</v>
      </c>
      <c r="O82" s="7"/>
      <c r="P82" s="7"/>
      <c r="Q82" s="22"/>
      <c r="R82" s="22"/>
      <c r="S82" s="31">
        <f t="shared" si="33"/>
        <v>1</v>
      </c>
      <c r="T82" s="46" t="str">
        <f t="shared" si="34"/>
        <v>NorthBound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35"/>
        <v>https://d0f6bd738d7f1b3e5a7ca70fe4ff75f0.us-east-1.aws.found.io/app/kibana#/discover/Steve-Slow-Train-Analysis-(2080s-and-2083s)?_g=(refreshInterval:(display:Off,pause:!f,section:0,value:0),time:(from:'2017-03-07T11:10:29-0700',mode:absolute,to:'2017-03-07T13:52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2" s="187" t="str">
        <f t="shared" si="36"/>
        <v>N</v>
      </c>
      <c r="X82" s="187">
        <f t="shared" si="29"/>
        <v>1</v>
      </c>
      <c r="Y82" s="62">
        <f t="shared" si="28"/>
        <v>4.53E-2</v>
      </c>
      <c r="Z82" s="62">
        <f t="shared" si="37"/>
        <v>23.330400000000001</v>
      </c>
      <c r="AA82" s="62">
        <f t="shared" si="38"/>
        <v>23.2851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9"/>
        <v>0169-07</v>
      </c>
      <c r="AE82" s="85" t="str">
        <f t="shared" si="40"/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AF82" s="82" t="str">
        <f t="shared" si="41"/>
        <v>"C:\Program Files (x86)\AstroGrep\AstroGrep.exe" /spath="%USERPROFILE%\AppData\Local\Temp\OnboardLogs" /stypes="app*4011*20170307*" /stext=" 19:.+((SYSTEM_STATE.+slice.+state.+changed )|(ment ac)|(multiple cpu faults)|(system.+state.+changed )|(\[timeout)|(PRM\|1\|D)|(kpr)|(kdp)|(\|lc)|(penalty))" /e /r /s</v>
      </c>
      <c r="AG82" s="1" t="str">
        <f t="shared" si="42"/>
        <v>EC</v>
      </c>
      <c r="AH82" s="86" t="str">
        <f t="shared" si="43"/>
        <v>"%USERPROFILE%\Documents\GitHub\eaglep3\Utilities\RefineRTDCRunTimes.py" --tripid 169-07 --locoid 4011 --swversion DE.1.0.9.0 --startMP 204:453 --initTime 2017-03-07T12:10:29 --startdatetime 2017-03-07T12:15:20 --delay 2 --endMP 204:233304 --enddatetime 2017-03-07T12:52:22 --enforcementcount 2 &gt;&gt;C:\Users\stu\Documents\GitHub\eaglep3-reporting\EC\2017-03-07-refined-times.txt</v>
      </c>
      <c r="AI82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{"issue":{"subject":"","project_id":79,"tracker_id":40,"status_id":1,"priority_id":2,"assigned_to_id":23,"start_date":"2017-03-07","description":"","custom_fields":[{"id":1,"name":"Subdivision","value":"EC"},{"id":4,"name":"Milepost","value":"23.3304"},{"id":17,"name":"Train ID","value":"169-07"},{"id":16,"name":"Locomotive ID","value":"4011"},{"id":130,"name":"Impact","value":""},{"id":150,"name":"Time of Event (Mountain Time)","value":"12:52:22"},{"id":151,"name":"Denver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45"/>
        <v>start /low /b %USERPROFILE%\Documents\GitHub\eaglep3\Utilities\DownloadLogsFromS3.py --loco 4011 --day 2017-03-07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"%USERPROFILE%\AppData\Local\Temp\OnboardLogs"\RTDC4011\*4011*20170307* | grep -SE "(Enforcement Action)|(\[TIMEOUT)|(CHR.+\|PRM\|1\|D.+(SWITCH|SIGNAL).+UNKNOWN)" - &gt;&gt; 2017-03-07-UncaughtWiMAX.txt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688</v>
      </c>
      <c r="B83" s="7">
        <v>4012</v>
      </c>
      <c r="C83" s="21" t="s">
        <v>233</v>
      </c>
      <c r="D83" s="21" t="s">
        <v>827</v>
      </c>
      <c r="E83" s="13">
        <v>42801.538761574076</v>
      </c>
      <c r="F83" s="13">
        <v>42801.54954861111</v>
      </c>
      <c r="G83" s="7">
        <v>1</v>
      </c>
      <c r="H83" s="21" t="s">
        <v>194</v>
      </c>
      <c r="I83" s="13">
        <v>42801.576215277775</v>
      </c>
      <c r="J83" s="7">
        <v>2</v>
      </c>
      <c r="K83" s="98" t="str">
        <f t="shared" si="30"/>
        <v>4011/4012</v>
      </c>
      <c r="L83" s="21" t="str">
        <f>VLOOKUP(A83,'Trips&amp;Operators'!$C$1:$G$99999,5,FALSE)</f>
        <v>ROMERO CHAD</v>
      </c>
      <c r="M83" s="6">
        <f t="shared" si="31"/>
        <v>2.6666666664823424E-2</v>
      </c>
      <c r="N83" s="7">
        <f t="shared" si="32"/>
        <v>38.399999997345731</v>
      </c>
      <c r="O83" s="7"/>
      <c r="P83" s="7"/>
      <c r="Q83" s="22"/>
      <c r="R83" s="22"/>
      <c r="S83" s="31">
        <f t="shared" si="33"/>
        <v>1</v>
      </c>
      <c r="T83" s="46" t="str">
        <f t="shared" si="34"/>
        <v>Southbound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35"/>
        <v>https://d0f6bd738d7f1b3e5a7ca70fe4ff75f0.us-east-1.aws.found.io/app/kibana#/discover/Steve-Slow-Train-Analysis-(2080s-and-2083s)?_g=(refreshInterval:(display:Off,pause:!f,section:0,value:0),time:(from:'2017-03-07T11:55:49-0700',mode:absolute,to:'2017-03-07T14:49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3" s="187" t="str">
        <f t="shared" si="36"/>
        <v>N</v>
      </c>
      <c r="X83" s="187">
        <f t="shared" si="29"/>
        <v>1</v>
      </c>
      <c r="Y83" s="62">
        <f t="shared" si="28"/>
        <v>23.3002</v>
      </c>
      <c r="Z83" s="62">
        <f t="shared" si="37"/>
        <v>1.4500000000000001E-2</v>
      </c>
      <c r="AA83" s="62">
        <f t="shared" si="38"/>
        <v>23.285699999999999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9"/>
        <v>0170-07</v>
      </c>
      <c r="AE83" s="85" t="str">
        <f t="shared" si="40"/>
        <v>aws s3 cp s3://rtdc.mdm.uploadarchive.raw/RTDC4012/ "%USERPROFILE%\AppData\Local\Temp\OnboardLogs"\RTDC4012\2017-03-07 --exclude "*" --recursive --include "*20170307*" &amp; "%USERPROFILE%\Documents\GitHub\mrs-test-scripts\Headless Mode &amp; Sideloading\WalkAndUnGZ.bat" "%USERPROFILE%\AppData\Local\Temp\OnboardLogs"\RTDC4012\2017-03-07 &amp; aws s3 cp s3://rtdc.mdm.uploadarchive.raw/RTDC4012/ "%USERPROFILE%\AppData\Local\Temp\OnboardLogs"\RTDC4012\2017-03-08 --exclude "*" --recursive --include "*20170308*" &amp; "%USERPROFILE%\Documents\GitHub\mrs-test-scripts\Headless Mode &amp; Sideloading\WalkAndUnGZ.bat" "%USERPROFILE%\AppData\Local\Temp\OnboardLogs"\RTDC4012\2017-03-08</v>
      </c>
      <c r="AF83" s="82" t="str">
        <f t="shared" si="41"/>
        <v>"C:\Program Files (x86)\AstroGrep\AstroGrep.exe" /spath="%USERPROFILE%\AppData\Local\Temp\OnboardLogs" /stypes="app*4012*20170307*" /stext=" 20:.+((SYSTEM_STATE.+slice.+state.+changed )|(ment ac)|(multiple cpu faults)|(system.+state.+changed )|(\[timeout)|(PRM\|1\|D)|(kpr)|(kdp)|(\|lc)|(penalty))" /e /r /s</v>
      </c>
      <c r="AG83" s="1" t="str">
        <f t="shared" si="42"/>
        <v>EC</v>
      </c>
      <c r="AH83" s="86" t="str">
        <f t="shared" si="43"/>
        <v>"%USERPROFILE%\Documents\GitHub\eaglep3\Utilities\RefineRTDCRunTimes.py" --tripid 170-07 --locoid 4012 --swversion DE.1.0.9.0 --startMP 204:233002 --initTime 2017-03-07T12:55:49 --startdatetime 2017-03-07T13:11:21 --delay 1 --endMP 204:145 --enddatetime 2017-03-07T13:49:45 --enforcementcount 2 &gt;&gt;C:\Users\stu\Documents\GitHub\eaglep3-reporting\EC\2017-03-07-refined-times.txt</v>
      </c>
      <c r="AI83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{"issue":{"subject":"","project_id":79,"tracker_id":40,"status_id":1,"priority_id":2,"assigned_to_id":23,"start_date":"2017-03-07","description":"","custom_fields":[{"id":1,"name":"Subdivision","value":"EC"},{"id":4,"name":"Milepost","value":"0.0145"},{"id":17,"name":"Train ID","value":"170-07"},{"id":16,"name":"Locomotive ID","value":"4012"},{"id":130,"name":"Impact","value":""},{"id":150,"name":"Time of Event (Mountain Time)","value":"13:49:45"},{"id":151,"name":"Denver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45"/>
        <v>start /low /b %USERPROFILE%\Documents\GitHub\eaglep3\Utilities\DownloadLogsFromS3.py --loco 4012 --day 2017-03-07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"%USERPROFILE%\AppData\Local\Temp\OnboardLogs"\RTDC4012\*4012*20170307* | grep -SE "(Enforcement Action)|(\[TIMEOUT)|(CHR.+\|PRM\|1\|D.+(SWITCH|SIGNAL).+UNKNOWN)" - &gt;&gt; 2017-03-07-UncaughtWiMAX.txt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569</v>
      </c>
      <c r="B84" s="7">
        <v>4044</v>
      </c>
      <c r="C84" s="21" t="s">
        <v>233</v>
      </c>
      <c r="D84" s="21" t="s">
        <v>828</v>
      </c>
      <c r="E84" s="13">
        <v>42801.528067129628</v>
      </c>
      <c r="F84" s="13">
        <v>42801.531053240738</v>
      </c>
      <c r="G84" s="7">
        <v>0</v>
      </c>
      <c r="H84" s="21" t="s">
        <v>829</v>
      </c>
      <c r="I84" s="13">
        <v>42801.554166666669</v>
      </c>
      <c r="J84" s="7">
        <v>2</v>
      </c>
      <c r="K84" s="98" t="str">
        <f t="shared" si="30"/>
        <v>4043/4044</v>
      </c>
      <c r="L84" s="21" t="str">
        <f>VLOOKUP(A84,'Trips&amp;Operators'!$C$1:$G$99999,5,FALSE)</f>
        <v>BRANNON JEFFREY</v>
      </c>
      <c r="M84" s="6">
        <f t="shared" si="31"/>
        <v>2.3113425930205267E-2</v>
      </c>
      <c r="N84" s="7"/>
      <c r="O84" s="7"/>
      <c r="P84" s="7">
        <f>24*60*SUM($M84:$M84)</f>
        <v>33.283333339495584</v>
      </c>
      <c r="Q84" s="22"/>
      <c r="R84" s="22" t="s">
        <v>993</v>
      </c>
      <c r="S84" s="31">
        <f t="shared" si="33"/>
        <v>1</v>
      </c>
      <c r="T84" s="46" t="str">
        <f t="shared" si="34"/>
        <v>NorthBound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35"/>
        <v>https://d0f6bd738d7f1b3e5a7ca70fe4ff75f0.us-east-1.aws.found.io/app/kibana#/discover/Steve-Slow-Train-Analysis-(2080s-and-2083s)?_g=(refreshInterval:(display:Off,pause:!f,section:0,value:0),time:(from:'2017-03-07T11:40:25-0700',mode:absolute,to:'2017-03-07T14:18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4" s="187" t="str">
        <f t="shared" si="36"/>
        <v>Y</v>
      </c>
      <c r="X84" s="187">
        <f t="shared" si="29"/>
        <v>1</v>
      </c>
      <c r="Y84" s="62">
        <f t="shared" si="28"/>
        <v>1.9133</v>
      </c>
      <c r="Z84" s="62">
        <f t="shared" si="37"/>
        <v>23.328800000000001</v>
      </c>
      <c r="AA84" s="62">
        <f t="shared" si="38"/>
        <v>21.415500000000002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9"/>
        <v>0171-07</v>
      </c>
      <c r="AE84" s="85" t="str">
        <f t="shared" si="40"/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AF84" s="82" t="str">
        <f t="shared" si="41"/>
        <v>"C:\Program Files (x86)\AstroGrep\AstroGrep.exe" /spath="%USERPROFILE%\AppData\Local\Temp\OnboardLogs" /stypes="app*4044*20170307*" /stext=" 20:.+((SYSTEM_STATE.+slice.+state.+changed )|(ment ac)|(multiple cpu faults)|(system.+state.+changed )|(\[timeout)|(PRM\|1\|D)|(kpr)|(kdp)|(\|lc)|(penalty))" /e /r /s</v>
      </c>
      <c r="AG84" s="1" t="str">
        <f t="shared" si="42"/>
        <v>EC</v>
      </c>
      <c r="AH84" s="86" t="str">
        <f t="shared" si="43"/>
        <v>"%USERPROFILE%\Documents\GitHub\eaglep3\Utilities\RefineRTDCRunTimes.py" --tripid 171-07 --locoid 4044 --swversion DE.1.0.9.0 --startMP 204:19133 --initTime 2017-03-07T12:40:25 --startdatetime 2017-03-07T12:44:43 --delay 0 --endMP 204:233288 --enddatetime 2017-03-07T13:18:00 --enforcementcount 2 &gt;&gt;C:\Users\stu\Documents\GitHub\eaglep3-reporting\EC\2017-03-07-refined-times.txt</v>
      </c>
      <c r="AI84" s="108" t="str">
        <f t="shared" si="44"/>
        <v>echo {"issue":{"subject":"Selected wrong track (was on Main 1, selected Main 2)","project_id":79,"tracker_id":40,"status_id":1,"priority_id":2,"assigned_to_id":23,"start_date":"2017-03-07","description":"","custom_fields":[{"id":1,"name":"Subdivision","value":"EC"},{"id":4,"name":"Milepost","value":"23.3288"},{"id":17,"name":"Train ID","value":"171-07"},{"id":16,"name":"Locomotive ID","value":"4044"},{"id":130,"name":"Impact","value":""},{"id":150,"name":"Time of Event (Mountain Time)","value":"13:18:00"},{"id":151,"name":"Denver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45"/>
        <v>start /low /b %USERPROFILE%\Documents\GitHub\eaglep3\Utilities\DownloadLogsFromS3.py --loco 4044 --day 2017-03-07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"%USERPROFILE%\AppData\Local\Temp\OnboardLogs"\RTDC4044\*4044*20170307* | grep -SE "(Enforcement Action)|(\[TIMEOUT)|(CHR.+\|PRM\|1\|D.+(SWITCH|SIGNAL).+UNKNOWN)" - &gt;&gt; 2017-03-07-UncaughtWiMAX.txt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569</v>
      </c>
      <c r="B85" s="7">
        <v>4044</v>
      </c>
      <c r="C85" s="21" t="s">
        <v>233</v>
      </c>
      <c r="D85" s="21" t="s">
        <v>214</v>
      </c>
      <c r="E85" s="13">
        <v>42801.521203703705</v>
      </c>
      <c r="F85" s="13">
        <v>42801.531053240738</v>
      </c>
      <c r="G85" s="7">
        <v>1</v>
      </c>
      <c r="H85" s="21" t="s">
        <v>830</v>
      </c>
      <c r="I85" s="13">
        <v>42801.554166666669</v>
      </c>
      <c r="J85" s="7">
        <v>2</v>
      </c>
      <c r="K85" s="98" t="str">
        <f t="shared" si="30"/>
        <v>4043/4044</v>
      </c>
      <c r="L85" s="21" t="str">
        <f>VLOOKUP(A85,'Trips&amp;Operators'!$C$1:$G$99999,5,FALSE)</f>
        <v>BRANNON JEFFREY</v>
      </c>
      <c r="M85" s="6">
        <f t="shared" si="31"/>
        <v>2.3113425930205267E-2</v>
      </c>
      <c r="N85" s="7"/>
      <c r="O85" s="7"/>
      <c r="P85" s="7"/>
      <c r="Q85" s="22"/>
      <c r="R85" s="22"/>
      <c r="S85" s="31"/>
      <c r="T85" s="46" t="str">
        <f t="shared" si="34"/>
        <v>NorthBound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0</v>
      </c>
      <c r="V85" s="186" t="str">
        <f t="shared" si="35"/>
        <v>https://d0f6bd738d7f1b3e5a7ca70fe4ff75f0.us-east-1.aws.found.io/app/kibana#/discover/Steve-Slow-Train-Analysis-(2080s-and-2083s)?_g=(refreshInterval:(display:Off,pause:!f,section:0,value:0),time:(from:'2017-03-07T11:30:32-0700',mode:absolute,to:'2017-03-07T14:18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5" s="187" t="str">
        <f t="shared" si="36"/>
        <v>Y</v>
      </c>
      <c r="X85" s="187">
        <f t="shared" si="29"/>
        <v>0</v>
      </c>
      <c r="Y85" s="62">
        <f t="shared" si="28"/>
        <v>4.53E-2</v>
      </c>
      <c r="Z85" s="62">
        <f t="shared" si="37"/>
        <v>0.10290000000000001</v>
      </c>
      <c r="AA85" s="62">
        <f t="shared" si="38"/>
        <v>5.7600000000000005E-2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9"/>
        <v>0171-07</v>
      </c>
      <c r="AE85" s="85" t="str">
        <f t="shared" si="40"/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AF85" s="82" t="str">
        <f t="shared" si="41"/>
        <v>"C:\Program Files (x86)\AstroGrep\AstroGrep.exe" /spath="%USERPROFILE%\AppData\Local\Temp\OnboardLogs" /stypes="app*4044*20170307*" /stext=" 20:.+((SYSTEM_STATE.+slice.+state.+changed )|(ment ac)|(multiple cpu faults)|(system.+state.+changed )|(\[timeout)|(PRM\|1\|D)|(kpr)|(kdp)|(\|lc)|(penalty))" /e /r /s</v>
      </c>
      <c r="AG85" s="1" t="str">
        <f t="shared" si="42"/>
        <v>EC</v>
      </c>
      <c r="AH85" s="86" t="str">
        <f t="shared" si="43"/>
        <v>"%USERPROFILE%\Documents\GitHub\eaglep3\Utilities\RefineRTDCRunTimes.py" --tripid 171-07 --locoid 4044 --swversion DE.1.0.9.0 --startMP 204:453 --initTime 2017-03-07T12:30:32 --startdatetime 2017-03-07T12:44:43 --delay 1 --endMP 204:1029 --enddatetime 2017-03-07T13:18:00 --enforcementcount 2 &gt;&gt;C:\Users\stu\Documents\GitHub\eaglep3-reporting\EC\2017-03-07-refined-times.txt</v>
      </c>
      <c r="AI85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{"issue":{"subject":"","project_id":79,"tracker_id":40,"status_id":1,"priority_id":2,"assigned_to_id":23,"start_date":"2017-03-07","description":"","custom_fields":[{"id":1,"name":"Subdivision","value":"EC"},{"id":4,"name":"Milepost","value":"0.1029"},{"id":17,"name":"Train ID","value":"171-07"},{"id":16,"name":"Locomotive ID","value":"4044"},{"id":130,"name":"Impact","value":""},{"id":150,"name":"Time of Event (Mountain Time)","value":"13:18:00"},{"id":151,"name":"Denver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45"/>
        <v>start /low /b %USERPROFILE%\Documents\GitHub\eaglep3\Utilities\DownloadLogsFromS3.py --loco 4044 --day 2017-03-07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"%USERPROFILE%\AppData\Local\Temp\OnboardLogs"\RTDC4044\*4044*20170307* | grep -SE "(Enforcement Action)|(\[TIMEOUT)|(CHR.+\|PRM\|1\|D.+(SWITCH|SIGNAL).+UNKNOWN)" - &gt;&gt; 2017-03-07-UncaughtWiMAX.txt</v>
      </c>
    </row>
    <row r="86" spans="1:91" s="20" customFormat="1" x14ac:dyDescent="0.25">
      <c r="A86" s="33" t="s">
        <v>691</v>
      </c>
      <c r="B86" s="7">
        <v>4043</v>
      </c>
      <c r="C86" s="21" t="s">
        <v>233</v>
      </c>
      <c r="D86" s="21" t="s">
        <v>267</v>
      </c>
      <c r="E86" s="13">
        <v>42801.556608796294</v>
      </c>
      <c r="F86" s="13">
        <v>42801.559884259259</v>
      </c>
      <c r="G86" s="7">
        <v>1</v>
      </c>
      <c r="H86" s="21" t="s">
        <v>544</v>
      </c>
      <c r="I86" s="13">
        <v>42801.587280092594</v>
      </c>
      <c r="J86" s="7">
        <v>2</v>
      </c>
      <c r="K86" s="98" t="str">
        <f t="shared" si="30"/>
        <v>4043/4044</v>
      </c>
      <c r="L86" s="21" t="str">
        <f>VLOOKUP(A86,'Trips&amp;Operators'!$C$1:$G$99999,5,FALSE)</f>
        <v>BRANNON JEFFREY</v>
      </c>
      <c r="M86" s="6">
        <f t="shared" si="31"/>
        <v>2.7395833334594499E-2</v>
      </c>
      <c r="N86" s="7">
        <f t="shared" ref="N86:N93" si="46">24*60*SUM($M86:$M86)</f>
        <v>39.450000001816079</v>
      </c>
      <c r="O86" s="7"/>
      <c r="P86" s="7"/>
      <c r="Q86" s="22"/>
      <c r="R86" s="22"/>
      <c r="S86" s="31">
        <f t="shared" ref="S86:S94" si="47">SUM(U86:U86)/IF(AG86="EC",12,1)</f>
        <v>1</v>
      </c>
      <c r="T86" s="46" t="str">
        <f t="shared" si="34"/>
        <v>Southbound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35"/>
        <v>https://d0f6bd738d7f1b3e5a7ca70fe4ff75f0.us-east-1.aws.found.io/app/kibana#/discover/Steve-Slow-Train-Analysis-(2080s-and-2083s)?_g=(refreshInterval:(display:Off,pause:!f,section:0,value:0),time:(from:'2017-03-07T12:21:31-0700',mode:absolute,to:'2017-03-07T15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6" s="187" t="str">
        <f t="shared" si="36"/>
        <v>N</v>
      </c>
      <c r="X86" s="187">
        <f t="shared" si="29"/>
        <v>1</v>
      </c>
      <c r="Y86" s="62">
        <f t="shared" si="28"/>
        <v>23.2986</v>
      </c>
      <c r="Z86" s="62">
        <f t="shared" si="37"/>
        <v>1.3599999999999999E-2</v>
      </c>
      <c r="AA86" s="62">
        <f t="shared" si="38"/>
        <v>23.285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9"/>
        <v>0172-07</v>
      </c>
      <c r="AE86" s="85" t="str">
        <f t="shared" si="40"/>
        <v>aws s3 cp s3://rtdc.mdm.uploadarchive.raw/RTDC4043/ "%USERPROFILE%\AppData\Local\Temp\OnboardLogs"\RTDC4043\2017-03-07 --exclude "*" --recursive --include "*20170307*" &amp; "%USERPROFILE%\Documents\GitHub\mrs-test-scripts\Headless Mode &amp; Sideloading\WalkAndUnGZ.bat" "%USERPROFILE%\AppData\Local\Temp\OnboardLogs"\RTDC4043\2017-03-07 &amp; aws s3 cp s3://rtdc.mdm.uploadarchive.raw/RTDC4043/ "%USERPROFILE%\AppData\Local\Temp\OnboardLogs"\RTDC4043\2017-03-08 --exclude "*" --recursive --include "*20170308*" &amp; "%USERPROFILE%\Documents\GitHub\mrs-test-scripts\Headless Mode &amp; Sideloading\WalkAndUnGZ.bat" "%USERPROFILE%\AppData\Local\Temp\OnboardLogs"\RTDC4043\2017-03-08</v>
      </c>
      <c r="AF86" s="82" t="str">
        <f t="shared" si="41"/>
        <v>"C:\Program Files (x86)\AstroGrep\AstroGrep.exe" /spath="%USERPROFILE%\AppData\Local\Temp\OnboardLogs" /stypes="app*4043*20170307*" /stext=" 21:.+((SYSTEM_STATE.+slice.+state.+changed )|(ment ac)|(multiple cpu faults)|(system.+state.+changed )|(\[timeout)|(PRM\|1\|D)|(kpr)|(kdp)|(\|lc)|(penalty))" /e /r /s</v>
      </c>
      <c r="AG86" s="1" t="str">
        <f t="shared" si="42"/>
        <v>EC</v>
      </c>
      <c r="AH86" s="86" t="str">
        <f t="shared" si="43"/>
        <v>"%USERPROFILE%\Documents\GitHub\eaglep3\Utilities\RefineRTDCRunTimes.py" --tripid 172-07 --locoid 4043 --swversion DE.1.0.9.0 --startMP 204:232986 --initTime 2017-03-07T13:21:31 --startdatetime 2017-03-07T13:26:14 --delay 1 --endMP 204:136 --enddatetime 2017-03-07T14:05:41 --enforcementcount 2 &gt;&gt;C:\Users\stu\Documents\GitHub\eaglep3-reporting\EC\2017-03-07-refined-times.txt</v>
      </c>
      <c r="AI86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{"issue":{"subject":"","project_id":79,"tracker_id":40,"status_id":1,"priority_id":2,"assigned_to_id":23,"start_date":"2017-03-07","description":"","custom_fields":[{"id":1,"name":"Subdivision","value":"EC"},{"id":4,"name":"Milepost","value":"0.0136"},{"id":17,"name":"Train ID","value":"172-07"},{"id":16,"name":"Locomotive ID","value":"4043"},{"id":130,"name":"Impact","value":""},{"id":150,"name":"Time of Event (Mountain Time)","value":"14:05:41"},{"id":151,"name":"Denver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45"/>
        <v>start /low /b %USERPROFILE%\Documents\GitHub\eaglep3\Utilities\DownloadLogsFromS3.py --loco 4043 --day 2017-03-07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"%USERPROFILE%\AppData\Local\Temp\OnboardLogs"\RTDC4043\*4043*20170307* | grep -SE "(Enforcement Action)|(\[TIMEOUT)|(CHR.+\|PRM\|1\|D.+(SWITCH|SIGNAL).+UNKNOWN)" - &gt;&gt; 2017-03-07-UncaughtWiMAX.txt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570</v>
      </c>
      <c r="B87" s="7">
        <v>4018</v>
      </c>
      <c r="C87" s="21" t="s">
        <v>233</v>
      </c>
      <c r="D87" s="21" t="s">
        <v>831</v>
      </c>
      <c r="E87" s="13">
        <v>42801.530671296299</v>
      </c>
      <c r="F87" s="13">
        <v>42801.532673611109</v>
      </c>
      <c r="G87" s="7">
        <v>1</v>
      </c>
      <c r="H87" s="21" t="s">
        <v>259</v>
      </c>
      <c r="I87" s="13">
        <v>42801.564432870371</v>
      </c>
      <c r="J87" s="7">
        <v>2</v>
      </c>
      <c r="K87" s="98" t="str">
        <f t="shared" si="30"/>
        <v>4017/4018</v>
      </c>
      <c r="L87" s="21" t="str">
        <f>VLOOKUP(A87,'Trips&amp;Operators'!$C$1:$G$99999,5,FALSE)</f>
        <v>STRICKLAND EVAN</v>
      </c>
      <c r="M87" s="6">
        <f t="shared" si="31"/>
        <v>3.1759259261889383E-2</v>
      </c>
      <c r="N87" s="7">
        <f t="shared" si="46"/>
        <v>45.733333337120712</v>
      </c>
      <c r="O87" s="7"/>
      <c r="P87" s="7"/>
      <c r="Q87" s="22"/>
      <c r="R87" s="22"/>
      <c r="S87" s="31">
        <f t="shared" si="47"/>
        <v>1</v>
      </c>
      <c r="T87" s="46" t="str">
        <f t="shared" si="34"/>
        <v>NorthBound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35"/>
        <v>https://d0f6bd738d7f1b3e5a7ca70fe4ff75f0.us-east-1.aws.found.io/app/kibana#/discover/Steve-Slow-Train-Analysis-(2080s-and-2083s)?_g=(refreshInterval:(display:Off,pause:!f,section:0,value:0),time:(from:'2017-03-07T11:44:10-0700',mode:absolute,to:'2017-03-07T14:32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7" s="187" t="str">
        <f t="shared" si="36"/>
        <v>N</v>
      </c>
      <c r="X87" s="187">
        <f t="shared" si="29"/>
        <v>1</v>
      </c>
      <c r="Y87" s="62">
        <f t="shared" si="28"/>
        <v>0.1479</v>
      </c>
      <c r="Z87" s="62">
        <f t="shared" si="37"/>
        <v>23.3323</v>
      </c>
      <c r="AA87" s="62">
        <f t="shared" si="38"/>
        <v>23.1844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9"/>
        <v>0173-07</v>
      </c>
      <c r="AE87" s="85" t="str">
        <f t="shared" si="40"/>
        <v>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 &amp; aws s3 cp s3://rtdc.mdm.uploadarchive.raw/RTDC4018/ "%USERPROFILE%\AppData\Local\Temp\OnboardLogs"\RTDC4018\2017-03-08 --exclude "*" --recursive --include "*20170308*" &amp; "%USERPROFILE%\Documents\GitHub\mrs-test-scripts\Headless Mode &amp; Sideloading\WalkAndUnGZ.bat" "%USERPROFILE%\AppData\Local\Temp\OnboardLogs"\RTDC4018\2017-03-08</v>
      </c>
      <c r="AF87" s="82" t="str">
        <f t="shared" si="41"/>
        <v>"C:\Program Files (x86)\AstroGrep\AstroGrep.exe" /spath="%USERPROFILE%\AppData\Local\Temp\OnboardLogs" /stypes="app*4018*20170307*" /stext=" 20:.+((SYSTEM_STATE.+slice.+state.+changed )|(ment ac)|(multiple cpu faults)|(system.+state.+changed )|(\[timeout)|(PRM\|1\|D)|(kpr)|(kdp)|(\|lc)|(penalty))" /e /r /s</v>
      </c>
      <c r="AG87" s="1" t="str">
        <f t="shared" si="42"/>
        <v>EC</v>
      </c>
      <c r="AH87" s="86" t="str">
        <f t="shared" si="43"/>
        <v>"%USERPROFILE%\Documents\GitHub\eaglep3\Utilities\RefineRTDCRunTimes.py" --tripid 173-07 --locoid 4018 --swversion DE.1.0.9.0 --startMP 204:1479 --initTime 2017-03-07T12:44:10 --startdatetime 2017-03-07T12:47:03 --delay 1 --endMP 204:233323 --enddatetime 2017-03-07T13:32:47 --enforcementcount 2 &gt;&gt;C:\Users\stu\Documents\GitHub\eaglep3-reporting\EC\2017-03-07-refined-times.txt</v>
      </c>
      <c r="AI87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{"issue":{"subject":"","project_id":79,"tracker_id":40,"status_id":1,"priority_id":2,"assigned_to_id":23,"start_date":"2017-03-07","description":"","custom_fields":[{"id":1,"name":"Subdivision","value":"EC"},{"id":4,"name":"Milepost","value":"23.3323"},{"id":17,"name":"Train ID","value":"173-07"},{"id":16,"name":"Locomotive ID","value":"4018"},{"id":130,"name":"Impact","value":""},{"id":150,"name":"Time of Event (Mountain Time)","value":"13:32:47"},{"id":151,"name":"Denver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45"/>
        <v>start /low /b %USERPROFILE%\Documents\GitHub\eaglep3\Utilities\DownloadLogsFromS3.py --loco 4018 --day 2017-03-07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"%USERPROFILE%\AppData\Local\Temp\OnboardLogs"\RTDC4018\*4018*20170307* | grep -SE "(Enforcement Action)|(\[TIMEOUT)|(CHR.+\|PRM\|1\|D.+(SWITCH|SIGNAL).+UNKNOWN)" - &gt;&gt; 2017-03-07-UncaughtWiMAX.txt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693</v>
      </c>
      <c r="B88" s="7">
        <v>4017</v>
      </c>
      <c r="C88" s="21" t="s">
        <v>233</v>
      </c>
      <c r="D88" s="21" t="s">
        <v>499</v>
      </c>
      <c r="E88" s="13">
        <v>42801.56795138889</v>
      </c>
      <c r="F88" s="13">
        <v>42801.570347222223</v>
      </c>
      <c r="G88" s="7">
        <v>3</v>
      </c>
      <c r="H88" s="21" t="s">
        <v>184</v>
      </c>
      <c r="I88" s="13">
        <v>42801.599780092591</v>
      </c>
      <c r="J88" s="7">
        <v>2</v>
      </c>
      <c r="K88" s="98" t="str">
        <f t="shared" si="30"/>
        <v>4017/4018</v>
      </c>
      <c r="L88" s="21" t="str">
        <f>VLOOKUP(A88,'Trips&amp;Operators'!$C$1:$G$99999,5,FALSE)</f>
        <v>STRICKLAND EVAN</v>
      </c>
      <c r="M88" s="6">
        <f t="shared" si="31"/>
        <v>2.9432870367600117E-2</v>
      </c>
      <c r="N88" s="7">
        <f t="shared" si="46"/>
        <v>42.383333329344168</v>
      </c>
      <c r="O88" s="7"/>
      <c r="P88" s="7"/>
      <c r="Q88" s="22"/>
      <c r="R88" s="22"/>
      <c r="S88" s="31">
        <f t="shared" si="47"/>
        <v>1</v>
      </c>
      <c r="T88" s="46" t="str">
        <f t="shared" si="34"/>
        <v>Southbound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35"/>
        <v>https://d0f6bd738d7f1b3e5a7ca70fe4ff75f0.us-east-1.aws.found.io/app/kibana#/discover/Steve-Slow-Train-Analysis-(2080s-and-2083s)?_g=(refreshInterval:(display:Off,pause:!f,section:0,value:0),time:(from:'2017-03-07T12:37:51-0700',mode:absolute,to:'2017-03-07T15:23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8" s="187" t="str">
        <f t="shared" si="36"/>
        <v>N</v>
      </c>
      <c r="X88" s="187">
        <f t="shared" si="29"/>
        <v>1</v>
      </c>
      <c r="Y88" s="62">
        <f t="shared" si="28"/>
        <v>23.298100000000002</v>
      </c>
      <c r="Z88" s="62">
        <f t="shared" si="37"/>
        <v>1.49E-2</v>
      </c>
      <c r="AA88" s="62">
        <f t="shared" si="38"/>
        <v>23.283200000000001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9"/>
        <v>0174-07</v>
      </c>
      <c r="AE88" s="85" t="str">
        <f t="shared" si="40"/>
        <v>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 &amp; aws s3 cp s3://rtdc.mdm.uploadarchive.raw/RTDC4017/ "%USERPROFILE%\AppData\Local\Temp\OnboardLogs"\RTDC4017\2017-03-08 --exclude "*" --recursive --include "*20170308*" &amp; "%USERPROFILE%\Documents\GitHub\mrs-test-scripts\Headless Mode &amp; Sideloading\WalkAndUnGZ.bat" "%USERPROFILE%\AppData\Local\Temp\OnboardLogs"\RTDC4017\2017-03-08</v>
      </c>
      <c r="AF88" s="82" t="str">
        <f t="shared" si="41"/>
        <v>"C:\Program Files (x86)\AstroGrep\AstroGrep.exe" /spath="%USERPROFILE%\AppData\Local\Temp\OnboardLogs" /stypes="app*4017*20170307*" /stext=" 21:.+((SYSTEM_STATE.+slice.+state.+changed )|(ment ac)|(multiple cpu faults)|(system.+state.+changed )|(\[timeout)|(PRM\|1\|D)|(kpr)|(kdp)|(\|lc)|(penalty))" /e /r /s</v>
      </c>
      <c r="AG88" s="1" t="str">
        <f t="shared" si="42"/>
        <v>EC</v>
      </c>
      <c r="AH88" s="86" t="str">
        <f t="shared" si="43"/>
        <v>"%USERPROFILE%\Documents\GitHub\eaglep3\Utilities\RefineRTDCRunTimes.py" --tripid 174-07 --locoid 4017 --swversion DE.1.0.9.0 --startMP 204:232981 --initTime 2017-03-07T13:37:51 --startdatetime 2017-03-07T13:41:18 --delay 3 --endMP 204:149 --enddatetime 2017-03-07T14:23:41 --enforcementcount 2 &gt;&gt;C:\Users\stu\Documents\GitHub\eaglep3-reporting\EC\2017-03-07-refined-times.txt</v>
      </c>
      <c r="AI88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{"issue":{"subject":"","project_id":79,"tracker_id":40,"status_id":1,"priority_id":2,"assigned_to_id":23,"start_date":"2017-03-07","description":"","custom_fields":[{"id":1,"name":"Subdivision","value":"EC"},{"id":4,"name":"Milepost","value":"0.0149"},{"id":17,"name":"Train ID","value":"174-07"},{"id":16,"name":"Locomotive ID","value":"4017"},{"id":130,"name":"Impact","value":""},{"id":150,"name":"Time of Event (Mountain Time)","value":"14:23:41"},{"id":151,"name":"Denver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45"/>
        <v>start /low /b %USERPROFILE%\Documents\GitHub\eaglep3\Utilities\DownloadLogsFromS3.py --loco 4017 --day 2017-03-07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"%USERPROFILE%\AppData\Local\Temp\OnboardLogs"\RTDC4017\*4017*20170307* | grep -SE "(Enforcement Action)|(\[TIMEOUT)|(CHR.+\|PRM\|1\|D.+(SWITCH|SIGNAL).+UNKNOWN)" - &gt;&gt; 2017-03-07-UncaughtWiMAX.txt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689</v>
      </c>
      <c r="B89" s="7">
        <v>4020</v>
      </c>
      <c r="C89" s="21" t="s">
        <v>233</v>
      </c>
      <c r="D89" s="21" t="s">
        <v>514</v>
      </c>
      <c r="E89" s="13">
        <v>42801.542118055557</v>
      </c>
      <c r="F89" s="13">
        <v>42801.544548611113</v>
      </c>
      <c r="G89" s="7">
        <v>1</v>
      </c>
      <c r="H89" s="21" t="s">
        <v>509</v>
      </c>
      <c r="I89" s="13">
        <v>42801.574490740742</v>
      </c>
      <c r="J89" s="7">
        <v>2</v>
      </c>
      <c r="K89" s="98" t="str">
        <f t="shared" si="30"/>
        <v>4019/4020</v>
      </c>
      <c r="L89" s="21" t="str">
        <f>VLOOKUP(A89,'Trips&amp;Operators'!$C$1:$G$99999,5,FALSE)</f>
        <v>DAVIS MICHAEL</v>
      </c>
      <c r="M89" s="6">
        <f t="shared" si="31"/>
        <v>2.99421296294895E-2</v>
      </c>
      <c r="N89" s="7">
        <f t="shared" si="46"/>
        <v>43.11666666646488</v>
      </c>
      <c r="O89" s="7"/>
      <c r="P89" s="7"/>
      <c r="Q89" s="22"/>
      <c r="R89" s="22"/>
      <c r="S89" s="31">
        <f t="shared" si="47"/>
        <v>1</v>
      </c>
      <c r="T89" s="46" t="str">
        <f t="shared" si="34"/>
        <v>NorthBound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35"/>
        <v>https://d0f6bd738d7f1b3e5a7ca70fe4ff75f0.us-east-1.aws.found.io/app/kibana#/discover/Steve-Slow-Train-Analysis-(2080s-and-2083s)?_g=(refreshInterval:(display:Off,pause:!f,section:0,value:0),time:(from:'2017-03-07T12:00:39-0700',mode:absolute,to:'2017-03-07T14:47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9" s="187" t="str">
        <f t="shared" si="36"/>
        <v>N</v>
      </c>
      <c r="X89" s="187">
        <f t="shared" si="29"/>
        <v>1</v>
      </c>
      <c r="Y89" s="62">
        <f t="shared" si="28"/>
        <v>4.3299999999999998E-2</v>
      </c>
      <c r="Z89" s="62">
        <f t="shared" si="37"/>
        <v>23.333600000000001</v>
      </c>
      <c r="AA89" s="62">
        <f t="shared" si="38"/>
        <v>23.290300000000002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9"/>
        <v>0175-07</v>
      </c>
      <c r="AE89" s="85" t="str">
        <f t="shared" si="40"/>
        <v>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 &amp; aws s3 cp s3://rtdc.mdm.uploadarchive.raw/RTDC4020/ "%USERPROFILE%\AppData\Local\Temp\OnboardLogs"\RTDC4020\2017-03-08 --exclude "*" --recursive --include "*20170308*" &amp; "%USERPROFILE%\Documents\GitHub\mrs-test-scripts\Headless Mode &amp; Sideloading\WalkAndUnGZ.bat" "%USERPROFILE%\AppData\Local\Temp\OnboardLogs"\RTDC4020\2017-03-08</v>
      </c>
      <c r="AF89" s="82" t="str">
        <f t="shared" si="41"/>
        <v>"C:\Program Files (x86)\AstroGrep\AstroGrep.exe" /spath="%USERPROFILE%\AppData\Local\Temp\OnboardLogs" /stypes="app*4020*20170307*" /stext=" 20:.+((SYSTEM_STATE.+slice.+state.+changed )|(ment ac)|(multiple cpu faults)|(system.+state.+changed )|(\[timeout)|(PRM\|1\|D)|(kpr)|(kdp)|(\|lc)|(penalty))" /e /r /s</v>
      </c>
      <c r="AG89" s="1" t="str">
        <f t="shared" si="42"/>
        <v>EC</v>
      </c>
      <c r="AH89" s="86" t="str">
        <f t="shared" si="43"/>
        <v>"%USERPROFILE%\Documents\GitHub\eaglep3\Utilities\RefineRTDCRunTimes.py" --tripid 175-07 --locoid 4020 --swversion DE.1.0.9.0 --startMP 204:433 --initTime 2017-03-07T13:00:39 --startdatetime 2017-03-07T13:04:09 --delay 1 --endMP 204:233336 --enddatetime 2017-03-07T13:47:16 --enforcementcount 2 &gt;&gt;C:\Users\stu\Documents\GitHub\eaglep3-reporting\EC\2017-03-07-refined-times.txt</v>
      </c>
      <c r="AI89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{"issue":{"subject":"","project_id":79,"tracker_id":40,"status_id":1,"priority_id":2,"assigned_to_id":23,"start_date":"2017-03-07","description":"","custom_fields":[{"id":1,"name":"Subdivision","value":"EC"},{"id":4,"name":"Milepost","value":"23.3336"},{"id":17,"name":"Train ID","value":"175-07"},{"id":16,"name":"Locomotive ID","value":"4020"},{"id":130,"name":"Impact","value":""},{"id":150,"name":"Time of Event (Mountain Time)","value":"13:47:16"},{"id":151,"name":"Denver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45"/>
        <v>start /low /b %USERPROFILE%\Documents\GitHub\eaglep3\Utilities\DownloadLogsFromS3.py --loco 4020 --day 2017-03-07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"%USERPROFILE%\AppData\Local\Temp\OnboardLogs"\RTDC4020\*4020*20170307* | grep -SE "(Enforcement Action)|(\[TIMEOUT)|(CHR.+\|PRM\|1\|D.+(SWITCH|SIGNAL).+UNKNOWN)" - &gt;&gt; 2017-03-07-UncaughtWiMAX.txt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573</v>
      </c>
      <c r="B90" s="7">
        <v>4019</v>
      </c>
      <c r="C90" s="21" t="s">
        <v>233</v>
      </c>
      <c r="D90" s="21" t="s">
        <v>243</v>
      </c>
      <c r="E90" s="13">
        <v>42801.578819444447</v>
      </c>
      <c r="F90" s="13">
        <v>42801.581238425926</v>
      </c>
      <c r="G90" s="7">
        <v>2</v>
      </c>
      <c r="H90" s="21" t="s">
        <v>192</v>
      </c>
      <c r="I90" s="13">
        <v>42801.613009259258</v>
      </c>
      <c r="J90" s="7">
        <v>2</v>
      </c>
      <c r="K90" s="98" t="str">
        <f t="shared" si="30"/>
        <v>4019/4020</v>
      </c>
      <c r="L90" s="21" t="str">
        <f>VLOOKUP(A90,'Trips&amp;Operators'!$C$1:$G$99999,5,FALSE)</f>
        <v>DAVIS MICHAEL</v>
      </c>
      <c r="M90" s="6">
        <f t="shared" si="31"/>
        <v>3.1770833331393078E-2</v>
      </c>
      <c r="N90" s="7">
        <f t="shared" si="46"/>
        <v>45.749999997206032</v>
      </c>
      <c r="O90" s="7"/>
      <c r="P90" s="7"/>
      <c r="Q90" s="22"/>
      <c r="R90" s="22"/>
      <c r="S90" s="31">
        <f t="shared" si="47"/>
        <v>1</v>
      </c>
      <c r="T90" s="46" t="str">
        <f t="shared" si="34"/>
        <v>Southbound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35"/>
        <v>https://d0f6bd738d7f1b3e5a7ca70fe4ff75f0.us-east-1.aws.found.io/app/kibana#/discover/Steve-Slow-Train-Analysis-(2080s-and-2083s)?_g=(refreshInterval:(display:Off,pause:!f,section:0,value:0),time:(from:'2017-03-07T12:53:30-0700',mode:absolute,to:'2017-03-07T15:42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0" s="187" t="str">
        <f t="shared" si="36"/>
        <v>N</v>
      </c>
      <c r="X90" s="187">
        <f t="shared" ref="X90:X92" si="48">VALUE(LEFT(AD90,4))-VALUE(LEFT(AD89,4))</f>
        <v>1</v>
      </c>
      <c r="Y90" s="62">
        <f t="shared" si="28"/>
        <v>23.297699999999999</v>
      </c>
      <c r="Z90" s="62">
        <f t="shared" si="37"/>
        <v>1.4999999999999999E-2</v>
      </c>
      <c r="AA90" s="62">
        <f t="shared" si="38"/>
        <v>23.282699999999998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9"/>
        <v>0176-07</v>
      </c>
      <c r="AE90" s="85" t="str">
        <f t="shared" si="40"/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AF90" s="82" t="str">
        <f t="shared" si="41"/>
        <v>"C:\Program Files (x86)\AstroGrep\AstroGrep.exe" /spath="%USERPROFILE%\AppData\Local\Temp\OnboardLogs" /stypes="app*4019*20170307*" /stext=" 21:.+((SYSTEM_STATE.+slice.+state.+changed )|(ment ac)|(multiple cpu faults)|(system.+state.+changed )|(\[timeout)|(PRM\|1\|D)|(kpr)|(kdp)|(\|lc)|(penalty))" /e /r /s</v>
      </c>
      <c r="AG90" s="1" t="str">
        <f t="shared" si="42"/>
        <v>EC</v>
      </c>
      <c r="AH90" s="86" t="str">
        <f t="shared" si="43"/>
        <v>"%USERPROFILE%\Documents\GitHub\eaglep3\Utilities\RefineRTDCRunTimes.py" --tripid 176-07 --locoid 4019 --swversion DE.1.0.9.0 --startMP 204:232977 --initTime 2017-03-07T13:53:30 --startdatetime 2017-03-07T13:56:59 --delay 2 --endMP 204:150 --enddatetime 2017-03-07T14:42:44 --enforcementcount 2 &gt;&gt;C:\Users\stu\Documents\GitHub\eaglep3-reporting\EC\2017-03-07-refined-times.txt</v>
      </c>
      <c r="AI90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{"issue":{"subject":"","project_id":79,"tracker_id":40,"status_id":1,"priority_id":2,"assigned_to_id":23,"start_date":"2017-03-07","description":"","custom_fields":[{"id":1,"name":"Subdivision","value":"EC"},{"id":4,"name":"Milepost","value":"0.015"},{"id":17,"name":"Train ID","value":"176-07"},{"id":16,"name":"Locomotive ID","value":"4019"},{"id":130,"name":"Impact","value":""},{"id":150,"name":"Time of Event (Mountain Time)","value":"14:42:44"},{"id":151,"name":"Denver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45"/>
        <v>start /low /b %USERPROFILE%\Documents\GitHub\eaglep3\Utilities\DownloadLogsFromS3.py --loco 4019 --day 2017-03-07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"%USERPROFILE%\AppData\Local\Temp\OnboardLogs"\RTDC4019\*4019*20170307* | grep -SE "(Enforcement Action)|(\[TIMEOUT)|(CHR.+\|PRM\|1\|D.+(SWITCH|SIGNAL).+UNKNOWN)" - &gt;&gt; 2017-03-07-UncaughtWiMAX.txt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574</v>
      </c>
      <c r="B91" s="7">
        <v>4013</v>
      </c>
      <c r="C91" s="21" t="s">
        <v>233</v>
      </c>
      <c r="D91" s="21" t="s">
        <v>424</v>
      </c>
      <c r="E91" s="13">
        <v>42801.590671296297</v>
      </c>
      <c r="F91" s="13">
        <v>42801.592106481483</v>
      </c>
      <c r="G91" s="7">
        <v>0</v>
      </c>
      <c r="H91" s="21" t="s">
        <v>184</v>
      </c>
      <c r="I91" s="13">
        <v>42801.620451388888</v>
      </c>
      <c r="J91" s="7">
        <v>2</v>
      </c>
      <c r="K91" s="98" t="str">
        <f t="shared" si="30"/>
        <v>4013/4014</v>
      </c>
      <c r="L91" s="21" t="str">
        <f>VLOOKUP(A91,'Trips&amp;Operators'!$C$1:$G$99999,5,FALSE)</f>
        <v>MOSES BRADLEY</v>
      </c>
      <c r="M91" s="6">
        <f t="shared" si="31"/>
        <v>2.8344907404971309E-2</v>
      </c>
      <c r="N91" s="7">
        <f t="shared" si="46"/>
        <v>40.816666663158685</v>
      </c>
      <c r="O91" s="7"/>
      <c r="P91" s="7"/>
      <c r="Q91" s="22"/>
      <c r="R91" s="22"/>
      <c r="S91" s="31">
        <f t="shared" si="47"/>
        <v>1</v>
      </c>
      <c r="T91" s="46" t="str">
        <f t="shared" si="34"/>
        <v>Southbound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35"/>
        <v>https://d0f6bd738d7f1b3e5a7ca70fe4ff75f0.us-east-1.aws.found.io/app/kibana#/discover/Steve-Slow-Train-Analysis-(2080s-and-2083s)?_g=(refreshInterval:(display:Off,pause:!f,section:0,value:0),time:(from:'2017-03-07T13:10:34-0700',mode:absolute,to:'2017-03-07T15:53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1" s="187" t="str">
        <f t="shared" si="36"/>
        <v>N</v>
      </c>
      <c r="X91" s="187">
        <f t="shared" si="48"/>
        <v>2</v>
      </c>
      <c r="Y91" s="62">
        <f t="shared" si="28"/>
        <v>23.298300000000001</v>
      </c>
      <c r="Z91" s="62">
        <f t="shared" si="37"/>
        <v>1.49E-2</v>
      </c>
      <c r="AA91" s="62">
        <f t="shared" si="38"/>
        <v>23.2834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9"/>
        <v>0178-07</v>
      </c>
      <c r="AE91" s="85" t="str">
        <f t="shared" si="40"/>
        <v>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 &amp; aws s3 cp s3://rtdc.mdm.uploadarchive.raw/RTDC4013/ "%USERPROFILE%\AppData\Local\Temp\OnboardLogs"\RTDC4013\2017-03-08 --exclude "*" --recursive --include "*20170308*" &amp; "%USERPROFILE%\Documents\GitHub\mrs-test-scripts\Headless Mode &amp; Sideloading\WalkAndUnGZ.bat" "%USERPROFILE%\AppData\Local\Temp\OnboardLogs"\RTDC4013\2017-03-08</v>
      </c>
      <c r="AF91" s="82" t="str">
        <f t="shared" si="41"/>
        <v>"C:\Program Files (x86)\AstroGrep\AstroGrep.exe" /spath="%USERPROFILE%\AppData\Local\Temp\OnboardLogs" /stypes="app*4013*20170307*" /stext=" 21:.+((SYSTEM_STATE.+slice.+state.+changed )|(ment ac)|(multiple cpu faults)|(system.+state.+changed )|(\[timeout)|(PRM\|1\|D)|(kpr)|(kdp)|(\|lc)|(penalty))" /e /r /s</v>
      </c>
      <c r="AG91" s="1" t="str">
        <f t="shared" si="42"/>
        <v>EC</v>
      </c>
      <c r="AH91" s="86" t="str">
        <f t="shared" si="43"/>
        <v>"%USERPROFILE%\Documents\GitHub\eaglep3\Utilities\RefineRTDCRunTimes.py" --tripid 178-07 --locoid 4013 --swversion DE.1.0.9.0 --startMP 204:232983 --initTime 2017-03-07T14:10:34 --startdatetime 2017-03-07T14:12:38 --delay 0 --endMP 204:149 --enddatetime 2017-03-07T14:53:27 --enforcementcount 2 &gt;&gt;C:\Users\stu\Documents\GitHub\eaglep3-reporting\EC\2017-03-07-refined-times.txt</v>
      </c>
      <c r="AI91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{"issue":{"subject":"","project_id":79,"tracker_id":40,"status_id":1,"priority_id":2,"assigned_to_id":23,"start_date":"2017-03-07","description":"","custom_fields":[{"id":1,"name":"Subdivision","value":"EC"},{"id":4,"name":"Milepost","value":"0.0149"},{"id":17,"name":"Train ID","value":"178-07"},{"id":16,"name":"Locomotive ID","value":"4013"},{"id":130,"name":"Impact","value":""},{"id":150,"name":"Time of Event (Mountain Time)","value":"14:53:27"},{"id":151,"name":"Denver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45"/>
        <v>start /low /b %USERPROFILE%\Documents\GitHub\eaglep3\Utilities\DownloadLogsFromS3.py --loco 4013 --day 2017-03-07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"%USERPROFILE%\AppData\Local\Temp\OnboardLogs"\RTDC4013\*4013*20170307* | grep -SE "(Enforcement Action)|(\[TIMEOUT)|(CHR.+\|PRM\|1\|D.+(SWITCH|SIGNAL).+UNKNOWN)" - &gt;&gt; 2017-03-07-UncaughtWiMAX.txt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692</v>
      </c>
      <c r="B92" s="7">
        <v>4016</v>
      </c>
      <c r="C92" s="21" t="s">
        <v>233</v>
      </c>
      <c r="D92" s="21" t="s">
        <v>832</v>
      </c>
      <c r="E92" s="13">
        <v>42801.559872685182</v>
      </c>
      <c r="F92" s="13">
        <v>42801.562685185185</v>
      </c>
      <c r="G92" s="7">
        <v>1</v>
      </c>
      <c r="H92" s="21" t="s">
        <v>454</v>
      </c>
      <c r="I92" s="13">
        <v>42801.596284722225</v>
      </c>
      <c r="J92" s="7">
        <v>2</v>
      </c>
      <c r="K92" s="98" t="str">
        <f t="shared" si="30"/>
        <v>4015/4016</v>
      </c>
      <c r="L92" s="21" t="str">
        <f>VLOOKUP(A92,'Trips&amp;Operators'!$C$1:$G$99999,5,FALSE)</f>
        <v>CLARK KATHLEEN</v>
      </c>
      <c r="M92" s="6">
        <f t="shared" si="31"/>
        <v>3.3599537040572613E-2</v>
      </c>
      <c r="N92" s="7">
        <f t="shared" si="46"/>
        <v>48.383333338424563</v>
      </c>
      <c r="O92" s="7"/>
      <c r="P92" s="7"/>
      <c r="Q92" s="22"/>
      <c r="R92" s="22"/>
      <c r="S92" s="31">
        <f t="shared" si="47"/>
        <v>1</v>
      </c>
      <c r="T92" s="46" t="str">
        <f t="shared" si="34"/>
        <v>NorthBound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35"/>
        <v>https://d0f6bd738d7f1b3e5a7ca70fe4ff75f0.us-east-1.aws.found.io/app/kibana#/discover/Steve-Slow-Train-Analysis-(2080s-and-2083s)?_g=(refreshInterval:(display:Off,pause:!f,section:0,value:0),time:(from:'2017-03-07T12:26:13-0700',mode:absolute,to:'2017-03-07T15:18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2" s="187" t="str">
        <f t="shared" si="36"/>
        <v>N</v>
      </c>
      <c r="X92" s="187">
        <f t="shared" si="48"/>
        <v>1</v>
      </c>
      <c r="Y92" s="62">
        <f t="shared" si="28"/>
        <v>4.9500000000000002E-2</v>
      </c>
      <c r="Z92" s="62">
        <f t="shared" si="37"/>
        <v>23.327999999999999</v>
      </c>
      <c r="AA92" s="62">
        <f t="shared" si="38"/>
        <v>23.278500000000001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9"/>
        <v>0179-07</v>
      </c>
      <c r="AE92" s="85" t="str">
        <f t="shared" si="40"/>
        <v>aws s3 cp s3://rtdc.mdm.uploadarchive.raw/RTDC4016/ "%USERPROFILE%\AppData\Local\Temp\OnboardLogs"\RTDC4016\2017-03-07 --exclude "*" --recursive --include "*20170307*" &amp; "%USERPROFILE%\Documents\GitHub\mrs-test-scripts\Headless Mode &amp; Sideloading\WalkAndUnGZ.bat" "%USERPROFILE%\AppData\Local\Temp\OnboardLogs"\RTDC4016\2017-03-07 &amp; aws s3 cp s3://rtdc.mdm.uploadarchive.raw/RTDC4016/ "%USERPROFILE%\AppData\Local\Temp\OnboardLogs"\RTDC4016\2017-03-08 --exclude "*" --recursive --include "*20170308*" &amp; "%USERPROFILE%\Documents\GitHub\mrs-test-scripts\Headless Mode &amp; Sideloading\WalkAndUnGZ.bat" "%USERPROFILE%\AppData\Local\Temp\OnboardLogs"\RTDC4016\2017-03-08</v>
      </c>
      <c r="AF92" s="82" t="str">
        <f t="shared" si="41"/>
        <v>"C:\Program Files (x86)\AstroGrep\AstroGrep.exe" /spath="%USERPROFILE%\AppData\Local\Temp\OnboardLogs" /stypes="app*4016*20170307*" /stext=" 21:.+((SYSTEM_STATE.+slice.+state.+changed )|(ment ac)|(multiple cpu faults)|(system.+state.+changed )|(\[timeout)|(PRM\|1\|D)|(kpr)|(kdp)|(\|lc)|(penalty))" /e /r /s</v>
      </c>
      <c r="AG92" s="1" t="str">
        <f t="shared" si="42"/>
        <v>EC</v>
      </c>
      <c r="AH92" s="86" t="str">
        <f t="shared" si="43"/>
        <v>"%USERPROFILE%\Documents\GitHub\eaglep3\Utilities\RefineRTDCRunTimes.py" --tripid 179-07 --locoid 4016 --swversion DE.1.0.9.0 --startMP 204:495 --initTime 2017-03-07T13:26:13 --startdatetime 2017-03-07T13:30:16 --delay 1 --endMP 204:233280 --enddatetime 2017-03-07T14:18:39 --enforcementcount 2 &gt;&gt;C:\Users\stu\Documents\GitHub\eaglep3-reporting\EC\2017-03-07-refined-times.txt</v>
      </c>
      <c r="AI92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{"issue":{"subject":"","project_id":79,"tracker_id":40,"status_id":1,"priority_id":2,"assigned_to_id":23,"start_date":"2017-03-07","description":"","custom_fields":[{"id":1,"name":"Subdivision","value":"EC"},{"id":4,"name":"Milepost","value":"23.328"},{"id":17,"name":"Train ID","value":"179-07"},{"id":16,"name":"Locomotive ID","value":"4016"},{"id":130,"name":"Impact","value":""},{"id":150,"name":"Time of Event (Mountain Time)","value":"14:18:39"},{"id":151,"name":"Denver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45"/>
        <v>start /low /b %USERPROFILE%\Documents\GitHub\eaglep3\Utilities\DownloadLogsFromS3.py --loco 4016 --day 2017-03-07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"%USERPROFILE%\AppData\Local\Temp\OnboardLogs"\RTDC4016\*4016*20170307* | grep -SE "(Enforcement Action)|(\[TIMEOUT)|(CHR.+\|PRM\|1\|D.+(SWITCH|SIGNAL).+UNKNOWN)" - &gt;&gt; 2017-03-07-UncaughtWiMAX.txt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3" t="s">
        <v>698</v>
      </c>
      <c r="B93" s="7">
        <v>4015</v>
      </c>
      <c r="C93" s="21" t="s">
        <v>233</v>
      </c>
      <c r="D93" s="21" t="s">
        <v>833</v>
      </c>
      <c r="E93" s="13">
        <v>42801.601747685185</v>
      </c>
      <c r="F93" s="13">
        <v>42801.604872685188</v>
      </c>
      <c r="G93" s="7">
        <v>1</v>
      </c>
      <c r="H93" s="21" t="s">
        <v>834</v>
      </c>
      <c r="I93" s="13">
        <v>42801.632719907408</v>
      </c>
      <c r="J93" s="7">
        <v>2</v>
      </c>
      <c r="K93" s="98" t="str">
        <f t="shared" si="30"/>
        <v>4015/4016</v>
      </c>
      <c r="L93" s="21" t="str">
        <f>VLOOKUP(A93,'Trips&amp;Operators'!$C$1:$G$99999,5,FALSE)</f>
        <v>CLARK KATHLEEN</v>
      </c>
      <c r="M93" s="6">
        <f t="shared" si="31"/>
        <v>2.7847222219861578E-2</v>
      </c>
      <c r="N93" s="7">
        <f t="shared" si="46"/>
        <v>40.099999996600673</v>
      </c>
      <c r="O93" s="7"/>
      <c r="P93" s="7"/>
      <c r="Q93" s="22"/>
      <c r="R93" s="22"/>
      <c r="S93" s="31">
        <f t="shared" si="47"/>
        <v>1</v>
      </c>
      <c r="T93" s="46" t="str">
        <f t="shared" si="34"/>
        <v>Southbound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35"/>
        <v>https://d0f6bd738d7f1b3e5a7ca70fe4ff75f0.us-east-1.aws.found.io/app/kibana#/discover/Steve-Slow-Train-Analysis-(2080s-and-2083s)?_g=(refreshInterval:(display:Off,pause:!f,section:0,value:0),time:(from:'2017-03-07T13:26:31-0700',mode:absolute,to:'2017-03-07T16:11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3" s="187" t="str">
        <f t="shared" si="36"/>
        <v>N</v>
      </c>
      <c r="X93" s="187">
        <f t="shared" ref="X93:X124" si="49">VALUE(LEFT(AD93,4))-VALUE(LEFT(AD92,4))</f>
        <v>1</v>
      </c>
      <c r="Y93" s="62">
        <f t="shared" si="28"/>
        <v>23.295200000000001</v>
      </c>
      <c r="Z93" s="62">
        <f t="shared" si="37"/>
        <v>1.7000000000000001E-2</v>
      </c>
      <c r="AA93" s="62">
        <f t="shared" si="38"/>
        <v>23.278200000000002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9"/>
        <v>0180-07</v>
      </c>
      <c r="AE93" s="85" t="str">
        <f t="shared" si="40"/>
        <v>aws s3 cp s3://rtdc.mdm.uploadarchive.raw/RTDC4015/ "%USERPROFILE%\AppData\Local\Temp\OnboardLogs"\RTDC4015\2017-03-07 --exclude "*" --recursive --include "*20170307*" &amp; "%USERPROFILE%\Documents\GitHub\mrs-test-scripts\Headless Mode &amp; Sideloading\WalkAndUnGZ.bat" "%USERPROFILE%\AppData\Local\Temp\OnboardLogs"\RTDC4015\2017-03-07 &amp; aws s3 cp s3://rtdc.mdm.uploadarchive.raw/RTDC4015/ "%USERPROFILE%\AppData\Local\Temp\OnboardLogs"\RTDC4015\2017-03-08 --exclude "*" --recursive --include "*20170308*" &amp; "%USERPROFILE%\Documents\GitHub\mrs-test-scripts\Headless Mode &amp; Sideloading\WalkAndUnGZ.bat" "%USERPROFILE%\AppData\Local\Temp\OnboardLogs"\RTDC4015\2017-03-08</v>
      </c>
      <c r="AF93" s="82" t="str">
        <f t="shared" si="41"/>
        <v>"C:\Program Files (x86)\AstroGrep\AstroGrep.exe" /spath="%USERPROFILE%\AppData\Local\Temp\OnboardLogs" /stypes="app*4015*20170307*" /stext=" 22:.+((SYSTEM_STATE.+slice.+state.+changed )|(ment ac)|(multiple cpu faults)|(system.+state.+changed )|(\[timeout)|(PRM\|1\|D)|(kpr)|(kdp)|(\|lc)|(penalty))" /e /r /s</v>
      </c>
      <c r="AG93" s="1" t="str">
        <f t="shared" si="42"/>
        <v>EC</v>
      </c>
      <c r="AH93" s="86" t="str">
        <f t="shared" si="43"/>
        <v>"%USERPROFILE%\Documents\GitHub\eaglep3\Utilities\RefineRTDCRunTimes.py" --tripid 180-07 --locoid 4015 --swversion DE.1.0.9.0 --startMP 204:232952 --initTime 2017-03-07T14:26:31 --startdatetime 2017-03-07T14:31:01 --delay 1 --endMP 204:170 --enddatetime 2017-03-07T15:11:07 --enforcementcount 2 &gt;&gt;C:\Users\stu\Documents\GitHub\eaglep3-reporting\EC\2017-03-07-refined-times.txt</v>
      </c>
      <c r="AI93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{"issue":{"subject":"","project_id":79,"tracker_id":40,"status_id":1,"priority_id":2,"assigned_to_id":23,"start_date":"2017-03-07","description":"","custom_fields":[{"id":1,"name":"Subdivision","value":"EC"},{"id":4,"name":"Milepost","value":"0.017"},{"id":17,"name":"Train ID","value":"180-07"},{"id":16,"name":"Locomotive ID","value":"4015"},{"id":130,"name":"Impact","value":""},{"id":150,"name":"Time of Event (Mountain Time)","value":"15:11:07"},{"id":151,"name":"Denver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45"/>
        <v>start /low /b %USERPROFILE%\Documents\GitHub\eaglep3\Utilities\DownloadLogsFromS3.py --loco 4015 --day 2017-03-07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"%USERPROFILE%\AppData\Local\Temp\OnboardLogs"\RTDC4015\*4015*20170307* | grep -SE "(Enforcement Action)|(\[TIMEOUT)|(CHR.+\|PRM\|1\|D.+(SWITCH|SIGNAL).+UNKNOWN)" - &gt;&gt; 2017-03-07-UncaughtWiMAX.txt</v>
      </c>
    </row>
    <row r="94" spans="1:91" s="20" customFormat="1" x14ac:dyDescent="0.25">
      <c r="A94" s="33" t="s">
        <v>694</v>
      </c>
      <c r="B94" s="7">
        <v>4022</v>
      </c>
      <c r="C94" s="21" t="s">
        <v>233</v>
      </c>
      <c r="D94" s="21" t="s">
        <v>835</v>
      </c>
      <c r="E94" s="13">
        <v>42801.586747685185</v>
      </c>
      <c r="F94" s="13">
        <v>42801.588263888887</v>
      </c>
      <c r="G94" s="7">
        <v>1</v>
      </c>
      <c r="H94" s="21" t="s">
        <v>287</v>
      </c>
      <c r="I94" s="13">
        <v>42801.60769675926</v>
      </c>
      <c r="J94" s="7">
        <v>2</v>
      </c>
      <c r="K94" s="98" t="str">
        <f t="shared" si="30"/>
        <v>4021/4022</v>
      </c>
      <c r="L94" s="21" t="str">
        <f>VLOOKUP(A94,'Trips&amp;Operators'!$C$1:$G$99999,5,FALSE)</f>
        <v>LOCKLEAR TRAVIS</v>
      </c>
      <c r="M94" s="6">
        <f t="shared" si="31"/>
        <v>1.9432870372838806E-2</v>
      </c>
      <c r="N94" s="7"/>
      <c r="O94" s="7"/>
      <c r="P94" s="7">
        <f>24*60*SUM($M94:$M94)</f>
        <v>27.983333336887881</v>
      </c>
      <c r="Q94" s="22"/>
      <c r="R94" s="22" t="s">
        <v>466</v>
      </c>
      <c r="S94" s="31">
        <f t="shared" si="47"/>
        <v>0.75</v>
      </c>
      <c r="T94" s="46" t="str">
        <f t="shared" si="34"/>
        <v>NorthBound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9</v>
      </c>
      <c r="V94" s="186" t="str">
        <f t="shared" si="35"/>
        <v>https://d0f6bd738d7f1b3e5a7ca70fe4ff75f0.us-east-1.aws.found.io/app/kibana#/discover/Steve-Slow-Train-Analysis-(2080s-and-2083s)?_g=(refreshInterval:(display:Off,pause:!f,section:0,value:0),time:(from:'2017-03-07T13:04:55-0700',mode:absolute,to:'2017-03-07T15:35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4" s="187" t="str">
        <f t="shared" si="36"/>
        <v>Y</v>
      </c>
      <c r="X94" s="187">
        <f t="shared" si="49"/>
        <v>1</v>
      </c>
      <c r="Y94" s="62">
        <f t="shared" si="28"/>
        <v>3.7162000000000002</v>
      </c>
      <c r="Z94" s="62">
        <f t="shared" si="37"/>
        <v>23.332899999999999</v>
      </c>
      <c r="AA94" s="62">
        <f t="shared" si="38"/>
        <v>19.616699999999998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9"/>
        <v>0181-07</v>
      </c>
      <c r="AE94" s="85" t="str">
        <f t="shared" si="40"/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AF94" s="82" t="str">
        <f t="shared" si="41"/>
        <v>"C:\Program Files (x86)\AstroGrep\AstroGrep.exe" /spath="%USERPROFILE%\AppData\Local\Temp\OnboardLogs" /stypes="app*4022*20170307*" /stext=" 21:.+((SYSTEM_STATE.+slice.+state.+changed )|(ment ac)|(multiple cpu faults)|(system.+state.+changed )|(\[timeout)|(PRM\|1\|D)|(kpr)|(kdp)|(\|lc)|(penalty))" /e /r /s</v>
      </c>
      <c r="AG94" s="1" t="str">
        <f t="shared" si="42"/>
        <v>EC</v>
      </c>
      <c r="AH94" s="86" t="str">
        <f t="shared" si="43"/>
        <v>"%USERPROFILE%\Documents\GitHub\eaglep3\Utilities\RefineRTDCRunTimes.py" --tripid 181-07 --locoid 4022 --swversion DE.1.0.9.0 --startMP 204:37162 --initTime 2017-03-07T14:04:55 --startdatetime 2017-03-07T14:07:06 --delay 1 --endMP 204:233329 --enddatetime 2017-03-07T14:35:05 --enforcementcount 2 &gt;&gt;C:\Users\stu\Documents\GitHub\eaglep3-reporting\EC\2017-03-07-refined-times.txt</v>
      </c>
      <c r="AI94" s="108" t="str">
        <f t="shared" si="44"/>
        <v>echo {"issue":{"subject":"Onboard in-route failure","project_id":79,"tracker_id":40,"status_id":1,"priority_id":2,"assigned_to_id":23,"start_date":"2017-03-07","description":"","custom_fields":[{"id":1,"name":"Subdivision","value":"EC"},{"id":4,"name":"Milepost","value":"23.3329"},{"id":17,"name":"Train ID","value":"181-07"},{"id":16,"name":"Locomotive ID","value":"4022"},{"id":130,"name":"Impact","value":""},{"id":150,"name":"Time of Event (Mountain Time)","value":"14:35:05"},{"id":151,"name":"Denver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45"/>
        <v>start /low /b %USERPROFILE%\Documents\GitHub\eaglep3\Utilities\DownloadLogsFromS3.py --loco 4022 --day 2017-03-07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"%USERPROFILE%\AppData\Local\Temp\OnboardLogs"\RTDC4022\*4022*20170307* | grep -SE "(Enforcement Action)|(\[TIMEOUT)|(CHR.+\|PRM\|1\|D.+(SWITCH|SIGNAL).+UNKNOWN)" - &gt;&gt; 2017-03-07-UncaughtWiMAX.txt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694</v>
      </c>
      <c r="B95" s="7">
        <v>4022</v>
      </c>
      <c r="C95" s="21" t="s">
        <v>233</v>
      </c>
      <c r="D95" s="21" t="s">
        <v>210</v>
      </c>
      <c r="E95" s="13">
        <v>42801.570648148147</v>
      </c>
      <c r="F95" s="13">
        <v>42801.588263888887</v>
      </c>
      <c r="G95" s="7">
        <v>2</v>
      </c>
      <c r="H95" s="21" t="s">
        <v>210</v>
      </c>
      <c r="I95" s="13">
        <v>42801.60769675926</v>
      </c>
      <c r="J95" s="7">
        <v>2</v>
      </c>
      <c r="K95" s="98" t="str">
        <f t="shared" si="30"/>
        <v>4021/4022</v>
      </c>
      <c r="L95" s="21" t="str">
        <f>VLOOKUP(A95,'Trips&amp;Operators'!$C$1:$G$99999,5,FALSE)</f>
        <v>LOCKLEAR TRAVIS</v>
      </c>
      <c r="M95" s="6">
        <f t="shared" si="31"/>
        <v>1.9432870372838806E-2</v>
      </c>
      <c r="N95" s="7"/>
      <c r="O95" s="7"/>
      <c r="P95" s="7"/>
      <c r="Q95" s="22"/>
      <c r="R95" s="22"/>
      <c r="S95" s="31"/>
      <c r="T95" s="46" t="str">
        <f t="shared" si="34"/>
        <v>NorthBound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0</v>
      </c>
      <c r="V95" s="186" t="str">
        <f t="shared" si="35"/>
        <v>https://d0f6bd738d7f1b3e5a7ca70fe4ff75f0.us-east-1.aws.found.io/app/kibana#/discover/Steve-Slow-Train-Analysis-(2080s-and-2083s)?_g=(refreshInterval:(display:Off,pause:!f,section:0,value:0),time:(from:'2017-03-07T12:41:44-0700',mode:absolute,to:'2017-03-07T15:35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5" s="187" t="str">
        <f t="shared" si="36"/>
        <v>Y</v>
      </c>
      <c r="X95" s="187">
        <f t="shared" si="49"/>
        <v>0</v>
      </c>
      <c r="Y95" s="62">
        <f t="shared" si="28"/>
        <v>4.5699999999999998E-2</v>
      </c>
      <c r="Z95" s="62">
        <f t="shared" si="37"/>
        <v>4.5699999999999998E-2</v>
      </c>
      <c r="AA95" s="62">
        <f t="shared" si="38"/>
        <v>0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9"/>
        <v>0181-07</v>
      </c>
      <c r="AE95" s="85" t="str">
        <f t="shared" si="40"/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AF95" s="82" t="str">
        <f t="shared" si="41"/>
        <v>"C:\Program Files (x86)\AstroGrep\AstroGrep.exe" /spath="%USERPROFILE%\AppData\Local\Temp\OnboardLogs" /stypes="app*4022*20170307*" /stext=" 21:.+((SYSTEM_STATE.+slice.+state.+changed )|(ment ac)|(multiple cpu faults)|(system.+state.+changed )|(\[timeout)|(PRM\|1\|D)|(kpr)|(kdp)|(\|lc)|(penalty))" /e /r /s</v>
      </c>
      <c r="AG95" s="1" t="str">
        <f t="shared" si="42"/>
        <v>EC</v>
      </c>
      <c r="AH95" s="86" t="str">
        <f t="shared" si="43"/>
        <v>"%USERPROFILE%\Documents\GitHub\eaglep3\Utilities\RefineRTDCRunTimes.py" --tripid 181-07 --locoid 4022 --swversion DE.1.0.9.0 --startMP 204:457 --initTime 2017-03-07T13:41:44 --startdatetime 2017-03-07T14:07:06 --delay 2 --endMP 204:457 --enddatetime 2017-03-07T14:35:05 --enforcementcount 2 &gt;&gt;C:\Users\stu\Documents\GitHub\eaglep3-reporting\EC\2017-03-07-refined-times.txt</v>
      </c>
      <c r="AI95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{"issue":{"subject":"","project_id":79,"tracker_id":40,"status_id":1,"priority_id":2,"assigned_to_id":23,"start_date":"2017-03-07","description":"","custom_fields":[{"id":1,"name":"Subdivision","value":"EC"},{"id":4,"name":"Milepost","value":"0.0457"},{"id":17,"name":"Train ID","value":"181-07"},{"id":16,"name":"Locomotive ID","value":"4022"},{"id":130,"name":"Impact","value":""},{"id":150,"name":"Time of Event (Mountain Time)","value":"14:35:05"},{"id":151,"name":"Denver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45"/>
        <v>start /low /b %USERPROFILE%\Documents\GitHub\eaglep3\Utilities\DownloadLogsFromS3.py --loco 4022 --day 2017-03-07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"%USERPROFILE%\AppData\Local\Temp\OnboardLogs"\RTDC4022\*4022*20170307* | grep -SE "(Enforcement Action)|(\[TIMEOUT)|(CHR.+\|PRM\|1\|D.+(SWITCH|SIGNAL).+UNKNOWN)" - &gt;&gt; 2017-03-07-UncaughtWiMAX.txt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576</v>
      </c>
      <c r="B96" s="7">
        <v>4021</v>
      </c>
      <c r="C96" s="21" t="s">
        <v>233</v>
      </c>
      <c r="D96" s="21" t="s">
        <v>836</v>
      </c>
      <c r="E96" s="13">
        <v>42801.609016203707</v>
      </c>
      <c r="F96" s="13">
        <v>42801.611967592595</v>
      </c>
      <c r="G96" s="7">
        <v>1</v>
      </c>
      <c r="H96" s="21" t="s">
        <v>207</v>
      </c>
      <c r="I96" s="13">
        <v>42801.640462962961</v>
      </c>
      <c r="J96" s="7">
        <v>2</v>
      </c>
      <c r="K96" s="98" t="str">
        <f t="shared" si="30"/>
        <v>4021/4022</v>
      </c>
      <c r="L96" s="21" t="str">
        <f>VLOOKUP(A96,'Trips&amp;Operators'!$C$1:$G$99999,5,FALSE)</f>
        <v>LOCKLEAR TRAVIS</v>
      </c>
      <c r="M96" s="6">
        <f t="shared" si="31"/>
        <v>2.8495370366727002E-2</v>
      </c>
      <c r="N96" s="7">
        <f t="shared" ref="N96:N138" si="50">24*60*SUM($M96:$M96)</f>
        <v>41.033333328086883</v>
      </c>
      <c r="O96" s="7"/>
      <c r="P96" s="7"/>
      <c r="Q96" s="22"/>
      <c r="R96" s="22"/>
      <c r="S96" s="31">
        <f t="shared" ref="S96:S139" si="51">SUM(U96:U96)/IF(AG96="EC",12,1)</f>
        <v>1</v>
      </c>
      <c r="T96" s="46" t="str">
        <f t="shared" si="34"/>
        <v>Southbound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35"/>
        <v>https://d0f6bd738d7f1b3e5a7ca70fe4ff75f0.us-east-1.aws.found.io/app/kibana#/discover/Steve-Slow-Train-Analysis-(2080s-and-2083s)?_g=(refreshInterval:(display:Off,pause:!f,section:0,value:0),time:(from:'2017-03-07T13:36:59-0700',mode:absolute,to:'2017-03-07T16:22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6" s="187" t="str">
        <f t="shared" si="36"/>
        <v>N</v>
      </c>
      <c r="X96" s="187">
        <f t="shared" si="49"/>
        <v>1</v>
      </c>
      <c r="Y96" s="62">
        <f t="shared" ref="Y96:Y127" si="52">RIGHT(D96,LEN(D96)-4)/10000</f>
        <v>23.302299999999999</v>
      </c>
      <c r="Z96" s="62">
        <f t="shared" si="37"/>
        <v>1.54E-2</v>
      </c>
      <c r="AA96" s="62">
        <f t="shared" si="38"/>
        <v>23.286899999999999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9"/>
        <v>0182-07</v>
      </c>
      <c r="AE96" s="85" t="str">
        <f t="shared" si="40"/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AF96" s="82" t="str">
        <f t="shared" si="41"/>
        <v>"C:\Program Files (x86)\AstroGrep\AstroGrep.exe" /spath="%USERPROFILE%\AppData\Local\Temp\OnboardLogs" /stypes="app*4021*20170307*" /stext=" 22:.+((SYSTEM_STATE.+slice.+state.+changed )|(ment ac)|(multiple cpu faults)|(system.+state.+changed )|(\[timeout)|(PRM\|1\|D)|(kpr)|(kdp)|(\|lc)|(penalty))" /e /r /s</v>
      </c>
      <c r="AG96" s="1" t="str">
        <f t="shared" si="42"/>
        <v>EC</v>
      </c>
      <c r="AH96" s="86" t="str">
        <f t="shared" si="43"/>
        <v>"%USERPROFILE%\Documents\GitHub\eaglep3\Utilities\RefineRTDCRunTimes.py" --tripid 182-07 --locoid 4021 --swversion DE.1.0.9.0 --startMP 204:233023 --initTime 2017-03-07T14:36:59 --startdatetime 2017-03-07T14:41:14 --delay 1 --endMP 204:154 --enddatetime 2017-03-07T15:22:16 --enforcementcount 2 &gt;&gt;C:\Users\stu\Documents\GitHub\eaglep3-reporting\EC\2017-03-07-refined-times.txt</v>
      </c>
      <c r="AI96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{"issue":{"subject":"","project_id":79,"tracker_id":40,"status_id":1,"priority_id":2,"assigned_to_id":23,"start_date":"2017-03-07","description":"","custom_fields":[{"id":1,"name":"Subdivision","value":"EC"},{"id":4,"name":"Milepost","value":"0.0154"},{"id":17,"name":"Train ID","value":"182-07"},{"id":16,"name":"Locomotive ID","value":"4021"},{"id":130,"name":"Impact","value":""},{"id":150,"name":"Time of Event (Mountain Time)","value":"15:22:16"},{"id":151,"name":"Denver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45"/>
        <v>start /low /b %USERPROFILE%\Documents\GitHub\eaglep3\Utilities\DownloadLogsFromS3.py --loco 4021 --day 2017-03-07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"%USERPROFILE%\AppData\Local\Temp\OnboardLogs"\RTDC4021\*4021*20170307* | grep -SE "(Enforcement Action)|(\[TIMEOUT)|(CHR.+\|PRM\|1\|D.+(SWITCH|SIGNAL).+UNKNOWN)" - &gt;&gt; 2017-03-07-UncaughtWiMAX.txt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575</v>
      </c>
      <c r="B97" s="7">
        <v>4011</v>
      </c>
      <c r="C97" s="21" t="s">
        <v>233</v>
      </c>
      <c r="D97" s="21" t="s">
        <v>837</v>
      </c>
      <c r="E97" s="13">
        <v>42801.578217592592</v>
      </c>
      <c r="F97" s="13">
        <v>42801.583773148152</v>
      </c>
      <c r="G97" s="7">
        <v>2</v>
      </c>
      <c r="H97" s="21" t="s">
        <v>838</v>
      </c>
      <c r="I97" s="13">
        <v>42801.610381944447</v>
      </c>
      <c r="J97" s="7">
        <v>2</v>
      </c>
      <c r="K97" s="98" t="str">
        <f t="shared" si="30"/>
        <v>4011/4012</v>
      </c>
      <c r="L97" s="21" t="str">
        <f>VLOOKUP(A97,'Trips&amp;Operators'!$C$1:$G$99999,5,FALSE)</f>
        <v>ROMERO CHAD</v>
      </c>
      <c r="M97" s="6">
        <f t="shared" si="31"/>
        <v>2.6608796295477077E-2</v>
      </c>
      <c r="N97" s="7">
        <f t="shared" si="50"/>
        <v>38.316666665486991</v>
      </c>
      <c r="O97" s="7"/>
      <c r="P97" s="7"/>
      <c r="Q97" s="22"/>
      <c r="R97" s="22"/>
      <c r="S97" s="31">
        <f t="shared" si="51"/>
        <v>1</v>
      </c>
      <c r="T97" s="46" t="str">
        <f t="shared" si="34"/>
        <v>NorthBound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35"/>
        <v>https://d0f6bd738d7f1b3e5a7ca70fe4ff75f0.us-east-1.aws.found.io/app/kibana#/discover/Steve-Slow-Train-Analysis-(2080s-and-2083s)?_g=(refreshInterval:(display:Off,pause:!f,section:0,value:0),time:(from:'2017-03-07T12:52:38-0700',mode:absolute,to:'2017-03-07T15:38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7" s="187" t="str">
        <f t="shared" si="36"/>
        <v>N</v>
      </c>
      <c r="X97" s="187">
        <f t="shared" si="49"/>
        <v>1</v>
      </c>
      <c r="Y97" s="62">
        <f t="shared" si="52"/>
        <v>4.3099999999999999E-2</v>
      </c>
      <c r="Z97" s="62">
        <f t="shared" si="37"/>
        <v>23.334299999999999</v>
      </c>
      <c r="AA97" s="62">
        <f t="shared" si="38"/>
        <v>23.2912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9"/>
        <v>0183-07</v>
      </c>
      <c r="AE97" s="85" t="str">
        <f t="shared" si="40"/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AF97" s="82" t="str">
        <f t="shared" si="41"/>
        <v>"C:\Program Files (x86)\AstroGrep\AstroGrep.exe" /spath="%USERPROFILE%\AppData\Local\Temp\OnboardLogs" /stypes="app*4011*20170307*" /stext=" 21:.+((SYSTEM_STATE.+slice.+state.+changed )|(ment ac)|(multiple cpu faults)|(system.+state.+changed )|(\[timeout)|(PRM\|1\|D)|(kpr)|(kdp)|(\|lc)|(penalty))" /e /r /s</v>
      </c>
      <c r="AG97" s="1" t="str">
        <f t="shared" si="42"/>
        <v>EC</v>
      </c>
      <c r="AH97" s="86" t="str">
        <f t="shared" si="43"/>
        <v>"%USERPROFILE%\Documents\GitHub\eaglep3\Utilities\RefineRTDCRunTimes.py" --tripid 183-07 --locoid 4011 --swversion DE.1.0.9.0 --startMP 204:431 --initTime 2017-03-07T13:52:38 --startdatetime 2017-03-07T14:00:38 --delay 2 --endMP 204:233343 --enddatetime 2017-03-07T14:38:57 --enforcementcount 2 &gt;&gt;C:\Users\stu\Documents\GitHub\eaglep3-reporting\EC\2017-03-07-refined-times.txt</v>
      </c>
      <c r="AI97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{"issue":{"subject":"","project_id":79,"tracker_id":40,"status_id":1,"priority_id":2,"assigned_to_id":23,"start_date":"2017-03-07","description":"","custom_fields":[{"id":1,"name":"Subdivision","value":"EC"},{"id":4,"name":"Milepost","value":"23.3343"},{"id":17,"name":"Train ID","value":"183-07"},{"id":16,"name":"Locomotive ID","value":"4011"},{"id":130,"name":"Impact","value":""},{"id":150,"name":"Time of Event (Mountain Time)","value":"14:38:57"},{"id":151,"name":"Denver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45"/>
        <v>start /low /b %USERPROFILE%\Documents\GitHub\eaglep3\Utilities\DownloadLogsFromS3.py --loco 4011 --day 2017-03-07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"%USERPROFILE%\AppData\Local\Temp\OnboardLogs"\RTDC4011\*4011*20170307* | grep -SE "(Enforcement Action)|(\[TIMEOUT)|(CHR.+\|PRM\|1\|D.+(SWITCH|SIGNAL).+UNKNOWN)" - &gt;&gt; 2017-03-07-UncaughtWiMAX.txt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701</v>
      </c>
      <c r="B98" s="7">
        <v>4012</v>
      </c>
      <c r="C98" s="21" t="s">
        <v>233</v>
      </c>
      <c r="D98" s="21" t="s">
        <v>282</v>
      </c>
      <c r="E98" s="13">
        <v>42801.617083333331</v>
      </c>
      <c r="F98" s="13">
        <v>42801.622499999998</v>
      </c>
      <c r="G98" s="7">
        <v>1</v>
      </c>
      <c r="H98" s="21" t="s">
        <v>226</v>
      </c>
      <c r="I98" s="13">
        <v>42801.650289351855</v>
      </c>
      <c r="J98" s="7">
        <v>2</v>
      </c>
      <c r="K98" s="98" t="str">
        <f t="shared" si="30"/>
        <v>4011/4012</v>
      </c>
      <c r="L98" s="21" t="str">
        <f>VLOOKUP(A98,'Trips&amp;Operators'!$C$1:$G$99999,5,FALSE)</f>
        <v>ROMERO CHAD</v>
      </c>
      <c r="M98" s="6">
        <f t="shared" si="31"/>
        <v>2.7789351857791189E-2</v>
      </c>
      <c r="N98" s="7">
        <f t="shared" si="50"/>
        <v>40.016666675219312</v>
      </c>
      <c r="O98" s="7"/>
      <c r="P98" s="7"/>
      <c r="Q98" s="22"/>
      <c r="R98" s="22"/>
      <c r="S98" s="31">
        <f t="shared" si="51"/>
        <v>1</v>
      </c>
      <c r="T98" s="46" t="str">
        <f t="shared" si="34"/>
        <v>Southbound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35"/>
        <v>https://d0f6bd738d7f1b3e5a7ca70fe4ff75f0.us-east-1.aws.found.io/app/kibana#/discover/Steve-Slow-Train-Analysis-(2080s-and-2083s)?_g=(refreshInterval:(display:Off,pause:!f,section:0,value:0),time:(from:'2017-03-07T13:48:36-0700',mode:absolute,to:'2017-03-07T16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8" s="187" t="str">
        <f t="shared" si="36"/>
        <v>N</v>
      </c>
      <c r="X98" s="187">
        <f t="shared" si="49"/>
        <v>1</v>
      </c>
      <c r="Y98" s="62">
        <f t="shared" si="52"/>
        <v>23.302499999999998</v>
      </c>
      <c r="Z98" s="62">
        <f t="shared" si="37"/>
        <v>1.47E-2</v>
      </c>
      <c r="AA98" s="62">
        <f t="shared" si="38"/>
        <v>23.287799999999997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9"/>
        <v>0184-07</v>
      </c>
      <c r="AE98" s="85" t="str">
        <f t="shared" si="40"/>
        <v>aws s3 cp s3://rtdc.mdm.uploadarchive.raw/RTDC4012/ "%USERPROFILE%\AppData\Local\Temp\OnboardLogs"\RTDC4012\2017-03-07 --exclude "*" --recursive --include "*20170307*" &amp; "%USERPROFILE%\Documents\GitHub\mrs-test-scripts\Headless Mode &amp; Sideloading\WalkAndUnGZ.bat" "%USERPROFILE%\AppData\Local\Temp\OnboardLogs"\RTDC4012\2017-03-07 &amp; aws s3 cp s3://rtdc.mdm.uploadarchive.raw/RTDC4012/ "%USERPROFILE%\AppData\Local\Temp\OnboardLogs"\RTDC4012\2017-03-08 --exclude "*" --recursive --include "*20170308*" &amp; "%USERPROFILE%\Documents\GitHub\mrs-test-scripts\Headless Mode &amp; Sideloading\WalkAndUnGZ.bat" "%USERPROFILE%\AppData\Local\Temp\OnboardLogs"\RTDC4012\2017-03-08</v>
      </c>
      <c r="AF98" s="82" t="str">
        <f t="shared" si="41"/>
        <v>"C:\Program Files (x86)\AstroGrep\AstroGrep.exe" /spath="%USERPROFILE%\AppData\Local\Temp\OnboardLogs" /stypes="app*4012*20170307*" /stext=" 22:.+((SYSTEM_STATE.+slice.+state.+changed )|(ment ac)|(multiple cpu faults)|(system.+state.+changed )|(\[timeout)|(PRM\|1\|D)|(kpr)|(kdp)|(\|lc)|(penalty))" /e /r /s</v>
      </c>
      <c r="AG98" s="1" t="str">
        <f t="shared" si="42"/>
        <v>EC</v>
      </c>
      <c r="AH98" s="86" t="str">
        <f t="shared" si="43"/>
        <v>"%USERPROFILE%\Documents\GitHub\eaglep3\Utilities\RefineRTDCRunTimes.py" --tripid 184-07 --locoid 4012 --swversion DE.1.0.9.0 --startMP 204:233025 --initTime 2017-03-07T14:48:36 --startdatetime 2017-03-07T14:56:24 --delay 1 --endMP 204:147 --enddatetime 2017-03-07T15:36:25 --enforcementcount 2 &gt;&gt;C:\Users\stu\Documents\GitHub\eaglep3-reporting\EC\2017-03-07-refined-times.txt</v>
      </c>
      <c r="AI98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{"issue":{"subject":"","project_id":79,"tracker_id":40,"status_id":1,"priority_id":2,"assigned_to_id":23,"start_date":"2017-03-07","description":"","custom_fields":[{"id":1,"name":"Subdivision","value":"EC"},{"id":4,"name":"Milepost","value":"0.0147"},{"id":17,"name":"Train ID","value":"184-07"},{"id":16,"name":"Locomotive ID","value":"4012"},{"id":130,"name":"Impact","value":""},{"id":150,"name":"Time of Event (Mountain Time)","value":"15:36:25"},{"id":151,"name":"Denver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45"/>
        <v>start /low /b %USERPROFILE%\Documents\GitHub\eaglep3\Utilities\DownloadLogsFromS3.py --loco 4012 --day 2017-03-07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"%USERPROFILE%\AppData\Local\Temp\OnboardLogs"\RTDC4012\*4012*20170307* | grep -SE "(Enforcement Action)|(\[TIMEOUT)|(CHR.+\|PRM\|1\|D.+(SWITCH|SIGNAL).+UNKNOWN)" - &gt;&gt; 2017-03-07-UncaughtWiMAX.txt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695</v>
      </c>
      <c r="B99" s="7">
        <v>4044</v>
      </c>
      <c r="C99" s="21" t="s">
        <v>233</v>
      </c>
      <c r="D99" s="21" t="s">
        <v>217</v>
      </c>
      <c r="E99" s="13">
        <v>42801.589004629626</v>
      </c>
      <c r="F99" s="13">
        <v>42801.593912037039</v>
      </c>
      <c r="G99" s="7">
        <v>1</v>
      </c>
      <c r="H99" s="21" t="s">
        <v>287</v>
      </c>
      <c r="I99" s="13">
        <v>42801.619652777779</v>
      </c>
      <c r="J99" s="7">
        <v>2</v>
      </c>
      <c r="K99" s="98" t="str">
        <f t="shared" si="30"/>
        <v>4043/4044</v>
      </c>
      <c r="L99" s="21" t="str">
        <f>VLOOKUP(A99,'Trips&amp;Operators'!$C$1:$G$99999,5,FALSE)</f>
        <v>BRANNON JEFFREY</v>
      </c>
      <c r="M99" s="6">
        <f t="shared" si="31"/>
        <v>2.5740740740729962E-2</v>
      </c>
      <c r="N99" s="7">
        <f t="shared" si="50"/>
        <v>37.066666666651145</v>
      </c>
      <c r="O99" s="7"/>
      <c r="P99" s="7"/>
      <c r="Q99" s="22"/>
      <c r="R99" s="22"/>
      <c r="S99" s="31">
        <f t="shared" si="51"/>
        <v>1</v>
      </c>
      <c r="T99" s="46" t="str">
        <f t="shared" si="34"/>
        <v>NorthBound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35"/>
        <v>https://d0f6bd738d7f1b3e5a7ca70fe4ff75f0.us-east-1.aws.found.io/app/kibana#/discover/Steve-Slow-Train-Analysis-(2080s-and-2083s)?_g=(refreshInterval:(display:Off,pause:!f,section:0,value:0),time:(from:'2017-03-07T13:08:10-0700',mode:absolute,to:'2017-03-07T15:52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9" s="187" t="str">
        <f t="shared" si="36"/>
        <v>N</v>
      </c>
      <c r="X99" s="187">
        <f t="shared" si="49"/>
        <v>1</v>
      </c>
      <c r="Y99" s="62">
        <f t="shared" si="52"/>
        <v>4.4600000000000001E-2</v>
      </c>
      <c r="Z99" s="62">
        <f t="shared" si="37"/>
        <v>23.332899999999999</v>
      </c>
      <c r="AA99" s="62">
        <f t="shared" si="38"/>
        <v>23.2883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9"/>
        <v>0185-07</v>
      </c>
      <c r="AE99" s="85" t="str">
        <f t="shared" si="40"/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AF99" s="82" t="str">
        <f t="shared" si="41"/>
        <v>"C:\Program Files (x86)\AstroGrep\AstroGrep.exe" /spath="%USERPROFILE%\AppData\Local\Temp\OnboardLogs" /stypes="app*4044*20170307*" /stext=" 21:.+((SYSTEM_STATE.+slice.+state.+changed )|(ment ac)|(multiple cpu faults)|(system.+state.+changed )|(\[timeout)|(PRM\|1\|D)|(kpr)|(kdp)|(\|lc)|(penalty))" /e /r /s</v>
      </c>
      <c r="AG99" s="1" t="str">
        <f t="shared" si="42"/>
        <v>EC</v>
      </c>
      <c r="AH99" s="86" t="str">
        <f t="shared" si="43"/>
        <v>"%USERPROFILE%\Documents\GitHub\eaglep3\Utilities\RefineRTDCRunTimes.py" --tripid 185-07 --locoid 4044 --swversion DE.1.0.9.0 --startMP 204:446 --initTime 2017-03-07T14:08:10 --startdatetime 2017-03-07T14:15:14 --delay 1 --endMP 204:233329 --enddatetime 2017-03-07T14:52:18 --enforcementcount 2 &gt;&gt;C:\Users\stu\Documents\GitHub\eaglep3-reporting\EC\2017-03-07-refined-times.txt</v>
      </c>
      <c r="AI99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{"issue":{"subject":"","project_id":79,"tracker_id":40,"status_id":1,"priority_id":2,"assigned_to_id":23,"start_date":"2017-03-07","description":"","custom_fields":[{"id":1,"name":"Subdivision","value":"EC"},{"id":4,"name":"Milepost","value":"23.3329"},{"id":17,"name":"Train ID","value":"185-07"},{"id":16,"name":"Locomotive ID","value":"4044"},{"id":130,"name":"Impact","value":""},{"id":150,"name":"Time of Event (Mountain Time)","value":"14:52:18"},{"id":151,"name":"Denver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45"/>
        <v>start /low /b %USERPROFILE%\Documents\GitHub\eaglep3\Utilities\DownloadLogsFromS3.py --loco 4044 --day 2017-03-07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"%USERPROFILE%\AppData\Local\Temp\OnboardLogs"\RTDC4044\*4044*20170307* | grep -SE "(Enforcement Action)|(\[TIMEOUT)|(CHR.+\|PRM\|1\|D.+(SWITCH|SIGNAL).+UNKNOWN)" - &gt;&gt; 2017-03-07-UncaughtWiMAX.txt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582</v>
      </c>
      <c r="B100" s="7">
        <v>4043</v>
      </c>
      <c r="C100" s="21" t="s">
        <v>233</v>
      </c>
      <c r="D100" s="21" t="s">
        <v>286</v>
      </c>
      <c r="E100" s="13">
        <v>42801.630509259259</v>
      </c>
      <c r="F100" s="13">
        <v>42801.633506944447</v>
      </c>
      <c r="G100" s="7">
        <v>1</v>
      </c>
      <c r="H100" s="21" t="s">
        <v>839</v>
      </c>
      <c r="I100" s="13">
        <v>42801.663217592592</v>
      </c>
      <c r="J100" s="7">
        <v>2</v>
      </c>
      <c r="K100" s="98" t="str">
        <f t="shared" si="30"/>
        <v>4043/4044</v>
      </c>
      <c r="L100" s="21" t="str">
        <f>VLOOKUP(A100,'Trips&amp;Operators'!$C$1:$G$99999,5,FALSE)</f>
        <v>BRANNON JEFFREY</v>
      </c>
      <c r="M100" s="6">
        <f t="shared" si="31"/>
        <v>2.9710648144828156E-2</v>
      </c>
      <c r="N100" s="7">
        <f t="shared" si="50"/>
        <v>42.783333328552544</v>
      </c>
      <c r="O100" s="7"/>
      <c r="P100" s="7"/>
      <c r="Q100" s="22"/>
      <c r="R100" s="22"/>
      <c r="S100" s="31">
        <f t="shared" si="51"/>
        <v>1</v>
      </c>
      <c r="T100" s="46" t="str">
        <f t="shared" si="34"/>
        <v>Southbound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35"/>
        <v>https://d0f6bd738d7f1b3e5a7ca70fe4ff75f0.us-east-1.aws.found.io/app/kibana#/discover/Steve-Slow-Train-Analysis-(2080s-and-2083s)?_g=(refreshInterval:(display:Off,pause:!f,section:0,value:0),time:(from:'2017-03-07T14:07:56-0700',mode:absolute,to:'2017-03-07T16:55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0" s="187" t="str">
        <f t="shared" si="36"/>
        <v>N</v>
      </c>
      <c r="X100" s="187">
        <f t="shared" si="49"/>
        <v>1</v>
      </c>
      <c r="Y100" s="62">
        <f t="shared" si="52"/>
        <v>23.300599999999999</v>
      </c>
      <c r="Z100" s="62">
        <f t="shared" si="37"/>
        <v>1.8499999999999999E-2</v>
      </c>
      <c r="AA100" s="62">
        <f t="shared" si="38"/>
        <v>23.2821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9"/>
        <v>0186-07</v>
      </c>
      <c r="AE100" s="85" t="str">
        <f t="shared" si="40"/>
        <v>aws s3 cp s3://rtdc.mdm.uploadarchive.raw/RTDC4043/ "%USERPROFILE%\AppData\Local\Temp\OnboardLogs"\RTDC4043\2017-03-07 --exclude "*" --recursive --include "*20170307*" &amp; "%USERPROFILE%\Documents\GitHub\mrs-test-scripts\Headless Mode &amp; Sideloading\WalkAndUnGZ.bat" "%USERPROFILE%\AppData\Local\Temp\OnboardLogs"\RTDC4043\2017-03-07 &amp; aws s3 cp s3://rtdc.mdm.uploadarchive.raw/RTDC4043/ "%USERPROFILE%\AppData\Local\Temp\OnboardLogs"\RTDC4043\2017-03-08 --exclude "*" --recursive --include "*20170308*" &amp; "%USERPROFILE%\Documents\GitHub\mrs-test-scripts\Headless Mode &amp; Sideloading\WalkAndUnGZ.bat" "%USERPROFILE%\AppData\Local\Temp\OnboardLogs"\RTDC4043\2017-03-08</v>
      </c>
      <c r="AF100" s="82" t="str">
        <f t="shared" si="41"/>
        <v>"C:\Program Files (x86)\AstroGrep\AstroGrep.exe" /spath="%USERPROFILE%\AppData\Local\Temp\OnboardLogs" /stypes="app*4043*20170307*" /stext=" 22:.+((SYSTEM_STATE.+slice.+state.+changed )|(ment ac)|(multiple cpu faults)|(system.+state.+changed )|(\[timeout)|(PRM\|1\|D)|(kpr)|(kdp)|(\|lc)|(penalty))" /e /r /s</v>
      </c>
      <c r="AG100" s="1" t="str">
        <f t="shared" si="42"/>
        <v>EC</v>
      </c>
      <c r="AH100" s="86" t="str">
        <f t="shared" si="43"/>
        <v>"%USERPROFILE%\Documents\GitHub\eaglep3\Utilities\RefineRTDCRunTimes.py" --tripid 186-07 --locoid 4043 --swversion DE.1.0.9.0 --startMP 204:233006 --initTime 2017-03-07T15:07:56 --startdatetime 2017-03-07T15:12:15 --delay 1 --endMP 204:185 --enddatetime 2017-03-07T15:55:02 --enforcementcount 2 &gt;&gt;C:\Users\stu\Documents\GitHub\eaglep3-reporting\EC\2017-03-07-refined-times.txt</v>
      </c>
      <c r="AI100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{"issue":{"subject":"","project_id":79,"tracker_id":40,"status_id":1,"priority_id":2,"assigned_to_id":23,"start_date":"2017-03-07","description":"","custom_fields":[{"id":1,"name":"Subdivision","value":"EC"},{"id":4,"name":"Milepost","value":"0.0185"},{"id":17,"name":"Train ID","value":"186-07"},{"id":16,"name":"Locomotive ID","value":"4043"},{"id":130,"name":"Impact","value":""},{"id":150,"name":"Time of Event (Mountain Time)","value":"15:55:02"},{"id":151,"name":"Denver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45"/>
        <v>start /low /b %USERPROFILE%\Documents\GitHub\eaglep3\Utilities\DownloadLogsFromS3.py --loco 4043 --day 2017-03-07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"%USERPROFILE%\AppData\Local\Temp\OnboardLogs"\RTDC4043\*4043*20170307* | grep -SE "(Enforcement Action)|(\[TIMEOUT)|(CHR.+\|PRM\|1\|D.+(SWITCH|SIGNAL).+UNKNOWN)" - &gt;&gt; 2017-03-07-UncaughtWiMAX.txt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697</v>
      </c>
      <c r="B101" s="7">
        <v>4018</v>
      </c>
      <c r="C101" s="21" t="s">
        <v>233</v>
      </c>
      <c r="D101" s="21" t="s">
        <v>512</v>
      </c>
      <c r="E101" s="13">
        <v>42801.600821759261</v>
      </c>
      <c r="F101" s="13">
        <v>42801.604467592595</v>
      </c>
      <c r="G101" s="7">
        <v>1</v>
      </c>
      <c r="H101" s="21" t="s">
        <v>829</v>
      </c>
      <c r="I101" s="13">
        <v>42801.630231481482</v>
      </c>
      <c r="J101" s="7">
        <v>2</v>
      </c>
      <c r="K101" s="98" t="str">
        <f t="shared" si="30"/>
        <v>4017/4018</v>
      </c>
      <c r="L101" s="21" t="str">
        <f>VLOOKUP(A101,'Trips&amp;Operators'!$C$1:$G$99999,5,FALSE)</f>
        <v>DE LA ROSA ALEX</v>
      </c>
      <c r="M101" s="6">
        <f t="shared" si="31"/>
        <v>2.5763888887013309E-2</v>
      </c>
      <c r="N101" s="7">
        <f t="shared" si="50"/>
        <v>37.099999997299165</v>
      </c>
      <c r="O101" s="7"/>
      <c r="P101" s="7"/>
      <c r="Q101" s="22"/>
      <c r="R101" s="22"/>
      <c r="S101" s="31">
        <f t="shared" si="51"/>
        <v>1</v>
      </c>
      <c r="T101" s="46" t="str">
        <f t="shared" si="34"/>
        <v>NorthBound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35"/>
        <v>https://d0f6bd738d7f1b3e5a7ca70fe4ff75f0.us-east-1.aws.found.io/app/kibana#/discover/Steve-Slow-Train-Analysis-(2080s-and-2083s)?_g=(refreshInterval:(display:Off,pause:!f,section:0,value:0),time:(from:'2017-03-07T13:25:11-0700',mode:absolute,to:'2017-03-07T16:07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1" s="187" t="str">
        <f t="shared" si="36"/>
        <v>N</v>
      </c>
      <c r="X101" s="187">
        <f t="shared" si="49"/>
        <v>1</v>
      </c>
      <c r="Y101" s="62">
        <f t="shared" si="52"/>
        <v>4.8000000000000001E-2</v>
      </c>
      <c r="Z101" s="62">
        <f t="shared" si="37"/>
        <v>23.328800000000001</v>
      </c>
      <c r="AA101" s="62">
        <f t="shared" si="38"/>
        <v>23.280800000000003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9"/>
        <v>0187-07</v>
      </c>
      <c r="AE101" s="85" t="str">
        <f t="shared" si="40"/>
        <v>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 &amp; aws s3 cp s3://rtdc.mdm.uploadarchive.raw/RTDC4018/ "%USERPROFILE%\AppData\Local\Temp\OnboardLogs"\RTDC4018\2017-03-08 --exclude "*" --recursive --include "*20170308*" &amp; "%USERPROFILE%\Documents\GitHub\mrs-test-scripts\Headless Mode &amp; Sideloading\WalkAndUnGZ.bat" "%USERPROFILE%\AppData\Local\Temp\OnboardLogs"\RTDC4018\2017-03-08</v>
      </c>
      <c r="AF101" s="82" t="str">
        <f t="shared" si="41"/>
        <v>"C:\Program Files (x86)\AstroGrep\AstroGrep.exe" /spath="%USERPROFILE%\AppData\Local\Temp\OnboardLogs" /stypes="app*4018*20170307*" /stext=" 22:.+((SYSTEM_STATE.+slice.+state.+changed )|(ment ac)|(multiple cpu faults)|(system.+state.+changed )|(\[timeout)|(PRM\|1\|D)|(kpr)|(kdp)|(\|lc)|(penalty))" /e /r /s</v>
      </c>
      <c r="AG101" s="1" t="str">
        <f t="shared" si="42"/>
        <v>EC</v>
      </c>
      <c r="AH101" s="86" t="str">
        <f t="shared" si="43"/>
        <v>"%USERPROFILE%\Documents\GitHub\eaglep3\Utilities\RefineRTDCRunTimes.py" --tripid 187-07 --locoid 4018 --swversion DE.1.0.9.0 --startMP 204:480 --initTime 2017-03-07T14:25:11 --startdatetime 2017-03-07T14:30:26 --delay 1 --endMP 204:233288 --enddatetime 2017-03-07T15:07:32 --enforcementcount 2 &gt;&gt;C:\Users\stu\Documents\GitHub\eaglep3-reporting\EC\2017-03-07-refined-times.txt</v>
      </c>
      <c r="AI101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{"issue":{"subject":"","project_id":79,"tracker_id":40,"status_id":1,"priority_id":2,"assigned_to_id":23,"start_date":"2017-03-07","description":"","custom_fields":[{"id":1,"name":"Subdivision","value":"EC"},{"id":4,"name":"Milepost","value":"23.3288"},{"id":17,"name":"Train ID","value":"187-07"},{"id":16,"name":"Locomotive ID","value":"4018"},{"id":130,"name":"Impact","value":""},{"id":150,"name":"Time of Event (Mountain Time)","value":"15:07:32"},{"id":151,"name":"Denver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45"/>
        <v>start /low /b %USERPROFILE%\Documents\GitHub\eaglep3\Utilities\DownloadLogsFromS3.py --loco 4018 --day 2017-03-07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"%USERPROFILE%\AppData\Local\Temp\OnboardLogs"\RTDC4018\*4018*20170307* | grep -SE "(Enforcement Action)|(\[TIMEOUT)|(CHR.+\|PRM\|1\|D.+(SWITCH|SIGNAL).+UNKNOWN)" - &gt;&gt; 2017-03-07-UncaughtWiMAX.txt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705</v>
      </c>
      <c r="B102" s="7">
        <v>4017</v>
      </c>
      <c r="C102" s="21" t="s">
        <v>233</v>
      </c>
      <c r="D102" s="21" t="s">
        <v>285</v>
      </c>
      <c r="E102" s="13">
        <v>42801.640231481484</v>
      </c>
      <c r="F102" s="13">
        <v>42801.643530092595</v>
      </c>
      <c r="G102" s="7">
        <v>1</v>
      </c>
      <c r="H102" s="21" t="s">
        <v>203</v>
      </c>
      <c r="I102" s="13">
        <v>42801.672743055555</v>
      </c>
      <c r="J102" s="7">
        <v>2</v>
      </c>
      <c r="K102" s="98" t="str">
        <f t="shared" si="30"/>
        <v>4017/4018</v>
      </c>
      <c r="L102" s="21" t="str">
        <f>VLOOKUP(A102,'Trips&amp;Operators'!$C$1:$G$99999,5,FALSE)</f>
        <v>DE LA ROSA ALEX</v>
      </c>
      <c r="M102" s="6">
        <f t="shared" si="31"/>
        <v>2.9212962959718425E-2</v>
      </c>
      <c r="N102" s="7">
        <f t="shared" si="50"/>
        <v>42.066666661994532</v>
      </c>
      <c r="O102" s="7"/>
      <c r="P102" s="7"/>
      <c r="Q102" s="22"/>
      <c r="R102" s="22"/>
      <c r="S102" s="31">
        <f t="shared" si="51"/>
        <v>1</v>
      </c>
      <c r="T102" s="46" t="str">
        <f t="shared" si="34"/>
        <v>Southbound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35"/>
        <v>https://d0f6bd738d7f1b3e5a7ca70fe4ff75f0.us-east-1.aws.found.io/app/kibana#/discover/Steve-Slow-Train-Analysis-(2080s-and-2083s)?_g=(refreshInterval:(display:Off,pause:!f,section:0,value:0),time:(from:'2017-03-07T14:21:56-0700',mode:absolute,to:'2017-03-07T17:08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2" s="187" t="str">
        <f t="shared" si="36"/>
        <v>N</v>
      </c>
      <c r="X102" s="187">
        <f t="shared" si="49"/>
        <v>1</v>
      </c>
      <c r="Y102" s="62">
        <f t="shared" si="52"/>
        <v>23.296700000000001</v>
      </c>
      <c r="Z102" s="62">
        <f t="shared" si="37"/>
        <v>1.52E-2</v>
      </c>
      <c r="AA102" s="62">
        <f t="shared" si="38"/>
        <v>23.281500000000001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9"/>
        <v>0188-07</v>
      </c>
      <c r="AE102" s="85" t="str">
        <f t="shared" si="40"/>
        <v>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 &amp; aws s3 cp s3://rtdc.mdm.uploadarchive.raw/RTDC4017/ "%USERPROFILE%\AppData\Local\Temp\OnboardLogs"\RTDC4017\2017-03-08 --exclude "*" --recursive --include "*20170308*" &amp; "%USERPROFILE%\Documents\GitHub\mrs-test-scripts\Headless Mode &amp; Sideloading\WalkAndUnGZ.bat" "%USERPROFILE%\AppData\Local\Temp\OnboardLogs"\RTDC4017\2017-03-08</v>
      </c>
      <c r="AF102" s="82" t="str">
        <f t="shared" si="41"/>
        <v>"C:\Program Files (x86)\AstroGrep\AstroGrep.exe" /spath="%USERPROFILE%\AppData\Local\Temp\OnboardLogs" /stypes="app*4017*20170307*" /stext=" 23:.+((SYSTEM_STATE.+slice.+state.+changed )|(ment ac)|(multiple cpu faults)|(system.+state.+changed )|(\[timeout)|(PRM\|1\|D)|(kpr)|(kdp)|(\|lc)|(penalty))" /e /r /s</v>
      </c>
      <c r="AG102" s="1" t="str">
        <f t="shared" si="42"/>
        <v>EC</v>
      </c>
      <c r="AH102" s="86" t="str">
        <f t="shared" si="43"/>
        <v>"%USERPROFILE%\Documents\GitHub\eaglep3\Utilities\RefineRTDCRunTimes.py" --tripid 188-07 --locoid 4017 --swversion DE.1.0.9.0 --startMP 204:232967 --initTime 2017-03-07T15:21:56 --startdatetime 2017-03-07T15:26:41 --delay 1 --endMP 204:152 --enddatetime 2017-03-07T16:08:45 --enforcementcount 2 &gt;&gt;C:\Users\stu\Documents\GitHub\eaglep3-reporting\EC\2017-03-07-refined-times.txt</v>
      </c>
      <c r="AI102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{"issue":{"subject":"","project_id":79,"tracker_id":40,"status_id":1,"priority_id":2,"assigned_to_id":23,"start_date":"2017-03-07","description":"","custom_fields":[{"id":1,"name":"Subdivision","value":"EC"},{"id":4,"name":"Milepost","value":"0.0152"},{"id":17,"name":"Train ID","value":"188-07"},{"id":16,"name":"Locomotive ID","value":"4017"},{"id":130,"name":"Impact","value":""},{"id":150,"name":"Time of Event (Mountain Time)","value":"16:08:45"},{"id":151,"name":"Denver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45"/>
        <v>start /low /b %USERPROFILE%\Documents\GitHub\eaglep3\Utilities\DownloadLogsFromS3.py --loco 4017 --day 2017-03-07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"%USERPROFILE%\AppData\Local\Temp\OnboardLogs"\RTDC4017\*4017*20170307* | grep -SE "(Enforcement Action)|(\[TIMEOUT)|(CHR.+\|PRM\|1\|D.+(SWITCH|SIGNAL).+UNKNOWN)" - &gt;&gt; 2017-03-07-UncaughtWiMAX.txt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700</v>
      </c>
      <c r="B103" s="7">
        <v>4020</v>
      </c>
      <c r="C103" s="21" t="s">
        <v>233</v>
      </c>
      <c r="D103" s="21" t="s">
        <v>211</v>
      </c>
      <c r="E103" s="13">
        <v>42801.61414351852</v>
      </c>
      <c r="F103" s="13">
        <v>42801.616030092591</v>
      </c>
      <c r="G103" s="7">
        <v>2</v>
      </c>
      <c r="H103" s="21" t="s">
        <v>237</v>
      </c>
      <c r="I103" s="13">
        <v>42801.642696759256</v>
      </c>
      <c r="J103" s="7">
        <v>2</v>
      </c>
      <c r="K103" s="98" t="str">
        <f t="shared" si="30"/>
        <v>4019/4020</v>
      </c>
      <c r="L103" s="21" t="str">
        <f>VLOOKUP(A103,'Trips&amp;Operators'!$C$1:$G$99999,5,FALSE)</f>
        <v>STEWART MICHAEL</v>
      </c>
      <c r="M103" s="6">
        <f t="shared" si="31"/>
        <v>2.6666666664823424E-2</v>
      </c>
      <c r="N103" s="7">
        <f t="shared" si="50"/>
        <v>38.399999997345731</v>
      </c>
      <c r="O103" s="7"/>
      <c r="P103" s="7"/>
      <c r="Q103" s="22"/>
      <c r="R103" s="22"/>
      <c r="S103" s="31">
        <f t="shared" si="51"/>
        <v>1</v>
      </c>
      <c r="T103" s="46" t="str">
        <f t="shared" si="34"/>
        <v>NorthBound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35"/>
        <v>https://d0f6bd738d7f1b3e5a7ca70fe4ff75f0.us-east-1.aws.found.io/app/kibana#/discover/Steve-Slow-Train-Analysis-(2080s-and-2083s)?_g=(refreshInterval:(display:Off,pause:!f,section:0,value:0),time:(from:'2017-03-07T13:44:22-0700',mode:absolute,to:'2017-03-07T16:25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3" s="187" t="str">
        <f t="shared" si="36"/>
        <v>N</v>
      </c>
      <c r="X103" s="187">
        <f t="shared" si="49"/>
        <v>1</v>
      </c>
      <c r="Y103" s="62">
        <f t="shared" si="52"/>
        <v>4.5999999999999999E-2</v>
      </c>
      <c r="Z103" s="62">
        <f t="shared" si="37"/>
        <v>23.329699999999999</v>
      </c>
      <c r="AA103" s="62">
        <f t="shared" si="38"/>
        <v>23.2837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9"/>
        <v>0189-07</v>
      </c>
      <c r="AE103" s="85" t="str">
        <f t="shared" si="40"/>
        <v>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 &amp; aws s3 cp s3://rtdc.mdm.uploadarchive.raw/RTDC4020/ "%USERPROFILE%\AppData\Local\Temp\OnboardLogs"\RTDC4020\2017-03-08 --exclude "*" --recursive --include "*20170308*" &amp; "%USERPROFILE%\Documents\GitHub\mrs-test-scripts\Headless Mode &amp; Sideloading\WalkAndUnGZ.bat" "%USERPROFILE%\AppData\Local\Temp\OnboardLogs"\RTDC4020\2017-03-08</v>
      </c>
      <c r="AF103" s="82" t="str">
        <f t="shared" si="41"/>
        <v>"C:\Program Files (x86)\AstroGrep\AstroGrep.exe" /spath="%USERPROFILE%\AppData\Local\Temp\OnboardLogs" /stypes="app*4020*20170307*" /stext=" 22:.+((SYSTEM_STATE.+slice.+state.+changed )|(ment ac)|(multiple cpu faults)|(system.+state.+changed )|(\[timeout)|(PRM\|1\|D)|(kpr)|(kdp)|(\|lc)|(penalty))" /e /r /s</v>
      </c>
      <c r="AG103" s="1" t="str">
        <f t="shared" si="42"/>
        <v>EC</v>
      </c>
      <c r="AH103" s="86" t="str">
        <f t="shared" si="43"/>
        <v>"%USERPROFILE%\Documents\GitHub\eaglep3\Utilities\RefineRTDCRunTimes.py" --tripid 189-07 --locoid 4020 --swversion DE.1.0.9.0 --startMP 204:460 --initTime 2017-03-07T14:44:22 --startdatetime 2017-03-07T14:47:05 --delay 2 --endMP 204:233297 --enddatetime 2017-03-07T15:25:29 --enforcementcount 2 &gt;&gt;C:\Users\stu\Documents\GitHub\eaglep3-reporting\EC\2017-03-07-refined-times.txt</v>
      </c>
      <c r="AI103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{"issue":{"subject":"","project_id":79,"tracker_id":40,"status_id":1,"priority_id":2,"assigned_to_id":23,"start_date":"2017-03-07","description":"","custom_fields":[{"id":1,"name":"Subdivision","value":"EC"},{"id":4,"name":"Milepost","value":"23.3297"},{"id":17,"name":"Train ID","value":"189-07"},{"id":16,"name":"Locomotive ID","value":"4020"},{"id":130,"name":"Impact","value":""},{"id":150,"name":"Time of Event (Mountain Time)","value":"15:25:29"},{"id":151,"name":"Denver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45"/>
        <v>start /low /b %USERPROFILE%\Documents\GitHub\eaglep3\Utilities\DownloadLogsFromS3.py --loco 4020 --day 2017-03-07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"%USERPROFILE%\AppData\Local\Temp\OnboardLogs"\RTDC4020\*4020*20170307* | grep -SE "(Enforcement Action)|(\[TIMEOUT)|(CHR.+\|PRM\|1\|D.+(SWITCH|SIGNAL).+UNKNOWN)" - &gt;&gt; 2017-03-07-UncaughtWiMAX.txt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584</v>
      </c>
      <c r="B104" s="7">
        <v>4019</v>
      </c>
      <c r="C104" s="21" t="s">
        <v>233</v>
      </c>
      <c r="D104" s="21" t="s">
        <v>243</v>
      </c>
      <c r="E104" s="13">
        <v>42801.651655092595</v>
      </c>
      <c r="F104" s="13">
        <v>42801.655185185184</v>
      </c>
      <c r="G104" s="7">
        <v>1</v>
      </c>
      <c r="H104" s="21" t="s">
        <v>184</v>
      </c>
      <c r="I104" s="13">
        <v>42801.684340277781</v>
      </c>
      <c r="J104" s="7">
        <v>2</v>
      </c>
      <c r="K104" s="98" t="str">
        <f t="shared" si="30"/>
        <v>4019/4020</v>
      </c>
      <c r="L104" s="21" t="str">
        <f>VLOOKUP(A104,'Trips&amp;Operators'!$C$1:$G$99999,5,FALSE)</f>
        <v>STEWART MICHAEL</v>
      </c>
      <c r="M104" s="6">
        <f t="shared" si="31"/>
        <v>2.9155092597648036E-2</v>
      </c>
      <c r="N104" s="7">
        <f t="shared" si="50"/>
        <v>41.983333340613171</v>
      </c>
      <c r="O104" s="7"/>
      <c r="P104" s="7"/>
      <c r="Q104" s="22"/>
      <c r="R104" s="22"/>
      <c r="S104" s="31">
        <f t="shared" si="51"/>
        <v>1</v>
      </c>
      <c r="T104" s="46" t="str">
        <f t="shared" si="34"/>
        <v>Southbound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35"/>
        <v>https://d0f6bd738d7f1b3e5a7ca70fe4ff75f0.us-east-1.aws.found.io/app/kibana#/discover/Steve-Slow-Train-Analysis-(2080s-and-2083s)?_g=(refreshInterval:(display:Off,pause:!f,section:0,value:0),time:(from:'2017-03-07T14:38:23-0700',mode:absolute,to:'2017-03-07T17:25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4" s="187" t="str">
        <f t="shared" si="36"/>
        <v>N</v>
      </c>
      <c r="X104" s="187">
        <f t="shared" si="49"/>
        <v>1</v>
      </c>
      <c r="Y104" s="62">
        <f t="shared" si="52"/>
        <v>23.297699999999999</v>
      </c>
      <c r="Z104" s="62">
        <f t="shared" si="37"/>
        <v>1.49E-2</v>
      </c>
      <c r="AA104" s="62">
        <f t="shared" si="38"/>
        <v>23.282799999999998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9"/>
        <v>0190-07</v>
      </c>
      <c r="AE104" s="85" t="str">
        <f t="shared" si="40"/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AF104" s="82" t="str">
        <f t="shared" si="41"/>
        <v>"C:\Program Files (x86)\AstroGrep\AstroGrep.exe" /spath="%USERPROFILE%\AppData\Local\Temp\OnboardLogs" /stypes="app*4019*20170307*" /stext=" 23:.+((SYSTEM_STATE.+slice.+state.+changed )|(ment ac)|(multiple cpu faults)|(system.+state.+changed )|(\[timeout)|(PRM\|1\|D)|(kpr)|(kdp)|(\|lc)|(penalty))" /e /r /s</v>
      </c>
      <c r="AG104" s="1" t="str">
        <f t="shared" si="42"/>
        <v>EC</v>
      </c>
      <c r="AH104" s="86" t="str">
        <f t="shared" si="43"/>
        <v>"%USERPROFILE%\Documents\GitHub\eaglep3\Utilities\RefineRTDCRunTimes.py" --tripid 190-07 --locoid 4019 --swversion DE.1.0.9.0 --startMP 204:232977 --initTime 2017-03-07T15:38:23 --startdatetime 2017-03-07T15:43:28 --delay 1 --endMP 204:149 --enddatetime 2017-03-07T16:25:27 --enforcementcount 2 &gt;&gt;C:\Users\stu\Documents\GitHub\eaglep3-reporting\EC\2017-03-07-refined-times.txt</v>
      </c>
      <c r="AI104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{"issue":{"subject":"","project_id":79,"tracker_id":40,"status_id":1,"priority_id":2,"assigned_to_id":23,"start_date":"2017-03-07","description":"","custom_fields":[{"id":1,"name":"Subdivision","value":"EC"},{"id":4,"name":"Milepost","value":"0.0149"},{"id":17,"name":"Train ID","value":"190-07"},{"id":16,"name":"Locomotive ID","value":"4019"},{"id":130,"name":"Impact","value":""},{"id":150,"name":"Time of Event (Mountain Time)","value":"16:25:27"},{"id":151,"name":"Denver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45"/>
        <v>start /low /b %USERPROFILE%\Documents\GitHub\eaglep3\Utilities\DownloadLogsFromS3.py --loco 4019 --day 2017-03-07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"%USERPROFILE%\AppData\Local\Temp\OnboardLogs"\RTDC4019\*4019*20170307* | grep -SE "(Enforcement Action)|(\[TIMEOUT)|(CHR.+\|PRM\|1\|D.+(SWITCH|SIGNAL).+UNKNOWN)" - &gt;&gt; 2017-03-07-UncaughtWiMAX.txt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702</v>
      </c>
      <c r="B105" s="7">
        <v>4014</v>
      </c>
      <c r="C105" s="21" t="s">
        <v>233</v>
      </c>
      <c r="D105" s="21" t="s">
        <v>222</v>
      </c>
      <c r="E105" s="13">
        <v>42801.622916666667</v>
      </c>
      <c r="F105" s="13">
        <v>42801.625324074077</v>
      </c>
      <c r="G105" s="7">
        <v>1</v>
      </c>
      <c r="H105" s="21" t="s">
        <v>494</v>
      </c>
      <c r="I105" s="13">
        <v>42801.651979166665</v>
      </c>
      <c r="J105" s="7">
        <v>2</v>
      </c>
      <c r="K105" s="98" t="str">
        <f t="shared" si="30"/>
        <v>4013/4014</v>
      </c>
      <c r="L105" s="21" t="str">
        <f>VLOOKUP(A105,'Trips&amp;Operators'!$C$1:$G$99999,5,FALSE)</f>
        <v>LEVERE CRAIG</v>
      </c>
      <c r="M105" s="6">
        <f t="shared" si="31"/>
        <v>2.6655092588043772E-2</v>
      </c>
      <c r="N105" s="7">
        <f t="shared" si="50"/>
        <v>38.383333326783031</v>
      </c>
      <c r="O105" s="7"/>
      <c r="P105" s="7"/>
      <c r="Q105" s="22"/>
      <c r="R105" s="22"/>
      <c r="S105" s="31">
        <f t="shared" si="51"/>
        <v>1</v>
      </c>
      <c r="T105" s="46" t="str">
        <f t="shared" si="34"/>
        <v>NorthBound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35"/>
        <v>https://d0f6bd738d7f1b3e5a7ca70fe4ff75f0.us-east-1.aws.found.io/app/kibana#/discover/Steve-Slow-Train-Analysis-(2080s-and-2083s)?_g=(refreshInterval:(display:Off,pause:!f,section:0,value:0),time:(from:'2017-03-07T13:57:00-0700',mode:absolute,to:'2017-03-07T16:38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5" s="187" t="str">
        <f t="shared" si="36"/>
        <v>N</v>
      </c>
      <c r="X105" s="187">
        <f t="shared" si="49"/>
        <v>1</v>
      </c>
      <c r="Y105" s="62">
        <f t="shared" si="52"/>
        <v>4.3999999999999997E-2</v>
      </c>
      <c r="Z105" s="62">
        <f t="shared" si="37"/>
        <v>23.328600000000002</v>
      </c>
      <c r="AA105" s="62">
        <f t="shared" si="38"/>
        <v>23.284600000000001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9"/>
        <v>0191-07</v>
      </c>
      <c r="AE105" s="85" t="str">
        <f t="shared" si="40"/>
        <v>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 &amp; aws s3 cp s3://rtdc.mdm.uploadarchive.raw/RTDC4014/ "%USERPROFILE%\AppData\Local\Temp\OnboardLogs"\RTDC4014\2017-03-08 --exclude "*" --recursive --include "*20170308*" &amp; "%USERPROFILE%\Documents\GitHub\mrs-test-scripts\Headless Mode &amp; Sideloading\WalkAndUnGZ.bat" "%USERPROFILE%\AppData\Local\Temp\OnboardLogs"\RTDC4014\2017-03-08</v>
      </c>
      <c r="AF105" s="82" t="str">
        <f t="shared" si="41"/>
        <v>"C:\Program Files (x86)\AstroGrep\AstroGrep.exe" /spath="%USERPROFILE%\AppData\Local\Temp\OnboardLogs" /stypes="app*4014*20170307*" /stext=" 22:.+((SYSTEM_STATE.+slice.+state.+changed )|(ment ac)|(multiple cpu faults)|(system.+state.+changed )|(\[timeout)|(PRM\|1\|D)|(kpr)|(kdp)|(\|lc)|(penalty))" /e /r /s</v>
      </c>
      <c r="AG105" s="1" t="str">
        <f t="shared" si="42"/>
        <v>EC</v>
      </c>
      <c r="AH105" s="86" t="str">
        <f t="shared" si="43"/>
        <v>"%USERPROFILE%\Documents\GitHub\eaglep3\Utilities\RefineRTDCRunTimes.py" --tripid 191-07 --locoid 4014 --swversion DE.1.0.9.0 --startMP 204:440 --initTime 2017-03-07T14:57:00 --startdatetime 2017-03-07T15:00:28 --delay 1 --endMP 204:233286 --enddatetime 2017-03-07T15:38:51 --enforcementcount 2 &gt;&gt;C:\Users\stu\Documents\GitHub\eaglep3-reporting\EC\2017-03-07-refined-times.txt</v>
      </c>
      <c r="AI105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{"issue":{"subject":"","project_id":79,"tracker_id":40,"status_id":1,"priority_id":2,"assigned_to_id":23,"start_date":"2017-03-07","description":"","custom_fields":[{"id":1,"name":"Subdivision","value":"EC"},{"id":4,"name":"Milepost","value":"23.3286"},{"id":17,"name":"Train ID","value":"191-07"},{"id":16,"name":"Locomotive ID","value":"4014"},{"id":130,"name":"Impact","value":""},{"id":150,"name":"Time of Event (Mountain Time)","value":"15:38:51"},{"id":151,"name":"Denver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45"/>
        <v>start /low /b %USERPROFILE%\Documents\GitHub\eaglep3\Utilities\DownloadLogsFromS3.py --loco 4014 --day 2017-03-07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"%USERPROFILE%\AppData\Local\Temp\OnboardLogs"\RTDC4014\*4014*20170307* | grep -SE "(Enforcement Action)|(\[TIMEOUT)|(CHR.+\|PRM\|1\|D.+(SWITCH|SIGNAL).+UNKNOWN)" - &gt;&gt; 2017-03-07-UncaughtWiMAX.txt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711</v>
      </c>
      <c r="B106" s="7">
        <v>4013</v>
      </c>
      <c r="C106" s="21" t="s">
        <v>233</v>
      </c>
      <c r="D106" s="21" t="s">
        <v>833</v>
      </c>
      <c r="E106" s="13">
        <v>42801.659097222226</v>
      </c>
      <c r="F106" s="13">
        <v>42801.664421296293</v>
      </c>
      <c r="G106" s="7">
        <v>1</v>
      </c>
      <c r="H106" s="21" t="s">
        <v>455</v>
      </c>
      <c r="I106" s="13">
        <v>42801.692199074074</v>
      </c>
      <c r="J106" s="7">
        <v>2</v>
      </c>
      <c r="K106" s="98" t="str">
        <f t="shared" si="30"/>
        <v>4013/4014</v>
      </c>
      <c r="L106" s="21" t="str">
        <f>VLOOKUP(A106,'Trips&amp;Operators'!$C$1:$G$99999,5,FALSE)</f>
        <v>LEVERE CRAIG</v>
      </c>
      <c r="M106" s="6">
        <f t="shared" si="31"/>
        <v>2.7777777781011537E-2</v>
      </c>
      <c r="N106" s="7">
        <f t="shared" si="50"/>
        <v>40.000000004656613</v>
      </c>
      <c r="O106" s="7"/>
      <c r="P106" s="7"/>
      <c r="Q106" s="22"/>
      <c r="R106" s="22"/>
      <c r="S106" s="31">
        <f t="shared" si="51"/>
        <v>1</v>
      </c>
      <c r="T106" s="46" t="str">
        <f t="shared" si="34"/>
        <v>Southbound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35"/>
        <v>https://d0f6bd738d7f1b3e5a7ca70fe4ff75f0.us-east-1.aws.found.io/app/kibana#/discover/Steve-Slow-Train-Analysis-(2080s-and-2083s)?_g=(refreshInterval:(display:Off,pause:!f,section:0,value:0),time:(from:'2017-03-07T14:49:06-0700',mode:absolute,to:'2017-03-07T17:36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6" s="187" t="str">
        <f t="shared" si="36"/>
        <v>N</v>
      </c>
      <c r="X106" s="187">
        <f t="shared" si="49"/>
        <v>1</v>
      </c>
      <c r="Y106" s="62">
        <f t="shared" si="52"/>
        <v>23.295200000000001</v>
      </c>
      <c r="Z106" s="62">
        <f t="shared" si="37"/>
        <v>1.6E-2</v>
      </c>
      <c r="AA106" s="62">
        <f t="shared" si="38"/>
        <v>23.279200000000003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9"/>
        <v>0192-07</v>
      </c>
      <c r="AE106" s="85" t="str">
        <f t="shared" si="40"/>
        <v>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 &amp; aws s3 cp s3://rtdc.mdm.uploadarchive.raw/RTDC4013/ "%USERPROFILE%\AppData\Local\Temp\OnboardLogs"\RTDC4013\2017-03-08 --exclude "*" --recursive --include "*20170308*" &amp; "%USERPROFILE%\Documents\GitHub\mrs-test-scripts\Headless Mode &amp; Sideloading\WalkAndUnGZ.bat" "%USERPROFILE%\AppData\Local\Temp\OnboardLogs"\RTDC4013\2017-03-08</v>
      </c>
      <c r="AF106" s="82" t="str">
        <f t="shared" si="41"/>
        <v>"C:\Program Files (x86)\AstroGrep\AstroGrep.exe" /spath="%USERPROFILE%\AppData\Local\Temp\OnboardLogs" /stypes="app*4013*20170307*" /stext=" 23:.+((SYSTEM_STATE.+slice.+state.+changed )|(ment ac)|(multiple cpu faults)|(system.+state.+changed )|(\[timeout)|(PRM\|1\|D)|(kpr)|(kdp)|(\|lc)|(penalty))" /e /r /s</v>
      </c>
      <c r="AG106" s="1" t="str">
        <f t="shared" si="42"/>
        <v>EC</v>
      </c>
      <c r="AH106" s="86" t="str">
        <f t="shared" si="43"/>
        <v>"%USERPROFILE%\Documents\GitHub\eaglep3\Utilities\RefineRTDCRunTimes.py" --tripid 192-07 --locoid 4013 --swversion DE.1.0.9.0 --startMP 204:232952 --initTime 2017-03-07T15:49:06 --startdatetime 2017-03-07T15:56:46 --delay 1 --endMP 204:160 --enddatetime 2017-03-07T16:36:46 --enforcementcount 2 &gt;&gt;C:\Users\stu\Documents\GitHub\eaglep3-reporting\EC\2017-03-07-refined-times.txt</v>
      </c>
      <c r="AI106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{"issue":{"subject":"","project_id":79,"tracker_id":40,"status_id":1,"priority_id":2,"assigned_to_id":23,"start_date":"2017-03-07","description":"","custom_fields":[{"id":1,"name":"Subdivision","value":"EC"},{"id":4,"name":"Milepost","value":"0.016"},{"id":17,"name":"Train ID","value":"192-07"},{"id":16,"name":"Locomotive ID","value":"4013"},{"id":130,"name":"Impact","value":""},{"id":150,"name":"Time of Event (Mountain Time)","value":"16:36:46"},{"id":151,"name":"Denver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45"/>
        <v>start /low /b %USERPROFILE%\Documents\GitHub\eaglep3\Utilities\DownloadLogsFromS3.py --loco 4013 --day 2017-03-07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"%USERPROFILE%\AppData\Local\Temp\OnboardLogs"\RTDC4013\*4013*20170307* | grep -SE "(Enforcement Action)|(\[TIMEOUT)|(CHR.+\|PRM\|1\|D.+(SWITCH|SIGNAL).+UNKNOWN)" - &gt;&gt; 2017-03-07-UncaughtWiMAX.txt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704</v>
      </c>
      <c r="B107" s="7">
        <v>4016</v>
      </c>
      <c r="C107" s="21" t="s">
        <v>233</v>
      </c>
      <c r="D107" s="21" t="s">
        <v>245</v>
      </c>
      <c r="E107" s="13">
        <v>42801.633773148147</v>
      </c>
      <c r="F107" s="13">
        <v>42801.63559027778</v>
      </c>
      <c r="G107" s="7">
        <v>1</v>
      </c>
      <c r="H107" s="21" t="s">
        <v>283</v>
      </c>
      <c r="I107" s="13">
        <v>42801.663518518515</v>
      </c>
      <c r="J107" s="7">
        <v>2</v>
      </c>
      <c r="K107" s="98" t="str">
        <f t="shared" si="30"/>
        <v>4015/4016</v>
      </c>
      <c r="L107" s="21" t="str">
        <f>VLOOKUP(A107,'Trips&amp;Operators'!$C$1:$G$99999,5,FALSE)</f>
        <v>CLARK KATHLEEN</v>
      </c>
      <c r="M107" s="6">
        <f t="shared" si="31"/>
        <v>2.7928240735491272E-2</v>
      </c>
      <c r="N107" s="7">
        <f t="shared" si="50"/>
        <v>40.216666659107432</v>
      </c>
      <c r="O107" s="7"/>
      <c r="P107" s="7"/>
      <c r="Q107" s="22"/>
      <c r="R107" s="22"/>
      <c r="S107" s="31">
        <f t="shared" si="51"/>
        <v>1</v>
      </c>
      <c r="T107" s="46" t="str">
        <f t="shared" si="34"/>
        <v>NorthBound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35"/>
        <v>https://d0f6bd738d7f1b3e5a7ca70fe4ff75f0.us-east-1.aws.found.io/app/kibana#/discover/Steve-Slow-Train-Analysis-(2080s-and-2083s)?_g=(refreshInterval:(display:Off,pause:!f,section:0,value:0),time:(from:'2017-03-07T14:12:38-0700',mode:absolute,to:'2017-03-07T16:55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7" s="187" t="str">
        <f t="shared" si="36"/>
        <v>N</v>
      </c>
      <c r="X107" s="187">
        <f t="shared" si="49"/>
        <v>1</v>
      </c>
      <c r="Y107" s="62">
        <f t="shared" si="52"/>
        <v>4.7300000000000002E-2</v>
      </c>
      <c r="Z107" s="62">
        <f t="shared" si="37"/>
        <v>23.3291</v>
      </c>
      <c r="AA107" s="62">
        <f t="shared" si="38"/>
        <v>23.2818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9"/>
        <v>0193-07</v>
      </c>
      <c r="AE107" s="85" t="str">
        <f t="shared" si="40"/>
        <v>aws s3 cp s3://rtdc.mdm.uploadarchive.raw/RTDC4016/ "%USERPROFILE%\AppData\Local\Temp\OnboardLogs"\RTDC4016\2017-03-07 --exclude "*" --recursive --include "*20170307*" &amp; "%USERPROFILE%\Documents\GitHub\mrs-test-scripts\Headless Mode &amp; Sideloading\WalkAndUnGZ.bat" "%USERPROFILE%\AppData\Local\Temp\OnboardLogs"\RTDC4016\2017-03-07 &amp; aws s3 cp s3://rtdc.mdm.uploadarchive.raw/RTDC4016/ "%USERPROFILE%\AppData\Local\Temp\OnboardLogs"\RTDC4016\2017-03-08 --exclude "*" --recursive --include "*20170308*" &amp; "%USERPROFILE%\Documents\GitHub\mrs-test-scripts\Headless Mode &amp; Sideloading\WalkAndUnGZ.bat" "%USERPROFILE%\AppData\Local\Temp\OnboardLogs"\RTDC4016\2017-03-08</v>
      </c>
      <c r="AF107" s="82" t="str">
        <f t="shared" si="41"/>
        <v>"C:\Program Files (x86)\AstroGrep\AstroGrep.exe" /spath="%USERPROFILE%\AppData\Local\Temp\OnboardLogs" /stypes="app*4016*20170307*" /stext=" 22:.+((SYSTEM_STATE.+slice.+state.+changed )|(ment ac)|(multiple cpu faults)|(system.+state.+changed )|(\[timeout)|(PRM\|1\|D)|(kpr)|(kdp)|(\|lc)|(penalty))" /e /r /s</v>
      </c>
      <c r="AG107" s="1" t="str">
        <f t="shared" si="42"/>
        <v>EC</v>
      </c>
      <c r="AH107" s="86" t="str">
        <f t="shared" si="43"/>
        <v>"%USERPROFILE%\Documents\GitHub\eaglep3\Utilities\RefineRTDCRunTimes.py" --tripid 193-07 --locoid 4016 --swversion DE.1.0.9.0 --startMP 204:473 --initTime 2017-03-07T15:12:38 --startdatetime 2017-03-07T15:15:15 --delay 1 --endMP 204:233291 --enddatetime 2017-03-07T15:55:28 --enforcementcount 2 &gt;&gt;C:\Users\stu\Documents\GitHub\eaglep3-reporting\EC\2017-03-07-refined-times.txt</v>
      </c>
      <c r="AI107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{"issue":{"subject":"","project_id":79,"tracker_id":40,"status_id":1,"priority_id":2,"assigned_to_id":23,"start_date":"2017-03-07","description":"","custom_fields":[{"id":1,"name":"Subdivision","value":"EC"},{"id":4,"name":"Milepost","value":"23.3291"},{"id":17,"name":"Train ID","value":"193-07"},{"id":16,"name":"Locomotive ID","value":"4016"},{"id":130,"name":"Impact","value":""},{"id":150,"name":"Time of Event (Mountain Time)","value":"15:55:28"},{"id":151,"name":"Denver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45"/>
        <v>start /low /b %USERPROFILE%\Documents\GitHub\eaglep3\Utilities\DownloadLogsFromS3.py --loco 4016 --day 2017-03-07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"%USERPROFILE%\AppData\Local\Temp\OnboardLogs"\RTDC4016\*4016*20170307* | grep -SE "(Enforcement Action)|(\[TIMEOUT)|(CHR.+\|PRM\|1\|D.+(SWITCH|SIGNAL).+UNKNOWN)" - &gt;&gt; 2017-03-07-UncaughtWiMAX.txt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713</v>
      </c>
      <c r="B108" s="7">
        <v>4015</v>
      </c>
      <c r="C108" s="21" t="s">
        <v>233</v>
      </c>
      <c r="D108" s="21" t="s">
        <v>499</v>
      </c>
      <c r="E108" s="13">
        <v>42801.670069444444</v>
      </c>
      <c r="F108" s="13">
        <v>42801.674490740741</v>
      </c>
      <c r="G108" s="7">
        <v>1</v>
      </c>
      <c r="H108" s="21" t="s">
        <v>510</v>
      </c>
      <c r="I108" s="13">
        <v>42801.703217592592</v>
      </c>
      <c r="J108" s="7">
        <v>2</v>
      </c>
      <c r="K108" s="98" t="str">
        <f t="shared" si="30"/>
        <v>4015/4016</v>
      </c>
      <c r="L108" s="21" t="str">
        <f>VLOOKUP(A108,'Trips&amp;Operators'!$C$1:$G$99999,5,FALSE)</f>
        <v>CLARK KATHLEEN</v>
      </c>
      <c r="M108" s="6">
        <f t="shared" si="31"/>
        <v>2.8726851851388346E-2</v>
      </c>
      <c r="N108" s="7">
        <f t="shared" si="50"/>
        <v>41.366666665999219</v>
      </c>
      <c r="O108" s="7"/>
      <c r="P108" s="7"/>
      <c r="Q108" s="22"/>
      <c r="R108" s="22"/>
      <c r="S108" s="31">
        <f t="shared" si="51"/>
        <v>1</v>
      </c>
      <c r="T108" s="46" t="str">
        <f t="shared" si="34"/>
        <v>Southbound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35"/>
        <v>https://d0f6bd738d7f1b3e5a7ca70fe4ff75f0.us-east-1.aws.found.io/app/kibana#/discover/Steve-Slow-Train-Analysis-(2080s-and-2083s)?_g=(refreshInterval:(display:Off,pause:!f,section:0,value:0),time:(from:'2017-03-07T15:04:54-0700',mode:absolute,to:'2017-03-07T17:52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8" s="187" t="str">
        <f t="shared" si="36"/>
        <v>N</v>
      </c>
      <c r="X108" s="187">
        <f t="shared" si="49"/>
        <v>1</v>
      </c>
      <c r="Y108" s="62">
        <f t="shared" si="52"/>
        <v>23.298100000000002</v>
      </c>
      <c r="Z108" s="62">
        <f t="shared" si="37"/>
        <v>1.72E-2</v>
      </c>
      <c r="AA108" s="62">
        <f t="shared" si="38"/>
        <v>23.280900000000003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9"/>
        <v>0194-07</v>
      </c>
      <c r="AE108" s="85" t="str">
        <f t="shared" si="40"/>
        <v>aws s3 cp s3://rtdc.mdm.uploadarchive.raw/RTDC4015/ "%USERPROFILE%\AppData\Local\Temp\OnboardLogs"\RTDC4015\2017-03-07 --exclude "*" --recursive --include "*20170307*" &amp; "%USERPROFILE%\Documents\GitHub\mrs-test-scripts\Headless Mode &amp; Sideloading\WalkAndUnGZ.bat" "%USERPROFILE%\AppData\Local\Temp\OnboardLogs"\RTDC4015\2017-03-07 &amp; aws s3 cp s3://rtdc.mdm.uploadarchive.raw/RTDC4015/ "%USERPROFILE%\AppData\Local\Temp\OnboardLogs"\RTDC4015\2017-03-08 --exclude "*" --recursive --include "*20170308*" &amp; "%USERPROFILE%\Documents\GitHub\mrs-test-scripts\Headless Mode &amp; Sideloading\WalkAndUnGZ.bat" "%USERPROFILE%\AppData\Local\Temp\OnboardLogs"\RTDC4015\2017-03-08</v>
      </c>
      <c r="AF108" s="82" t="str">
        <f t="shared" si="41"/>
        <v>"C:\Program Files (x86)\AstroGrep\AstroGrep.exe" /spath="%USERPROFILE%\AppData\Local\Temp\OnboardLogs" /stypes="app*4015*20170307*" /stext=" 23:.+((SYSTEM_STATE.+slice.+state.+changed )|(ment ac)|(multiple cpu faults)|(system.+state.+changed )|(\[timeout)|(PRM\|1\|D)|(kpr)|(kdp)|(\|lc)|(penalty))" /e /r /s</v>
      </c>
      <c r="AG108" s="1" t="str">
        <f t="shared" si="42"/>
        <v>EC</v>
      </c>
      <c r="AH108" s="86" t="str">
        <f t="shared" si="43"/>
        <v>"%USERPROFILE%\Documents\GitHub\eaglep3\Utilities\RefineRTDCRunTimes.py" --tripid 194-07 --locoid 4015 --swversion DE.1.0.9.0 --startMP 204:232981 --initTime 2017-03-07T16:04:54 --startdatetime 2017-03-07T16:11:16 --delay 1 --endMP 204:172 --enddatetime 2017-03-07T16:52:38 --enforcementcount 2 &gt;&gt;C:\Users\stu\Documents\GitHub\eaglep3-reporting\EC\2017-03-07-refined-times.txt</v>
      </c>
      <c r="AI108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{"issue":{"subject":"","project_id":79,"tracker_id":40,"status_id":1,"priority_id":2,"assigned_to_id":23,"start_date":"2017-03-07","description":"","custom_fields":[{"id":1,"name":"Subdivision","value":"EC"},{"id":4,"name":"Milepost","value":"0.0172"},{"id":17,"name":"Train ID","value":"194-07"},{"id":16,"name":"Locomotive ID","value":"4015"},{"id":130,"name":"Impact","value":""},{"id":150,"name":"Time of Event (Mountain Time)","value":"16:52:38"},{"id":151,"name":"Denver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45"/>
        <v>start /low /b %USERPROFILE%\Documents\GitHub\eaglep3\Utilities\DownloadLogsFromS3.py --loco 4015 --day 2017-03-07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"%USERPROFILE%\AppData\Local\Temp\OnboardLogs"\RTDC4015\*4015*20170307* | grep -SE "(Enforcement Action)|(\[TIMEOUT)|(CHR.+\|PRM\|1\|D.+(SWITCH|SIGNAL).+UNKNOWN)" - &gt;&gt; 2017-03-07-UncaughtWiMAX.txt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3" t="s">
        <v>583</v>
      </c>
      <c r="B109" s="7">
        <v>4022</v>
      </c>
      <c r="C109" s="21" t="s">
        <v>233</v>
      </c>
      <c r="D109" s="21" t="s">
        <v>278</v>
      </c>
      <c r="E109" s="13">
        <v>42801.643726851849</v>
      </c>
      <c r="F109" s="13">
        <v>42801.646192129629</v>
      </c>
      <c r="G109" s="7">
        <v>1</v>
      </c>
      <c r="H109" s="21" t="s">
        <v>840</v>
      </c>
      <c r="I109" s="13">
        <v>42801.672812500001</v>
      </c>
      <c r="J109" s="7">
        <v>2</v>
      </c>
      <c r="K109" s="98" t="str">
        <f t="shared" si="30"/>
        <v>4021/4022</v>
      </c>
      <c r="L109" s="21" t="str">
        <f>VLOOKUP(A109,'Trips&amp;Operators'!$C$1:$G$99999,5,FALSE)</f>
        <v>LOCKLEAR TRAVIS</v>
      </c>
      <c r="M109" s="6">
        <f t="shared" si="31"/>
        <v>2.662037037225673E-2</v>
      </c>
      <c r="N109" s="7">
        <f t="shared" si="50"/>
        <v>38.333333336049691</v>
      </c>
      <c r="O109" s="7"/>
      <c r="P109" s="7"/>
      <c r="Q109" s="22"/>
      <c r="R109" s="22"/>
      <c r="S109" s="31">
        <f t="shared" si="51"/>
        <v>1</v>
      </c>
      <c r="T109" s="46" t="str">
        <f t="shared" si="34"/>
        <v>NorthBound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35"/>
        <v>https://d0f6bd738d7f1b3e5a7ca70fe4ff75f0.us-east-1.aws.found.io/app/kibana#/discover/Steve-Slow-Train-Analysis-(2080s-and-2083s)?_g=(refreshInterval:(display:Off,pause:!f,section:0,value:0),time:(from:'2017-03-07T14:26:58-0700',mode:absolute,to:'2017-03-07T17:08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9" s="187" t="str">
        <f t="shared" si="36"/>
        <v>N</v>
      </c>
      <c r="X109" s="187">
        <f t="shared" si="49"/>
        <v>1</v>
      </c>
      <c r="Y109" s="62">
        <f t="shared" si="52"/>
        <v>4.7800000000000002E-2</v>
      </c>
      <c r="Z109" s="62">
        <f t="shared" si="37"/>
        <v>23.332000000000001</v>
      </c>
      <c r="AA109" s="62">
        <f t="shared" si="38"/>
        <v>23.284200000000002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9"/>
        <v>0195-07</v>
      </c>
      <c r="AE109" s="85" t="str">
        <f t="shared" si="40"/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AF109" s="82" t="str">
        <f t="shared" si="41"/>
        <v>"C:\Program Files (x86)\AstroGrep\AstroGrep.exe" /spath="%USERPROFILE%\AppData\Local\Temp\OnboardLogs" /stypes="app*4022*20170307*" /stext=" 23:.+((SYSTEM_STATE.+slice.+state.+changed )|(ment ac)|(multiple cpu faults)|(system.+state.+changed )|(\[timeout)|(PRM\|1\|D)|(kpr)|(kdp)|(\|lc)|(penalty))" /e /r /s</v>
      </c>
      <c r="AG109" s="1" t="str">
        <f t="shared" si="42"/>
        <v>EC</v>
      </c>
      <c r="AH109" s="86" t="str">
        <f t="shared" si="43"/>
        <v>"%USERPROFILE%\Documents\GitHub\eaglep3\Utilities\RefineRTDCRunTimes.py" --tripid 195-07 --locoid 4022 --swversion DE.1.0.9.0 --startMP 204:478 --initTime 2017-03-07T15:26:58 --startdatetime 2017-03-07T15:30:31 --delay 1 --endMP 204:233320 --enddatetime 2017-03-07T16:08:51 --enforcementcount 2 &gt;&gt;C:\Users\stu\Documents\GitHub\eaglep3-reporting\EC\2017-03-07-refined-times.txt</v>
      </c>
      <c r="AI109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{"issue":{"subject":"","project_id":79,"tracker_id":40,"status_id":1,"priority_id":2,"assigned_to_id":23,"start_date":"2017-03-07","description":"","custom_fields":[{"id":1,"name":"Subdivision","value":"EC"},{"id":4,"name":"Milepost","value":"23.332"},{"id":17,"name":"Train ID","value":"195-07"},{"id":16,"name":"Locomotive ID","value":"4022"},{"id":130,"name":"Impact","value":""},{"id":150,"name":"Time of Event (Mountain Time)","value":"16:08:51"},{"id":151,"name":"Denver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45"/>
        <v>start /low /b %USERPROFILE%\Documents\GitHub\eaglep3\Utilities\DownloadLogsFromS3.py --loco 4022 --day 2017-03-07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"%USERPROFILE%\AppData\Local\Temp\OnboardLogs"\RTDC4022\*4022*20170307* | grep -SE "(Enforcement Action)|(\[TIMEOUT)|(CHR.+\|PRM\|1\|D.+(SWITCH|SIGNAL).+UNKNOWN)" - &gt;&gt; 2017-03-07-UncaughtWiMAX.txt</v>
      </c>
    </row>
    <row r="110" spans="1:91" s="20" customFormat="1" x14ac:dyDescent="0.25">
      <c r="A110" s="33" t="s">
        <v>585</v>
      </c>
      <c r="B110" s="7">
        <v>4021</v>
      </c>
      <c r="C110" s="21" t="s">
        <v>233</v>
      </c>
      <c r="D110" s="21" t="s">
        <v>841</v>
      </c>
      <c r="E110" s="13">
        <v>42801.681574074071</v>
      </c>
      <c r="F110" s="13">
        <v>42801.685023148151</v>
      </c>
      <c r="G110" s="7">
        <v>1</v>
      </c>
      <c r="H110" s="21" t="s">
        <v>203</v>
      </c>
      <c r="I110" s="13">
        <v>42801.713819444441</v>
      </c>
      <c r="J110" s="7">
        <v>2</v>
      </c>
      <c r="K110" s="98" t="str">
        <f t="shared" si="30"/>
        <v>4021/4022</v>
      </c>
      <c r="L110" s="21" t="str">
        <f>VLOOKUP(A110,'Trips&amp;Operators'!$C$1:$G$99999,5,FALSE)</f>
        <v>LOCKLEAR TRAVIS</v>
      </c>
      <c r="M110" s="6">
        <f t="shared" si="31"/>
        <v>2.8796296290238388E-2</v>
      </c>
      <c r="N110" s="7">
        <f t="shared" si="50"/>
        <v>41.466666657943279</v>
      </c>
      <c r="O110" s="7"/>
      <c r="P110" s="7"/>
      <c r="Q110" s="22"/>
      <c r="R110" s="22"/>
      <c r="S110" s="31">
        <f t="shared" si="51"/>
        <v>1</v>
      </c>
      <c r="T110" s="46" t="str">
        <f t="shared" si="34"/>
        <v>Southbound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35"/>
        <v>https://d0f6bd738d7f1b3e5a7ca70fe4ff75f0.us-east-1.aws.found.io/app/kibana#/discover/Steve-Slow-Train-Analysis-(2080s-and-2083s)?_g=(refreshInterval:(display:Off,pause:!f,section:0,value:0),time:(from:'2017-03-07T15:21:28-0700',mode:absolute,to:'2017-03-07T18:07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0" s="187" t="str">
        <f t="shared" si="36"/>
        <v>N</v>
      </c>
      <c r="X110" s="187">
        <f t="shared" si="49"/>
        <v>1</v>
      </c>
      <c r="Y110" s="62">
        <f t="shared" si="52"/>
        <v>23.300899999999999</v>
      </c>
      <c r="Z110" s="62">
        <f t="shared" si="37"/>
        <v>1.52E-2</v>
      </c>
      <c r="AA110" s="62">
        <f t="shared" si="38"/>
        <v>23.285699999999999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9"/>
        <v>0196-07</v>
      </c>
      <c r="AE110" s="85" t="str">
        <f t="shared" si="40"/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AF110" s="82" t="str">
        <f t="shared" si="41"/>
        <v>"C:\Program Files (x86)\AstroGrep\AstroGrep.exe" /spath="%USERPROFILE%\AppData\Local\Temp\OnboardLogs" /stypes="app*4021*20170308*" /stext=" 00:.+((SYSTEM_STATE.+slice.+state.+changed )|(ment ac)|(multiple cpu faults)|(system.+state.+changed )|(\[timeout)|(PRM\|1\|D)|(kpr)|(kdp)|(\|lc)|(penalty))" /e /r /s</v>
      </c>
      <c r="AG110" s="1" t="str">
        <f t="shared" si="42"/>
        <v>EC</v>
      </c>
      <c r="AH110" s="86" t="str">
        <f t="shared" si="43"/>
        <v>"%USERPROFILE%\Documents\GitHub\eaglep3\Utilities\RefineRTDCRunTimes.py" --tripid 196-07 --locoid 4021 --swversion DE.1.0.9.0 --startMP 204:233009 --initTime 2017-03-07T16:21:28 --startdatetime 2017-03-07T16:26:26 --delay 1 --endMP 204:152 --enddatetime 2017-03-07T17:07:54 --enforcementcount 2 &gt;&gt;C:\Users\stu\Documents\GitHub\eaglep3-reporting\EC\2017-03-07-refined-times.txt</v>
      </c>
      <c r="AI110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{"issue":{"subject":"","project_id":79,"tracker_id":40,"status_id":1,"priority_id":2,"assigned_to_id":23,"start_date":"2017-03-07","description":"","custom_fields":[{"id":1,"name":"Subdivision","value":"EC"},{"id":4,"name":"Milepost","value":"0.0152"},{"id":17,"name":"Train ID","value":"196-07"},{"id":16,"name":"Locomotive ID","value":"4021"},{"id":130,"name":"Impact","value":""},{"id":150,"name":"Time of Event (Mountain Time)","value":"17:07:54"},{"id":151,"name":"Denver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45"/>
        <v>start /low /b %USERPROFILE%\Documents\GitHub\eaglep3\Utilities\DownloadLogsFromS3.py --loco 4021 --day 2017-03-07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"%USERPROFILE%\AppData\Local\Temp\OnboardLogs"\RTDC4021\*4021*20170307* | grep -SE "(Enforcement Action)|(\[TIMEOUT)|(CHR.+\|PRM\|1\|D.+(SWITCH|SIGNAL).+UNKNOWN)" - &gt;&gt; 2017-03-07-UncaughtWiMAX.txt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3" t="s">
        <v>709</v>
      </c>
      <c r="B111" s="7">
        <v>4011</v>
      </c>
      <c r="C111" s="21" t="s">
        <v>233</v>
      </c>
      <c r="D111" s="21" t="s">
        <v>842</v>
      </c>
      <c r="E111" s="13">
        <v>42801.65216435185</v>
      </c>
      <c r="F111" s="13">
        <v>42801.656412037039</v>
      </c>
      <c r="G111" s="7">
        <v>1</v>
      </c>
      <c r="H111" s="21" t="s">
        <v>843</v>
      </c>
      <c r="I111" s="13">
        <v>42801.681261574071</v>
      </c>
      <c r="J111" s="7">
        <v>2</v>
      </c>
      <c r="K111" s="98" t="str">
        <f t="shared" si="30"/>
        <v>4011/4012</v>
      </c>
      <c r="L111" s="21" t="str">
        <f>VLOOKUP(A111,'Trips&amp;Operators'!$C$1:$G$99999,5,FALSE)</f>
        <v>ROMERO CHAD</v>
      </c>
      <c r="M111" s="6">
        <f t="shared" si="31"/>
        <v>2.4849537032423541E-2</v>
      </c>
      <c r="N111" s="7">
        <f t="shared" si="50"/>
        <v>35.783333326689899</v>
      </c>
      <c r="O111" s="7"/>
      <c r="P111" s="7"/>
      <c r="Q111" s="22"/>
      <c r="R111" s="22"/>
      <c r="S111" s="31">
        <f t="shared" si="51"/>
        <v>1</v>
      </c>
      <c r="T111" s="46" t="str">
        <f t="shared" si="34"/>
        <v>NorthBound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35"/>
        <v>https://d0f6bd738d7f1b3e5a7ca70fe4ff75f0.us-east-1.aws.found.io/app/kibana#/discover/Steve-Slow-Train-Analysis-(2080s-and-2083s)?_g=(refreshInterval:(display:Off,pause:!f,section:0,value:0),time:(from:'2017-03-07T14:39:07-0700',mode:absolute,to:'2017-03-07T17:21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1" s="187" t="str">
        <f t="shared" si="36"/>
        <v>N</v>
      </c>
      <c r="X111" s="187">
        <f t="shared" si="49"/>
        <v>1</v>
      </c>
      <c r="Y111" s="62">
        <f t="shared" si="52"/>
        <v>4.2900000000000001E-2</v>
      </c>
      <c r="Z111" s="62">
        <f t="shared" si="37"/>
        <v>23.3338</v>
      </c>
      <c r="AA111" s="62">
        <f t="shared" si="38"/>
        <v>23.290900000000001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9"/>
        <v>0197-07</v>
      </c>
      <c r="AE111" s="85" t="str">
        <f t="shared" si="40"/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AF111" s="82" t="str">
        <f t="shared" si="41"/>
        <v>"C:\Program Files (x86)\AstroGrep\AstroGrep.exe" /spath="%USERPROFILE%\AppData\Local\Temp\OnboardLogs" /stypes="app*4011*20170307*" /stext=" 23:.+((SYSTEM_STATE.+slice.+state.+changed )|(ment ac)|(multiple cpu faults)|(system.+state.+changed )|(\[timeout)|(PRM\|1\|D)|(kpr)|(kdp)|(\|lc)|(penalty))" /e /r /s</v>
      </c>
      <c r="AG111" s="1" t="str">
        <f t="shared" si="42"/>
        <v>EC</v>
      </c>
      <c r="AH111" s="86" t="str">
        <f t="shared" si="43"/>
        <v>"%USERPROFILE%\Documents\GitHub\eaglep3\Utilities\RefineRTDCRunTimes.py" --tripid 197-07 --locoid 4011 --swversion DE.1.0.9.0 --startMP 204:429 --initTime 2017-03-07T15:39:07 --startdatetime 2017-03-07T15:45:14 --delay 1 --endMP 204:233338 --enddatetime 2017-03-07T16:21:01 --enforcementcount 2 &gt;&gt;C:\Users\stu\Documents\GitHub\eaglep3-reporting\EC\2017-03-07-refined-times.txt</v>
      </c>
      <c r="AI111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{"issue":{"subject":"","project_id":79,"tracker_id":40,"status_id":1,"priority_id":2,"assigned_to_id":23,"start_date":"2017-03-07","description":"","custom_fields":[{"id":1,"name":"Subdivision","value":"EC"},{"id":4,"name":"Milepost","value":"23.3338"},{"id":17,"name":"Train ID","value":"197-07"},{"id":16,"name":"Locomotive ID","value":"4011"},{"id":130,"name":"Impact","value":""},{"id":150,"name":"Time of Event (Mountain Time)","value":"16:21:01"},{"id":151,"name":"Denver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45"/>
        <v>start /low /b %USERPROFILE%\Documents\GitHub\eaglep3\Utilities\DownloadLogsFromS3.py --loco 4011 --day 2017-03-07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"%USERPROFILE%\AppData\Local\Temp\OnboardLogs"\RTDC4011\*4011*20170307* | grep -SE "(Enforcement Action)|(\[TIMEOUT)|(CHR.+\|PRM\|1\|D.+(SWITCH|SIGNAL).+UNKNOWN)" - &gt;&gt; 2017-03-07-UncaughtWiMAX.txt</v>
      </c>
    </row>
    <row r="112" spans="1:91" s="20" customFormat="1" x14ac:dyDescent="0.25">
      <c r="A112" s="33" t="s">
        <v>717</v>
      </c>
      <c r="B112" s="7">
        <v>4012</v>
      </c>
      <c r="C112" s="21" t="s">
        <v>233</v>
      </c>
      <c r="D112" s="21" t="s">
        <v>505</v>
      </c>
      <c r="E112" s="13">
        <v>42801.682592592595</v>
      </c>
      <c r="F112" s="13">
        <v>42801.695300925923</v>
      </c>
      <c r="G112" s="7">
        <v>1</v>
      </c>
      <c r="H112" s="21" t="s">
        <v>425</v>
      </c>
      <c r="I112" s="13">
        <v>42801.723796296297</v>
      </c>
      <c r="J112" s="7">
        <v>2</v>
      </c>
      <c r="K112" s="98" t="str">
        <f t="shared" si="30"/>
        <v>4011/4012</v>
      </c>
      <c r="L112" s="21" t="str">
        <f>VLOOKUP(A112,'Trips&amp;Operators'!$C$1:$G$99999,5,FALSE)</f>
        <v>ROMERO CHAD</v>
      </c>
      <c r="M112" s="6">
        <f t="shared" si="31"/>
        <v>2.849537037400296E-2</v>
      </c>
      <c r="N112" s="7">
        <f t="shared" si="50"/>
        <v>41.033333338564262</v>
      </c>
      <c r="O112" s="7"/>
      <c r="P112" s="7"/>
      <c r="Q112" s="22"/>
      <c r="R112" s="22"/>
      <c r="S112" s="31">
        <f t="shared" si="51"/>
        <v>1</v>
      </c>
      <c r="T112" s="46" t="str">
        <f t="shared" si="34"/>
        <v>Southbound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35"/>
        <v>https://d0f6bd738d7f1b3e5a7ca70fe4ff75f0.us-east-1.aws.found.io/app/kibana#/discover/Steve-Slow-Train-Analysis-(2080s-and-2083s)?_g=(refreshInterval:(display:Off,pause:!f,section:0,value:0),time:(from:'2017-03-07T15:22:56-0700',mode:absolute,to:'2017-03-07T18:22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2" s="187" t="str">
        <f t="shared" si="36"/>
        <v>N</v>
      </c>
      <c r="X112" s="187">
        <f t="shared" si="49"/>
        <v>1</v>
      </c>
      <c r="Y112" s="62">
        <f t="shared" si="52"/>
        <v>23.3019</v>
      </c>
      <c r="Z112" s="62">
        <f t="shared" si="37"/>
        <v>1.43E-2</v>
      </c>
      <c r="AA112" s="62">
        <f t="shared" si="38"/>
        <v>23.287600000000001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9"/>
        <v>0198-07</v>
      </c>
      <c r="AE112" s="85" t="str">
        <f t="shared" si="40"/>
        <v>aws s3 cp s3://rtdc.mdm.uploadarchive.raw/RTDC4012/ "%USERPROFILE%\AppData\Local\Temp\OnboardLogs"\RTDC4012\2017-03-07 --exclude "*" --recursive --include "*20170307*" &amp; "%USERPROFILE%\Documents\GitHub\mrs-test-scripts\Headless Mode &amp; Sideloading\WalkAndUnGZ.bat" "%USERPROFILE%\AppData\Local\Temp\OnboardLogs"\RTDC4012\2017-03-07 &amp; aws s3 cp s3://rtdc.mdm.uploadarchive.raw/RTDC4012/ "%USERPROFILE%\AppData\Local\Temp\OnboardLogs"\RTDC4012\2017-03-08 --exclude "*" --recursive --include "*20170308*" &amp; "%USERPROFILE%\Documents\GitHub\mrs-test-scripts\Headless Mode &amp; Sideloading\WalkAndUnGZ.bat" "%USERPROFILE%\AppData\Local\Temp\OnboardLogs"\RTDC4012\2017-03-08</v>
      </c>
      <c r="AF112" s="82" t="str">
        <f t="shared" si="41"/>
        <v>"C:\Program Files (x86)\AstroGrep\AstroGrep.exe" /spath="%USERPROFILE%\AppData\Local\Temp\OnboardLogs" /stypes="app*4012*20170308*" /stext=" 00:.+((SYSTEM_STATE.+slice.+state.+changed )|(ment ac)|(multiple cpu faults)|(system.+state.+changed )|(\[timeout)|(PRM\|1\|D)|(kpr)|(kdp)|(\|lc)|(penalty))" /e /r /s</v>
      </c>
      <c r="AG112" s="1" t="str">
        <f t="shared" si="42"/>
        <v>EC</v>
      </c>
      <c r="AH112" s="86" t="str">
        <f t="shared" si="43"/>
        <v>"%USERPROFILE%\Documents\GitHub\eaglep3\Utilities\RefineRTDCRunTimes.py" --tripid 198-07 --locoid 4012 --swversion DE.1.0.9.0 --startMP 204:233019 --initTime 2017-03-07T16:22:56 --startdatetime 2017-03-07T16:41:14 --delay 1 --endMP 204:143 --enddatetime 2017-03-07T17:22:16 --enforcementcount 2 &gt;&gt;C:\Users\stu\Documents\GitHub\eaglep3-reporting\EC\2017-03-07-refined-times.txt</v>
      </c>
      <c r="AI112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{"issue":{"subject":"","project_id":79,"tracker_id":40,"status_id":1,"priority_id":2,"assigned_to_id":23,"start_date":"2017-03-07","description":"","custom_fields":[{"id":1,"name":"Subdivision","value":"EC"},{"id":4,"name":"Milepost","value":"0.0143"},{"id":17,"name":"Train ID","value":"198-07"},{"id":16,"name":"Locomotive ID","value":"4012"},{"id":130,"name":"Impact","value":""},{"id":150,"name":"Time of Event (Mountain Time)","value":"17:22:16"},{"id":151,"name":"Denver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45"/>
        <v>start /low /b %USERPROFILE%\Documents\GitHub\eaglep3\Utilities\DownloadLogsFromS3.py --loco 4012 --day 2017-03-07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"%USERPROFILE%\AppData\Local\Temp\OnboardLogs"\RTDC4012\*4012*20170308* | grep -SE "(Enforcement Action)|(\[TIMEOUT)|(CHR.+\|PRM\|1\|D.+(SWITCH|SIGNAL).+UNKNOWN)" - &gt;&gt; 2017-03-07-UncaughtWiMAX.txt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712</v>
      </c>
      <c r="B113" s="7">
        <v>4044</v>
      </c>
      <c r="C113" s="21" t="s">
        <v>233</v>
      </c>
      <c r="D113" s="21" t="s">
        <v>844</v>
      </c>
      <c r="E113" s="13">
        <v>42801.664293981485</v>
      </c>
      <c r="F113" s="13">
        <v>42801.667523148149</v>
      </c>
      <c r="G113" s="7">
        <v>1</v>
      </c>
      <c r="H113" s="21" t="s">
        <v>497</v>
      </c>
      <c r="I113" s="13">
        <v>42801.692743055559</v>
      </c>
      <c r="J113" s="7">
        <v>2</v>
      </c>
      <c r="K113" s="98" t="str">
        <f t="shared" si="30"/>
        <v>4043/4044</v>
      </c>
      <c r="L113" s="21" t="str">
        <f>VLOOKUP(A113,'Trips&amp;Operators'!$C$1:$G$99999,5,FALSE)</f>
        <v>BRANNON JEFFREY</v>
      </c>
      <c r="M113" s="6">
        <f t="shared" si="31"/>
        <v>2.5219907409336884E-2</v>
      </c>
      <c r="N113" s="7">
        <f t="shared" si="50"/>
        <v>36.316666669445112</v>
      </c>
      <c r="O113" s="7"/>
      <c r="P113" s="7"/>
      <c r="Q113" s="22"/>
      <c r="R113" s="22"/>
      <c r="S113" s="31">
        <f t="shared" si="51"/>
        <v>1</v>
      </c>
      <c r="T113" s="46" t="str">
        <f t="shared" si="34"/>
        <v>NorthBound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35"/>
        <v>https://d0f6bd738d7f1b3e5a7ca70fe4ff75f0.us-east-1.aws.found.io/app/kibana#/discover/Steve-Slow-Train-Analysis-(2080s-and-2083s)?_g=(refreshInterval:(display:Off,pause:!f,section:0,value:0),time:(from:'2017-03-07T14:56:35-0700',mode:absolute,to:'2017-03-07T17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3" s="187" t="str">
        <f t="shared" si="36"/>
        <v>N</v>
      </c>
      <c r="X113" s="187">
        <f t="shared" si="49"/>
        <v>1</v>
      </c>
      <c r="Y113" s="62">
        <f t="shared" si="52"/>
        <v>5.0900000000000001E-2</v>
      </c>
      <c r="Z113" s="62">
        <f t="shared" si="37"/>
        <v>23.330500000000001</v>
      </c>
      <c r="AA113" s="62">
        <f t="shared" si="38"/>
        <v>23.279600000000002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9"/>
        <v>0199-07</v>
      </c>
      <c r="AE113" s="85" t="str">
        <f t="shared" si="40"/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AF113" s="82" t="str">
        <f t="shared" si="41"/>
        <v>"C:\Program Files (x86)\AstroGrep\AstroGrep.exe" /spath="%USERPROFILE%\AppData\Local\Temp\OnboardLogs" /stypes="app*4044*20170307*" /stext=" 23:.+((SYSTEM_STATE.+slice.+state.+changed )|(ment ac)|(multiple cpu faults)|(system.+state.+changed )|(\[timeout)|(PRM\|1\|D)|(kpr)|(kdp)|(\|lc)|(penalty))" /e /r /s</v>
      </c>
      <c r="AG113" s="1" t="str">
        <f t="shared" si="42"/>
        <v>EC</v>
      </c>
      <c r="AH113" s="86" t="str">
        <f t="shared" si="43"/>
        <v>"%USERPROFILE%\Documents\GitHub\eaglep3\Utilities\RefineRTDCRunTimes.py" --tripid 199-07 --locoid 4044 --swversion DE.1.0.9.0 --startMP 204:509 --initTime 2017-03-07T15:56:35 --startdatetime 2017-03-07T16:01:14 --delay 1 --endMP 204:233305 --enddatetime 2017-03-07T16:37:33 --enforcementcount 2 &gt;&gt;C:\Users\stu\Documents\GitHub\eaglep3-reporting\EC\2017-03-07-refined-times.txt</v>
      </c>
      <c r="AI113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{"issue":{"subject":"","project_id":79,"tracker_id":40,"status_id":1,"priority_id":2,"assigned_to_id":23,"start_date":"2017-03-07","description":"","custom_fields":[{"id":1,"name":"Subdivision","value":"EC"},{"id":4,"name":"Milepost","value":"23.3305"},{"id":17,"name":"Train ID","value":"199-07"},{"id":16,"name":"Locomotive ID","value":"4044"},{"id":130,"name":"Impact","value":""},{"id":150,"name":"Time of Event (Mountain Time)","value":"16:37:33"},{"id":151,"name":"Denver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45"/>
        <v>start /low /b %USERPROFILE%\Documents\GitHub\eaglep3\Utilities\DownloadLogsFromS3.py --loco 4044 --day 2017-03-07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"%USERPROFILE%\AppData\Local\Temp\OnboardLogs"\RTDC4044\*4044*20170307* | grep -SE "(Enforcement Action)|(\[TIMEOUT)|(CHR.+\|PRM\|1\|D.+(SWITCH|SIGNAL).+UNKNOWN)" - &gt;&gt; 2017-03-07-UncaughtWiMAX.txt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721</v>
      </c>
      <c r="B114" s="7">
        <v>4043</v>
      </c>
      <c r="C114" s="21" t="s">
        <v>233</v>
      </c>
      <c r="D114" s="21" t="s">
        <v>845</v>
      </c>
      <c r="E114" s="13">
        <v>42801.699201388888</v>
      </c>
      <c r="F114" s="13">
        <v>42801.705706018518</v>
      </c>
      <c r="G114" s="7">
        <v>1</v>
      </c>
      <c r="H114" s="21" t="s">
        <v>207</v>
      </c>
      <c r="I114" s="13">
        <v>42801.734027777777</v>
      </c>
      <c r="J114" s="7">
        <v>2</v>
      </c>
      <c r="K114" s="98" t="str">
        <f t="shared" si="30"/>
        <v>4043/4044</v>
      </c>
      <c r="L114" s="21" t="str">
        <f>VLOOKUP(A114,'Trips&amp;Operators'!$C$1:$G$99999,5,FALSE)</f>
        <v>BRANNON JEFFREY</v>
      </c>
      <c r="M114" s="6">
        <f t="shared" si="31"/>
        <v>2.8321759258687962E-2</v>
      </c>
      <c r="N114" s="7">
        <f t="shared" si="50"/>
        <v>40.783333332510665</v>
      </c>
      <c r="O114" s="7"/>
      <c r="P114" s="7"/>
      <c r="Q114" s="22"/>
      <c r="R114" s="22"/>
      <c r="S114" s="31">
        <f t="shared" si="51"/>
        <v>1</v>
      </c>
      <c r="T114" s="46" t="str">
        <f t="shared" si="34"/>
        <v>Southbound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35"/>
        <v>https://d0f6bd738d7f1b3e5a7ca70fe4ff75f0.us-east-1.aws.found.io/app/kibana#/discover/Steve-Slow-Train-Analysis-(2080s-and-2083s)?_g=(refreshInterval:(display:Off,pause:!f,section:0,value:0),time:(from:'2017-03-07T15:46:51-0700',mode:absolute,to:'2017-03-07T18:37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4" s="187" t="str">
        <f t="shared" si="36"/>
        <v>N</v>
      </c>
      <c r="X114" s="187">
        <f t="shared" si="49"/>
        <v>1</v>
      </c>
      <c r="Y114" s="62">
        <f t="shared" si="52"/>
        <v>23.299199999999999</v>
      </c>
      <c r="Z114" s="62">
        <f t="shared" si="37"/>
        <v>1.54E-2</v>
      </c>
      <c r="AA114" s="62">
        <f t="shared" si="38"/>
        <v>23.283799999999999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9"/>
        <v>0200-07</v>
      </c>
      <c r="AE114" s="85" t="str">
        <f t="shared" si="40"/>
        <v>aws s3 cp s3://rtdc.mdm.uploadarchive.raw/RTDC4043/ "%USERPROFILE%\AppData\Local\Temp\OnboardLogs"\RTDC4043\2017-03-07 --exclude "*" --recursive --include "*20170307*" &amp; "%USERPROFILE%\Documents\GitHub\mrs-test-scripts\Headless Mode &amp; Sideloading\WalkAndUnGZ.bat" "%USERPROFILE%\AppData\Local\Temp\OnboardLogs"\RTDC4043\2017-03-07 &amp; aws s3 cp s3://rtdc.mdm.uploadarchive.raw/RTDC4043/ "%USERPROFILE%\AppData\Local\Temp\OnboardLogs"\RTDC4043\2017-03-08 --exclude "*" --recursive --include "*20170308*" &amp; "%USERPROFILE%\Documents\GitHub\mrs-test-scripts\Headless Mode &amp; Sideloading\WalkAndUnGZ.bat" "%USERPROFILE%\AppData\Local\Temp\OnboardLogs"\RTDC4043\2017-03-08</v>
      </c>
      <c r="AF114" s="82" t="str">
        <f t="shared" si="41"/>
        <v>"C:\Program Files (x86)\AstroGrep\AstroGrep.exe" /spath="%USERPROFILE%\AppData\Local\Temp\OnboardLogs" /stypes="app*4043*20170308*" /stext=" 00:.+((SYSTEM_STATE.+slice.+state.+changed )|(ment ac)|(multiple cpu faults)|(system.+state.+changed )|(\[timeout)|(PRM\|1\|D)|(kpr)|(kdp)|(\|lc)|(penalty))" /e /r /s</v>
      </c>
      <c r="AG114" s="1" t="str">
        <f t="shared" si="42"/>
        <v>EC</v>
      </c>
      <c r="AH114" s="86" t="str">
        <f t="shared" si="43"/>
        <v>"%USERPROFILE%\Documents\GitHub\eaglep3\Utilities\RefineRTDCRunTimes.py" --tripid 200-07 --locoid 4043 --swversion DE.1.0.9.0 --startMP 204:232992 --initTime 2017-03-07T16:46:51 --startdatetime 2017-03-07T16:56:13 --delay 1 --endMP 204:154 --enddatetime 2017-03-07T17:37:00 --enforcementcount 2 &gt;&gt;C:\Users\stu\Documents\GitHub\eaglep3-reporting\EC\2017-03-07-refined-times.txt</v>
      </c>
      <c r="AI114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{"issue":{"subject":"","project_id":79,"tracker_id":40,"status_id":1,"priority_id":2,"assigned_to_id":23,"start_date":"2017-03-07","description":"","custom_fields":[{"id":1,"name":"Subdivision","value":"EC"},{"id":4,"name":"Milepost","value":"0.0154"},{"id":17,"name":"Train ID","value":"200-07"},{"id":16,"name":"Locomotive ID","value":"4043"},{"id":130,"name":"Impact","value":""},{"id":150,"name":"Time of Event (Mountain Time)","value":"17:37:00"},{"id":151,"name":"Denver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45"/>
        <v>start /low /b %USERPROFILE%\Documents\GitHub\eaglep3\Utilities\DownloadLogsFromS3.py --loco 4043 --day 2017-03-07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"%USERPROFILE%\AppData\Local\Temp\OnboardLogs"\RTDC4043\*4043*20170308* | grep -SE "(Enforcement Action)|(\[TIMEOUT)|(CHR.+\|PRM\|1\|D.+(SWITCH|SIGNAL).+UNKNOWN)" - &gt;&gt; 2017-03-07-UncaughtWiMAX.txt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716</v>
      </c>
      <c r="B115" s="7">
        <v>4018</v>
      </c>
      <c r="C115" s="21" t="s">
        <v>233</v>
      </c>
      <c r="D115" s="21" t="s">
        <v>268</v>
      </c>
      <c r="E115" s="13">
        <v>42801.67459490741</v>
      </c>
      <c r="F115" s="13">
        <v>42801.677511574075</v>
      </c>
      <c r="G115" s="7">
        <v>1</v>
      </c>
      <c r="H115" s="21" t="s">
        <v>500</v>
      </c>
      <c r="I115" s="13">
        <v>42801.705381944441</v>
      </c>
      <c r="J115" s="7">
        <v>2</v>
      </c>
      <c r="K115" s="98" t="str">
        <f t="shared" si="30"/>
        <v>4017/4018</v>
      </c>
      <c r="L115" s="21" t="str">
        <f>VLOOKUP(A115,'Trips&amp;Operators'!$C$1:$G$99999,5,FALSE)</f>
        <v>DAVIS MICHAEL</v>
      </c>
      <c r="M115" s="6">
        <f t="shared" si="31"/>
        <v>2.7870370366144925E-2</v>
      </c>
      <c r="N115" s="7">
        <f t="shared" si="50"/>
        <v>40.133333327248693</v>
      </c>
      <c r="O115" s="7"/>
      <c r="P115" s="7"/>
      <c r="Q115" s="22"/>
      <c r="R115" s="22"/>
      <c r="S115" s="31">
        <f t="shared" si="51"/>
        <v>1</v>
      </c>
      <c r="T115" s="46" t="str">
        <f t="shared" si="34"/>
        <v>NorthBound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35"/>
        <v>https://d0f6bd738d7f1b3e5a7ca70fe4ff75f0.us-east-1.aws.found.io/app/kibana#/discover/Steve-Slow-Train-Analysis-(2080s-and-2083s)?_g=(refreshInterval:(display:Off,pause:!f,section:0,value:0),time:(from:'2017-03-07T15:11:25-0700',mode:absolute,to:'2017-03-07T17:55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5" s="187" t="str">
        <f t="shared" si="36"/>
        <v>N</v>
      </c>
      <c r="X115" s="187">
        <f t="shared" si="49"/>
        <v>1</v>
      </c>
      <c r="Y115" s="62">
        <f t="shared" si="52"/>
        <v>4.4900000000000002E-2</v>
      </c>
      <c r="Z115" s="62">
        <f t="shared" si="37"/>
        <v>23.3308</v>
      </c>
      <c r="AA115" s="62">
        <f t="shared" si="38"/>
        <v>23.285900000000002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9"/>
        <v>0201-07</v>
      </c>
      <c r="AE115" s="85" t="str">
        <f t="shared" si="40"/>
        <v>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 &amp; aws s3 cp s3://rtdc.mdm.uploadarchive.raw/RTDC4018/ "%USERPROFILE%\AppData\Local\Temp\OnboardLogs"\RTDC4018\2017-03-08 --exclude "*" --recursive --include "*20170308*" &amp; "%USERPROFILE%\Documents\GitHub\mrs-test-scripts\Headless Mode &amp; Sideloading\WalkAndUnGZ.bat" "%USERPROFILE%\AppData\Local\Temp\OnboardLogs"\RTDC4018\2017-03-08</v>
      </c>
      <c r="AF115" s="82" t="str">
        <f t="shared" si="41"/>
        <v>"C:\Program Files (x86)\AstroGrep\AstroGrep.exe" /spath="%USERPROFILE%\AppData\Local\Temp\OnboardLogs" /stypes="app*4018*20170307*" /stext=" 23:.+((SYSTEM_STATE.+slice.+state.+changed )|(ment ac)|(multiple cpu faults)|(system.+state.+changed )|(\[timeout)|(PRM\|1\|D)|(kpr)|(kdp)|(\|lc)|(penalty))" /e /r /s</v>
      </c>
      <c r="AG115" s="1" t="str">
        <f t="shared" si="42"/>
        <v>EC</v>
      </c>
      <c r="AH115" s="86" t="str">
        <f t="shared" si="43"/>
        <v>"%USERPROFILE%\Documents\GitHub\eaglep3\Utilities\RefineRTDCRunTimes.py" --tripid 201-07 --locoid 4018 --swversion DE.1.0.9.0 --startMP 204:449 --initTime 2017-03-07T16:11:25 --startdatetime 2017-03-07T16:15:37 --delay 1 --endMP 204:233308 --enddatetime 2017-03-07T16:55:45 --enforcementcount 2 &gt;&gt;C:\Users\stu\Documents\GitHub\eaglep3-reporting\EC\2017-03-07-refined-times.txt</v>
      </c>
      <c r="AI115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{"issue":{"subject":"","project_id":79,"tracker_id":40,"status_id":1,"priority_id":2,"assigned_to_id":23,"start_date":"2017-03-07","description":"","custom_fields":[{"id":1,"name":"Subdivision","value":"EC"},{"id":4,"name":"Milepost","value":"23.3308"},{"id":17,"name":"Train ID","value":"201-07"},{"id":16,"name":"Locomotive ID","value":"4018"},{"id":130,"name":"Impact","value":""},{"id":150,"name":"Time of Event (Mountain Time)","value":"16:55:45"},{"id":151,"name":"Denver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45"/>
        <v>start /low /b %USERPROFILE%\Documents\GitHub\eaglep3\Utilities\DownloadLogsFromS3.py --loco 4018 --day 2017-03-07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"%USERPROFILE%\AppData\Local\Temp\OnboardLogs"\RTDC4018\*4018*20170307* | grep -SE "(Enforcement Action)|(\[TIMEOUT)|(CHR.+\|PRM\|1\|D.+(SWITCH|SIGNAL).+UNKNOWN)" - &gt;&gt; 2017-03-07-UncaughtWiMAX.txt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723</v>
      </c>
      <c r="B116" s="7">
        <v>4017</v>
      </c>
      <c r="C116" s="21" t="s">
        <v>233</v>
      </c>
      <c r="D116" s="21" t="s">
        <v>235</v>
      </c>
      <c r="E116" s="13">
        <v>42801.713078703702</v>
      </c>
      <c r="F116" s="13">
        <v>42801.716307870367</v>
      </c>
      <c r="G116" s="7">
        <v>1</v>
      </c>
      <c r="H116" s="21" t="s">
        <v>455</v>
      </c>
      <c r="I116" s="13">
        <v>42801.747384259259</v>
      </c>
      <c r="J116" s="7">
        <v>2</v>
      </c>
      <c r="K116" s="98" t="str">
        <f t="shared" si="30"/>
        <v>4017/4018</v>
      </c>
      <c r="L116" s="21" t="str">
        <f>VLOOKUP(A116,'Trips&amp;Operators'!$C$1:$G$99999,5,FALSE)</f>
        <v>DAVIS MICHAEL</v>
      </c>
      <c r="M116" s="6">
        <f t="shared" si="31"/>
        <v>3.107638889196096E-2</v>
      </c>
      <c r="N116" s="7">
        <f t="shared" si="50"/>
        <v>44.750000004423782</v>
      </c>
      <c r="O116" s="7"/>
      <c r="P116" s="7"/>
      <c r="Q116" s="22"/>
      <c r="R116" s="22"/>
      <c r="S116" s="31">
        <f t="shared" si="51"/>
        <v>1</v>
      </c>
      <c r="T116" s="46" t="str">
        <f t="shared" si="34"/>
        <v>Southbound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35"/>
        <v>https://d0f6bd738d7f1b3e5a7ca70fe4ff75f0.us-east-1.aws.found.io/app/kibana#/discover/Steve-Slow-Train-Analysis-(2080s-and-2083s)?_g=(refreshInterval:(display:Off,pause:!f,section:0,value:0),time:(from:'2017-03-07T16:06:50-0700',mode:absolute,to:'2017-03-07T18:56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6" s="187" t="str">
        <f t="shared" si="36"/>
        <v>N</v>
      </c>
      <c r="X116" s="187">
        <f t="shared" si="49"/>
        <v>1</v>
      </c>
      <c r="Y116" s="62">
        <f t="shared" si="52"/>
        <v>23.299399999999999</v>
      </c>
      <c r="Z116" s="62">
        <f t="shared" si="37"/>
        <v>1.6E-2</v>
      </c>
      <c r="AA116" s="62">
        <f t="shared" si="38"/>
        <v>23.2834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9"/>
        <v>0202-07</v>
      </c>
      <c r="AE116" s="85" t="str">
        <f t="shared" si="40"/>
        <v>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 &amp; aws s3 cp s3://rtdc.mdm.uploadarchive.raw/RTDC4017/ "%USERPROFILE%\AppData\Local\Temp\OnboardLogs"\RTDC4017\2017-03-08 --exclude "*" --recursive --include "*20170308*" &amp; "%USERPROFILE%\Documents\GitHub\mrs-test-scripts\Headless Mode &amp; Sideloading\WalkAndUnGZ.bat" "%USERPROFILE%\AppData\Local\Temp\OnboardLogs"\RTDC4017\2017-03-08</v>
      </c>
      <c r="AF116" s="82" t="str">
        <f t="shared" si="41"/>
        <v>"C:\Program Files (x86)\AstroGrep\AstroGrep.exe" /spath="%USERPROFILE%\AppData\Local\Temp\OnboardLogs" /stypes="app*4017*20170308*" /stext=" 00:.+((SYSTEM_STATE.+slice.+state.+changed )|(ment ac)|(multiple cpu faults)|(system.+state.+changed )|(\[timeout)|(PRM\|1\|D)|(kpr)|(kdp)|(\|lc)|(penalty))" /e /r /s</v>
      </c>
      <c r="AG116" s="1" t="str">
        <f t="shared" si="42"/>
        <v>EC</v>
      </c>
      <c r="AH116" s="86" t="str">
        <f t="shared" si="43"/>
        <v>"%USERPROFILE%\Documents\GitHub\eaglep3\Utilities\RefineRTDCRunTimes.py" --tripid 202-07 --locoid 4017 --swversion DE.1.0.9.0 --startMP 204:232994 --initTime 2017-03-07T17:06:50 --startdatetime 2017-03-07T17:11:29 --delay 1 --endMP 204:160 --enddatetime 2017-03-07T17:56:14 --enforcementcount 2 &gt;&gt;C:\Users\stu\Documents\GitHub\eaglep3-reporting\EC\2017-03-07-refined-times.txt</v>
      </c>
      <c r="AI116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{"issue":{"subject":"","project_id":79,"tracker_id":40,"status_id":1,"priority_id":2,"assigned_to_id":23,"start_date":"2017-03-07","description":"","custom_fields":[{"id":1,"name":"Subdivision","value":"EC"},{"id":4,"name":"Milepost","value":"0.016"},{"id":17,"name":"Train ID","value":"202-07"},{"id":16,"name":"Locomotive ID","value":"4017"},{"id":130,"name":"Impact","value":""},{"id":150,"name":"Time of Event (Mountain Time)","value":"17:56:14"},{"id":151,"name":"Denver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45"/>
        <v>start /low /b %USERPROFILE%\Documents\GitHub\eaglep3\Utilities\DownloadLogsFromS3.py --loco 4017 --day 2017-03-07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"%USERPROFILE%\AppData\Local\Temp\OnboardLogs"\RTDC4017\*4017*20170308* | grep -SE "(Enforcement Action)|(\[TIMEOUT)|(CHR.+\|PRM\|1\|D.+(SWITCH|SIGNAL).+UNKNOWN)" - &gt;&gt; 2017-03-07-UncaughtWiMAX.txt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718</v>
      </c>
      <c r="B117" s="7">
        <v>4020</v>
      </c>
      <c r="C117" s="21" t="s">
        <v>233</v>
      </c>
      <c r="D117" s="21" t="s">
        <v>201</v>
      </c>
      <c r="E117" s="13">
        <v>42801.686076388891</v>
      </c>
      <c r="F117" s="13">
        <v>42801.687696759262</v>
      </c>
      <c r="G117" s="7">
        <v>1</v>
      </c>
      <c r="H117" s="21" t="s">
        <v>511</v>
      </c>
      <c r="I117" s="13">
        <v>42801.71434027778</v>
      </c>
      <c r="J117" s="7">
        <v>2</v>
      </c>
      <c r="K117" s="98" t="str">
        <f t="shared" si="30"/>
        <v>4019/4020</v>
      </c>
      <c r="L117" s="21" t="str">
        <f>VLOOKUP(A117,'Trips&amp;Operators'!$C$1:$G$99999,5,FALSE)</f>
        <v>STEWART MICHAEL</v>
      </c>
      <c r="M117" s="6">
        <f t="shared" si="31"/>
        <v>2.6643518518540077E-2</v>
      </c>
      <c r="N117" s="7">
        <f t="shared" si="50"/>
        <v>38.366666666697711</v>
      </c>
      <c r="O117" s="7"/>
      <c r="P117" s="7"/>
      <c r="Q117" s="22"/>
      <c r="R117" s="22"/>
      <c r="S117" s="31">
        <f t="shared" si="51"/>
        <v>1</v>
      </c>
      <c r="T117" s="46" t="str">
        <f t="shared" si="34"/>
        <v>NorthBound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35"/>
        <v>https://d0f6bd738d7f1b3e5a7ca70fe4ff75f0.us-east-1.aws.found.io/app/kibana#/discover/Steve-Slow-Train-Analysis-(2080s-and-2083s)?_g=(refreshInterval:(display:Off,pause:!f,section:0,value:0),time:(from:'2017-03-07T15:27:57-0700',mode:absolute,to:'2017-03-07T18:08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7" s="187" t="str">
        <f t="shared" si="36"/>
        <v>N</v>
      </c>
      <c r="X117" s="187">
        <f t="shared" si="49"/>
        <v>1</v>
      </c>
      <c r="Y117" s="62">
        <f t="shared" si="52"/>
        <v>4.6199999999999998E-2</v>
      </c>
      <c r="Z117" s="62">
        <f t="shared" si="37"/>
        <v>23.3264</v>
      </c>
      <c r="AA117" s="62">
        <f t="shared" si="38"/>
        <v>23.280200000000001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9"/>
        <v>0203-07</v>
      </c>
      <c r="AE117" s="85" t="str">
        <f t="shared" si="40"/>
        <v>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 &amp; aws s3 cp s3://rtdc.mdm.uploadarchive.raw/RTDC4020/ "%USERPROFILE%\AppData\Local\Temp\OnboardLogs"\RTDC4020\2017-03-08 --exclude "*" --recursive --include "*20170308*" &amp; "%USERPROFILE%\Documents\GitHub\mrs-test-scripts\Headless Mode &amp; Sideloading\WalkAndUnGZ.bat" "%USERPROFILE%\AppData\Local\Temp\OnboardLogs"\RTDC4020\2017-03-08</v>
      </c>
      <c r="AF117" s="82" t="str">
        <f t="shared" si="41"/>
        <v>"C:\Program Files (x86)\AstroGrep\AstroGrep.exe" /spath="%USERPROFILE%\AppData\Local\Temp\OnboardLogs" /stypes="app*4020*20170308*" /stext=" 00:.+((SYSTEM_STATE.+slice.+state.+changed )|(ment ac)|(multiple cpu faults)|(system.+state.+changed )|(\[timeout)|(PRM\|1\|D)|(kpr)|(kdp)|(\|lc)|(penalty))" /e /r /s</v>
      </c>
      <c r="AG117" s="1" t="str">
        <f t="shared" si="42"/>
        <v>EC</v>
      </c>
      <c r="AH117" s="86" t="str">
        <f t="shared" si="43"/>
        <v>"%USERPROFILE%\Documents\GitHub\eaglep3\Utilities\RefineRTDCRunTimes.py" --tripid 203-07 --locoid 4020 --swversion DE.1.0.9.0 --startMP 204:462 --initTime 2017-03-07T16:27:57 --startdatetime 2017-03-07T16:30:17 --delay 1 --endMP 204:233264 --enddatetime 2017-03-07T17:08:39 --enforcementcount 2 &gt;&gt;C:\Users\stu\Documents\GitHub\eaglep3-reporting\EC\2017-03-07-refined-times.txt</v>
      </c>
      <c r="AI117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{"issue":{"subject":"","project_id":79,"tracker_id":40,"status_id":1,"priority_id":2,"assigned_to_id":23,"start_date":"2017-03-07","description":"","custom_fields":[{"id":1,"name":"Subdivision","value":"EC"},{"id":4,"name":"Milepost","value":"23.3264"},{"id":17,"name":"Train ID","value":"203-07"},{"id":16,"name":"Locomotive ID","value":"4020"},{"id":130,"name":"Impact","value":""},{"id":150,"name":"Time of Event (Mountain Time)","value":"17:08:39"},{"id":151,"name":"Denver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45"/>
        <v>start /low /b %USERPROFILE%\Documents\GitHub\eaglep3\Utilities\DownloadLogsFromS3.py --loco 4020 --day 2017-03-07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"%USERPROFILE%\AppData\Local\Temp\OnboardLogs"\RTDC4020\*4020*20170307* | grep -SE "(Enforcement Action)|(\[TIMEOUT)|(CHR.+\|PRM\|1\|D.+(SWITCH|SIGNAL).+UNKNOWN)" - &gt;&gt; 2017-03-07-UncaughtWiMAX.txt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589</v>
      </c>
      <c r="B118" s="7">
        <v>4019</v>
      </c>
      <c r="C118" s="21" t="s">
        <v>233</v>
      </c>
      <c r="D118" s="21" t="s">
        <v>243</v>
      </c>
      <c r="E118" s="13">
        <v>42801.724212962959</v>
      </c>
      <c r="F118" s="13">
        <v>42801.726585648146</v>
      </c>
      <c r="G118" s="7">
        <v>1</v>
      </c>
      <c r="H118" s="21" t="s">
        <v>258</v>
      </c>
      <c r="I118" s="13">
        <v>42801.755787037036</v>
      </c>
      <c r="J118" s="7">
        <v>2</v>
      </c>
      <c r="K118" s="98" t="str">
        <f t="shared" si="30"/>
        <v>4019/4020</v>
      </c>
      <c r="L118" s="21" t="str">
        <f>VLOOKUP(A118,'Trips&amp;Operators'!$C$1:$G$99999,5,FALSE)</f>
        <v>STEWART MICHAEL</v>
      </c>
      <c r="M118" s="6">
        <f t="shared" si="31"/>
        <v>2.920138889021473E-2</v>
      </c>
      <c r="N118" s="7">
        <f t="shared" si="50"/>
        <v>42.050000001909211</v>
      </c>
      <c r="O118" s="7"/>
      <c r="P118" s="7"/>
      <c r="Q118" s="22"/>
      <c r="R118" s="22"/>
      <c r="S118" s="31">
        <f t="shared" si="51"/>
        <v>1</v>
      </c>
      <c r="T118" s="46" t="str">
        <f t="shared" si="34"/>
        <v>Southbound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35"/>
        <v>https://d0f6bd738d7f1b3e5a7ca70fe4ff75f0.us-east-1.aws.found.io/app/kibana#/discover/Steve-Slow-Train-Analysis-(2080s-and-2083s)?_g=(refreshInterval:(display:Off,pause:!f,section:0,value:0),time:(from:'2017-03-07T16:22:52-0700',mode:absolute,to:'2017-03-07T19:08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8" s="187" t="str">
        <f t="shared" si="36"/>
        <v>N</v>
      </c>
      <c r="X118" s="187">
        <f t="shared" si="49"/>
        <v>1</v>
      </c>
      <c r="Y118" s="62">
        <f t="shared" si="52"/>
        <v>23.297699999999999</v>
      </c>
      <c r="Z118" s="62">
        <f t="shared" si="37"/>
        <v>1.61E-2</v>
      </c>
      <c r="AA118" s="62">
        <f t="shared" si="38"/>
        <v>23.281599999999997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9"/>
        <v>0204-07</v>
      </c>
      <c r="AE118" s="85" t="str">
        <f t="shared" si="40"/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AF118" s="82" t="str">
        <f t="shared" si="41"/>
        <v>"C:\Program Files (x86)\AstroGrep\AstroGrep.exe" /spath="%USERPROFILE%\AppData\Local\Temp\OnboardLogs" /stypes="app*4019*20170308*" /stext=" 01:.+((SYSTEM_STATE.+slice.+state.+changed )|(ment ac)|(multiple cpu faults)|(system.+state.+changed )|(\[timeout)|(PRM\|1\|D)|(kpr)|(kdp)|(\|lc)|(penalty))" /e /r /s</v>
      </c>
      <c r="AG118" s="1" t="str">
        <f t="shared" si="42"/>
        <v>EC</v>
      </c>
      <c r="AH118" s="86" t="str">
        <f t="shared" si="43"/>
        <v>"%USERPROFILE%\Documents\GitHub\eaglep3\Utilities\RefineRTDCRunTimes.py" --tripid 204-07 --locoid 4019 --swversion DE.1.0.9.0 --startMP 204:232977 --initTime 2017-03-07T17:22:52 --startdatetime 2017-03-07T17:26:17 --delay 1 --endMP 204:161 --enddatetime 2017-03-07T18:08:20 --enforcementcount 2 &gt;&gt;C:\Users\stu\Documents\GitHub\eaglep3-reporting\EC\2017-03-07-refined-times.txt</v>
      </c>
      <c r="AI118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{"issue":{"subject":"","project_id":79,"tracker_id":40,"status_id":1,"priority_id":2,"assigned_to_id":23,"start_date":"2017-03-07","description":"","custom_fields":[{"id":1,"name":"Subdivision","value":"EC"},{"id":4,"name":"Milepost","value":"0.0161"},{"id":17,"name":"Train ID","value":"204-07"},{"id":16,"name":"Locomotive ID","value":"4019"},{"id":130,"name":"Impact","value":""},{"id":150,"name":"Time of Event (Mountain Time)","value":"18:08:20"},{"id":151,"name":"Denver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45"/>
        <v>start /low /b %USERPROFILE%\Documents\GitHub\eaglep3\Utilities\DownloadLogsFromS3.py --loco 4019 --day 2017-03-07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"%USERPROFILE%\AppData\Local\Temp\OnboardLogs"\RTDC4019\*4019*20170308* | grep -SE "(Enforcement Action)|(\[TIMEOUT)|(CHR.+\|PRM\|1\|D.+(SWITCH|SIGNAL).+UNKNOWN)" - &gt;&gt; 2017-03-07-UncaughtWiMAX.txt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720</v>
      </c>
      <c r="B119" s="7">
        <v>4014</v>
      </c>
      <c r="C119" s="21" t="s">
        <v>233</v>
      </c>
      <c r="D119" s="21" t="s">
        <v>214</v>
      </c>
      <c r="E119" s="13">
        <v>42801.693981481483</v>
      </c>
      <c r="F119" s="13">
        <v>42801.698113425926</v>
      </c>
      <c r="G119" s="7">
        <v>1</v>
      </c>
      <c r="H119" s="21" t="s">
        <v>493</v>
      </c>
      <c r="I119" s="13">
        <v>42801.725405092591</v>
      </c>
      <c r="J119" s="7">
        <v>2</v>
      </c>
      <c r="K119" s="98" t="str">
        <f t="shared" si="30"/>
        <v>4013/4014</v>
      </c>
      <c r="L119" s="21" t="str">
        <f>VLOOKUP(A119,'Trips&amp;Operators'!$C$1:$G$99999,5,FALSE)</f>
        <v>LEVERE CRAIG</v>
      </c>
      <c r="M119" s="6">
        <f t="shared" si="31"/>
        <v>2.7291666665405501E-2</v>
      </c>
      <c r="N119" s="7">
        <f t="shared" si="50"/>
        <v>39.299999998183921</v>
      </c>
      <c r="O119" s="7"/>
      <c r="P119" s="7"/>
      <c r="Q119" s="22"/>
      <c r="R119" s="22"/>
      <c r="S119" s="31">
        <f t="shared" si="51"/>
        <v>1</v>
      </c>
      <c r="T119" s="46" t="str">
        <f t="shared" si="34"/>
        <v>NorthBound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35"/>
        <v>https://d0f6bd738d7f1b3e5a7ca70fe4ff75f0.us-east-1.aws.found.io/app/kibana#/discover/Steve-Slow-Train-Analysis-(2080s-and-2083s)?_g=(refreshInterval:(display:Off,pause:!f,section:0,value:0),time:(from:'2017-03-07T15:39:20-0700',mode:absolute,to:'2017-03-07T18:24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9" s="187" t="str">
        <f t="shared" si="36"/>
        <v>N</v>
      </c>
      <c r="X119" s="187">
        <f t="shared" si="49"/>
        <v>1</v>
      </c>
      <c r="Y119" s="62">
        <f t="shared" si="52"/>
        <v>4.53E-2</v>
      </c>
      <c r="Z119" s="62">
        <f t="shared" si="37"/>
        <v>23.329799999999999</v>
      </c>
      <c r="AA119" s="62">
        <f t="shared" si="38"/>
        <v>23.284499999999998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9"/>
        <v>0205-07</v>
      </c>
      <c r="AE119" s="85" t="str">
        <f t="shared" si="40"/>
        <v>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 &amp; aws s3 cp s3://rtdc.mdm.uploadarchive.raw/RTDC4014/ "%USERPROFILE%\AppData\Local\Temp\OnboardLogs"\RTDC4014\2017-03-08 --exclude "*" --recursive --include "*20170308*" &amp; "%USERPROFILE%\Documents\GitHub\mrs-test-scripts\Headless Mode &amp; Sideloading\WalkAndUnGZ.bat" "%USERPROFILE%\AppData\Local\Temp\OnboardLogs"\RTDC4014\2017-03-08</v>
      </c>
      <c r="AF119" s="82" t="str">
        <f t="shared" si="41"/>
        <v>"C:\Program Files (x86)\AstroGrep\AstroGrep.exe" /spath="%USERPROFILE%\AppData\Local\Temp\OnboardLogs" /stypes="app*4014*20170308*" /stext=" 00:.+((SYSTEM_STATE.+slice.+state.+changed )|(ment ac)|(multiple cpu faults)|(system.+state.+changed )|(\[timeout)|(PRM\|1\|D)|(kpr)|(kdp)|(\|lc)|(penalty))" /e /r /s</v>
      </c>
      <c r="AG119" s="1" t="str">
        <f t="shared" si="42"/>
        <v>EC</v>
      </c>
      <c r="AH119" s="86" t="str">
        <f t="shared" si="43"/>
        <v>"%USERPROFILE%\Documents\GitHub\eaglep3\Utilities\RefineRTDCRunTimes.py" --tripid 205-07 --locoid 4014 --swversion DE.1.0.9.0 --startMP 204:453 --initTime 2017-03-07T16:39:20 --startdatetime 2017-03-07T16:45:17 --delay 1 --endMP 204:233298 --enddatetime 2017-03-07T17:24:35 --enforcementcount 2 &gt;&gt;C:\Users\stu\Documents\GitHub\eaglep3-reporting\EC\2017-03-07-refined-times.txt</v>
      </c>
      <c r="AI119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{"issue":{"subject":"","project_id":79,"tracker_id":40,"status_id":1,"priority_id":2,"assigned_to_id":23,"start_date":"2017-03-07","description":"","custom_fields":[{"id":1,"name":"Subdivision","value":"EC"},{"id":4,"name":"Milepost","value":"23.3298"},{"id":17,"name":"Train ID","value":"205-07"},{"id":16,"name":"Locomotive ID","value":"4014"},{"id":130,"name":"Impact","value":""},{"id":150,"name":"Time of Event (Mountain Time)","value":"17:24:35"},{"id":151,"name":"Denver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45"/>
        <v>start /low /b %USERPROFILE%\Documents\GitHub\eaglep3\Utilities\DownloadLogsFromS3.py --loco 4014 --day 2017-03-07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"%USERPROFILE%\AppData\Local\Temp\OnboardLogs"\RTDC4014\*4014*20170308* | grep -SE "(Enforcement Action)|(\[TIMEOUT)|(CHR.+\|PRM\|1\|D.+(SWITCH|SIGNAL).+UNKNOWN)" - &gt;&gt; 2017-03-07-UncaughtWiMAX.txt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728</v>
      </c>
      <c r="B120" s="7">
        <v>4013</v>
      </c>
      <c r="C120" s="21" t="s">
        <v>233</v>
      </c>
      <c r="D120" s="21" t="s">
        <v>284</v>
      </c>
      <c r="E120" s="13">
        <v>42801.733194444445</v>
      </c>
      <c r="F120" s="13">
        <v>42801.737083333333</v>
      </c>
      <c r="G120" s="7">
        <v>2</v>
      </c>
      <c r="H120" s="21" t="s">
        <v>184</v>
      </c>
      <c r="I120" s="13">
        <v>42801.768206018518</v>
      </c>
      <c r="J120" s="7">
        <v>2</v>
      </c>
      <c r="K120" s="98" t="str">
        <f t="shared" si="30"/>
        <v>4013/4014</v>
      </c>
      <c r="L120" s="21" t="str">
        <f>VLOOKUP(A120,'Trips&amp;Operators'!$C$1:$G$99999,5,FALSE)</f>
        <v>LEVERE CRAIG</v>
      </c>
      <c r="M120" s="6">
        <f t="shared" si="31"/>
        <v>3.1122685184527654E-2</v>
      </c>
      <c r="N120" s="7">
        <f t="shared" si="50"/>
        <v>44.816666665719822</v>
      </c>
      <c r="O120" s="7"/>
      <c r="P120" s="7"/>
      <c r="Q120" s="22"/>
      <c r="R120" s="22"/>
      <c r="S120" s="31">
        <f t="shared" si="51"/>
        <v>1</v>
      </c>
      <c r="T120" s="46" t="str">
        <f t="shared" si="34"/>
        <v>Southbound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35"/>
        <v>https://d0f6bd738d7f1b3e5a7ca70fe4ff75f0.us-east-1.aws.found.io/app/kibana#/discover/Steve-Slow-Train-Analysis-(2080s-and-2083s)?_g=(refreshInterval:(display:Off,pause:!f,section:0,value:0),time:(from:'2017-03-07T16:35:48-0700',mode:absolute,to:'2017-03-07T19:26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0" s="187" t="str">
        <f t="shared" si="36"/>
        <v>N</v>
      </c>
      <c r="X120" s="187">
        <f t="shared" si="49"/>
        <v>1</v>
      </c>
      <c r="Y120" s="62">
        <f t="shared" si="52"/>
        <v>23.298500000000001</v>
      </c>
      <c r="Z120" s="62">
        <f t="shared" si="37"/>
        <v>1.49E-2</v>
      </c>
      <c r="AA120" s="62">
        <f t="shared" si="38"/>
        <v>23.2836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9"/>
        <v>0206-07</v>
      </c>
      <c r="AE120" s="85" t="str">
        <f t="shared" si="40"/>
        <v>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 &amp; aws s3 cp s3://rtdc.mdm.uploadarchive.raw/RTDC4013/ "%USERPROFILE%\AppData\Local\Temp\OnboardLogs"\RTDC4013\2017-03-08 --exclude "*" --recursive --include "*20170308*" &amp; "%USERPROFILE%\Documents\GitHub\mrs-test-scripts\Headless Mode &amp; Sideloading\WalkAndUnGZ.bat" "%USERPROFILE%\AppData\Local\Temp\OnboardLogs"\RTDC4013\2017-03-08</v>
      </c>
      <c r="AF120" s="82" t="str">
        <f t="shared" si="41"/>
        <v>"C:\Program Files (x86)\AstroGrep\AstroGrep.exe" /spath="%USERPROFILE%\AppData\Local\Temp\OnboardLogs" /stypes="app*4013*20170308*" /stext=" 01:.+((SYSTEM_STATE.+slice.+state.+changed )|(ment ac)|(multiple cpu faults)|(system.+state.+changed )|(\[timeout)|(PRM\|1\|D)|(kpr)|(kdp)|(\|lc)|(penalty))" /e /r /s</v>
      </c>
      <c r="AG120" s="1" t="str">
        <f t="shared" si="42"/>
        <v>EC</v>
      </c>
      <c r="AH120" s="86" t="str">
        <f t="shared" si="43"/>
        <v>"%USERPROFILE%\Documents\GitHub\eaglep3\Utilities\RefineRTDCRunTimes.py" --tripid 206-07 --locoid 4013 --swversion DE.1.0.9.0 --startMP 204:232985 --initTime 2017-03-07T17:35:48 --startdatetime 2017-03-07T17:41:24 --delay 2 --endMP 204:149 --enddatetime 2017-03-07T18:26:13 --enforcementcount 2 &gt;&gt;C:\Users\stu\Documents\GitHub\eaglep3-reporting\EC\2017-03-07-refined-times.txt</v>
      </c>
      <c r="AI120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{"issue":{"subject":"","project_id":79,"tracker_id":40,"status_id":1,"priority_id":2,"assigned_to_id":23,"start_date":"2017-03-07","description":"","custom_fields":[{"id":1,"name":"Subdivision","value":"EC"},{"id":4,"name":"Milepost","value":"0.0149"},{"id":17,"name":"Train ID","value":"206-07"},{"id":16,"name":"Locomotive ID","value":"4013"},{"id":130,"name":"Impact","value":""},{"id":150,"name":"Time of Event (Mountain Time)","value":"18:26:13"},{"id":151,"name":"Denver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45"/>
        <v>start /low /b %USERPROFILE%\Documents\GitHub\eaglep3\Utilities\DownloadLogsFromS3.py --loco 4013 --day 2017-03-07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"%USERPROFILE%\AppData\Local\Temp\OnboardLogs"\RTDC4013\*4013*20170308* | grep -SE "(Enforcement Action)|(\[TIMEOUT)|(CHR.+\|PRM\|1\|D.+(SWITCH|SIGNAL).+UNKNOWN)" - &gt;&gt; 2017-03-07-UncaughtWiMAX.txt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722</v>
      </c>
      <c r="B121" s="7">
        <v>4016</v>
      </c>
      <c r="C121" s="21" t="s">
        <v>233</v>
      </c>
      <c r="D121" s="21" t="s">
        <v>244</v>
      </c>
      <c r="E121" s="13">
        <v>42801.704594907409</v>
      </c>
      <c r="F121" s="13">
        <v>42801.708506944444</v>
      </c>
      <c r="G121" s="7">
        <v>1</v>
      </c>
      <c r="H121" s="21" t="s">
        <v>283</v>
      </c>
      <c r="I121" s="13">
        <v>42801.736226851855</v>
      </c>
      <c r="J121" s="7">
        <v>2</v>
      </c>
      <c r="K121" s="98" t="str">
        <f t="shared" si="30"/>
        <v>4015/4016</v>
      </c>
      <c r="L121" s="21" t="str">
        <f>VLOOKUP(A121,'Trips&amp;Operators'!$C$1:$G$99999,5,FALSE)</f>
        <v>CLARK KATHLEEN</v>
      </c>
      <c r="M121" s="6">
        <f t="shared" si="31"/>
        <v>2.771990741166519E-2</v>
      </c>
      <c r="N121" s="7">
        <f t="shared" si="50"/>
        <v>39.916666672797874</v>
      </c>
      <c r="O121" s="7"/>
      <c r="P121" s="7"/>
      <c r="Q121" s="22"/>
      <c r="R121" s="22"/>
      <c r="S121" s="31">
        <f t="shared" si="51"/>
        <v>1</v>
      </c>
      <c r="T121" s="46" t="str">
        <f t="shared" si="34"/>
        <v>NorthBound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35"/>
        <v>https://d0f6bd738d7f1b3e5a7ca70fe4ff75f0.us-east-1.aws.found.io/app/kibana#/discover/Steve-Slow-Train-Analysis-(2080s-and-2083s)?_g=(refreshInterval:(display:Off,pause:!f,section:0,value:0),time:(from:'2017-03-07T15:54:37-0700',mode:absolute,to:'2017-03-07T18:40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1" s="187" t="str">
        <f t="shared" si="36"/>
        <v>N</v>
      </c>
      <c r="X121" s="187">
        <f t="shared" si="49"/>
        <v>1</v>
      </c>
      <c r="Y121" s="62">
        <f t="shared" si="52"/>
        <v>4.6699999999999998E-2</v>
      </c>
      <c r="Z121" s="62">
        <f t="shared" si="37"/>
        <v>23.3291</v>
      </c>
      <c r="AA121" s="62">
        <f t="shared" si="38"/>
        <v>23.282399999999999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9"/>
        <v>0207-07</v>
      </c>
      <c r="AE121" s="85" t="str">
        <f t="shared" si="40"/>
        <v>aws s3 cp s3://rtdc.mdm.uploadarchive.raw/RTDC4016/ "%USERPROFILE%\AppData\Local\Temp\OnboardLogs"\RTDC4016\2017-03-07 --exclude "*" --recursive --include "*20170307*" &amp; "%USERPROFILE%\Documents\GitHub\mrs-test-scripts\Headless Mode &amp; Sideloading\WalkAndUnGZ.bat" "%USERPROFILE%\AppData\Local\Temp\OnboardLogs"\RTDC4016\2017-03-07 &amp; aws s3 cp s3://rtdc.mdm.uploadarchive.raw/RTDC4016/ "%USERPROFILE%\AppData\Local\Temp\OnboardLogs"\RTDC4016\2017-03-08 --exclude "*" --recursive --include "*20170308*" &amp; "%USERPROFILE%\Documents\GitHub\mrs-test-scripts\Headless Mode &amp; Sideloading\WalkAndUnGZ.bat" "%USERPROFILE%\AppData\Local\Temp\OnboardLogs"\RTDC4016\2017-03-08</v>
      </c>
      <c r="AF121" s="82" t="str">
        <f t="shared" si="41"/>
        <v>"C:\Program Files (x86)\AstroGrep\AstroGrep.exe" /spath="%USERPROFILE%\AppData\Local\Temp\OnboardLogs" /stypes="app*4016*20170308*" /stext=" 00:.+((SYSTEM_STATE.+slice.+state.+changed )|(ment ac)|(multiple cpu faults)|(system.+state.+changed )|(\[timeout)|(PRM\|1\|D)|(kpr)|(kdp)|(\|lc)|(penalty))" /e /r /s</v>
      </c>
      <c r="AG121" s="1" t="str">
        <f t="shared" si="42"/>
        <v>EC</v>
      </c>
      <c r="AH121" s="86" t="str">
        <f t="shared" si="43"/>
        <v>"%USERPROFILE%\Documents\GitHub\eaglep3\Utilities\RefineRTDCRunTimes.py" --tripid 207-07 --locoid 4016 --swversion DE.1.0.9.0 --startMP 204:467 --initTime 2017-03-07T16:54:37 --startdatetime 2017-03-07T17:00:15 --delay 1 --endMP 204:233291 --enddatetime 2017-03-07T17:40:10 --enforcementcount 2 &gt;&gt;C:\Users\stu\Documents\GitHub\eaglep3-reporting\EC\2017-03-07-refined-times.txt</v>
      </c>
      <c r="AI121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{"issue":{"subject":"","project_id":79,"tracker_id":40,"status_id":1,"priority_id":2,"assigned_to_id":23,"start_date":"2017-03-07","description":"","custom_fields":[{"id":1,"name":"Subdivision","value":"EC"},{"id":4,"name":"Milepost","value":"23.3291"},{"id":17,"name":"Train ID","value":"207-07"},{"id":16,"name":"Locomotive ID","value":"4016"},{"id":130,"name":"Impact","value":""},{"id":150,"name":"Time of Event (Mountain Time)","value":"17:40:10"},{"id":151,"name":"Denver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45"/>
        <v>start /low /b %USERPROFILE%\Documents\GitHub\eaglep3\Utilities\DownloadLogsFromS3.py --loco 4016 --day 2017-03-07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"%USERPROFILE%\AppData\Local\Temp\OnboardLogs"\RTDC4016\*4016*20170308* | grep -SE "(Enforcement Action)|(\[TIMEOUT)|(CHR.+\|PRM\|1\|D.+(SWITCH|SIGNAL).+UNKNOWN)" - &gt;&gt; 2017-03-07-UncaughtWiMAX.txt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731</v>
      </c>
      <c r="B122" s="7">
        <v>4015</v>
      </c>
      <c r="C122" s="21" t="s">
        <v>233</v>
      </c>
      <c r="D122" s="21" t="s">
        <v>269</v>
      </c>
      <c r="E122" s="13">
        <v>42801.743344907409</v>
      </c>
      <c r="F122" s="13">
        <v>42801.747384259259</v>
      </c>
      <c r="G122" s="7">
        <v>1</v>
      </c>
      <c r="H122" s="21" t="s">
        <v>846</v>
      </c>
      <c r="I122" s="13">
        <v>42801.776041666664</v>
      </c>
      <c r="J122" s="7">
        <v>2</v>
      </c>
      <c r="K122" s="98" t="str">
        <f t="shared" si="30"/>
        <v>4015/4016</v>
      </c>
      <c r="L122" s="21" t="str">
        <f>VLOOKUP(A122,'Trips&amp;Operators'!$C$1:$G$99999,5,FALSE)</f>
        <v>CLARK KATHLEEN</v>
      </c>
      <c r="M122" s="6">
        <f t="shared" si="31"/>
        <v>2.8657407405262347E-2</v>
      </c>
      <c r="N122" s="7">
        <f t="shared" si="50"/>
        <v>41.26666666357778</v>
      </c>
      <c r="O122" s="7"/>
      <c r="P122" s="7"/>
      <c r="Q122" s="22"/>
      <c r="R122" s="22"/>
      <c r="S122" s="31">
        <f t="shared" si="51"/>
        <v>1</v>
      </c>
      <c r="T122" s="46" t="str">
        <f t="shared" si="34"/>
        <v>Southbound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35"/>
        <v>https://d0f6bd738d7f1b3e5a7ca70fe4ff75f0.us-east-1.aws.found.io/app/kibana#/discover/Steve-Slow-Train-Analysis-(2080s-and-2083s)?_g=(refreshInterval:(display:Off,pause:!f,section:0,value:0),time:(from:'2017-03-07T16:50:25-0700',mode:absolute,to:'2017-03-07T19:37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2" s="187" t="str">
        <f t="shared" si="36"/>
        <v>N</v>
      </c>
      <c r="X122" s="187">
        <f t="shared" si="49"/>
        <v>1</v>
      </c>
      <c r="Y122" s="62">
        <f t="shared" si="52"/>
        <v>23.2971</v>
      </c>
      <c r="Z122" s="62">
        <f t="shared" si="37"/>
        <v>1.78E-2</v>
      </c>
      <c r="AA122" s="62">
        <f t="shared" si="38"/>
        <v>23.279299999999999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9"/>
        <v>0208-07</v>
      </c>
      <c r="AE122" s="85" t="str">
        <f t="shared" si="40"/>
        <v>aws s3 cp s3://rtdc.mdm.uploadarchive.raw/RTDC4015/ "%USERPROFILE%\AppData\Local\Temp\OnboardLogs"\RTDC4015\2017-03-07 --exclude "*" --recursive --include "*20170307*" &amp; "%USERPROFILE%\Documents\GitHub\mrs-test-scripts\Headless Mode &amp; Sideloading\WalkAndUnGZ.bat" "%USERPROFILE%\AppData\Local\Temp\OnboardLogs"\RTDC4015\2017-03-07 &amp; aws s3 cp s3://rtdc.mdm.uploadarchive.raw/RTDC4015/ "%USERPROFILE%\AppData\Local\Temp\OnboardLogs"\RTDC4015\2017-03-08 --exclude "*" --recursive --include "*20170308*" &amp; "%USERPROFILE%\Documents\GitHub\mrs-test-scripts\Headless Mode &amp; Sideloading\WalkAndUnGZ.bat" "%USERPROFILE%\AppData\Local\Temp\OnboardLogs"\RTDC4015\2017-03-08</v>
      </c>
      <c r="AF122" s="82" t="str">
        <f t="shared" si="41"/>
        <v>"C:\Program Files (x86)\AstroGrep\AstroGrep.exe" /spath="%USERPROFILE%\AppData\Local\Temp\OnboardLogs" /stypes="app*4015*20170308*" /stext=" 01:.+((SYSTEM_STATE.+slice.+state.+changed )|(ment ac)|(multiple cpu faults)|(system.+state.+changed )|(\[timeout)|(PRM\|1\|D)|(kpr)|(kdp)|(\|lc)|(penalty))" /e /r /s</v>
      </c>
      <c r="AG122" s="1" t="str">
        <f t="shared" si="42"/>
        <v>EC</v>
      </c>
      <c r="AH122" s="86" t="str">
        <f t="shared" si="43"/>
        <v>"%USERPROFILE%\Documents\GitHub\eaglep3\Utilities\RefineRTDCRunTimes.py" --tripid 208-07 --locoid 4015 --swversion DE.1.0.9.0 --startMP 204:232971 --initTime 2017-03-07T17:50:25 --startdatetime 2017-03-07T17:56:14 --delay 1 --endMP 204:178 --enddatetime 2017-03-07T18:37:30 --enforcementcount 2 &gt;&gt;C:\Users\stu\Documents\GitHub\eaglep3-reporting\EC\2017-03-07-refined-times.txt</v>
      </c>
      <c r="AI122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{"issue":{"subject":"","project_id":79,"tracker_id":40,"status_id":1,"priority_id":2,"assigned_to_id":23,"start_date":"2017-03-07","description":"","custom_fields":[{"id":1,"name":"Subdivision","value":"EC"},{"id":4,"name":"Milepost","value":"0.0178"},{"id":17,"name":"Train ID","value":"208-07"},{"id":16,"name":"Locomotive ID","value":"4015"},{"id":130,"name":"Impact","value":""},{"id":150,"name":"Time of Event (Mountain Time)","value":"18:37:30"},{"id":151,"name":"Denver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45"/>
        <v>start /low /b %USERPROFILE%\Documents\GitHub\eaglep3\Utilities\DownloadLogsFromS3.py --loco 4015 --day 2017-03-07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"%USERPROFILE%\AppData\Local\Temp\OnboardLogs"\RTDC4015\*4015*20170308* | grep -SE "(Enforcement Action)|(\[TIMEOUT)|(CHR.+\|PRM\|1\|D.+(SWITCH|SIGNAL).+UNKNOWN)" - &gt;&gt; 2017-03-07-UncaughtWiMAX.txt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725</v>
      </c>
      <c r="B123" s="7">
        <v>4022</v>
      </c>
      <c r="C123" s="21" t="s">
        <v>233</v>
      </c>
      <c r="D123" s="21" t="s">
        <v>228</v>
      </c>
      <c r="E123" s="13">
        <v>42801.718148148146</v>
      </c>
      <c r="F123" s="13">
        <v>42801.719282407408</v>
      </c>
      <c r="G123" s="7">
        <v>1</v>
      </c>
      <c r="H123" s="21" t="s">
        <v>464</v>
      </c>
      <c r="I123" s="13">
        <v>42801.745381944442</v>
      </c>
      <c r="J123" s="7">
        <v>2</v>
      </c>
      <c r="K123" s="98" t="str">
        <f t="shared" si="30"/>
        <v>4021/4022</v>
      </c>
      <c r="L123" s="21" t="str">
        <f>VLOOKUP(A123,'Trips&amp;Operators'!$C$1:$G$99999,5,FALSE)</f>
        <v>CHANDLER KELVIN</v>
      </c>
      <c r="M123" s="6">
        <f t="shared" si="31"/>
        <v>2.6099537033587694E-2</v>
      </c>
      <c r="N123" s="7">
        <f t="shared" si="50"/>
        <v>37.58333332836628</v>
      </c>
      <c r="O123" s="7"/>
      <c r="P123" s="7"/>
      <c r="Q123" s="22"/>
      <c r="R123" s="22"/>
      <c r="S123" s="31">
        <f t="shared" si="51"/>
        <v>1</v>
      </c>
      <c r="T123" s="46" t="str">
        <f t="shared" si="34"/>
        <v>NorthBound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35"/>
        <v>https://d0f6bd738d7f1b3e5a7ca70fe4ff75f0.us-east-1.aws.found.io/app/kibana#/discover/Steve-Slow-Train-Analysis-(2080s-and-2083s)?_g=(refreshInterval:(display:Off,pause:!f,section:0,value:0),time:(from:'2017-03-07T16:14:08-0700',mode:absolute,to:'2017-03-07T18:53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3" s="187" t="str">
        <f t="shared" si="36"/>
        <v>N</v>
      </c>
      <c r="X123" s="187">
        <f t="shared" si="49"/>
        <v>1</v>
      </c>
      <c r="Y123" s="62">
        <f t="shared" si="52"/>
        <v>4.6600000000000003E-2</v>
      </c>
      <c r="Z123" s="62">
        <f t="shared" si="37"/>
        <v>23.328299999999999</v>
      </c>
      <c r="AA123" s="62">
        <f t="shared" si="38"/>
        <v>23.281699999999997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9"/>
        <v>0209-07</v>
      </c>
      <c r="AE123" s="85" t="str">
        <f t="shared" si="40"/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AF123" s="82" t="str">
        <f t="shared" si="41"/>
        <v>"C:\Program Files (x86)\AstroGrep\AstroGrep.exe" /spath="%USERPROFILE%\AppData\Local\Temp\OnboardLogs" /stypes="app*4022*20170308*" /stext=" 00:.+((SYSTEM_STATE.+slice.+state.+changed )|(ment ac)|(multiple cpu faults)|(system.+state.+changed )|(\[timeout)|(PRM\|1\|D)|(kpr)|(kdp)|(\|lc)|(penalty))" /e /r /s</v>
      </c>
      <c r="AG123" s="1" t="str">
        <f t="shared" si="42"/>
        <v>EC</v>
      </c>
      <c r="AH123" s="86" t="str">
        <f t="shared" si="43"/>
        <v>"%USERPROFILE%\Documents\GitHub\eaglep3\Utilities\RefineRTDCRunTimes.py" --tripid 209-07 --locoid 4022 --swversion DE.1.0.9.0 --startMP 204:466 --initTime 2017-03-07T17:14:08 --startdatetime 2017-03-07T17:15:46 --delay 1 --endMP 204:233283 --enddatetime 2017-03-07T17:53:21 --enforcementcount 2 &gt;&gt;C:\Users\stu\Documents\GitHub\eaglep3-reporting\EC\2017-03-07-refined-times.txt</v>
      </c>
      <c r="AI123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{"issue":{"subject":"","project_id":79,"tracker_id":40,"status_id":1,"priority_id":2,"assigned_to_id":23,"start_date":"2017-03-07","description":"","custom_fields":[{"id":1,"name":"Subdivision","value":"EC"},{"id":4,"name":"Milepost","value":"23.3283"},{"id":17,"name":"Train ID","value":"209-07"},{"id":16,"name":"Locomotive ID","value":"4022"},{"id":130,"name":"Impact","value":""},{"id":150,"name":"Time of Event (Mountain Time)","value":"17:53:21"},{"id":151,"name":"Denver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45"/>
        <v>start /low /b %USERPROFILE%\Documents\GitHub\eaglep3\Utilities\DownloadLogsFromS3.py --loco 4022 --day 2017-03-07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"%USERPROFILE%\AppData\Local\Temp\OnboardLogs"\RTDC4022\*4022*20170308* | grep -SE "(Enforcement Action)|(\[TIMEOUT)|(CHR.+\|PRM\|1\|D.+(SWITCH|SIGNAL).+UNKNOWN)" - &gt;&gt; 2017-03-07-UncaughtWiMAX.txt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592</v>
      </c>
      <c r="B124" s="7">
        <v>4021</v>
      </c>
      <c r="C124" s="21" t="s">
        <v>233</v>
      </c>
      <c r="D124" s="21" t="s">
        <v>847</v>
      </c>
      <c r="E124" s="13">
        <v>42801.754317129627</v>
      </c>
      <c r="F124" s="13">
        <v>42801.757881944446</v>
      </c>
      <c r="G124" s="7">
        <v>1</v>
      </c>
      <c r="H124" s="21" t="s">
        <v>824</v>
      </c>
      <c r="I124" s="13">
        <v>42801.786504629628</v>
      </c>
      <c r="J124" s="7">
        <v>2</v>
      </c>
      <c r="K124" s="98" t="str">
        <f t="shared" si="30"/>
        <v>4021/4022</v>
      </c>
      <c r="L124" s="21" t="str">
        <f>VLOOKUP(A124,'Trips&amp;Operators'!$C$1:$G$99999,5,FALSE)</f>
        <v>CHANDLER KELVIN</v>
      </c>
      <c r="M124" s="6">
        <f t="shared" si="31"/>
        <v>2.8622685182199348E-2</v>
      </c>
      <c r="N124" s="7">
        <f t="shared" si="50"/>
        <v>41.216666662367061</v>
      </c>
      <c r="O124" s="7"/>
      <c r="P124" s="7"/>
      <c r="Q124" s="22"/>
      <c r="R124" s="22"/>
      <c r="S124" s="31">
        <f t="shared" si="51"/>
        <v>1</v>
      </c>
      <c r="T124" s="46" t="str">
        <f t="shared" si="34"/>
        <v>Southbound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35"/>
        <v>https://d0f6bd738d7f1b3e5a7ca70fe4ff75f0.us-east-1.aws.found.io/app/kibana#/discover/Steve-Slow-Train-Analysis-(2080s-and-2083s)?_g=(refreshInterval:(display:Off,pause:!f,section:0,value:0),time:(from:'2017-03-07T17:06:13-0700',mode:absolute,to:'2017-03-07T19:52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4" s="187" t="str">
        <f t="shared" si="36"/>
        <v>N</v>
      </c>
      <c r="X124" s="187">
        <f t="shared" si="49"/>
        <v>1</v>
      </c>
      <c r="Y124" s="62">
        <f t="shared" si="52"/>
        <v>23.2972</v>
      </c>
      <c r="Z124" s="62">
        <f t="shared" si="37"/>
        <v>1.7999999999999999E-2</v>
      </c>
      <c r="AA124" s="62">
        <f t="shared" si="38"/>
        <v>23.279199999999999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9"/>
        <v>0210-07</v>
      </c>
      <c r="AE124" s="85" t="str">
        <f t="shared" si="40"/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AF124" s="82" t="str">
        <f t="shared" si="41"/>
        <v>"C:\Program Files (x86)\AstroGrep\AstroGrep.exe" /spath="%USERPROFILE%\AppData\Local\Temp\OnboardLogs" /stypes="app*4021*20170308*" /stext=" 01:.+((SYSTEM_STATE.+slice.+state.+changed )|(ment ac)|(multiple cpu faults)|(system.+state.+changed )|(\[timeout)|(PRM\|1\|D)|(kpr)|(kdp)|(\|lc)|(penalty))" /e /r /s</v>
      </c>
      <c r="AG124" s="1" t="str">
        <f t="shared" si="42"/>
        <v>EC</v>
      </c>
      <c r="AH124" s="86" t="str">
        <f t="shared" si="43"/>
        <v>"%USERPROFILE%\Documents\GitHub\eaglep3\Utilities\RefineRTDCRunTimes.py" --tripid 210-07 --locoid 4021 --swversion DE.1.0.9.0 --startMP 204:232972 --initTime 2017-03-07T18:06:13 --startdatetime 2017-03-07T18:11:21 --delay 1 --endMP 204:180 --enddatetime 2017-03-07T18:52:34 --enforcementcount 2 &gt;&gt;C:\Users\stu\Documents\GitHub\eaglep3-reporting\EC\2017-03-07-refined-times.txt</v>
      </c>
      <c r="AI124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{"issue":{"subject":"","project_id":79,"tracker_id":40,"status_id":1,"priority_id":2,"assigned_to_id":23,"start_date":"2017-03-07","description":"","custom_fields":[{"id":1,"name":"Subdivision","value":"EC"},{"id":4,"name":"Milepost","value":"0.018"},{"id":17,"name":"Train ID","value":"210-07"},{"id":16,"name":"Locomotive ID","value":"4021"},{"id":130,"name":"Impact","value":""},{"id":150,"name":"Time of Event (Mountain Time)","value":"18:52:34"},{"id":151,"name":"Denver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45"/>
        <v>start /low /b %USERPROFILE%\Documents\GitHub\eaglep3\Utilities\DownloadLogsFromS3.py --loco 4021 --day 2017-03-07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"%USERPROFILE%\AppData\Local\Temp\OnboardLogs"\RTDC4021\*4021*20170308* | grep -SE "(Enforcement Action)|(\[TIMEOUT)|(CHR.+\|PRM\|1\|D.+(SWITCH|SIGNAL).+UNKNOWN)" - &gt;&gt; 2017-03-07-UncaughtWiMAX.txt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588</v>
      </c>
      <c r="B125" s="7">
        <v>4011</v>
      </c>
      <c r="C125" s="21" t="s">
        <v>233</v>
      </c>
      <c r="D125" s="21" t="s">
        <v>244</v>
      </c>
      <c r="E125" s="13">
        <v>42801.72519675926</v>
      </c>
      <c r="F125" s="13">
        <v>42801.729317129626</v>
      </c>
      <c r="G125" s="7">
        <v>1</v>
      </c>
      <c r="H125" s="21" t="s">
        <v>283</v>
      </c>
      <c r="I125" s="13">
        <v>42801.755543981482</v>
      </c>
      <c r="J125" s="7">
        <v>2</v>
      </c>
      <c r="K125" s="98" t="str">
        <f t="shared" si="30"/>
        <v>4011/4012</v>
      </c>
      <c r="L125" s="21" t="str">
        <f>VLOOKUP(A125,'Trips&amp;Operators'!$C$1:$G$99999,5,FALSE)</f>
        <v>LOCKLEAR TRAVIS</v>
      </c>
      <c r="M125" s="6">
        <f t="shared" si="31"/>
        <v>2.6226851856335998E-2</v>
      </c>
      <c r="N125" s="7">
        <f t="shared" si="50"/>
        <v>37.766666673123837</v>
      </c>
      <c r="O125" s="7"/>
      <c r="P125" s="7"/>
      <c r="Q125" s="22"/>
      <c r="R125" s="22"/>
      <c r="S125" s="31">
        <f t="shared" si="51"/>
        <v>1</v>
      </c>
      <c r="T125" s="46" t="str">
        <f t="shared" si="34"/>
        <v>NorthBound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35"/>
        <v>https://d0f6bd738d7f1b3e5a7ca70fe4ff75f0.us-east-1.aws.found.io/app/kibana#/discover/Steve-Slow-Train-Analysis-(2080s-and-2083s)?_g=(refreshInterval:(display:Off,pause:!f,section:0,value:0),time:(from:'2017-03-07T16:24:17-0700',mode:absolute,to:'2017-03-07T19:07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5" s="187" t="str">
        <f t="shared" si="36"/>
        <v>N</v>
      </c>
      <c r="X125" s="187">
        <f t="shared" ref="X125:X156" si="53">VALUE(LEFT(AD125,4))-VALUE(LEFT(AD124,4))</f>
        <v>1</v>
      </c>
      <c r="Y125" s="62">
        <f t="shared" si="52"/>
        <v>4.6699999999999998E-2</v>
      </c>
      <c r="Z125" s="62">
        <f t="shared" si="37"/>
        <v>23.3291</v>
      </c>
      <c r="AA125" s="62">
        <f t="shared" si="38"/>
        <v>23.282399999999999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9"/>
        <v>0211-07</v>
      </c>
      <c r="AE125" s="85" t="str">
        <f t="shared" si="40"/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AF125" s="82" t="str">
        <f t="shared" si="41"/>
        <v>"C:\Program Files (x86)\AstroGrep\AstroGrep.exe" /spath="%USERPROFILE%\AppData\Local\Temp\OnboardLogs" /stypes="app*4011*20170308*" /stext=" 01:.+((SYSTEM_STATE.+slice.+state.+changed )|(ment ac)|(multiple cpu faults)|(system.+state.+changed )|(\[timeout)|(PRM\|1\|D)|(kpr)|(kdp)|(\|lc)|(penalty))" /e /r /s</v>
      </c>
      <c r="AG125" s="1" t="str">
        <f t="shared" si="42"/>
        <v>EC</v>
      </c>
      <c r="AH125" s="86" t="str">
        <f t="shared" si="43"/>
        <v>"%USERPROFILE%\Documents\GitHub\eaglep3\Utilities\RefineRTDCRunTimes.py" --tripid 211-07 --locoid 4011 --swversion DE.1.0.9.0 --startMP 204:467 --initTime 2017-03-07T17:24:17 --startdatetime 2017-03-07T17:30:13 --delay 1 --endMP 204:233291 --enddatetime 2017-03-07T18:07:59 --enforcementcount 2 &gt;&gt;C:\Users\stu\Documents\GitHub\eaglep3-reporting\EC\2017-03-07-refined-times.txt</v>
      </c>
      <c r="AI125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{"issue":{"subject":"","project_id":79,"tracker_id":40,"status_id":1,"priority_id":2,"assigned_to_id":23,"start_date":"2017-03-07","description":"","custom_fields":[{"id":1,"name":"Subdivision","value":"EC"},{"id":4,"name":"Milepost","value":"23.3291"},{"id":17,"name":"Train ID","value":"211-07"},{"id":16,"name":"Locomotive ID","value":"4011"},{"id":130,"name":"Impact","value":""},{"id":150,"name":"Time of Event (Mountain Time)","value":"18:07:59"},{"id":151,"name":"Denver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45"/>
        <v>start /low /b %USERPROFILE%\Documents\GitHub\eaglep3\Utilities\DownloadLogsFromS3.py --loco 4011 --day 2017-03-07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"%USERPROFILE%\AppData\Local\Temp\OnboardLogs"\RTDC4011\*4011*20170308* | grep -SE "(Enforcement Action)|(\[TIMEOUT)|(CHR.+\|PRM\|1\|D.+(SWITCH|SIGNAL).+UNKNOWN)" - &gt;&gt; 2017-03-07-UncaughtWiMAX.txt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737</v>
      </c>
      <c r="B126" s="7">
        <v>4012</v>
      </c>
      <c r="C126" s="21" t="s">
        <v>233</v>
      </c>
      <c r="D126" s="21" t="s">
        <v>496</v>
      </c>
      <c r="E126" s="13">
        <v>42801.764270833337</v>
      </c>
      <c r="F126" s="13">
        <v>42801.768217592595</v>
      </c>
      <c r="G126" s="7">
        <v>1</v>
      </c>
      <c r="H126" s="21" t="s">
        <v>507</v>
      </c>
      <c r="I126" s="13">
        <v>42801.798344907409</v>
      </c>
      <c r="J126" s="7">
        <v>2</v>
      </c>
      <c r="K126" s="98" t="str">
        <f t="shared" si="30"/>
        <v>4011/4012</v>
      </c>
      <c r="L126" s="21" t="str">
        <f>VLOOKUP(A126,'Trips&amp;Operators'!$C$1:$G$99999,5,FALSE)</f>
        <v>LOCKLEAR TRAVIS</v>
      </c>
      <c r="M126" s="6">
        <f t="shared" si="31"/>
        <v>3.0127314814308193E-2</v>
      </c>
      <c r="N126" s="7">
        <f t="shared" si="50"/>
        <v>43.383333332603797</v>
      </c>
      <c r="O126" s="7"/>
      <c r="P126" s="7"/>
      <c r="Q126" s="22"/>
      <c r="R126" s="22"/>
      <c r="S126" s="31">
        <f t="shared" si="51"/>
        <v>1</v>
      </c>
      <c r="T126" s="46" t="str">
        <f t="shared" si="34"/>
        <v>Southbound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35"/>
        <v>https://d0f6bd738d7f1b3e5a7ca70fe4ff75f0.us-east-1.aws.found.io/app/kibana#/discover/Steve-Slow-Train-Analysis-(2080s-and-2083s)?_g=(refreshInterval:(display:Off,pause:!f,section:0,value:0),time:(from:'2017-03-07T17:20:33-0700',mode:absolute,to:'2017-03-07T20:09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6" s="187" t="str">
        <f t="shared" si="36"/>
        <v>N</v>
      </c>
      <c r="X126" s="187">
        <f t="shared" si="53"/>
        <v>1</v>
      </c>
      <c r="Y126" s="62">
        <f t="shared" si="52"/>
        <v>23.2973</v>
      </c>
      <c r="Z126" s="62">
        <f t="shared" si="37"/>
        <v>1.6299999999999999E-2</v>
      </c>
      <c r="AA126" s="62">
        <f t="shared" si="38"/>
        <v>23.280999999999999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9"/>
        <v>0212-07</v>
      </c>
      <c r="AE126" s="85" t="str">
        <f t="shared" si="40"/>
        <v>aws s3 cp s3://rtdc.mdm.uploadarchive.raw/RTDC4012/ "%USERPROFILE%\AppData\Local\Temp\OnboardLogs"\RTDC4012\2017-03-07 --exclude "*" --recursive --include "*20170307*" &amp; "%USERPROFILE%\Documents\GitHub\mrs-test-scripts\Headless Mode &amp; Sideloading\WalkAndUnGZ.bat" "%USERPROFILE%\AppData\Local\Temp\OnboardLogs"\RTDC4012\2017-03-07 &amp; aws s3 cp s3://rtdc.mdm.uploadarchive.raw/RTDC4012/ "%USERPROFILE%\AppData\Local\Temp\OnboardLogs"\RTDC4012\2017-03-08 --exclude "*" --recursive --include "*20170308*" &amp; "%USERPROFILE%\Documents\GitHub\mrs-test-scripts\Headless Mode &amp; Sideloading\WalkAndUnGZ.bat" "%USERPROFILE%\AppData\Local\Temp\OnboardLogs"\RTDC4012\2017-03-08</v>
      </c>
      <c r="AF126" s="82" t="str">
        <f t="shared" si="41"/>
        <v>"C:\Program Files (x86)\AstroGrep\AstroGrep.exe" /spath="%USERPROFILE%\AppData\Local\Temp\OnboardLogs" /stypes="app*4012*20170308*" /stext=" 02:.+((SYSTEM_STATE.+slice.+state.+changed )|(ment ac)|(multiple cpu faults)|(system.+state.+changed )|(\[timeout)|(PRM\|1\|D)|(kpr)|(kdp)|(\|lc)|(penalty))" /e /r /s</v>
      </c>
      <c r="AG126" s="1" t="str">
        <f t="shared" si="42"/>
        <v>EC</v>
      </c>
      <c r="AH126" s="86" t="str">
        <f t="shared" si="43"/>
        <v>"%USERPROFILE%\Documents\GitHub\eaglep3\Utilities\RefineRTDCRunTimes.py" --tripid 212-07 --locoid 4012 --swversion DE.1.0.9.0 --startMP 204:232973 --initTime 2017-03-07T18:20:33 --startdatetime 2017-03-07T18:26:14 --delay 1 --endMP 204:163 --enddatetime 2017-03-07T19:09:37 --enforcementcount 2 &gt;&gt;C:\Users\stu\Documents\GitHub\eaglep3-reporting\EC\2017-03-07-refined-times.txt</v>
      </c>
      <c r="AI126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{"issue":{"subject":"","project_id":79,"tracker_id":40,"status_id":1,"priority_id":2,"assigned_to_id":23,"start_date":"2017-03-07","description":"","custom_fields":[{"id":1,"name":"Subdivision","value":"EC"},{"id":4,"name":"Milepost","value":"0.0163"},{"id":17,"name":"Train ID","value":"212-07"},{"id":16,"name":"Locomotive ID","value":"4012"},{"id":130,"name":"Impact","value":""},{"id":150,"name":"Time of Event (Mountain Time)","value":"19:09:37"},{"id":151,"name":"Denver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45"/>
        <v>start /low /b %USERPROFILE%\Documents\GitHub\eaglep3\Utilities\DownloadLogsFromS3.py --loco 4012 --day 2017-03-07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"%USERPROFILE%\AppData\Local\Temp\OnboardLogs"\RTDC4012\*4012*20170308* | grep -SE "(Enforcement Action)|(\[TIMEOUT)|(CHR.+\|PRM\|1\|D.+(SWITCH|SIGNAL).+UNKNOWN)" - &gt;&gt; 2017-03-07-UncaughtWiMAX.txt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730</v>
      </c>
      <c r="B127" s="7">
        <v>4044</v>
      </c>
      <c r="C127" s="21" t="s">
        <v>233</v>
      </c>
      <c r="D127" s="21" t="s">
        <v>214</v>
      </c>
      <c r="E127" s="13">
        <v>42801.73646990741</v>
      </c>
      <c r="F127" s="13">
        <v>42801.739733796298</v>
      </c>
      <c r="G127" s="7">
        <v>1</v>
      </c>
      <c r="H127" s="21" t="s">
        <v>238</v>
      </c>
      <c r="I127" s="13">
        <v>42801.764456018522</v>
      </c>
      <c r="J127" s="7">
        <v>2</v>
      </c>
      <c r="K127" s="98" t="str">
        <f t="shared" si="30"/>
        <v>4043/4044</v>
      </c>
      <c r="L127" s="21" t="str">
        <f>VLOOKUP(A127,'Trips&amp;Operators'!$C$1:$G$99999,5,FALSE)</f>
        <v>NEWELL JAMES</v>
      </c>
      <c r="M127" s="6">
        <f t="shared" si="31"/>
        <v>2.4722222224227153E-2</v>
      </c>
      <c r="N127" s="7">
        <f t="shared" si="50"/>
        <v>35.6000000028871</v>
      </c>
      <c r="O127" s="7"/>
      <c r="P127" s="7"/>
      <c r="Q127" s="22"/>
      <c r="R127" s="22"/>
      <c r="S127" s="31">
        <f t="shared" si="51"/>
        <v>1</v>
      </c>
      <c r="T127" s="46" t="str">
        <f t="shared" si="34"/>
        <v>NorthBound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35"/>
        <v>https://d0f6bd738d7f1b3e5a7ca70fe4ff75f0.us-east-1.aws.found.io/app/kibana#/discover/Steve-Slow-Train-Analysis-(2080s-and-2083s)?_g=(refreshInterval:(display:Off,pause:!f,section:0,value:0),time:(from:'2017-03-07T16:40:31-0700',mode:absolute,to:'2017-03-07T19:20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7" s="187" t="str">
        <f t="shared" si="36"/>
        <v>N</v>
      </c>
      <c r="X127" s="187">
        <f t="shared" si="53"/>
        <v>1</v>
      </c>
      <c r="Y127" s="62">
        <f t="shared" si="52"/>
        <v>4.53E-2</v>
      </c>
      <c r="Z127" s="62">
        <f t="shared" si="37"/>
        <v>23.330400000000001</v>
      </c>
      <c r="AA127" s="62">
        <f t="shared" si="38"/>
        <v>23.2851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9"/>
        <v>0213-07</v>
      </c>
      <c r="AE127" s="85" t="str">
        <f t="shared" si="40"/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AF127" s="82" t="str">
        <f t="shared" si="41"/>
        <v>"C:\Program Files (x86)\AstroGrep\AstroGrep.exe" /spath="%USERPROFILE%\AppData\Local\Temp\OnboardLogs" /stypes="app*4044*20170308*" /stext=" 01:.+((SYSTEM_STATE.+slice.+state.+changed )|(ment ac)|(multiple cpu faults)|(system.+state.+changed )|(\[timeout)|(PRM\|1\|D)|(kpr)|(kdp)|(\|lc)|(penalty))" /e /r /s</v>
      </c>
      <c r="AG127" s="1" t="str">
        <f t="shared" si="42"/>
        <v>EC</v>
      </c>
      <c r="AH127" s="86" t="str">
        <f t="shared" si="43"/>
        <v>"%USERPROFILE%\Documents\GitHub\eaglep3\Utilities\RefineRTDCRunTimes.py" --tripid 213-07 --locoid 4044 --swversion DE.1.0.9.0 --startMP 204:453 --initTime 2017-03-07T17:40:31 --startdatetime 2017-03-07T17:45:13 --delay 1 --endMP 204:233304 --enddatetime 2017-03-07T18:20:49 --enforcementcount 2 &gt;&gt;C:\Users\stu\Documents\GitHub\eaglep3-reporting\EC\2017-03-07-refined-times.txt</v>
      </c>
      <c r="AI127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{"issue":{"subject":"","project_id":79,"tracker_id":40,"status_id":1,"priority_id":2,"assigned_to_id":23,"start_date":"2017-03-07","description":"","custom_fields":[{"id":1,"name":"Subdivision","value":"EC"},{"id":4,"name":"Milepost","value":"23.3304"},{"id":17,"name":"Train ID","value":"213-07"},{"id":16,"name":"Locomotive ID","value":"4044"},{"id":130,"name":"Impact","value":""},{"id":150,"name":"Time of Event (Mountain Time)","value":"18:20:49"},{"id":151,"name":"Denver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45"/>
        <v>start /low /b %USERPROFILE%\Documents\GitHub\eaglep3\Utilities\DownloadLogsFromS3.py --loco 4044 --day 2017-03-07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"%USERPROFILE%\AppData\Local\Temp\OnboardLogs"\RTDC4044\*4044*20170308* | grep -SE "(Enforcement Action)|(\[TIMEOUT)|(CHR.+\|PRM\|1\|D.+(SWITCH|SIGNAL).+UNKNOWN)" - &gt;&gt; 2017-03-07-UncaughtWiMAX.txt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738</v>
      </c>
      <c r="B128" s="7">
        <v>4043</v>
      </c>
      <c r="C128" s="21" t="s">
        <v>233</v>
      </c>
      <c r="D128" s="21" t="s">
        <v>793</v>
      </c>
      <c r="E128" s="13">
        <v>42801.769189814811</v>
      </c>
      <c r="F128" s="13">
        <v>42801.778634259259</v>
      </c>
      <c r="G128" s="7">
        <v>1</v>
      </c>
      <c r="H128" s="21" t="s">
        <v>207</v>
      </c>
      <c r="I128" s="13">
        <v>42801.809641203705</v>
      </c>
      <c r="J128" s="7">
        <v>2</v>
      </c>
      <c r="K128" s="98" t="str">
        <f t="shared" si="30"/>
        <v>4043/4044</v>
      </c>
      <c r="L128" s="21" t="str">
        <f>VLOOKUP(A128,'Trips&amp;Operators'!$C$1:$G$99999,5,FALSE)</f>
        <v>NEWELL JAMES</v>
      </c>
      <c r="M128" s="6">
        <f t="shared" si="31"/>
        <v>3.1006944445834961E-2</v>
      </c>
      <c r="N128" s="7">
        <f t="shared" si="50"/>
        <v>44.650000002002344</v>
      </c>
      <c r="O128" s="7"/>
      <c r="P128" s="7"/>
      <c r="Q128" s="22"/>
      <c r="R128" s="22"/>
      <c r="S128" s="31">
        <f t="shared" si="51"/>
        <v>1</v>
      </c>
      <c r="T128" s="46" t="str">
        <f t="shared" si="34"/>
        <v>Southbound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35"/>
        <v>https://d0f6bd738d7f1b3e5a7ca70fe4ff75f0.us-east-1.aws.found.io/app/kibana#/discover/Steve-Slow-Train-Analysis-(2080s-and-2083s)?_g=(refreshInterval:(display:Off,pause:!f,section:0,value:0),time:(from:'2017-03-07T17:27:38-0700',mode:absolute,to:'2017-03-07T20:25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8" s="187" t="str">
        <f t="shared" si="36"/>
        <v>N</v>
      </c>
      <c r="X128" s="187">
        <f t="shared" si="53"/>
        <v>1</v>
      </c>
      <c r="Y128" s="62">
        <f t="shared" ref="Y128:Y159" si="54">RIGHT(D128,LEN(D128)-4)/10000</f>
        <v>23.299600000000002</v>
      </c>
      <c r="Z128" s="62">
        <f t="shared" si="37"/>
        <v>1.54E-2</v>
      </c>
      <c r="AA128" s="62">
        <f t="shared" si="38"/>
        <v>23.284200000000002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9"/>
        <v>0214-07</v>
      </c>
      <c r="AE128" s="85" t="str">
        <f t="shared" si="40"/>
        <v>aws s3 cp s3://rtdc.mdm.uploadarchive.raw/RTDC4043/ "%USERPROFILE%\AppData\Local\Temp\OnboardLogs"\RTDC4043\2017-03-07 --exclude "*" --recursive --include "*20170307*" &amp; "%USERPROFILE%\Documents\GitHub\mrs-test-scripts\Headless Mode &amp; Sideloading\WalkAndUnGZ.bat" "%USERPROFILE%\AppData\Local\Temp\OnboardLogs"\RTDC4043\2017-03-07 &amp; aws s3 cp s3://rtdc.mdm.uploadarchive.raw/RTDC4043/ "%USERPROFILE%\AppData\Local\Temp\OnboardLogs"\RTDC4043\2017-03-08 --exclude "*" --recursive --include "*20170308*" &amp; "%USERPROFILE%\Documents\GitHub\mrs-test-scripts\Headless Mode &amp; Sideloading\WalkAndUnGZ.bat" "%USERPROFILE%\AppData\Local\Temp\OnboardLogs"\RTDC4043\2017-03-08</v>
      </c>
      <c r="AF128" s="82" t="str">
        <f t="shared" si="41"/>
        <v>"C:\Program Files (x86)\AstroGrep\AstroGrep.exe" /spath="%USERPROFILE%\AppData\Local\Temp\OnboardLogs" /stypes="app*4043*20170308*" /stext=" 02:.+((SYSTEM_STATE.+slice.+state.+changed )|(ment ac)|(multiple cpu faults)|(system.+state.+changed )|(\[timeout)|(PRM\|1\|D)|(kpr)|(kdp)|(\|lc)|(penalty))" /e /r /s</v>
      </c>
      <c r="AG128" s="1" t="str">
        <f t="shared" si="42"/>
        <v>EC</v>
      </c>
      <c r="AH128" s="86" t="str">
        <f t="shared" si="43"/>
        <v>"%USERPROFILE%\Documents\GitHub\eaglep3\Utilities\RefineRTDCRunTimes.py" --tripid 214-07 --locoid 4043 --swversion DE.1.0.9.0 --startMP 204:232996 --initTime 2017-03-07T18:27:38 --startdatetime 2017-03-07T18:41:14 --delay 1 --endMP 204:154 --enddatetime 2017-03-07T19:25:53 --enforcementcount 2 &gt;&gt;C:\Users\stu\Documents\GitHub\eaglep3-reporting\EC\2017-03-07-refined-times.txt</v>
      </c>
      <c r="AI128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{"issue":{"subject":"","project_id":79,"tracker_id":40,"status_id":1,"priority_id":2,"assigned_to_id":23,"start_date":"2017-03-07","description":"","custom_fields":[{"id":1,"name":"Subdivision","value":"EC"},{"id":4,"name":"Milepost","value":"0.0154"},{"id":17,"name":"Train ID","value":"214-07"},{"id":16,"name":"Locomotive ID","value":"4043"},{"id":130,"name":"Impact","value":""},{"id":150,"name":"Time of Event (Mountain Time)","value":"19:25:53"},{"id":151,"name":"Denver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45"/>
        <v>start /low /b %USERPROFILE%\Documents\GitHub\eaglep3\Utilities\DownloadLogsFromS3.py --loco 4043 --day 2017-03-07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"%USERPROFILE%\AppData\Local\Temp\OnboardLogs"\RTDC4043\*4043*20170308* | grep -SE "(Enforcement Action)|(\[TIMEOUT)|(CHR.+\|PRM\|1\|D.+(SWITCH|SIGNAL).+UNKNOWN)" - &gt;&gt; 2017-03-07-UncaughtWiMAX.txt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732</v>
      </c>
      <c r="B129" s="7">
        <v>4018</v>
      </c>
      <c r="C129" s="21" t="s">
        <v>233</v>
      </c>
      <c r="D129" s="21" t="s">
        <v>218</v>
      </c>
      <c r="E129" s="13">
        <v>42801.748773148145</v>
      </c>
      <c r="F129" s="13">
        <v>42801.750162037039</v>
      </c>
      <c r="G129" s="7">
        <v>1</v>
      </c>
      <c r="H129" s="21" t="s">
        <v>494</v>
      </c>
      <c r="I129" s="13">
        <v>42801.776898148149</v>
      </c>
      <c r="J129" s="7">
        <v>2</v>
      </c>
      <c r="K129" s="98" t="str">
        <f t="shared" si="30"/>
        <v>4017/4018</v>
      </c>
      <c r="L129" s="21" t="str">
        <f>VLOOKUP(A129,'Trips&amp;Operators'!$C$1:$G$99999,5,FALSE)</f>
        <v>BRANNON JEFFREY</v>
      </c>
      <c r="M129" s="6">
        <f t="shared" si="31"/>
        <v>2.6736111110949423E-2</v>
      </c>
      <c r="N129" s="7">
        <f t="shared" si="50"/>
        <v>38.499999999767169</v>
      </c>
      <c r="O129" s="7"/>
      <c r="P129" s="7"/>
      <c r="Q129" s="22"/>
      <c r="R129" s="22"/>
      <c r="S129" s="31">
        <f t="shared" si="51"/>
        <v>1</v>
      </c>
      <c r="T129" s="46" t="str">
        <f t="shared" si="34"/>
        <v>NorthBound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35"/>
        <v>https://d0f6bd738d7f1b3e5a7ca70fe4ff75f0.us-east-1.aws.found.io/app/kibana#/discover/Steve-Slow-Train-Analysis-(2080s-and-2083s)?_g=(refreshInterval:(display:Off,pause:!f,section:0,value:0),time:(from:'2017-03-07T16:58:14-0700',mode:absolute,to:'2017-03-07T19:38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9" s="187" t="str">
        <f t="shared" si="36"/>
        <v>N</v>
      </c>
      <c r="X129" s="187">
        <f t="shared" si="53"/>
        <v>1</v>
      </c>
      <c r="Y129" s="62">
        <f t="shared" si="54"/>
        <v>4.5499999999999999E-2</v>
      </c>
      <c r="Z129" s="62">
        <f t="shared" si="37"/>
        <v>23.328600000000002</v>
      </c>
      <c r="AA129" s="62">
        <f t="shared" si="38"/>
        <v>23.283100000000001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9"/>
        <v>0215-07</v>
      </c>
      <c r="AE129" s="85" t="str">
        <f t="shared" si="40"/>
        <v>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 &amp; aws s3 cp s3://rtdc.mdm.uploadarchive.raw/RTDC4018/ "%USERPROFILE%\AppData\Local\Temp\OnboardLogs"\RTDC4018\2017-03-08 --exclude "*" --recursive --include "*20170308*" &amp; "%USERPROFILE%\Documents\GitHub\mrs-test-scripts\Headless Mode &amp; Sideloading\WalkAndUnGZ.bat" "%USERPROFILE%\AppData\Local\Temp\OnboardLogs"\RTDC4018\2017-03-08</v>
      </c>
      <c r="AF129" s="82" t="str">
        <f t="shared" si="41"/>
        <v>"C:\Program Files (x86)\AstroGrep\AstroGrep.exe" /spath="%USERPROFILE%\AppData\Local\Temp\OnboardLogs" /stypes="app*4018*20170308*" /stext=" 01:.+((SYSTEM_STATE.+slice.+state.+changed )|(ment ac)|(multiple cpu faults)|(system.+state.+changed )|(\[timeout)|(PRM\|1\|D)|(kpr)|(kdp)|(\|lc)|(penalty))" /e /r /s</v>
      </c>
      <c r="AG129" s="1" t="str">
        <f t="shared" si="42"/>
        <v>EC</v>
      </c>
      <c r="AH129" s="86" t="str">
        <f t="shared" si="43"/>
        <v>"%USERPROFILE%\Documents\GitHub\eaglep3\Utilities\RefineRTDCRunTimes.py" --tripid 215-07 --locoid 4018 --swversion DE.1.0.9.0 --startMP 204:455 --initTime 2017-03-07T17:58:14 --startdatetime 2017-03-07T18:00:14 --delay 1 --endMP 204:233286 --enddatetime 2017-03-07T18:38:44 --enforcementcount 2 &gt;&gt;C:\Users\stu\Documents\GitHub\eaglep3-reporting\EC\2017-03-07-refined-times.txt</v>
      </c>
      <c r="AI129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{"issue":{"subject":"","project_id":79,"tracker_id":40,"status_id":1,"priority_id":2,"assigned_to_id":23,"start_date":"2017-03-07","description":"","custom_fields":[{"id":1,"name":"Subdivision","value":"EC"},{"id":4,"name":"Milepost","value":"23.3286"},{"id":17,"name":"Train ID","value":"215-07"},{"id":16,"name":"Locomotive ID","value":"4018"},{"id":130,"name":"Impact","value":""},{"id":150,"name":"Time of Event (Mountain Time)","value":"18:38:44"},{"id":151,"name":"Denver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45"/>
        <v>start /low /b %USERPROFILE%\Documents\GitHub\eaglep3\Utilities\DownloadLogsFromS3.py --loco 4018 --day 2017-03-07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"%USERPROFILE%\AppData\Local\Temp\OnboardLogs"\RTDC4018\*4018*20170308* | grep -SE "(Enforcement Action)|(\[TIMEOUT)|(CHR.+\|PRM\|1\|D.+(SWITCH|SIGNAL).+UNKNOWN)" - &gt;&gt; 2017-03-07-UncaughtWiMAX.txt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743</v>
      </c>
      <c r="B130" s="7">
        <v>4017</v>
      </c>
      <c r="C130" s="21" t="s">
        <v>233</v>
      </c>
      <c r="D130" s="21" t="s">
        <v>496</v>
      </c>
      <c r="E130" s="13">
        <v>42801.778032407405</v>
      </c>
      <c r="F130" s="13">
        <v>42801.789629629631</v>
      </c>
      <c r="G130" s="7">
        <v>1</v>
      </c>
      <c r="H130" s="21" t="s">
        <v>184</v>
      </c>
      <c r="I130" s="13">
        <v>42801.818101851852</v>
      </c>
      <c r="J130" s="7">
        <v>2</v>
      </c>
      <c r="K130" s="98" t="str">
        <f t="shared" si="30"/>
        <v>4017/4018</v>
      </c>
      <c r="L130" s="21" t="str">
        <f>VLOOKUP(A130,'Trips&amp;Operators'!$C$1:$G$99999,5,FALSE)</f>
        <v>BRANNON JEFFREY</v>
      </c>
      <c r="M130" s="6">
        <f t="shared" si="31"/>
        <v>2.8472222220443655E-2</v>
      </c>
      <c r="N130" s="7">
        <f t="shared" si="50"/>
        <v>40.999999997438863</v>
      </c>
      <c r="O130" s="7"/>
      <c r="P130" s="7"/>
      <c r="Q130" s="22"/>
      <c r="R130" s="22"/>
      <c r="S130" s="31">
        <f t="shared" si="51"/>
        <v>1</v>
      </c>
      <c r="T130" s="46" t="str">
        <f t="shared" si="34"/>
        <v>Southbound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35"/>
        <v>https://d0f6bd738d7f1b3e5a7ca70fe4ff75f0.us-east-1.aws.found.io/app/kibana#/discover/Steve-Slow-Train-Analysis-(2080s-and-2083s)?_g=(refreshInterval:(display:Off,pause:!f,section:0,value:0),time:(from:'2017-03-07T17:40:22-0700',mode:absolute,to:'2017-03-07T20:38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0" s="187" t="str">
        <f t="shared" si="36"/>
        <v>N</v>
      </c>
      <c r="X130" s="187">
        <f t="shared" si="53"/>
        <v>1</v>
      </c>
      <c r="Y130" s="62">
        <f t="shared" si="54"/>
        <v>23.2973</v>
      </c>
      <c r="Z130" s="62">
        <f t="shared" si="37"/>
        <v>1.49E-2</v>
      </c>
      <c r="AA130" s="62">
        <f t="shared" si="38"/>
        <v>23.282399999999999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9"/>
        <v>0216-07</v>
      </c>
      <c r="AE130" s="85" t="str">
        <f t="shared" si="40"/>
        <v>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 &amp; aws s3 cp s3://rtdc.mdm.uploadarchive.raw/RTDC4017/ "%USERPROFILE%\AppData\Local\Temp\OnboardLogs"\RTDC4017\2017-03-08 --exclude "*" --recursive --include "*20170308*" &amp; "%USERPROFILE%\Documents\GitHub\mrs-test-scripts\Headless Mode &amp; Sideloading\WalkAndUnGZ.bat" "%USERPROFILE%\AppData\Local\Temp\OnboardLogs"\RTDC4017\2017-03-08</v>
      </c>
      <c r="AF130" s="82" t="str">
        <f t="shared" si="41"/>
        <v>"C:\Program Files (x86)\AstroGrep\AstroGrep.exe" /spath="%USERPROFILE%\AppData\Local\Temp\OnboardLogs" /stypes="app*4017*20170308*" /stext=" 02:.+((SYSTEM_STATE.+slice.+state.+changed )|(ment ac)|(multiple cpu faults)|(system.+state.+changed )|(\[timeout)|(PRM\|1\|D)|(kpr)|(kdp)|(\|lc)|(penalty))" /e /r /s</v>
      </c>
      <c r="AG130" s="1" t="str">
        <f t="shared" si="42"/>
        <v>EC</v>
      </c>
      <c r="AH130" s="86" t="str">
        <f t="shared" si="43"/>
        <v>"%USERPROFILE%\Documents\GitHub\eaglep3\Utilities\RefineRTDCRunTimes.py" --tripid 216-07 --locoid 4017 --swversion DE.1.0.9.0 --startMP 204:232973 --initTime 2017-03-07T18:40:22 --startdatetime 2017-03-07T18:57:04 --delay 1 --endMP 204:149 --enddatetime 2017-03-07T19:38:04 --enforcementcount 2 &gt;&gt;C:\Users\stu\Documents\GitHub\eaglep3-reporting\EC\2017-03-07-refined-times.txt</v>
      </c>
      <c r="AI130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{"issue":{"subject":"","project_id":79,"tracker_id":40,"status_id":1,"priority_id":2,"assigned_to_id":23,"start_date":"2017-03-07","description":"","custom_fields":[{"id":1,"name":"Subdivision","value":"EC"},{"id":4,"name":"Milepost","value":"0.0149"},{"id":17,"name":"Train ID","value":"216-07"},{"id":16,"name":"Locomotive ID","value":"4017"},{"id":130,"name":"Impact","value":""},{"id":150,"name":"Time of Event (Mountain Time)","value":"19:38:04"},{"id":151,"name":"Denver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45"/>
        <v>start /low /b %USERPROFILE%\Documents\GitHub\eaglep3\Utilities\DownloadLogsFromS3.py --loco 4017 --day 2017-03-07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"%USERPROFILE%\AppData\Local\Temp\OnboardLogs"\RTDC4017\*4017*20170308* | grep -SE "(Enforcement Action)|(\[TIMEOUT)|(CHR.+\|PRM\|1\|D.+(SWITCH|SIGNAL).+UNKNOWN)" - &gt;&gt; 2017-03-07-UncaughtWiMAX.txt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735</v>
      </c>
      <c r="B131" s="7">
        <v>4020</v>
      </c>
      <c r="C131" s="21" t="s">
        <v>233</v>
      </c>
      <c r="D131" s="21" t="s">
        <v>278</v>
      </c>
      <c r="E131" s="13">
        <v>42801.759618055556</v>
      </c>
      <c r="F131" s="13">
        <v>42801.763969907406</v>
      </c>
      <c r="G131" s="7">
        <v>2</v>
      </c>
      <c r="H131" s="21" t="s">
        <v>503</v>
      </c>
      <c r="I131" s="13">
        <v>42801.789629629631</v>
      </c>
      <c r="J131" s="7">
        <v>2</v>
      </c>
      <c r="K131" s="98" t="str">
        <f t="shared" si="30"/>
        <v>4019/4020</v>
      </c>
      <c r="L131" s="21" t="str">
        <f>VLOOKUP(A131,'Trips&amp;Operators'!$C$1:$G$99999,5,FALSE)</f>
        <v>STORY SAMANTHA</v>
      </c>
      <c r="M131" s="6">
        <f t="shared" si="31"/>
        <v>2.5659722225100268E-2</v>
      </c>
      <c r="N131" s="7">
        <f t="shared" si="50"/>
        <v>36.950000004144385</v>
      </c>
      <c r="O131" s="7"/>
      <c r="P131" s="7"/>
      <c r="Q131" s="22"/>
      <c r="R131" s="22"/>
      <c r="S131" s="31">
        <f t="shared" si="51"/>
        <v>1</v>
      </c>
      <c r="T131" s="46" t="str">
        <f t="shared" si="34"/>
        <v>NorthBound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35"/>
        <v>https://d0f6bd738d7f1b3e5a7ca70fe4ff75f0.us-east-1.aws.found.io/app/kibana#/discover/Steve-Slow-Train-Analysis-(2080s-and-2083s)?_g=(refreshInterval:(display:Off,pause:!f,section:0,value:0),time:(from:'2017-03-07T17:13:51-0700',mode:absolute,to:'2017-03-07T19:57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1" s="187" t="str">
        <f t="shared" si="36"/>
        <v>N</v>
      </c>
      <c r="X131" s="187">
        <f t="shared" si="53"/>
        <v>1</v>
      </c>
      <c r="Y131" s="62">
        <f t="shared" si="54"/>
        <v>4.7800000000000002E-2</v>
      </c>
      <c r="Z131" s="62">
        <f t="shared" si="37"/>
        <v>23.3261</v>
      </c>
      <c r="AA131" s="62">
        <f t="shared" si="38"/>
        <v>23.278300000000002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9"/>
        <v>0217-07</v>
      </c>
      <c r="AE131" s="85" t="str">
        <f t="shared" si="40"/>
        <v>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 &amp; aws s3 cp s3://rtdc.mdm.uploadarchive.raw/RTDC4020/ "%USERPROFILE%\AppData\Local\Temp\OnboardLogs"\RTDC4020\2017-03-08 --exclude "*" --recursive --include "*20170308*" &amp; "%USERPROFILE%\Documents\GitHub\mrs-test-scripts\Headless Mode &amp; Sideloading\WalkAndUnGZ.bat" "%USERPROFILE%\AppData\Local\Temp\OnboardLogs"\RTDC4020\2017-03-08</v>
      </c>
      <c r="AF131" s="82" t="str">
        <f t="shared" si="41"/>
        <v>"C:\Program Files (x86)\AstroGrep\AstroGrep.exe" /spath="%USERPROFILE%\AppData\Local\Temp\OnboardLogs" /stypes="app*4020*20170308*" /stext=" 01:.+((SYSTEM_STATE.+slice.+state.+changed )|(ment ac)|(multiple cpu faults)|(system.+state.+changed )|(\[timeout)|(PRM\|1\|D)|(kpr)|(kdp)|(\|lc)|(penalty))" /e /r /s</v>
      </c>
      <c r="AG131" s="1" t="str">
        <f t="shared" si="42"/>
        <v>EC</v>
      </c>
      <c r="AH131" s="86" t="str">
        <f t="shared" si="43"/>
        <v>"%USERPROFILE%\Documents\GitHub\eaglep3\Utilities\RefineRTDCRunTimes.py" --tripid 217-07 --locoid 4020 --swversion DE.1.0.9.0 --startMP 204:478 --initTime 2017-03-07T18:13:51 --startdatetime 2017-03-07T18:20:07 --delay 2 --endMP 204:233261 --enddatetime 2017-03-07T18:57:04 --enforcementcount 2 &gt;&gt;C:\Users\stu\Documents\GitHub\eaglep3-reporting\EC\2017-03-07-refined-times.txt</v>
      </c>
      <c r="AI131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{"issue":{"subject":"","project_id":79,"tracker_id":40,"status_id":1,"priority_id":2,"assigned_to_id":23,"start_date":"2017-03-07","description":"","custom_fields":[{"id":1,"name":"Subdivision","value":"EC"},{"id":4,"name":"Milepost","value":"23.3261"},{"id":17,"name":"Train ID","value":"217-07"},{"id":16,"name":"Locomotive ID","value":"4020"},{"id":130,"name":"Impact","value":""},{"id":150,"name":"Time of Event (Mountain Time)","value":"18:57:04"},{"id":151,"name":"Denver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45"/>
        <v>start /low /b %USERPROFILE%\Documents\GitHub\eaglep3\Utilities\DownloadLogsFromS3.py --loco 4020 --day 2017-03-07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"%USERPROFILE%\AppData\Local\Temp\OnboardLogs"\RTDC4020\*4020*20170308* | grep -SE "(Enforcement Action)|(\[TIMEOUT)|(CHR.+\|PRM\|1\|D.+(SWITCH|SIGNAL).+UNKNOWN)" - &gt;&gt; 2017-03-07-UncaughtWiMAX.txt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746</v>
      </c>
      <c r="B132" s="7">
        <v>4019</v>
      </c>
      <c r="C132" s="21" t="s">
        <v>233</v>
      </c>
      <c r="D132" s="21" t="s">
        <v>848</v>
      </c>
      <c r="E132" s="13">
        <v>42801.793738425928</v>
      </c>
      <c r="F132" s="13">
        <v>42801.799699074072</v>
      </c>
      <c r="G132" s="7">
        <v>1</v>
      </c>
      <c r="H132" s="21" t="s">
        <v>260</v>
      </c>
      <c r="I132" s="13">
        <v>42801.828055555554</v>
      </c>
      <c r="J132" s="7">
        <v>2</v>
      </c>
      <c r="K132" s="98" t="str">
        <f t="shared" si="30"/>
        <v>4019/4020</v>
      </c>
      <c r="L132" s="21" t="str">
        <f>VLOOKUP(A132,'Trips&amp;Operators'!$C$1:$G$99999,5,FALSE)</f>
        <v>STORY SAMANTHA</v>
      </c>
      <c r="M132" s="6">
        <f t="shared" si="31"/>
        <v>2.8356481481750961E-2</v>
      </c>
      <c r="N132" s="7">
        <f t="shared" si="50"/>
        <v>40.833333333721384</v>
      </c>
      <c r="O132" s="7"/>
      <c r="P132" s="7"/>
      <c r="Q132" s="22"/>
      <c r="R132" s="22"/>
      <c r="S132" s="31">
        <f t="shared" si="51"/>
        <v>1</v>
      </c>
      <c r="T132" s="46" t="str">
        <f t="shared" si="34"/>
        <v>Southbound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35"/>
        <v>https://d0f6bd738d7f1b3e5a7ca70fe4ff75f0.us-east-1.aws.found.io/app/kibana#/discover/Steve-Slow-Train-Analysis-(2080s-and-2083s)?_g=(refreshInterval:(display:Off,pause:!f,section:0,value:0),time:(from:'2017-03-07T18:02:59-0700',mode:absolute,to:'2017-03-07T20:52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2" s="187" t="str">
        <f t="shared" si="36"/>
        <v>N</v>
      </c>
      <c r="X132" s="187">
        <f t="shared" si="53"/>
        <v>1</v>
      </c>
      <c r="Y132" s="62">
        <f t="shared" si="54"/>
        <v>23.2959</v>
      </c>
      <c r="Z132" s="62">
        <f t="shared" si="37"/>
        <v>1.67E-2</v>
      </c>
      <c r="AA132" s="62">
        <f t="shared" si="38"/>
        <v>23.279199999999999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9"/>
        <v>0218-07</v>
      </c>
      <c r="AE132" s="85" t="str">
        <f t="shared" si="40"/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AF132" s="82" t="str">
        <f t="shared" si="41"/>
        <v>"C:\Program Files (x86)\AstroGrep\AstroGrep.exe" /spath="%USERPROFILE%\AppData\Local\Temp\OnboardLogs" /stypes="app*4019*20170308*" /stext=" 02:.+((SYSTEM_STATE.+slice.+state.+changed )|(ment ac)|(multiple cpu faults)|(system.+state.+changed )|(\[timeout)|(PRM\|1\|D)|(kpr)|(kdp)|(\|lc)|(penalty))" /e /r /s</v>
      </c>
      <c r="AG132" s="1" t="str">
        <f t="shared" si="42"/>
        <v>EC</v>
      </c>
      <c r="AH132" s="86" t="str">
        <f t="shared" si="43"/>
        <v>"%USERPROFILE%\Documents\GitHub\eaglep3\Utilities\RefineRTDCRunTimes.py" --tripid 218-07 --locoid 4019 --swversion DE.1.0.9.0 --startMP 204:232959 --initTime 2017-03-07T19:02:59 --startdatetime 2017-03-07T19:11:34 --delay 1 --endMP 204:167 --enddatetime 2017-03-07T19:52:24 --enforcementcount 2 &gt;&gt;C:\Users\stu\Documents\GitHub\eaglep3-reporting\EC\2017-03-07-refined-times.txt</v>
      </c>
      <c r="AI132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{"issue":{"subject":"","project_id":79,"tracker_id":40,"status_id":1,"priority_id":2,"assigned_to_id":23,"start_date":"2017-03-07","description":"","custom_fields":[{"id":1,"name":"Subdivision","value":"EC"},{"id":4,"name":"Milepost","value":"0.0167"},{"id":17,"name":"Train ID","value":"218-07"},{"id":16,"name":"Locomotive ID","value":"4019"},{"id":130,"name":"Impact","value":""},{"id":150,"name":"Time of Event (Mountain Time)","value":"19:52:24"},{"id":151,"name":"Denver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45"/>
        <v>start /low /b %USERPROFILE%\Documents\GitHub\eaglep3\Utilities\DownloadLogsFromS3.py --loco 4019 --day 2017-03-07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"%USERPROFILE%\AppData\Local\Temp\OnboardLogs"\RTDC4019\*4019*20170308* | grep -SE "(Enforcement Action)|(\[TIMEOUT)|(CHR.+\|PRM\|1\|D.+(SWITCH|SIGNAL).+UNKNOWN)" - &gt;&gt; 2017-03-07-UncaughtWiMAX.txt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740</v>
      </c>
      <c r="B133" s="7">
        <v>4014</v>
      </c>
      <c r="C133" s="21" t="s">
        <v>233</v>
      </c>
      <c r="D133" s="21" t="s">
        <v>245</v>
      </c>
      <c r="E133" s="13">
        <v>42801.770949074074</v>
      </c>
      <c r="F133" s="13">
        <v>42801.772812499999</v>
      </c>
      <c r="G133" s="7">
        <v>2</v>
      </c>
      <c r="H133" s="21" t="s">
        <v>849</v>
      </c>
      <c r="I133" s="13">
        <v>42801.79792824074</v>
      </c>
      <c r="J133" s="7">
        <v>2</v>
      </c>
      <c r="K133" s="98" t="str">
        <f t="shared" si="30"/>
        <v>4013/4014</v>
      </c>
      <c r="L133" s="21" t="str">
        <f>VLOOKUP(A133,'Trips&amp;Operators'!$C$1:$G$99999,5,FALSE)</f>
        <v>STAMBAUGH JAMES</v>
      </c>
      <c r="M133" s="6">
        <f t="shared" si="31"/>
        <v>2.5115740740147885E-2</v>
      </c>
      <c r="N133" s="7">
        <f t="shared" si="50"/>
        <v>36.166666665812954</v>
      </c>
      <c r="O133" s="7"/>
      <c r="P133" s="7"/>
      <c r="Q133" s="22"/>
      <c r="R133" s="22"/>
      <c r="S133" s="31">
        <f t="shared" si="51"/>
        <v>1</v>
      </c>
      <c r="T133" s="46" t="str">
        <f t="shared" si="34"/>
        <v>NorthBound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35"/>
        <v>https://d0f6bd738d7f1b3e5a7ca70fe4ff75f0.us-east-1.aws.found.io/app/kibana#/discover/Steve-Slow-Train-Analysis-(2080s-and-2083s)?_g=(refreshInterval:(display:Off,pause:!f,section:0,value:0),time:(from:'2017-03-07T17:30:10-0700',mode:absolute,to:'2017-03-07T20:09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3" s="187" t="str">
        <f t="shared" si="36"/>
        <v>N</v>
      </c>
      <c r="X133" s="187">
        <f t="shared" si="53"/>
        <v>1</v>
      </c>
      <c r="Y133" s="62">
        <f t="shared" si="54"/>
        <v>4.7300000000000002E-2</v>
      </c>
      <c r="Z133" s="62">
        <f t="shared" si="37"/>
        <v>23.341200000000001</v>
      </c>
      <c r="AA133" s="62">
        <f t="shared" si="38"/>
        <v>23.293900000000001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9"/>
        <v>0219-07</v>
      </c>
      <c r="AE133" s="85" t="str">
        <f t="shared" si="40"/>
        <v>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 &amp; aws s3 cp s3://rtdc.mdm.uploadarchive.raw/RTDC4014/ "%USERPROFILE%\AppData\Local\Temp\OnboardLogs"\RTDC4014\2017-03-08 --exclude "*" --recursive --include "*20170308*" &amp; "%USERPROFILE%\Documents\GitHub\mrs-test-scripts\Headless Mode &amp; Sideloading\WalkAndUnGZ.bat" "%USERPROFILE%\AppData\Local\Temp\OnboardLogs"\RTDC4014\2017-03-08</v>
      </c>
      <c r="AF133" s="82" t="str">
        <f t="shared" si="41"/>
        <v>"C:\Program Files (x86)\AstroGrep\AstroGrep.exe" /spath="%USERPROFILE%\AppData\Local\Temp\OnboardLogs" /stypes="app*4014*20170308*" /stext=" 02:.+((SYSTEM_STATE.+slice.+state.+changed )|(ment ac)|(multiple cpu faults)|(system.+state.+changed )|(\[timeout)|(PRM\|1\|D)|(kpr)|(kdp)|(\|lc)|(penalty))" /e /r /s</v>
      </c>
      <c r="AG133" s="1" t="str">
        <f t="shared" si="42"/>
        <v>EC</v>
      </c>
      <c r="AH133" s="86" t="str">
        <f t="shared" si="43"/>
        <v>"%USERPROFILE%\Documents\GitHub\eaglep3\Utilities\RefineRTDCRunTimes.py" --tripid 219-07 --locoid 4014 --swversion DE.1.0.9.0 --startMP 204:473 --initTime 2017-03-07T18:30:10 --startdatetime 2017-03-07T18:32:51 --delay 2 --endMP 204:233412 --enddatetime 2017-03-07T19:09:01 --enforcementcount 2 &gt;&gt;C:\Users\stu\Documents\GitHub\eaglep3-reporting\EC\2017-03-07-refined-times.txt</v>
      </c>
      <c r="AI133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{"issue":{"subject":"","project_id":79,"tracker_id":40,"status_id":1,"priority_id":2,"assigned_to_id":23,"start_date":"2017-03-07","description":"","custom_fields":[{"id":1,"name":"Subdivision","value":"EC"},{"id":4,"name":"Milepost","value":"23.3412"},{"id":17,"name":"Train ID","value":"219-07"},{"id":16,"name":"Locomotive ID","value":"4014"},{"id":130,"name":"Impact","value":""},{"id":150,"name":"Time of Event (Mountain Time)","value":"19:09:01"},{"id":151,"name":"Denver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45"/>
        <v>start /low /b %USERPROFILE%\Documents\GitHub\eaglep3\Utilities\DownloadLogsFromS3.py --loco 4014 --day 2017-03-07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"%USERPROFILE%\AppData\Local\Temp\OnboardLogs"\RTDC4014\*4014*20170308* | grep -SE "(Enforcement Action)|(\[TIMEOUT)|(CHR.+\|PRM\|1\|D.+(SWITCH|SIGNAL).+UNKNOWN)" - &gt;&gt; 2017-03-07-UncaughtWiMAX.txt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749</v>
      </c>
      <c r="B134" s="7">
        <v>4013</v>
      </c>
      <c r="C134" s="21" t="s">
        <v>233</v>
      </c>
      <c r="D134" s="21" t="s">
        <v>850</v>
      </c>
      <c r="E134" s="13">
        <v>42801.799953703703</v>
      </c>
      <c r="F134" s="13">
        <v>42801.810231481482</v>
      </c>
      <c r="G134" s="7">
        <v>2</v>
      </c>
      <c r="H134" s="21" t="s">
        <v>851</v>
      </c>
      <c r="I134" s="13">
        <v>42801.836446759262</v>
      </c>
      <c r="J134" s="7">
        <v>2</v>
      </c>
      <c r="K134" s="98" t="str">
        <f t="shared" si="30"/>
        <v>4013/4014</v>
      </c>
      <c r="L134" s="21" t="str">
        <f>VLOOKUP(A134,'Trips&amp;Operators'!$C$1:$G$99999,5,FALSE)</f>
        <v>STAMBAUGH JAMES</v>
      </c>
      <c r="M134" s="6">
        <f t="shared" si="31"/>
        <v>2.6215277779556345E-2</v>
      </c>
      <c r="N134" s="7">
        <f t="shared" si="50"/>
        <v>37.750000002561137</v>
      </c>
      <c r="O134" s="7"/>
      <c r="P134" s="7"/>
      <c r="Q134" s="22"/>
      <c r="R134" s="22"/>
      <c r="S134" s="31">
        <f t="shared" si="51"/>
        <v>1</v>
      </c>
      <c r="T134" s="46" t="str">
        <f t="shared" si="34"/>
        <v>Southbound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35"/>
        <v>https://d0f6bd738d7f1b3e5a7ca70fe4ff75f0.us-east-1.aws.found.io/app/kibana#/discover/Steve-Slow-Train-Analysis-(2080s-and-2083s)?_g=(refreshInterval:(display:Off,pause:!f,section:0,value:0),time:(from:'2017-03-07T18:11:56-0700',mode:absolute,to:'2017-03-07T21:04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4" s="187" t="str">
        <f t="shared" si="36"/>
        <v>N</v>
      </c>
      <c r="X134" s="187">
        <f t="shared" si="53"/>
        <v>1</v>
      </c>
      <c r="Y134" s="62">
        <f t="shared" si="54"/>
        <v>23.311299999999999</v>
      </c>
      <c r="Z134" s="62">
        <f t="shared" si="37"/>
        <v>1.12E-2</v>
      </c>
      <c r="AA134" s="62">
        <f t="shared" si="38"/>
        <v>23.3001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9"/>
        <v>0220-07</v>
      </c>
      <c r="AE134" s="85" t="str">
        <f t="shared" si="40"/>
        <v>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 &amp; aws s3 cp s3://rtdc.mdm.uploadarchive.raw/RTDC4013/ "%USERPROFILE%\AppData\Local\Temp\OnboardLogs"\RTDC4013\2017-03-08 --exclude "*" --recursive --include "*20170308*" &amp; "%USERPROFILE%\Documents\GitHub\mrs-test-scripts\Headless Mode &amp; Sideloading\WalkAndUnGZ.bat" "%USERPROFILE%\AppData\Local\Temp\OnboardLogs"\RTDC4013\2017-03-08</v>
      </c>
      <c r="AF134" s="82" t="str">
        <f t="shared" si="41"/>
        <v>"C:\Program Files (x86)\AstroGrep\AstroGrep.exe" /spath="%USERPROFILE%\AppData\Local\Temp\OnboardLogs" /stypes="app*4013*20170308*" /stext=" 03:.+((SYSTEM_STATE.+slice.+state.+changed )|(ment ac)|(multiple cpu faults)|(system.+state.+changed )|(\[timeout)|(PRM\|1\|D)|(kpr)|(kdp)|(\|lc)|(penalty))" /e /r /s</v>
      </c>
      <c r="AG134" s="1" t="str">
        <f t="shared" si="42"/>
        <v>EC</v>
      </c>
      <c r="AH134" s="86" t="str">
        <f t="shared" si="43"/>
        <v>"%USERPROFILE%\Documents\GitHub\eaglep3\Utilities\RefineRTDCRunTimes.py" --tripid 220-07 --locoid 4013 --swversion DE.1.0.9.0 --startMP 204:233113 --initTime 2017-03-07T19:11:56 --startdatetime 2017-03-07T19:26:44 --delay 2 --endMP 204:112 --enddatetime 2017-03-07T20:04:29 --enforcementcount 2 &gt;&gt;C:\Users\stu\Documents\GitHub\eaglep3-reporting\EC\2017-03-07-refined-times.txt</v>
      </c>
      <c r="AI134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{"issue":{"subject":"","project_id":79,"tracker_id":40,"status_id":1,"priority_id":2,"assigned_to_id":23,"start_date":"2017-03-07","description":"","custom_fields":[{"id":1,"name":"Subdivision","value":"EC"},{"id":4,"name":"Milepost","value":"0.0112"},{"id":17,"name":"Train ID","value":"220-07"},{"id":16,"name":"Locomotive ID","value":"4013"},{"id":130,"name":"Impact","value":""},{"id":150,"name":"Time of Event (Mountain Time)","value":"20:04:29"},{"id":151,"name":"Denver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45"/>
        <v>start /low /b %USERPROFILE%\Documents\GitHub\eaglep3\Utilities\DownloadLogsFromS3.py --loco 4013 --day 2017-03-07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"%USERPROFILE%\AppData\Local\Temp\OnboardLogs"\RTDC4013\*4013*20170308* | grep -SE "(Enforcement Action)|(\[TIMEOUT)|(CHR.+\|PRM\|1\|D.+(SWITCH|SIGNAL).+UNKNOWN)" - &gt;&gt; 2017-03-07-UncaughtWiMAX.txt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745</v>
      </c>
      <c r="B135" s="7">
        <v>4022</v>
      </c>
      <c r="C135" s="21" t="s">
        <v>233</v>
      </c>
      <c r="D135" s="21" t="s">
        <v>211</v>
      </c>
      <c r="E135" s="13">
        <v>42801.78943287037</v>
      </c>
      <c r="F135" s="13">
        <v>42801.792025462964</v>
      </c>
      <c r="G135" s="7">
        <v>1</v>
      </c>
      <c r="H135" s="21" t="s">
        <v>511</v>
      </c>
      <c r="I135" s="13">
        <v>42801.817499999997</v>
      </c>
      <c r="J135" s="7">
        <v>2</v>
      </c>
      <c r="K135" s="98" t="str">
        <f t="shared" si="30"/>
        <v>4021/4022</v>
      </c>
      <c r="L135" s="21" t="str">
        <f>VLOOKUP(A135,'Trips&amp;Operators'!$C$1:$G$99999,5,FALSE)</f>
        <v>CHANDLER KELVIN</v>
      </c>
      <c r="M135" s="6">
        <f t="shared" si="31"/>
        <v>2.5474537033005618E-2</v>
      </c>
      <c r="N135" s="7">
        <f t="shared" si="50"/>
        <v>36.683333327528089</v>
      </c>
      <c r="O135" s="7"/>
      <c r="P135" s="7"/>
      <c r="Q135" s="22"/>
      <c r="R135" s="22"/>
      <c r="S135" s="31">
        <f t="shared" si="51"/>
        <v>1</v>
      </c>
      <c r="T135" s="46" t="str">
        <f t="shared" si="34"/>
        <v>NorthBound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35"/>
        <v>https://d0f6bd738d7f1b3e5a7ca70fe4ff75f0.us-east-1.aws.found.io/app/kibana#/discover/Steve-Slow-Train-Analysis-(2080s-and-2083s)?_g=(refreshInterval:(display:Off,pause:!f,section:0,value:0),time:(from:'2017-03-07T17:56:47-0700',mode:absolute,to:'2017-03-07T20:37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5" s="187" t="str">
        <f t="shared" si="36"/>
        <v>N</v>
      </c>
      <c r="X135" s="187">
        <f t="shared" si="53"/>
        <v>1</v>
      </c>
      <c r="Y135" s="62">
        <f t="shared" si="54"/>
        <v>4.5999999999999999E-2</v>
      </c>
      <c r="Z135" s="62">
        <f t="shared" si="37"/>
        <v>23.3264</v>
      </c>
      <c r="AA135" s="62">
        <f t="shared" si="38"/>
        <v>23.2804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9"/>
        <v>0221-07</v>
      </c>
      <c r="AE135" s="85" t="str">
        <f t="shared" si="40"/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AF135" s="82" t="str">
        <f t="shared" si="41"/>
        <v>"C:\Program Files (x86)\AstroGrep\AstroGrep.exe" /spath="%USERPROFILE%\AppData\Local\Temp\OnboardLogs" /stypes="app*4022*20170308*" /stext=" 02:.+((SYSTEM_STATE.+slice.+state.+changed )|(ment ac)|(multiple cpu faults)|(system.+state.+changed )|(\[timeout)|(PRM\|1\|D)|(kpr)|(kdp)|(\|lc)|(penalty))" /e /r /s</v>
      </c>
      <c r="AG135" s="1" t="str">
        <f t="shared" si="42"/>
        <v>EC</v>
      </c>
      <c r="AH135" s="86" t="str">
        <f t="shared" si="43"/>
        <v>"%USERPROFILE%\Documents\GitHub\eaglep3\Utilities\RefineRTDCRunTimes.py" --tripid 221-07 --locoid 4022 --swversion DE.1.0.9.0 --startMP 204:460 --initTime 2017-03-07T18:56:47 --startdatetime 2017-03-07T19:00:31 --delay 1 --endMP 204:233264 --enddatetime 2017-03-07T19:37:12 --enforcementcount 2 &gt;&gt;C:\Users\stu\Documents\GitHub\eaglep3-reporting\EC\2017-03-07-refined-times.txt</v>
      </c>
      <c r="AI135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{"issue":{"subject":"","project_id":79,"tracker_id":40,"status_id":1,"priority_id":2,"assigned_to_id":23,"start_date":"2017-03-07","description":"","custom_fields":[{"id":1,"name":"Subdivision","value":"EC"},{"id":4,"name":"Milepost","value":"23.3264"},{"id":17,"name":"Train ID","value":"221-07"},{"id":16,"name":"Locomotive ID","value":"4022"},{"id":130,"name":"Impact","value":""},{"id":150,"name":"Time of Event (Mountain Time)","value":"19:37:12"},{"id":151,"name":"Denver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45"/>
        <v>start /low /b %USERPROFILE%\Documents\GitHub\eaglep3\Utilities\DownloadLogsFromS3.py --loco 4022 --day 2017-03-07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"%USERPROFILE%\AppData\Local\Temp\OnboardLogs"\RTDC4022\*4022*20170308* | grep -SE "(Enforcement Action)|(\[TIMEOUT)|(CHR.+\|PRM\|1\|D.+(SWITCH|SIGNAL).+UNKNOWN)" - &gt;&gt; 2017-03-07-UncaughtWiMAX.txt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753</v>
      </c>
      <c r="B136" s="7">
        <v>4021</v>
      </c>
      <c r="C136" s="21" t="s">
        <v>233</v>
      </c>
      <c r="D136" s="21" t="s">
        <v>515</v>
      </c>
      <c r="E136" s="13">
        <v>42801.827233796299</v>
      </c>
      <c r="F136" s="13">
        <v>42801.831018518518</v>
      </c>
      <c r="G136" s="7">
        <v>1</v>
      </c>
      <c r="H136" s="21" t="s">
        <v>254</v>
      </c>
      <c r="I136" s="13">
        <v>42801.860069444447</v>
      </c>
      <c r="J136" s="7">
        <v>2</v>
      </c>
      <c r="K136" s="98" t="str">
        <f t="shared" si="30"/>
        <v>4021/4022</v>
      </c>
      <c r="L136" s="21" t="str">
        <f>VLOOKUP(A136,'Trips&amp;Operators'!$C$1:$G$99999,5,FALSE)</f>
        <v>CHANDLER KELVIN</v>
      </c>
      <c r="M136" s="6">
        <f t="shared" si="31"/>
        <v>2.9050925928459037E-2</v>
      </c>
      <c r="N136" s="7">
        <f t="shared" si="50"/>
        <v>41.833333336981013</v>
      </c>
      <c r="O136" s="7"/>
      <c r="P136" s="7"/>
      <c r="Q136" s="22"/>
      <c r="R136" s="22"/>
      <c r="S136" s="31">
        <f t="shared" si="51"/>
        <v>1</v>
      </c>
      <c r="T136" s="46" t="str">
        <f t="shared" si="34"/>
        <v>Southbound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35"/>
        <v>https://d0f6bd738d7f1b3e5a7ca70fe4ff75f0.us-east-1.aws.found.io/app/kibana#/discover/Steve-Slow-Train-Analysis-(2080s-and-2083s)?_g=(refreshInterval:(display:Off,pause:!f,section:0,value:0),time:(from:'2017-03-07T18:51:13-0700',mode:absolute,to:'2017-03-07T21:38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6" s="187" t="str">
        <f t="shared" si="36"/>
        <v>N</v>
      </c>
      <c r="X136" s="187">
        <f t="shared" si="53"/>
        <v>1</v>
      </c>
      <c r="Y136" s="62">
        <f t="shared" si="54"/>
        <v>23.296600000000002</v>
      </c>
      <c r="Z136" s="62">
        <f t="shared" si="37"/>
        <v>1.34E-2</v>
      </c>
      <c r="AA136" s="62">
        <f t="shared" si="38"/>
        <v>23.283200000000001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9"/>
        <v>0222-07</v>
      </c>
      <c r="AE136" s="85" t="str">
        <f t="shared" si="40"/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AF136" s="82" t="str">
        <f t="shared" si="41"/>
        <v>"C:\Program Files (x86)\AstroGrep\AstroGrep.exe" /spath="%USERPROFILE%\AppData\Local\Temp\OnboardLogs" /stypes="app*4021*20170308*" /stext=" 03:.+((SYSTEM_STATE.+slice.+state.+changed )|(ment ac)|(multiple cpu faults)|(system.+state.+changed )|(\[timeout)|(PRM\|1\|D)|(kpr)|(kdp)|(\|lc)|(penalty))" /e /r /s</v>
      </c>
      <c r="AG136" s="1" t="str">
        <f t="shared" si="42"/>
        <v>EC</v>
      </c>
      <c r="AH136" s="86" t="str">
        <f t="shared" si="43"/>
        <v>"%USERPROFILE%\Documents\GitHub\eaglep3\Utilities\RefineRTDCRunTimes.py" --tripid 222-07 --locoid 4021 --swversion DE.1.0.9.0 --startMP 204:232966 --initTime 2017-03-07T19:51:13 --startdatetime 2017-03-07T19:56:40 --delay 1 --endMP 204:134 --enddatetime 2017-03-07T20:38:30 --enforcementcount 2 &gt;&gt;C:\Users\stu\Documents\GitHub\eaglep3-reporting\EC\2017-03-07-refined-times.txt</v>
      </c>
      <c r="AI136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{"issue":{"subject":"","project_id":79,"tracker_id":40,"status_id":1,"priority_id":2,"assigned_to_id":23,"start_date":"2017-03-07","description":"","custom_fields":[{"id":1,"name":"Subdivision","value":"EC"},{"id":4,"name":"Milepost","value":"0.0134"},{"id":17,"name":"Train ID","value":"222-07"},{"id":16,"name":"Locomotive ID","value":"4021"},{"id":130,"name":"Impact","value":""},{"id":150,"name":"Time of Event (Mountain Time)","value":"20:38:30"},{"id":151,"name":"Denver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45"/>
        <v>start /low /b %USERPROFILE%\Documents\GitHub\eaglep3\Utilities\DownloadLogsFromS3.py --loco 4021 --day 2017-03-07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"%USERPROFILE%\AppData\Local\Temp\OnboardLogs"\RTDC4021\*4021*20170308* | grep -SE "(Enforcement Action)|(\[TIMEOUT)|(CHR.+\|PRM\|1\|D.+(SWITCH|SIGNAL).+UNKNOWN)" - &gt;&gt; 2017-03-07-UncaughtWiMAX.txt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750</v>
      </c>
      <c r="B137" s="7">
        <v>4044</v>
      </c>
      <c r="C137" s="21" t="s">
        <v>233</v>
      </c>
      <c r="D137" s="21" t="s">
        <v>268</v>
      </c>
      <c r="E137" s="13">
        <v>42801.810798611114</v>
      </c>
      <c r="F137" s="13">
        <v>42801.812650462962</v>
      </c>
      <c r="G137" s="7">
        <v>1</v>
      </c>
      <c r="H137" s="21" t="s">
        <v>493</v>
      </c>
      <c r="I137" s="13">
        <v>42801.837581018517</v>
      </c>
      <c r="J137" s="7">
        <v>2</v>
      </c>
      <c r="K137" s="98" t="str">
        <f t="shared" si="30"/>
        <v>4043/4044</v>
      </c>
      <c r="L137" s="21" t="str">
        <f>VLOOKUP(A137,'Trips&amp;Operators'!$C$1:$G$99999,5,FALSE)</f>
        <v>NEWELL JAMES</v>
      </c>
      <c r="M137" s="6">
        <f t="shared" si="31"/>
        <v>2.4930555555329192E-2</v>
      </c>
      <c r="N137" s="7">
        <f t="shared" si="50"/>
        <v>35.899999999674037</v>
      </c>
      <c r="O137" s="7"/>
      <c r="P137" s="7"/>
      <c r="Q137" s="22"/>
      <c r="R137" s="22"/>
      <c r="S137" s="31">
        <f t="shared" si="51"/>
        <v>1</v>
      </c>
      <c r="T137" s="46" t="str">
        <f t="shared" si="34"/>
        <v>NorthBound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35"/>
        <v>https://d0f6bd738d7f1b3e5a7ca70fe4ff75f0.us-east-1.aws.found.io/app/kibana#/discover/Steve-Slow-Train-Analysis-(2080s-and-2083s)?_g=(refreshInterval:(display:Off,pause:!f,section:0,value:0),time:(from:'2017-03-07T18:27:33-0700',mode:absolute,to:'2017-03-07T21:06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7" s="187" t="str">
        <f t="shared" si="36"/>
        <v>N</v>
      </c>
      <c r="X137" s="187">
        <f t="shared" si="53"/>
        <v>1</v>
      </c>
      <c r="Y137" s="62">
        <f t="shared" si="54"/>
        <v>4.4900000000000002E-2</v>
      </c>
      <c r="Z137" s="62">
        <f t="shared" si="37"/>
        <v>23.329799999999999</v>
      </c>
      <c r="AA137" s="62">
        <f t="shared" si="38"/>
        <v>23.2849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9"/>
        <v>0223-07</v>
      </c>
      <c r="AE137" s="85" t="str">
        <f t="shared" si="40"/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AF137" s="82" t="str">
        <f t="shared" si="41"/>
        <v>"C:\Program Files (x86)\AstroGrep\AstroGrep.exe" /spath="%USERPROFILE%\AppData\Local\Temp\OnboardLogs" /stypes="app*4044*20170308*" /stext=" 03:.+((SYSTEM_STATE.+slice.+state.+changed )|(ment ac)|(multiple cpu faults)|(system.+state.+changed )|(\[timeout)|(PRM\|1\|D)|(kpr)|(kdp)|(\|lc)|(penalty))" /e /r /s</v>
      </c>
      <c r="AG137" s="1" t="str">
        <f t="shared" si="42"/>
        <v>EC</v>
      </c>
      <c r="AH137" s="86" t="str">
        <f t="shared" si="43"/>
        <v>"%USERPROFILE%\Documents\GitHub\eaglep3\Utilities\RefineRTDCRunTimes.py" --tripid 223-07 --locoid 4044 --swversion DE.1.0.9.0 --startMP 204:449 --initTime 2017-03-07T19:27:33 --startdatetime 2017-03-07T19:30:13 --delay 1 --endMP 204:233298 --enddatetime 2017-03-07T20:06:07 --enforcementcount 2 &gt;&gt;C:\Users\stu\Documents\GitHub\eaglep3-reporting\EC\2017-03-07-refined-times.txt</v>
      </c>
      <c r="AI137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{"issue":{"subject":"","project_id":79,"tracker_id":40,"status_id":1,"priority_id":2,"assigned_to_id":23,"start_date":"2017-03-07","description":"","custom_fields":[{"id":1,"name":"Subdivision","value":"EC"},{"id":4,"name":"Milepost","value":"23.3298"},{"id":17,"name":"Train ID","value":"223-07"},{"id":16,"name":"Locomotive ID","value":"4044"},{"id":130,"name":"Impact","value":""},{"id":150,"name":"Time of Event (Mountain Time)","value":"20:06:07"},{"id":151,"name":"Denver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45"/>
        <v>start /low /b %USERPROFILE%\Documents\GitHub\eaglep3\Utilities\DownloadLogsFromS3.py --loco 4044 --day 2017-03-07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"%USERPROFILE%\AppData\Local\Temp\OnboardLogs"\RTDC4044\*4044*20170308* | grep -SE "(Enforcement Action)|(\[TIMEOUT)|(CHR.+\|PRM\|1\|D.+(SWITCH|SIGNAL).+UNKNOWN)" - &gt;&gt; 2017-03-07-UncaughtWiMAX.txt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755</v>
      </c>
      <c r="B138" s="7">
        <v>4043</v>
      </c>
      <c r="C138" s="21" t="s">
        <v>233</v>
      </c>
      <c r="D138" s="21" t="s">
        <v>459</v>
      </c>
      <c r="E138" s="13">
        <v>42801.838622685187</v>
      </c>
      <c r="F138" s="13">
        <v>42801.852939814817</v>
      </c>
      <c r="G138" s="7">
        <v>1</v>
      </c>
      <c r="H138" s="21" t="s">
        <v>258</v>
      </c>
      <c r="I138" s="13">
        <v>42801.880578703705</v>
      </c>
      <c r="J138" s="7">
        <v>2</v>
      </c>
      <c r="K138" s="98" t="str">
        <f t="shared" si="30"/>
        <v>4043/4044</v>
      </c>
      <c r="L138" s="21" t="str">
        <f>VLOOKUP(A138,'Trips&amp;Operators'!$C$1:$G$99999,5,FALSE)</f>
        <v>NEWELL JAMES</v>
      </c>
      <c r="M138" s="6">
        <f t="shared" si="31"/>
        <v>2.7638888888759539E-2</v>
      </c>
      <c r="N138" s="7">
        <f t="shared" si="50"/>
        <v>39.799999999813735</v>
      </c>
      <c r="O138" s="7"/>
      <c r="P138" s="7"/>
      <c r="Q138" s="22"/>
      <c r="R138" s="22"/>
      <c r="S138" s="31">
        <f t="shared" si="51"/>
        <v>1</v>
      </c>
      <c r="T138" s="46" t="str">
        <f t="shared" si="34"/>
        <v>Southbound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35"/>
        <v>https://d0f6bd738d7f1b3e5a7ca70fe4ff75f0.us-east-1.aws.found.io/app/kibana#/discover/Steve-Slow-Train-Analysis-(2080s-and-2083s)?_g=(refreshInterval:(display:Off,pause:!f,section:0,value:0),time:(from:'2017-03-07T19:07:37-0700',mode:absolute,to:'2017-03-07T22:08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8" s="187" t="str">
        <f t="shared" si="36"/>
        <v>N</v>
      </c>
      <c r="X138" s="187">
        <f t="shared" si="53"/>
        <v>1</v>
      </c>
      <c r="Y138" s="62">
        <f t="shared" si="54"/>
        <v>23.2989</v>
      </c>
      <c r="Z138" s="62">
        <f t="shared" si="37"/>
        <v>1.61E-2</v>
      </c>
      <c r="AA138" s="62">
        <f t="shared" si="38"/>
        <v>23.282799999999998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9"/>
        <v>0224-07</v>
      </c>
      <c r="AE138" s="85" t="str">
        <f t="shared" si="40"/>
        <v>aws s3 cp s3://rtdc.mdm.uploadarchive.raw/RTDC4043/ "%USERPROFILE%\AppData\Local\Temp\OnboardLogs"\RTDC4043\2017-03-07 --exclude "*" --recursive --include "*20170307*" &amp; "%USERPROFILE%\Documents\GitHub\mrs-test-scripts\Headless Mode &amp; Sideloading\WalkAndUnGZ.bat" "%USERPROFILE%\AppData\Local\Temp\OnboardLogs"\RTDC4043\2017-03-07 &amp; aws s3 cp s3://rtdc.mdm.uploadarchive.raw/RTDC4043/ "%USERPROFILE%\AppData\Local\Temp\OnboardLogs"\RTDC4043\2017-03-08 --exclude "*" --recursive --include "*20170308*" &amp; "%USERPROFILE%\Documents\GitHub\mrs-test-scripts\Headless Mode &amp; Sideloading\WalkAndUnGZ.bat" "%USERPROFILE%\AppData\Local\Temp\OnboardLogs"\RTDC4043\2017-03-08</v>
      </c>
      <c r="AF138" s="82" t="str">
        <f t="shared" si="41"/>
        <v>"C:\Program Files (x86)\AstroGrep\AstroGrep.exe" /spath="%USERPROFILE%\AppData\Local\Temp\OnboardLogs" /stypes="app*4043*20170308*" /stext=" 04:.+((SYSTEM_STATE.+slice.+state.+changed )|(ment ac)|(multiple cpu faults)|(system.+state.+changed )|(\[timeout)|(PRM\|1\|D)|(kpr)|(kdp)|(\|lc)|(penalty))" /e /r /s</v>
      </c>
      <c r="AG138" s="1" t="str">
        <f t="shared" si="42"/>
        <v>EC</v>
      </c>
      <c r="AH138" s="86" t="str">
        <f t="shared" si="43"/>
        <v>"%USERPROFILE%\Documents\GitHub\eaglep3\Utilities\RefineRTDCRunTimes.py" --tripid 224-07 --locoid 4043 --swversion DE.1.0.9.0 --startMP 204:232989 --initTime 2017-03-07T20:07:37 --startdatetime 2017-03-07T20:28:14 --delay 1 --endMP 204:161 --enddatetime 2017-03-07T21:08:02 --enforcementcount 2 &gt;&gt;C:\Users\stu\Documents\GitHub\eaglep3-reporting\EC\2017-03-07-refined-times.txt</v>
      </c>
      <c r="AI138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{"issue":{"subject":"","project_id":79,"tracker_id":40,"status_id":1,"priority_id":2,"assigned_to_id":23,"start_date":"2017-03-07","description":"","custom_fields":[{"id":1,"name":"Subdivision","value":"EC"},{"id":4,"name":"Milepost","value":"0.0161"},{"id":17,"name":"Train ID","value":"224-07"},{"id":16,"name":"Locomotive ID","value":"4043"},{"id":130,"name":"Impact","value":""},{"id":150,"name":"Time of Event (Mountain Time)","value":"21:08:02"},{"id":151,"name":"Denver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45"/>
        <v>start /low /b %USERPROFILE%\Documents\GitHub\eaglep3\Utilities\DownloadLogsFromS3.py --loco 4043 --day 2017-03-07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"%USERPROFILE%\AppData\Local\Temp\OnboardLogs"\RTDC4043\*4043*20170308* | grep -SE "(Enforcement Action)|(\[TIMEOUT)|(CHR.+\|PRM\|1\|D.+(SWITCH|SIGNAL).+UNKNOWN)" - &gt;&gt; 2017-03-07-UncaughtWiMAX.txt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754</v>
      </c>
      <c r="B139" s="7">
        <v>4020</v>
      </c>
      <c r="C139" s="21" t="s">
        <v>233</v>
      </c>
      <c r="D139" s="21" t="s">
        <v>852</v>
      </c>
      <c r="E139" s="13">
        <v>42801.837708333333</v>
      </c>
      <c r="F139" s="13">
        <v>42801.872719907406</v>
      </c>
      <c r="G139" s="7">
        <v>1</v>
      </c>
      <c r="H139" s="21" t="s">
        <v>853</v>
      </c>
      <c r="I139" s="13">
        <v>42801.900543981479</v>
      </c>
      <c r="J139" s="7">
        <v>2</v>
      </c>
      <c r="K139" s="98" t="str">
        <f t="shared" si="30"/>
        <v>4019/4020</v>
      </c>
      <c r="L139" s="21" t="str">
        <f>VLOOKUP(A139,'Trips&amp;Operators'!$C$1:$G$99999,5,FALSE)</f>
        <v>STORY SAMANTHA</v>
      </c>
      <c r="M139" s="6">
        <f t="shared" si="31"/>
        <v>2.7824074073578231E-2</v>
      </c>
      <c r="N139" s="7"/>
      <c r="O139" s="7"/>
      <c r="P139" s="7">
        <f>24*60*SUM($M139:$M139)</f>
        <v>40.066666665952653</v>
      </c>
      <c r="Q139" s="22"/>
      <c r="R139" s="22" t="s">
        <v>466</v>
      </c>
      <c r="S139" s="31">
        <f t="shared" si="51"/>
        <v>1</v>
      </c>
      <c r="T139" s="46" t="str">
        <f t="shared" si="34"/>
        <v>NorthBound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35"/>
        <v>https://d0f6bd738d7f1b3e5a7ca70fe4ff75f0.us-east-1.aws.found.io/app/kibana#/discover/Steve-Slow-Train-Analysis-(2080s-and-2083s)?_g=(refreshInterval:(display:Off,pause:!f,section:0,value:0),time:(from:'2017-03-07T19:06:18-0700',mode:absolute,to:'2017-03-07T22:36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9" s="187" t="str">
        <f t="shared" si="36"/>
        <v>Y</v>
      </c>
      <c r="X139" s="187">
        <f t="shared" si="53"/>
        <v>1</v>
      </c>
      <c r="Y139" s="62">
        <f t="shared" si="54"/>
        <v>1.9123000000000001</v>
      </c>
      <c r="Z139" s="62">
        <f t="shared" si="37"/>
        <v>23.340800000000002</v>
      </c>
      <c r="AA139" s="62">
        <f t="shared" si="38"/>
        <v>21.4285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9"/>
        <v>0225-07</v>
      </c>
      <c r="AE139" s="85" t="str">
        <f t="shared" si="40"/>
        <v>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 &amp; aws s3 cp s3://rtdc.mdm.uploadarchive.raw/RTDC4020/ "%USERPROFILE%\AppData\Local\Temp\OnboardLogs"\RTDC4020\2017-03-08 --exclude "*" --recursive --include "*20170308*" &amp; "%USERPROFILE%\Documents\GitHub\mrs-test-scripts\Headless Mode &amp; Sideloading\WalkAndUnGZ.bat" "%USERPROFILE%\AppData\Local\Temp\OnboardLogs"\RTDC4020\2017-03-08</v>
      </c>
      <c r="AF139" s="82" t="str">
        <f t="shared" si="41"/>
        <v>"C:\Program Files (x86)\AstroGrep\AstroGrep.exe" /spath="%USERPROFILE%\AppData\Local\Temp\OnboardLogs" /stypes="app*4020*20170308*" /stext=" 04:.+((SYSTEM_STATE.+slice.+state.+changed )|(ment ac)|(multiple cpu faults)|(system.+state.+changed )|(\[timeout)|(PRM\|1\|D)|(kpr)|(kdp)|(\|lc)|(penalty))" /e /r /s</v>
      </c>
      <c r="AG139" s="1" t="str">
        <f t="shared" si="42"/>
        <v>EC</v>
      </c>
      <c r="AH139" s="86" t="str">
        <f t="shared" si="43"/>
        <v>"%USERPROFILE%\Documents\GitHub\eaglep3\Utilities\RefineRTDCRunTimes.py" --tripid 225-07 --locoid 4020 --swversion DE.1.0.9.0 --startMP 204:19123 --initTime 2017-03-07T20:06:18 --startdatetime 2017-03-07T20:56:43 --delay 1 --endMP 204:233408 --enddatetime 2017-03-07T21:36:47 --enforcementcount 2 &gt;&gt;C:\Users\stu\Documents\GitHub\eaglep3-reporting\EC\2017-03-07-refined-times.txt</v>
      </c>
      <c r="AI139" s="108" t="str">
        <f t="shared" si="44"/>
        <v>echo {"issue":{"subject":"Onboard in-route failure","project_id":79,"tracker_id":40,"status_id":1,"priority_id":2,"assigned_to_id":23,"start_date":"2017-03-07","description":"","custom_fields":[{"id":1,"name":"Subdivision","value":"EC"},{"id":4,"name":"Milepost","value":"23.3408"},{"id":17,"name":"Train ID","value":"225-07"},{"id":16,"name":"Locomotive ID","value":"4020"},{"id":130,"name":"Impact","value":""},{"id":150,"name":"Time of Event (Mountain Time)","value":"21:36:47"},{"id":151,"name":"Denver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45"/>
        <v>start /low /b %USERPROFILE%\Documents\GitHub\eaglep3\Utilities\DownloadLogsFromS3.py --loco 4020 --day 2017-03-07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"%USERPROFILE%\AppData\Local\Temp\OnboardLogs"\RTDC4020\*4020*20170308* | grep -SE "(Enforcement Action)|(\[TIMEOUT)|(CHR.+\|PRM\|1\|D.+(SWITCH|SIGNAL).+UNKNOWN)" - &gt;&gt; 2017-03-07-UncaughtWiMAX.txt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754</v>
      </c>
      <c r="B140" s="7">
        <v>4020</v>
      </c>
      <c r="C140" s="21" t="s">
        <v>233</v>
      </c>
      <c r="D140" s="21" t="s">
        <v>227</v>
      </c>
      <c r="E140" s="13">
        <v>42801.829722222225</v>
      </c>
      <c r="F140" s="13">
        <v>42801.872719907406</v>
      </c>
      <c r="G140" s="7">
        <v>2</v>
      </c>
      <c r="H140" s="21" t="s">
        <v>853</v>
      </c>
      <c r="I140" s="13">
        <v>42801.900543981479</v>
      </c>
      <c r="J140" s="7">
        <v>2</v>
      </c>
      <c r="K140" s="98" t="str">
        <f t="shared" si="30"/>
        <v>4019/4020</v>
      </c>
      <c r="L140" s="21" t="str">
        <f>VLOOKUP(A140,'Trips&amp;Operators'!$C$1:$G$99999,5,FALSE)</f>
        <v>STORY SAMANTHA</v>
      </c>
      <c r="M140" s="6">
        <f t="shared" si="31"/>
        <v>2.7824074073578231E-2</v>
      </c>
      <c r="N140" s="7"/>
      <c r="O140" s="7"/>
      <c r="P140" s="7"/>
      <c r="Q140" s="22"/>
      <c r="R140" s="22"/>
      <c r="S140" s="31"/>
      <c r="T140" s="46" t="str">
        <f t="shared" si="34"/>
        <v>NorthBound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35"/>
        <v>https://d0f6bd738d7f1b3e5a7ca70fe4ff75f0.us-east-1.aws.found.io/app/kibana#/discover/Steve-Slow-Train-Analysis-(2080s-and-2083s)?_g=(refreshInterval:(display:Off,pause:!f,section:0,value:0),time:(from:'2017-03-07T18:54:48-0700',mode:absolute,to:'2017-03-07T22:36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0" s="187" t="str">
        <f t="shared" si="36"/>
        <v>N</v>
      </c>
      <c r="X140" s="187">
        <f t="shared" si="53"/>
        <v>0</v>
      </c>
      <c r="Y140" s="62">
        <f t="shared" si="54"/>
        <v>4.4699999999999997E-2</v>
      </c>
      <c r="Z140" s="62">
        <f t="shared" si="37"/>
        <v>23.340800000000002</v>
      </c>
      <c r="AA140" s="62">
        <f t="shared" si="38"/>
        <v>23.296100000000003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9"/>
        <v>0225-07</v>
      </c>
      <c r="AE140" s="85" t="str">
        <f t="shared" si="40"/>
        <v>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 &amp; aws s3 cp s3://rtdc.mdm.uploadarchive.raw/RTDC4020/ "%USERPROFILE%\AppData\Local\Temp\OnboardLogs"\RTDC4020\2017-03-08 --exclude "*" --recursive --include "*20170308*" &amp; "%USERPROFILE%\Documents\GitHub\mrs-test-scripts\Headless Mode &amp; Sideloading\WalkAndUnGZ.bat" "%USERPROFILE%\AppData\Local\Temp\OnboardLogs"\RTDC4020\2017-03-08</v>
      </c>
      <c r="AF140" s="82" t="str">
        <f t="shared" si="41"/>
        <v>"C:\Program Files (x86)\AstroGrep\AstroGrep.exe" /spath="%USERPROFILE%\AppData\Local\Temp\OnboardLogs" /stypes="app*4020*20170308*" /stext=" 04:.+((SYSTEM_STATE.+slice.+state.+changed )|(ment ac)|(multiple cpu faults)|(system.+state.+changed )|(\[timeout)|(PRM\|1\|D)|(kpr)|(kdp)|(\|lc)|(penalty))" /e /r /s</v>
      </c>
      <c r="AG140" s="1" t="str">
        <f t="shared" si="42"/>
        <v>EC</v>
      </c>
      <c r="AH140" s="86" t="str">
        <f t="shared" si="43"/>
        <v>"%USERPROFILE%\Documents\GitHub\eaglep3\Utilities\RefineRTDCRunTimes.py" --tripid 225-07 --locoid 4020 --swversion DE.1.0.9.0 --startMP 204:447 --initTime 2017-03-07T19:54:48 --startdatetime 2017-03-07T20:56:43 --delay 2 --endMP 204:233408 --enddatetime 2017-03-07T21:36:47 --enforcementcount 2 &gt;&gt;C:\Users\stu\Documents\GitHub\eaglep3-reporting\EC\2017-03-07-refined-times.txt</v>
      </c>
      <c r="AI140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{"issue":{"subject":"","project_id":79,"tracker_id":40,"status_id":1,"priority_id":2,"assigned_to_id":23,"start_date":"2017-03-07","description":"","custom_fields":[{"id":1,"name":"Subdivision","value":"EC"},{"id":4,"name":"Milepost","value":"23.3408"},{"id":17,"name":"Train ID","value":"225-07"},{"id":16,"name":"Locomotive ID","value":"4020"},{"id":130,"name":"Impact","value":""},{"id":150,"name":"Time of Event (Mountain Time)","value":"21:36:47"},{"id":151,"name":"Denver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45"/>
        <v>start /low /b %USERPROFILE%\Documents\GitHub\eaglep3\Utilities\DownloadLogsFromS3.py --loco 4020 --day 2017-03-07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"%USERPROFILE%\AppData\Local\Temp\OnboardLogs"\RTDC4020\*4020*20170308* | grep -SE "(Enforcement Action)|(\[TIMEOUT)|(CHR.+\|PRM\|1\|D.+(SWITCH|SIGNAL).+UNKNOWN)" - &gt;&gt; 2017-03-07-UncaughtWiMAX.txt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761</v>
      </c>
      <c r="B141" s="7">
        <v>4019</v>
      </c>
      <c r="C141" s="21" t="s">
        <v>233</v>
      </c>
      <c r="D141" s="21" t="s">
        <v>854</v>
      </c>
      <c r="E141" s="13">
        <v>42801.868657407409</v>
      </c>
      <c r="F141" s="13">
        <v>42801.872719907406</v>
      </c>
      <c r="G141" s="7">
        <v>1</v>
      </c>
      <c r="H141" s="21" t="s">
        <v>192</v>
      </c>
      <c r="I141" s="13">
        <v>42801.900543981479</v>
      </c>
      <c r="J141" s="7">
        <v>2</v>
      </c>
      <c r="K141" s="98" t="str">
        <f t="shared" ref="K141:K204" si="55">IF(ISEVEN(B141),(B141-1)&amp;"/"&amp;B141,B141&amp;"/"&amp;(B141+1))</f>
        <v>4019/4020</v>
      </c>
      <c r="L141" s="21" t="str">
        <f>VLOOKUP(A141,'Trips&amp;Operators'!$C$1:$G$99999,5,FALSE)</f>
        <v>STORY SAMANTHA</v>
      </c>
      <c r="M141" s="6">
        <f t="shared" ref="M141:M204" si="56">I141-F141</f>
        <v>2.7824074073578231E-2</v>
      </c>
      <c r="N141" s="7">
        <f t="shared" ref="N141:N154" si="57">24*60*SUM($M141:$M141)</f>
        <v>40.066666665952653</v>
      </c>
      <c r="O141" s="7"/>
      <c r="P141" s="7"/>
      <c r="Q141" s="22"/>
      <c r="R141" s="22"/>
      <c r="S141" s="31">
        <f t="shared" ref="S141:S172" si="58">SUM(U141:U141)/IF(AG141="EC",12,1)</f>
        <v>1</v>
      </c>
      <c r="T141" s="46" t="str">
        <f t="shared" ref="T141:T204" si="59">IF(ISEVEN(LEFT(AD141,4)),"Southbound","NorthBound")</f>
        <v>Southbound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4" si="60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-07T19:50:52-0700',mode:absolute,to:'2017-03-07T22:36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1" s="187" t="str">
        <f t="shared" ref="W141:W204" si="61">IF(AA141&lt;IF(AG141="EC",23,5.65),"Y","N")</f>
        <v>N</v>
      </c>
      <c r="X141" s="187">
        <f t="shared" si="53"/>
        <v>1</v>
      </c>
      <c r="Y141" s="62">
        <f t="shared" si="54"/>
        <v>23.311699999999998</v>
      </c>
      <c r="Z141" s="62">
        <f t="shared" ref="Z141:Z204" si="62">RIGHT(H141,LEN(H141)-4)/10000</f>
        <v>1.4999999999999999E-2</v>
      </c>
      <c r="AA141" s="62">
        <f t="shared" ref="AA141:AA204" si="63">ABS(Z141-Y141)</f>
        <v>23.296699999999998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64">IF(LEN(A141)=6,"0"&amp;A141,A141)</f>
        <v>0226-07</v>
      </c>
      <c r="AE141" s="85" t="str">
        <f t="shared" ref="AE141:AE204" si="6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AF141" s="82" t="str">
        <f t="shared" ref="AF141:AF204" si="66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/stypes="app*4019*20170308*" /stext=" 04:.+((SYSTEM_STATE.+slice.+state.+changed )|(ment ac)|(multiple cpu faults)|(system.+state.+changed )|(\[timeout)|(PRM\|1\|D)|(kpr)|(kdp)|(\|lc)|(penalty))" /e /r /s</v>
      </c>
      <c r="AG141" s="1" t="str">
        <f t="shared" ref="AG141:AG204" si="67">IFERROR(IF(VALUE(LEFT(AD141,2))&lt;=2,"EC",IF(OR(VALUE(LEFT(AD141,2))=8,VALUE(LEFT(AD141,2))=18),"NW","Other")),"Other")</f>
        <v>EC</v>
      </c>
      <c r="AH141" s="86" t="str">
        <f t="shared" si="43"/>
        <v>"%USERPROFILE%\Documents\GitHub\eaglep3\Utilities\RefineRTDCRunTimes.py" --tripid 226-07 --locoid 4019 --swversion DE.1.0.9.0 --startMP 204:233117 --initTime 2017-03-07T20:50:52 --startdatetime 2017-03-07T20:56:43 --delay 1 --endMP 204:150 --enddatetime 2017-03-07T21:36:47 --enforcementcount 2 &gt;&gt;C:\Users\stu\Documents\GitHub\eaglep3-reporting\EC\2017-03-07-refined-times.txt</v>
      </c>
      <c r="AI141" s="108" t="str">
        <f t="shared" si="44"/>
        <v>echo {"issue":{"subject":"","project_id":79,"tracker_id":40,"status_id":1,"priority_id":2,"assigned_to_id":23,"start_date":"2017-03-07","description":"","custom_fields":[{"id":1,"name":"Subdivision","value":"EC"},{"id":4,"name":"Milepost","value":"0.015"},{"id":17,"name":"Train ID","value":"226-07"},{"id":16,"name":"Locomotive ID","value":"4019"},{"id":130,"name":"Impact","value":""},{"id":150,"name":"Time of Event (Mountain Time)","value":"21:36:47"},{"id":151,"name":"Denver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45"/>
        <v>start /low /b %USERPROFILE%\Documents\GitHub\eaglep3\Utilities\DownloadLogsFromS3.py --loco 4019 --day 2017-03-07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"%USERPROFILE%\AppData\Local\Temp\OnboardLogs"\RTDC4019\*4019*20170308* | grep -SE "(Enforcement Action)|(\[TIMEOUT)|(CHR.+\|PRM\|1\|D.+(SWITCH|SIGNAL).+UNKNOWN)" - &gt;&gt; 2017-03-07-UncaughtWiMAX.txt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757</v>
      </c>
      <c r="B142" s="7">
        <v>4014</v>
      </c>
      <c r="C142" s="21" t="s">
        <v>233</v>
      </c>
      <c r="D142" s="21" t="s">
        <v>855</v>
      </c>
      <c r="E142" s="13">
        <v>42801.848506944443</v>
      </c>
      <c r="F142" s="13">
        <v>42801.85533564815</v>
      </c>
      <c r="G142" s="7">
        <v>1</v>
      </c>
      <c r="H142" s="21" t="s">
        <v>856</v>
      </c>
      <c r="I142" s="13">
        <v>42801.879826388889</v>
      </c>
      <c r="J142" s="7">
        <v>2</v>
      </c>
      <c r="K142" s="98" t="str">
        <f t="shared" si="55"/>
        <v>4013/4014</v>
      </c>
      <c r="L142" s="21" t="str">
        <f>VLOOKUP(A142,'Trips&amp;Operators'!$C$1:$G$99999,5,FALSE)</f>
        <v>STAMBAUGH JAMES</v>
      </c>
      <c r="M142" s="6">
        <f t="shared" si="56"/>
        <v>2.4490740739565808E-2</v>
      </c>
      <c r="N142" s="7">
        <f t="shared" si="57"/>
        <v>35.266666664974764</v>
      </c>
      <c r="O142" s="7"/>
      <c r="P142" s="7"/>
      <c r="Q142" s="22"/>
      <c r="R142" s="22"/>
      <c r="S142" s="31">
        <f t="shared" si="58"/>
        <v>1</v>
      </c>
      <c r="T142" s="46" t="str">
        <f t="shared" si="59"/>
        <v>NorthBound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60"/>
        <v>https://d0f6bd738d7f1b3e5a7ca70fe4ff75f0.us-east-1.aws.found.io/app/kibana#/discover/Steve-Slow-Train-Analysis-(2080s-and-2083s)?_g=(refreshInterval:(display:Off,pause:!f,section:0,value:0),time:(from:'2017-03-07T19:21:51-0700',mode:absolute,to:'2017-03-07T22:06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2" s="187" t="str">
        <f t="shared" si="61"/>
        <v>N</v>
      </c>
      <c r="X142" s="187">
        <f t="shared" si="53"/>
        <v>1</v>
      </c>
      <c r="Y142" s="62">
        <f t="shared" si="54"/>
        <v>4.0899999999999999E-2</v>
      </c>
      <c r="Z142" s="62">
        <f t="shared" si="62"/>
        <v>23.3368</v>
      </c>
      <c r="AA142" s="62">
        <f t="shared" si="63"/>
        <v>23.2959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64"/>
        <v>0227-07</v>
      </c>
      <c r="AE142" s="85" t="str">
        <f t="shared" si="65"/>
        <v>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 &amp; aws s3 cp s3://rtdc.mdm.uploadarchive.raw/RTDC4014/ "%USERPROFILE%\AppData\Local\Temp\OnboardLogs"\RTDC4014\2017-03-08 --exclude "*" --recursive --include "*20170308*" &amp; "%USERPROFILE%\Documents\GitHub\mrs-test-scripts\Headless Mode &amp; Sideloading\WalkAndUnGZ.bat" "%USERPROFILE%\AppData\Local\Temp\OnboardLogs"\RTDC4014\2017-03-08</v>
      </c>
      <c r="AF142" s="82" t="str">
        <f t="shared" si="66"/>
        <v>"C:\Program Files (x86)\AstroGrep\AstroGrep.exe" /spath="%USERPROFILE%\AppData\Local\Temp\OnboardLogs" /stypes="app*4014*20170308*" /stext=" 04:.+((SYSTEM_STATE.+slice.+state.+changed )|(ment ac)|(multiple cpu faults)|(system.+state.+changed )|(\[timeout)|(PRM\|1\|D)|(kpr)|(kdp)|(\|lc)|(penalty))" /e /r /s</v>
      </c>
      <c r="AG142" s="1" t="str">
        <f t="shared" si="67"/>
        <v>EC</v>
      </c>
      <c r="AH142" s="86" t="str">
        <f t="shared" ref="AH142:AH204" si="68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227-07 --locoid 4014 --swversion DE.1.0.9.0 --startMP 204:409 --initTime 2017-03-07T20:21:51 --startdatetime 2017-03-07T20:31:41 --delay 1 --endMP 204:233368 --enddatetime 2017-03-07T21:06:57 --enforcementcount 2 &gt;&gt;C:\Users\stu\Documents\GitHub\eaglep3-reporting\EC\2017-03-07-refined-times.txt</v>
      </c>
      <c r="AI142" s="108" t="str">
        <f t="shared" ref="AI142:AI204" si="69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{"issue":{"subject":"","project_id":79,"tracker_id":40,"status_id":1,"priority_id":2,"assigned_to_id":23,"start_date":"2017-03-07","description":"","custom_fields":[{"id":1,"name":"Subdivision","value":"EC"},{"id":4,"name":"Milepost","value":"23.3368"},{"id":17,"name":"Train ID","value":"227-07"},{"id":16,"name":"Locomotive ID","value":"4014"},{"id":130,"name":"Impact","value":""},{"id":150,"name":"Time of Event (Mountain Time)","value":"21:06:57"},{"id":151,"name":"Denver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ref="AM142:AM204" si="70">"start /low /b "&amp;dls3logs&amp;" --loco "&amp;B142&amp;" --day "&amp;TEXT(F142,"YYYY-MM-DD")</f>
        <v>start /low /b %USERPROFILE%\Documents\GitHub\eaglep3\Utilities\DownloadLogsFromS3.py --loco 4014 --day 2017-03-07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"%USERPROFILE%\AppData\Local\Temp\OnboardLogs"\RTDC4014\*4014*20170308* | grep -SE "(Enforcement Action)|(\[TIMEOUT)|(CHR.+\|PRM\|1\|D.+(SWITCH|SIGNAL).+UNKNOWN)" - &gt;&gt; 2017-03-07-UncaughtWiMAX.txt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594</v>
      </c>
      <c r="B143" s="7">
        <v>4013</v>
      </c>
      <c r="C143" s="21" t="s">
        <v>233</v>
      </c>
      <c r="D143" s="21" t="s">
        <v>854</v>
      </c>
      <c r="E143" s="13">
        <v>42801.881678240738</v>
      </c>
      <c r="F143" s="13">
        <v>42801.893425925926</v>
      </c>
      <c r="G143" s="7">
        <v>1</v>
      </c>
      <c r="H143" s="21" t="s">
        <v>857</v>
      </c>
      <c r="I143" s="13">
        <v>42801.920844907407</v>
      </c>
      <c r="J143" s="7">
        <v>2</v>
      </c>
      <c r="K143" s="98" t="str">
        <f t="shared" si="55"/>
        <v>4013/4014</v>
      </c>
      <c r="L143" s="21" t="str">
        <f>VLOOKUP(A143,'Trips&amp;Operators'!$C$1:$G$99999,5,FALSE)</f>
        <v>STAMBAUGH JAMES</v>
      </c>
      <c r="M143" s="6">
        <f t="shared" si="56"/>
        <v>2.7418981480877846E-2</v>
      </c>
      <c r="N143" s="7">
        <f t="shared" si="57"/>
        <v>39.483333332464099</v>
      </c>
      <c r="O143" s="7"/>
      <c r="P143" s="7"/>
      <c r="Q143" s="22"/>
      <c r="R143" s="22"/>
      <c r="S143" s="31">
        <f t="shared" si="58"/>
        <v>1</v>
      </c>
      <c r="T143" s="46" t="str">
        <f t="shared" si="59"/>
        <v>Southbound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si="60"/>
        <v>https://d0f6bd738d7f1b3e5a7ca70fe4ff75f0.us-east-1.aws.found.io/app/kibana#/discover/Steve-Slow-Train-Analysis-(2080s-and-2083s)?_g=(refreshInterval:(display:Off,pause:!f,section:0,value:0),time:(from:'2017-03-07T20:09:37-0700',mode:absolute,to:'2017-03-07T23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3" s="187" t="str">
        <f t="shared" si="61"/>
        <v>N</v>
      </c>
      <c r="X143" s="187">
        <f t="shared" si="53"/>
        <v>1</v>
      </c>
      <c r="Y143" s="62">
        <f t="shared" si="54"/>
        <v>23.311699999999998</v>
      </c>
      <c r="Z143" s="62">
        <f t="shared" si="62"/>
        <v>9.7999999999999997E-3</v>
      </c>
      <c r="AA143" s="62">
        <f t="shared" si="63"/>
        <v>23.3019</v>
      </c>
      <c r="AB143" s="59" t="str">
        <f>VLOOKUP(A143,Enforcements!$C$7:$K$13,8,0)</f>
        <v>Bulletin (2)</v>
      </c>
      <c r="AC143" s="55" t="str">
        <f>VLOOKUP(A143,Enforcements!$C$7:$E$13,3,0)</f>
        <v>GRADE CROSSING</v>
      </c>
      <c r="AD143" s="56" t="str">
        <f t="shared" si="64"/>
        <v>0228-07</v>
      </c>
      <c r="AE143" s="85" t="str">
        <f t="shared" si="65"/>
        <v>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 &amp; aws s3 cp s3://rtdc.mdm.uploadarchive.raw/RTDC4013/ "%USERPROFILE%\AppData\Local\Temp\OnboardLogs"\RTDC4013\2017-03-08 --exclude "*" --recursive --include "*20170308*" &amp; "%USERPROFILE%\Documents\GitHub\mrs-test-scripts\Headless Mode &amp; Sideloading\WalkAndUnGZ.bat" "%USERPROFILE%\AppData\Local\Temp\OnboardLogs"\RTDC4013\2017-03-08</v>
      </c>
      <c r="AF143" s="82" t="str">
        <f t="shared" si="66"/>
        <v>"C:\Program Files (x86)\AstroGrep\AstroGrep.exe" /spath="%USERPROFILE%\AppData\Local\Temp\OnboardLogs" /stypes="app*4013*20170308*" /stext=" 05:.+((SYSTEM_STATE.+slice.+state.+changed )|(ment ac)|(multiple cpu faults)|(system.+state.+changed )|(\[timeout)|(PRM\|1\|D)|(kpr)|(kdp)|(\|lc)|(penalty))" /e /r /s</v>
      </c>
      <c r="AG143" s="1" t="str">
        <f t="shared" si="67"/>
        <v>EC</v>
      </c>
      <c r="AH143" s="86" t="str">
        <f t="shared" si="68"/>
        <v>"%USERPROFILE%\Documents\GitHub\eaglep3\Utilities\RefineRTDCRunTimes.py" --tripid 228-07 --locoid 4013 --swversion DE.1.0.9.0 --startMP 204:233117 --initTime 2017-03-07T21:09:37 --startdatetime 2017-03-07T21:26:32 --delay 1 --endMP 204:98 --enddatetime 2017-03-07T22:06:01 --enforcementcount 2 &gt;&gt;C:\Users\stu\Documents\GitHub\eaglep3-reporting\EC\2017-03-07-refined-times.txt</v>
      </c>
      <c r="AI143" s="108" t="str">
        <f t="shared" si="69"/>
        <v>echo {"issue":{"subject":"","project_id":79,"tracker_id":40,"status_id":1,"priority_id":2,"assigned_to_id":23,"start_date":"2017-03-07","description":"","custom_fields":[{"id":1,"name":"Subdivision","value":"EC"},{"id":4,"name":"Milepost","value":"0.0098"},{"id":17,"name":"Train ID","value":"228-07"},{"id":16,"name":"Locomotive ID","value":"4013"},{"id":130,"name":"Impact","value":""},{"id":150,"name":"Time of Event (Mountain Time)","value":"22:06:01"},{"id":151,"name":"Denver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70"/>
        <v>start /low /b %USERPROFILE%\Documents\GitHub\eaglep3\Utilities\DownloadLogsFromS3.py --loco 4013 --day 2017-03-07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"%USERPROFILE%\AppData\Local\Temp\OnboardLogs"\RTDC4013\*4013*20170308* | grep -SE "(Enforcement Action)|(\[TIMEOUT)|(CHR.+\|PRM\|1\|D.+(SWITCH|SIGNAL).+UNKNOWN)" - &gt;&gt; 2017-03-07-UncaughtWiMAX.txt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x14ac:dyDescent="0.25">
      <c r="A144" s="33" t="s">
        <v>763</v>
      </c>
      <c r="B144" s="7">
        <v>4022</v>
      </c>
      <c r="C144" s="21" t="s">
        <v>233</v>
      </c>
      <c r="D144" s="21" t="s">
        <v>281</v>
      </c>
      <c r="E144" s="13">
        <v>42801.872974537036</v>
      </c>
      <c r="F144" s="13">
        <v>42801.875219907408</v>
      </c>
      <c r="G144" s="7">
        <v>1</v>
      </c>
      <c r="H144" s="21" t="s">
        <v>858</v>
      </c>
      <c r="I144" s="13">
        <v>42801.900949074072</v>
      </c>
      <c r="J144" s="7">
        <v>2</v>
      </c>
      <c r="K144" s="98" t="str">
        <f t="shared" si="55"/>
        <v>4021/4022</v>
      </c>
      <c r="L144" s="21" t="str">
        <f>VLOOKUP(A144,'Trips&amp;Operators'!$C$1:$G$99999,5,FALSE)</f>
        <v>CHANDLER KELVIN</v>
      </c>
      <c r="M144" s="6">
        <f t="shared" si="56"/>
        <v>2.5729166663950309E-2</v>
      </c>
      <c r="N144" s="7">
        <f t="shared" si="57"/>
        <v>37.049999996088445</v>
      </c>
      <c r="O144" s="7"/>
      <c r="P144" s="7"/>
      <c r="Q144" s="22"/>
      <c r="R144" s="22"/>
      <c r="S144" s="31">
        <f t="shared" si="58"/>
        <v>1</v>
      </c>
      <c r="T144" s="46" t="str">
        <f t="shared" si="59"/>
        <v>NorthBound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 t="shared" si="60"/>
        <v>https://d0f6bd738d7f1b3e5a7ca70fe4ff75f0.us-east-1.aws.found.io/app/kibana#/discover/Steve-Slow-Train-Analysis-(2080s-and-2083s)?_g=(refreshInterval:(display:Off,pause:!f,section:0,value:0),time:(from:'2017-03-07T19:57:05-0700',mode:absolute,to:'2017-03-07T22:37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4" s="187" t="str">
        <f t="shared" si="61"/>
        <v>N</v>
      </c>
      <c r="X144" s="187">
        <f t="shared" si="53"/>
        <v>1</v>
      </c>
      <c r="Y144" s="62">
        <f t="shared" si="54"/>
        <v>4.6899999999999997E-2</v>
      </c>
      <c r="Z144" s="62">
        <f t="shared" si="62"/>
        <v>23.325900000000001</v>
      </c>
      <c r="AA144" s="62">
        <f t="shared" si="63"/>
        <v>23.279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64"/>
        <v>0229-07</v>
      </c>
      <c r="AE144" s="85" t="str">
        <f t="shared" si="65"/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AF144" s="82" t="str">
        <f t="shared" si="66"/>
        <v>"C:\Program Files (x86)\AstroGrep\AstroGrep.exe" /spath="%USERPROFILE%\AppData\Local\Temp\OnboardLogs" /stypes="app*4022*20170308*" /stext=" 04:.+((SYSTEM_STATE.+slice.+state.+changed )|(ment ac)|(multiple cpu faults)|(system.+state.+changed )|(\[timeout)|(PRM\|1\|D)|(kpr)|(kdp)|(\|lc)|(penalty))" /e /r /s</v>
      </c>
      <c r="AG144" s="1" t="str">
        <f t="shared" si="67"/>
        <v>EC</v>
      </c>
      <c r="AH144" s="86" t="str">
        <f t="shared" si="68"/>
        <v>"%USERPROFILE%\Documents\GitHub\eaglep3\Utilities\RefineRTDCRunTimes.py" --tripid 229-07 --locoid 4022 --swversion DE.1.0.9.0 --startMP 204:469 --initTime 2017-03-07T20:57:05 --startdatetime 2017-03-07T21:00:19 --delay 1 --endMP 204:233259 --enddatetime 2017-03-07T21:37:22 --enforcementcount 2 &gt;&gt;C:\Users\stu\Documents\GitHub\eaglep3-reporting\EC\2017-03-07-refined-times.txt</v>
      </c>
      <c r="AI144" s="108" t="str">
        <f t="shared" si="69"/>
        <v>echo {"issue":{"subject":"","project_id":79,"tracker_id":40,"status_id":1,"priority_id":2,"assigned_to_id":23,"start_date":"2017-03-07","description":"","custom_fields":[{"id":1,"name":"Subdivision","value":"EC"},{"id":4,"name":"Milepost","value":"23.3259"},{"id":17,"name":"Train ID","value":"229-07"},{"id":16,"name":"Locomotive ID","value":"4022"},{"id":130,"name":"Impact","value":""},{"id":150,"name":"Time of Event (Mountain Time)","value":"21:37:22"},{"id":151,"name":"Denver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70"/>
        <v>start /low /b %USERPROFILE%\Documents\GitHub\eaglep3\Utilities\DownloadLogsFromS3.py --loco 4022 --day 2017-03-07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"%USERPROFILE%\AppData\Local\Temp\OnboardLogs"\RTDC4022\*4022*20170308* | grep -SE "(Enforcement Action)|(\[TIMEOUT)|(CHR.+\|PRM\|1\|D.+(SWITCH|SIGNAL).+UNKNOWN)" - &gt;&gt; 2017-03-07-UncaughtWiMAX.txt</v>
      </c>
    </row>
    <row r="145" spans="1:91" s="20" customFormat="1" x14ac:dyDescent="0.25">
      <c r="A145" s="33" t="s">
        <v>767</v>
      </c>
      <c r="B145" s="7">
        <v>4021</v>
      </c>
      <c r="C145" s="21" t="s">
        <v>233</v>
      </c>
      <c r="D145" s="21" t="s">
        <v>515</v>
      </c>
      <c r="E145" s="13">
        <v>42801.90730324074</v>
      </c>
      <c r="F145" s="13">
        <v>42801.914479166669</v>
      </c>
      <c r="G145" s="7">
        <v>1</v>
      </c>
      <c r="H145" s="21" t="s">
        <v>510</v>
      </c>
      <c r="I145" s="13">
        <v>42801.94327546296</v>
      </c>
      <c r="J145" s="7">
        <v>2</v>
      </c>
      <c r="K145" s="98" t="str">
        <f t="shared" si="55"/>
        <v>4021/4022</v>
      </c>
      <c r="L145" s="21" t="str">
        <f>VLOOKUP(A145,'Trips&amp;Operators'!$C$1:$G$99999,5,FALSE)</f>
        <v>CHANDLER KELVIN</v>
      </c>
      <c r="M145" s="6">
        <f t="shared" si="56"/>
        <v>2.8796296290238388E-2</v>
      </c>
      <c r="N145" s="7">
        <f t="shared" si="57"/>
        <v>41.466666657943279</v>
      </c>
      <c r="O145" s="7"/>
      <c r="P145" s="7"/>
      <c r="Q145" s="22"/>
      <c r="R145" s="22"/>
      <c r="S145" s="31">
        <f t="shared" si="58"/>
        <v>1</v>
      </c>
      <c r="T145" s="46" t="str">
        <f t="shared" si="59"/>
        <v>Southbound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60"/>
        <v>https://d0f6bd738d7f1b3e5a7ca70fe4ff75f0.us-east-1.aws.found.io/app/kibana#/discover/Steve-Slow-Train-Analysis-(2080s-and-2083s)?_g=(refreshInterval:(display:Off,pause:!f,section:0,value:0),time:(from:'2017-03-07T20:46:31-0700',mode:absolute,to:'2017-03-07T23:38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5" s="187" t="str">
        <f t="shared" si="61"/>
        <v>N</v>
      </c>
      <c r="X145" s="187">
        <f t="shared" si="53"/>
        <v>1</v>
      </c>
      <c r="Y145" s="62">
        <f t="shared" si="54"/>
        <v>23.296600000000002</v>
      </c>
      <c r="Z145" s="62">
        <f t="shared" si="62"/>
        <v>1.72E-2</v>
      </c>
      <c r="AA145" s="62">
        <f t="shared" si="63"/>
        <v>23.279400000000003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64"/>
        <v>0230-07</v>
      </c>
      <c r="AE145" s="85" t="str">
        <f t="shared" si="65"/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AF145" s="82" t="str">
        <f t="shared" si="66"/>
        <v>"C:\Program Files (x86)\AstroGrep\AstroGrep.exe" /spath="%USERPROFILE%\AppData\Local\Temp\OnboardLogs" /stypes="app*4021*20170308*" /stext=" 05:.+((SYSTEM_STATE.+slice.+state.+changed )|(ment ac)|(multiple cpu faults)|(system.+state.+changed )|(\[timeout)|(PRM\|1\|D)|(kpr)|(kdp)|(\|lc)|(penalty))" /e /r /s</v>
      </c>
      <c r="AG145" s="1" t="str">
        <f t="shared" si="67"/>
        <v>EC</v>
      </c>
      <c r="AH145" s="86" t="str">
        <f t="shared" si="68"/>
        <v>"%USERPROFILE%\Documents\GitHub\eaglep3\Utilities\RefineRTDCRunTimes.py" --tripid 230-07 --locoid 4021 --swversion DE.1.0.9.0 --startMP 204:232966 --initTime 2017-03-07T21:46:31 --startdatetime 2017-03-07T21:56:51 --delay 1 --endMP 204:172 --enddatetime 2017-03-07T22:38:19 --enforcementcount 2 &gt;&gt;C:\Users\stu\Documents\GitHub\eaglep3-reporting\EC\2017-03-07-refined-times.txt</v>
      </c>
      <c r="AI145" s="108" t="str">
        <f t="shared" si="69"/>
        <v>echo {"issue":{"subject":"","project_id":79,"tracker_id":40,"status_id":1,"priority_id":2,"assigned_to_id":23,"start_date":"2017-03-07","description":"","custom_fields":[{"id":1,"name":"Subdivision","value":"EC"},{"id":4,"name":"Milepost","value":"0.0172"},{"id":17,"name":"Train ID","value":"230-07"},{"id":16,"name":"Locomotive ID","value":"4021"},{"id":130,"name":"Impact","value":""},{"id":150,"name":"Time of Event (Mountain Time)","value":"22:38:19"},{"id":151,"name":"Denver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70"/>
        <v>start /low /b %USERPROFILE%\Documents\GitHub\eaglep3\Utilities\DownloadLogsFromS3.py --loco 4021 --day 2017-03-07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"%USERPROFILE%\AppData\Local\Temp\OnboardLogs"\RTDC4021\*4021*20170308* | grep -SE "(Enforcement Action)|(\[TIMEOUT)|(CHR.+\|PRM\|1\|D.+(SWITCH|SIGNAL).+UNKNOWN)" - &gt;&gt; 2017-03-07-UncaughtWiMAX.txt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765</v>
      </c>
      <c r="B146" s="7">
        <v>4044</v>
      </c>
      <c r="C146" s="21" t="s">
        <v>233</v>
      </c>
      <c r="D146" s="21" t="s">
        <v>268</v>
      </c>
      <c r="E146" s="13">
        <v>42801.888437499998</v>
      </c>
      <c r="F146" s="13">
        <v>42801.896006944444</v>
      </c>
      <c r="G146" s="7">
        <v>2</v>
      </c>
      <c r="H146" s="21" t="s">
        <v>457</v>
      </c>
      <c r="I146" s="13">
        <v>42801.9219212963</v>
      </c>
      <c r="J146" s="7">
        <v>2</v>
      </c>
      <c r="K146" s="98" t="str">
        <f t="shared" si="55"/>
        <v>4043/4044</v>
      </c>
      <c r="L146" s="21" t="str">
        <f>VLOOKUP(A146,'Trips&amp;Operators'!$C$1:$G$99999,5,FALSE)</f>
        <v>NEWELL JAMES</v>
      </c>
      <c r="M146" s="6">
        <f t="shared" si="56"/>
        <v>2.5914351856044959E-2</v>
      </c>
      <c r="N146" s="7">
        <f t="shared" si="57"/>
        <v>37.316666672704741</v>
      </c>
      <c r="O146" s="7"/>
      <c r="P146" s="7"/>
      <c r="Q146" s="22"/>
      <c r="R146" s="22"/>
      <c r="S146" s="31">
        <f t="shared" si="58"/>
        <v>1</v>
      </c>
      <c r="T146" s="46" t="str">
        <f t="shared" si="59"/>
        <v>NorthBound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60"/>
        <v>https://d0f6bd738d7f1b3e5a7ca70fe4ff75f0.us-east-1.aws.found.io/app/kibana#/discover/Steve-Slow-Train-Analysis-(2080s-and-2083s)?_g=(refreshInterval:(display:Off,pause:!f,section:0,value:0),time:(from:'2017-03-07T20:19:21-0700',mode:absolute,to:'2017-03-07T23:07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6" s="187" t="str">
        <f t="shared" si="61"/>
        <v>N</v>
      </c>
      <c r="X146" s="187">
        <f t="shared" si="53"/>
        <v>1</v>
      </c>
      <c r="Y146" s="62">
        <f t="shared" si="54"/>
        <v>4.4900000000000002E-2</v>
      </c>
      <c r="Z146" s="62">
        <f t="shared" si="62"/>
        <v>23.33</v>
      </c>
      <c r="AA146" s="62">
        <f t="shared" si="63"/>
        <v>23.2851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64"/>
        <v>0231-07</v>
      </c>
      <c r="AE146" s="85" t="str">
        <f t="shared" si="65"/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AF146" s="82" t="str">
        <f t="shared" si="66"/>
        <v>"C:\Program Files (x86)\AstroGrep\AstroGrep.exe" /spath="%USERPROFILE%\AppData\Local\Temp\OnboardLogs" /stypes="app*4044*20170308*" /stext=" 05:.+((SYSTEM_STATE.+slice.+state.+changed )|(ment ac)|(multiple cpu faults)|(system.+state.+changed )|(\[timeout)|(PRM\|1\|D)|(kpr)|(kdp)|(\|lc)|(penalty))" /e /r /s</v>
      </c>
      <c r="AG146" s="1" t="str">
        <f t="shared" si="67"/>
        <v>EC</v>
      </c>
      <c r="AH146" s="86" t="str">
        <f t="shared" si="68"/>
        <v>"%USERPROFILE%\Documents\GitHub\eaglep3\Utilities\RefineRTDCRunTimes.py" --tripid 231-07 --locoid 4044 --swversion DE.1.0.9.0 --startMP 204:449 --initTime 2017-03-07T21:19:21 --startdatetime 2017-03-07T21:30:15 --delay 2 --endMP 204:233300 --enddatetime 2017-03-07T22:07:34 --enforcementcount 2 &gt;&gt;C:\Users\stu\Documents\GitHub\eaglep3-reporting\EC\2017-03-07-refined-times.txt</v>
      </c>
      <c r="AI146" s="108" t="str">
        <f t="shared" si="69"/>
        <v>echo {"issue":{"subject":"","project_id":79,"tracker_id":40,"status_id":1,"priority_id":2,"assigned_to_id":23,"start_date":"2017-03-07","description":"","custom_fields":[{"id":1,"name":"Subdivision","value":"EC"},{"id":4,"name":"Milepost","value":"23.33"},{"id":17,"name":"Train ID","value":"231-07"},{"id":16,"name":"Locomotive ID","value":"4044"},{"id":130,"name":"Impact","value":""},{"id":150,"name":"Time of Event (Mountain Time)","value":"22:07:34"},{"id":151,"name":"Denver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70"/>
        <v>start /low /b %USERPROFILE%\Documents\GitHub\eaglep3\Utilities\DownloadLogsFromS3.py --loco 4044 --day 2017-03-07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"%USERPROFILE%\AppData\Local\Temp\OnboardLogs"\RTDC4044\*4044*20170308* | grep -SE "(Enforcement Action)|(\[TIMEOUT)|(CHR.+\|PRM\|1\|D.+(SWITCH|SIGNAL).+UNKNOWN)" - &gt;&gt; 2017-03-07-UncaughtWiMAX.txt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770</v>
      </c>
      <c r="B147" s="7">
        <v>4043</v>
      </c>
      <c r="C147" s="21" t="s">
        <v>233</v>
      </c>
      <c r="D147" s="21" t="s">
        <v>459</v>
      </c>
      <c r="E147" s="13">
        <v>42801.932025462964</v>
      </c>
      <c r="F147" s="13">
        <v>42801.934895833336</v>
      </c>
      <c r="G147" s="7">
        <v>1</v>
      </c>
      <c r="H147" s="21" t="s">
        <v>203</v>
      </c>
      <c r="I147" s="13">
        <v>42801.962696759256</v>
      </c>
      <c r="J147" s="7">
        <v>2</v>
      </c>
      <c r="K147" s="98" t="str">
        <f t="shared" si="55"/>
        <v>4043/4044</v>
      </c>
      <c r="L147" s="21" t="str">
        <f>VLOOKUP(A147,'Trips&amp;Operators'!$C$1:$G$99999,5,FALSE)</f>
        <v>NEWELL JAMES</v>
      </c>
      <c r="M147" s="6">
        <f t="shared" si="56"/>
        <v>2.7800925920018926E-2</v>
      </c>
      <c r="N147" s="7">
        <f t="shared" si="57"/>
        <v>40.033333324827254</v>
      </c>
      <c r="O147" s="7"/>
      <c r="P147" s="7"/>
      <c r="Q147" s="22"/>
      <c r="R147" s="22"/>
      <c r="S147" s="31">
        <f t="shared" si="58"/>
        <v>1</v>
      </c>
      <c r="T147" s="46" t="str">
        <f t="shared" si="59"/>
        <v>Southbound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60"/>
        <v>https://d0f6bd738d7f1b3e5a7ca70fe4ff75f0.us-east-1.aws.found.io/app/kibana#/discover/Steve-Slow-Train-Analysis-(2080s-and-2083s)?_g=(refreshInterval:(display:Off,pause:!f,section:0,value:0),time:(from:'2017-03-07T21:22:07-0700',mode:absolute,to:'2017-03-08T00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7" s="187" t="str">
        <f t="shared" si="61"/>
        <v>N</v>
      </c>
      <c r="X147" s="187">
        <f t="shared" si="53"/>
        <v>1</v>
      </c>
      <c r="Y147" s="62">
        <f t="shared" si="54"/>
        <v>23.2989</v>
      </c>
      <c r="Z147" s="62">
        <f t="shared" si="62"/>
        <v>1.52E-2</v>
      </c>
      <c r="AA147" s="62">
        <f t="shared" si="63"/>
        <v>23.2837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64"/>
        <v>0232-07</v>
      </c>
      <c r="AE147" s="85" t="str">
        <f t="shared" si="65"/>
        <v>aws s3 cp s3://rtdc.mdm.uploadarchive.raw/RTDC4043/ "%USERPROFILE%\AppData\Local\Temp\OnboardLogs"\RTDC4043\2017-03-07 --exclude "*" --recursive --include "*20170307*" &amp; "%USERPROFILE%\Documents\GitHub\mrs-test-scripts\Headless Mode &amp; Sideloading\WalkAndUnGZ.bat" "%USERPROFILE%\AppData\Local\Temp\OnboardLogs"\RTDC4043\2017-03-07 &amp; aws s3 cp s3://rtdc.mdm.uploadarchive.raw/RTDC4043/ "%USERPROFILE%\AppData\Local\Temp\OnboardLogs"\RTDC4043\2017-03-08 --exclude "*" --recursive --include "*20170308*" &amp; "%USERPROFILE%\Documents\GitHub\mrs-test-scripts\Headless Mode &amp; Sideloading\WalkAndUnGZ.bat" "%USERPROFILE%\AppData\Local\Temp\OnboardLogs"\RTDC4043\2017-03-08</v>
      </c>
      <c r="AF147" s="82" t="str">
        <f t="shared" si="66"/>
        <v>"C:\Program Files (x86)\AstroGrep\AstroGrep.exe" /spath="%USERPROFILE%\AppData\Local\Temp\OnboardLogs" /stypes="app*4043*20170308*" /stext=" 06:.+((SYSTEM_STATE.+slice.+state.+changed )|(ment ac)|(multiple cpu faults)|(system.+state.+changed )|(\[timeout)|(PRM\|1\|D)|(kpr)|(kdp)|(\|lc)|(penalty))" /e /r /s</v>
      </c>
      <c r="AG147" s="1" t="str">
        <f t="shared" si="67"/>
        <v>EC</v>
      </c>
      <c r="AH147" s="86" t="str">
        <f t="shared" si="68"/>
        <v>"%USERPROFILE%\Documents\GitHub\eaglep3\Utilities\RefineRTDCRunTimes.py" --tripid 232-07 --locoid 4043 --swversion DE.1.0.9.0 --startMP 204:232989 --initTime 2017-03-07T22:22:07 --startdatetime 2017-03-07T22:26:15 --delay 1 --endMP 204:152 --enddatetime 2017-03-07T23:06:17 --enforcementcount 2 &gt;&gt;C:\Users\stu\Documents\GitHub\eaglep3-reporting\EC\2017-03-07-refined-times.txt</v>
      </c>
      <c r="AI147" s="108" t="str">
        <f t="shared" si="69"/>
        <v>echo {"issue":{"subject":"","project_id":79,"tracker_id":40,"status_id":1,"priority_id":2,"assigned_to_id":23,"start_date":"2017-03-07","description":"","custom_fields":[{"id":1,"name":"Subdivision","value":"EC"},{"id":4,"name":"Milepost","value":"0.0152"},{"id":17,"name":"Train ID","value":"232-07"},{"id":16,"name":"Locomotive ID","value":"4043"},{"id":130,"name":"Impact","value":""},{"id":150,"name":"Time of Event (Mountain Time)","value":"23:06:17"},{"id":151,"name":"Denver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70"/>
        <v>start /low /b %USERPROFILE%\Documents\GitHub\eaglep3\Utilities\DownloadLogsFromS3.py --loco 4043 --day 2017-03-07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"%USERPROFILE%\AppData\Local\Temp\OnboardLogs"\RTDC4043\*4043*20170308* | grep -SE "(Enforcement Action)|(\[TIMEOUT)|(CHR.+\|PRM\|1\|D.+(SWITCH|SIGNAL).+UNKNOWN)" - &gt;&gt; 2017-03-07-UncaughtWiMAX.txt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595</v>
      </c>
      <c r="B148" s="7">
        <v>4020</v>
      </c>
      <c r="C148" s="21" t="s">
        <v>233</v>
      </c>
      <c r="D148" s="21" t="s">
        <v>210</v>
      </c>
      <c r="E148" s="13">
        <v>42801.907442129632</v>
      </c>
      <c r="F148" s="13">
        <v>42801.916979166665</v>
      </c>
      <c r="G148" s="7">
        <v>5</v>
      </c>
      <c r="H148" s="21" t="s">
        <v>508</v>
      </c>
      <c r="I148" s="13">
        <v>42801.943113425928</v>
      </c>
      <c r="J148" s="7">
        <v>2</v>
      </c>
      <c r="K148" s="98" t="str">
        <f t="shared" si="55"/>
        <v>4019/4020</v>
      </c>
      <c r="L148" s="21" t="str">
        <f>VLOOKUP(A148,'Trips&amp;Operators'!$C$1:$G$99999,5,FALSE)</f>
        <v>STORY SAMANTHA</v>
      </c>
      <c r="M148" s="6">
        <f t="shared" si="56"/>
        <v>2.6134259263926651E-2</v>
      </c>
      <c r="N148" s="7">
        <f t="shared" si="57"/>
        <v>37.633333340054378</v>
      </c>
      <c r="O148" s="7"/>
      <c r="P148" s="7"/>
      <c r="Q148" s="22"/>
      <c r="R148" s="22"/>
      <c r="S148" s="31">
        <f t="shared" si="58"/>
        <v>1</v>
      </c>
      <c r="T148" s="46" t="str">
        <f t="shared" si="59"/>
        <v>NorthBound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60"/>
        <v>https://d0f6bd738d7f1b3e5a7ca70fe4ff75f0.us-east-1.aws.found.io/app/kibana#/discover/Steve-Slow-Train-Analysis-(2080s-and-2083s)?_g=(refreshInterval:(display:Off,pause:!f,section:0,value:0),time:(from:'2017-03-07T20:46:43-0700',mode:absolute,to:'2017-03-07T23:38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8" s="187" t="str">
        <f t="shared" si="61"/>
        <v>N</v>
      </c>
      <c r="X148" s="187">
        <f t="shared" si="53"/>
        <v>1</v>
      </c>
      <c r="Y148" s="62">
        <f t="shared" si="54"/>
        <v>4.5699999999999998E-2</v>
      </c>
      <c r="Z148" s="62">
        <f t="shared" si="62"/>
        <v>23.3355</v>
      </c>
      <c r="AA148" s="62">
        <f t="shared" si="63"/>
        <v>23.2898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64"/>
        <v>0233-07</v>
      </c>
      <c r="AE148" s="85" t="str">
        <f t="shared" si="65"/>
        <v>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 &amp; aws s3 cp s3://rtdc.mdm.uploadarchive.raw/RTDC4020/ "%USERPROFILE%\AppData\Local\Temp\OnboardLogs"\RTDC4020\2017-03-08 --exclude "*" --recursive --include "*20170308*" &amp; "%USERPROFILE%\Documents\GitHub\mrs-test-scripts\Headless Mode &amp; Sideloading\WalkAndUnGZ.bat" "%USERPROFILE%\AppData\Local\Temp\OnboardLogs"\RTDC4020\2017-03-08</v>
      </c>
      <c r="AF148" s="82" t="str">
        <f t="shared" si="66"/>
        <v>"C:\Program Files (x86)\AstroGrep\AstroGrep.exe" /spath="%USERPROFILE%\AppData\Local\Temp\OnboardLogs" /stypes="app*4020*20170308*" /stext=" 05:.+((SYSTEM_STATE.+slice.+state.+changed )|(ment ac)|(multiple cpu faults)|(system.+state.+changed )|(\[timeout)|(PRM\|1\|D)|(kpr)|(kdp)|(\|lc)|(penalty))" /e /r /s</v>
      </c>
      <c r="AG148" s="1" t="str">
        <f t="shared" si="67"/>
        <v>EC</v>
      </c>
      <c r="AH148" s="86" t="str">
        <f t="shared" si="68"/>
        <v>"%USERPROFILE%\Documents\GitHub\eaglep3\Utilities\RefineRTDCRunTimes.py" --tripid 233-07 --locoid 4020 --swversion DE.1.0.9.0 --startMP 204:457 --initTime 2017-03-07T21:46:43 --startdatetime 2017-03-07T22:00:27 --delay 5 --endMP 204:233355 --enddatetime 2017-03-07T22:38:05 --enforcementcount 2 &gt;&gt;C:\Users\stu\Documents\GitHub\eaglep3-reporting\EC\2017-03-07-refined-times.txt</v>
      </c>
      <c r="AI148" s="108" t="str">
        <f t="shared" si="69"/>
        <v>echo {"issue":{"subject":"","project_id":79,"tracker_id":40,"status_id":1,"priority_id":2,"assigned_to_id":23,"start_date":"2017-03-07","description":"","custom_fields":[{"id":1,"name":"Subdivision","value":"EC"},{"id":4,"name":"Milepost","value":"23.3355"},{"id":17,"name":"Train ID","value":"233-07"},{"id":16,"name":"Locomotive ID","value":"4020"},{"id":130,"name":"Impact","value":""},{"id":150,"name":"Time of Event (Mountain Time)","value":"22:38:05"},{"id":151,"name":"Denver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70"/>
        <v>start /low /b %USERPROFILE%\Documents\GitHub\eaglep3\Utilities\DownloadLogsFromS3.py --loco 4020 --day 2017-03-07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"%USERPROFILE%\AppData\Local\Temp\OnboardLogs"\RTDC4020\*4020*20170308* | grep -SE "(Enforcement Action)|(\[TIMEOUT)|(CHR.+\|PRM\|1\|D.+(SWITCH|SIGNAL).+UNKNOWN)" - &gt;&gt; 2017-03-07-UncaughtWiMAX.txt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773</v>
      </c>
      <c r="B149" s="7">
        <v>4019</v>
      </c>
      <c r="C149" s="21" t="s">
        <v>233</v>
      </c>
      <c r="D149" s="21" t="s">
        <v>859</v>
      </c>
      <c r="E149" s="13">
        <v>42801.947916666664</v>
      </c>
      <c r="F149" s="13">
        <v>42801.95584490741</v>
      </c>
      <c r="G149" s="7">
        <v>1</v>
      </c>
      <c r="H149" s="21" t="s">
        <v>455</v>
      </c>
      <c r="I149" s="13">
        <v>42801.985393518517</v>
      </c>
      <c r="J149" s="7">
        <v>2</v>
      </c>
      <c r="K149" s="98" t="str">
        <f t="shared" si="55"/>
        <v>4019/4020</v>
      </c>
      <c r="L149" s="21" t="str">
        <f>VLOOKUP(A149,'Trips&amp;Operators'!$C$1:$G$99999,5,FALSE)</f>
        <v>STORY SAMANTHA</v>
      </c>
      <c r="M149" s="6">
        <f t="shared" si="56"/>
        <v>2.954861110629281E-2</v>
      </c>
      <c r="N149" s="7">
        <f t="shared" si="57"/>
        <v>42.549999993061647</v>
      </c>
      <c r="O149" s="7"/>
      <c r="P149" s="7"/>
      <c r="Q149" s="22"/>
      <c r="R149" s="22"/>
      <c r="S149" s="31">
        <f t="shared" si="58"/>
        <v>1</v>
      </c>
      <c r="T149" s="46" t="str">
        <f t="shared" si="59"/>
        <v>Southbound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60"/>
        <v>https://d0f6bd738d7f1b3e5a7ca70fe4ff75f0.us-east-1.aws.found.io/app/kibana#/discover/Steve-Slow-Train-Analysis-(2080s-and-2083s)?_g=(refreshInterval:(display:Off,pause:!f,section:0,value:0),time:(from:'2017-03-07T21:45:00-0700',mode:absolute,to:'2017-03-08T00:38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9" s="187" t="str">
        <f t="shared" si="61"/>
        <v>N</v>
      </c>
      <c r="X149" s="187">
        <f t="shared" si="53"/>
        <v>1</v>
      </c>
      <c r="Y149" s="62">
        <f t="shared" si="54"/>
        <v>23.3034</v>
      </c>
      <c r="Z149" s="62">
        <f t="shared" si="62"/>
        <v>1.6E-2</v>
      </c>
      <c r="AA149" s="62">
        <f t="shared" si="63"/>
        <v>23.287400000000002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64"/>
        <v>0234-07</v>
      </c>
      <c r="AE149" s="85" t="str">
        <f t="shared" si="65"/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AF149" s="82" t="str">
        <f t="shared" si="66"/>
        <v>"C:\Program Files (x86)\AstroGrep\AstroGrep.exe" /spath="%USERPROFILE%\AppData\Local\Temp\OnboardLogs" /stypes="app*4019*20170308*" /stext=" 06:.+((SYSTEM_STATE.+slice.+state.+changed )|(ment ac)|(multiple cpu faults)|(system.+state.+changed )|(\[timeout)|(PRM\|1\|D)|(kpr)|(kdp)|(\|lc)|(penalty))" /e /r /s</v>
      </c>
      <c r="AG149" s="1" t="str">
        <f t="shared" si="67"/>
        <v>EC</v>
      </c>
      <c r="AH149" s="86" t="str">
        <f t="shared" si="68"/>
        <v>"%USERPROFILE%\Documents\GitHub\eaglep3\Utilities\RefineRTDCRunTimes.py" --tripid 234-07 --locoid 4019 --swversion DE.1.0.9.0 --startMP 204:233034 --initTime 2017-03-07T22:45:00 --startdatetime 2017-03-07T22:56:25 --delay 1 --endMP 204:160 --enddatetime 2017-03-07T23:38:58 --enforcementcount 2 &gt;&gt;C:\Users\stu\Documents\GitHub\eaglep3-reporting\EC\2017-03-07-refined-times.txt</v>
      </c>
      <c r="AI149" s="108" t="str">
        <f t="shared" si="69"/>
        <v>echo {"issue":{"subject":"","project_id":79,"tracker_id":40,"status_id":1,"priority_id":2,"assigned_to_id":23,"start_date":"2017-03-07","description":"","custom_fields":[{"id":1,"name":"Subdivision","value":"EC"},{"id":4,"name":"Milepost","value":"0.016"},{"id":17,"name":"Train ID","value":"234-07"},{"id":16,"name":"Locomotive ID","value":"4019"},{"id":130,"name":"Impact","value":""},{"id":150,"name":"Time of Event (Mountain Time)","value":"23:38:58"},{"id":151,"name":"Denver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70"/>
        <v>start /low /b %USERPROFILE%\Documents\GitHub\eaglep3\Utilities\DownloadLogsFromS3.py --loco 4019 --day 2017-03-07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"%USERPROFILE%\AppData\Local\Temp\OnboardLogs"\RTDC4019\*4019*20170308* | grep -SE "(Enforcement Action)|(\[TIMEOUT)|(CHR.+\|PRM\|1\|D.+(SWITCH|SIGNAL).+UNKNOWN)" - &gt;&gt; 2017-03-07-UncaughtWiMAX.txt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768</v>
      </c>
      <c r="B150" s="7">
        <v>4014</v>
      </c>
      <c r="C150" s="21" t="s">
        <v>233</v>
      </c>
      <c r="D150" s="21" t="s">
        <v>860</v>
      </c>
      <c r="E150" s="13">
        <v>42801.924097222225</v>
      </c>
      <c r="F150" s="13">
        <v>42801.938055555554</v>
      </c>
      <c r="G150" s="7">
        <v>2</v>
      </c>
      <c r="H150" s="21" t="s">
        <v>861</v>
      </c>
      <c r="I150" s="13">
        <v>42801.962800925925</v>
      </c>
      <c r="J150" s="7">
        <v>2</v>
      </c>
      <c r="K150" s="98" t="str">
        <f t="shared" si="55"/>
        <v>4013/4014</v>
      </c>
      <c r="L150" s="21" t="str">
        <f>VLOOKUP(A150,'Trips&amp;Operators'!$C$1:$G$99999,5,FALSE)</f>
        <v>STAMBAUGH JAMES</v>
      </c>
      <c r="M150" s="6">
        <f t="shared" si="56"/>
        <v>2.47453703705105E-2</v>
      </c>
      <c r="N150" s="7">
        <f t="shared" si="57"/>
        <v>35.63333333353512</v>
      </c>
      <c r="O150" s="7"/>
      <c r="P150" s="7"/>
      <c r="Q150" s="22"/>
      <c r="R150" s="22"/>
      <c r="S150" s="31">
        <f t="shared" si="58"/>
        <v>1</v>
      </c>
      <c r="T150" s="46" t="str">
        <f t="shared" si="59"/>
        <v>NorthBound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60"/>
        <v>https://d0f6bd738d7f1b3e5a7ca70fe4ff75f0.us-east-1.aws.found.io/app/kibana#/discover/Steve-Slow-Train-Analysis-(2080s-and-2083s)?_g=(refreshInterval:(display:Off,pause:!f,section:0,value:0),time:(from:'2017-03-07T21:10:42-0700',mode:absolute,to:'2017-03-08T00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0" s="187" t="str">
        <f t="shared" si="61"/>
        <v>N</v>
      </c>
      <c r="X150" s="187">
        <f t="shared" si="53"/>
        <v>1</v>
      </c>
      <c r="Y150" s="62">
        <f t="shared" si="54"/>
        <v>3.73E-2</v>
      </c>
      <c r="Z150" s="62">
        <f t="shared" si="62"/>
        <v>23.337399999999999</v>
      </c>
      <c r="AA150" s="62">
        <f t="shared" si="63"/>
        <v>23.3001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64"/>
        <v>0235-07</v>
      </c>
      <c r="AE150" s="85" t="str">
        <f t="shared" si="65"/>
        <v>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 &amp; aws s3 cp s3://rtdc.mdm.uploadarchive.raw/RTDC4014/ "%USERPROFILE%\AppData\Local\Temp\OnboardLogs"\RTDC4014\2017-03-08 --exclude "*" --recursive --include "*20170308*" &amp; "%USERPROFILE%\Documents\GitHub\mrs-test-scripts\Headless Mode &amp; Sideloading\WalkAndUnGZ.bat" "%USERPROFILE%\AppData\Local\Temp\OnboardLogs"\RTDC4014\2017-03-08</v>
      </c>
      <c r="AF150" s="82" t="str">
        <f t="shared" si="66"/>
        <v>"C:\Program Files (x86)\AstroGrep\AstroGrep.exe" /spath="%USERPROFILE%\AppData\Local\Temp\OnboardLogs" /stypes="app*4014*20170308*" /stext=" 06:.+((SYSTEM_STATE.+slice.+state.+changed )|(ment ac)|(multiple cpu faults)|(system.+state.+changed )|(\[timeout)|(PRM\|1\|D)|(kpr)|(kdp)|(\|lc)|(penalty))" /e /r /s</v>
      </c>
      <c r="AG150" s="1" t="str">
        <f t="shared" si="67"/>
        <v>EC</v>
      </c>
      <c r="AH150" s="86" t="str">
        <f t="shared" si="68"/>
        <v>"%USERPROFILE%\Documents\GitHub\eaglep3\Utilities\RefineRTDCRunTimes.py" --tripid 235-07 --locoid 4014 --swversion DE.1.0.9.0 --startMP 204:373 --initTime 2017-03-07T22:10:42 --startdatetime 2017-03-07T22:30:48 --delay 2 --endMP 204:233374 --enddatetime 2017-03-07T23:06:26 --enforcementcount 2 &gt;&gt;C:\Users\stu\Documents\GitHub\eaglep3-reporting\EC\2017-03-07-refined-times.txt</v>
      </c>
      <c r="AI150" s="108" t="str">
        <f t="shared" si="69"/>
        <v>echo {"issue":{"subject":"","project_id":79,"tracker_id":40,"status_id":1,"priority_id":2,"assigned_to_id":23,"start_date":"2017-03-07","description":"","custom_fields":[{"id":1,"name":"Subdivision","value":"EC"},{"id":4,"name":"Milepost","value":"23.3374"},{"id":17,"name":"Train ID","value":"235-07"},{"id":16,"name":"Locomotive ID","value":"4014"},{"id":130,"name":"Impact","value":""},{"id":150,"name":"Time of Event (Mountain Time)","value":"23:06:26"},{"id":151,"name":"Denver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70"/>
        <v>start /low /b %USERPROFILE%\Documents\GitHub\eaglep3\Utilities\DownloadLogsFromS3.py --loco 4014 --day 2017-03-07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"%USERPROFILE%\AppData\Local\Temp\OnboardLogs"\RTDC4014\*4014*20170308* | grep -SE "(Enforcement Action)|(\[TIMEOUT)|(CHR.+\|PRM\|1\|D.+(SWITCH|SIGNAL).+UNKNOWN)" - &gt;&gt; 2017-03-07-UncaughtWiMAX.txt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3" t="s">
        <v>776</v>
      </c>
      <c r="B151" s="7">
        <v>4013</v>
      </c>
      <c r="C151" s="21" t="s">
        <v>233</v>
      </c>
      <c r="D151" s="21" t="s">
        <v>501</v>
      </c>
      <c r="E151" s="13">
        <v>42801.974166666667</v>
      </c>
      <c r="F151" s="13">
        <v>42801.976736111108</v>
      </c>
      <c r="G151" s="7">
        <v>1</v>
      </c>
      <c r="H151" s="21" t="s">
        <v>862</v>
      </c>
      <c r="I151" s="13">
        <v>42802.003148148149</v>
      </c>
      <c r="J151" s="7">
        <v>2</v>
      </c>
      <c r="K151" s="98" t="str">
        <f t="shared" si="55"/>
        <v>4013/4014</v>
      </c>
      <c r="L151" s="21" t="str">
        <f>VLOOKUP(A151,'Trips&amp;Operators'!$C$1:$G$99999,5,FALSE)</f>
        <v>STAMBAUGH JAMES</v>
      </c>
      <c r="M151" s="6">
        <f t="shared" si="56"/>
        <v>2.641203704115469E-2</v>
      </c>
      <c r="N151" s="7">
        <f t="shared" si="57"/>
        <v>38.033333339262754</v>
      </c>
      <c r="O151" s="7"/>
      <c r="P151" s="7"/>
      <c r="Q151" s="22"/>
      <c r="R151" s="22"/>
      <c r="S151" s="31">
        <f t="shared" si="58"/>
        <v>1</v>
      </c>
      <c r="T151" s="46" t="str">
        <f t="shared" si="59"/>
        <v>Southbound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60"/>
        <v>https://d0f6bd738d7f1b3e5a7ca70fe4ff75f0.us-east-1.aws.found.io/app/kibana#/discover/Steve-Slow-Train-Analysis-(2080s-and-2083s)?_g=(refreshInterval:(display:Off,pause:!f,section:0,value:0),time:(from:'2017-03-07T22:22:48-0700',mode:absolute,to:'2017-03-08T01:04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1" s="187" t="str">
        <f t="shared" si="61"/>
        <v>N</v>
      </c>
      <c r="X151" s="187">
        <f t="shared" si="53"/>
        <v>1</v>
      </c>
      <c r="Y151" s="62">
        <f t="shared" si="54"/>
        <v>23.307200000000002</v>
      </c>
      <c r="Z151" s="62">
        <f t="shared" si="62"/>
        <v>1.0999999999999999E-2</v>
      </c>
      <c r="AA151" s="62">
        <f t="shared" si="63"/>
        <v>23.296200000000002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64"/>
        <v>0236-07</v>
      </c>
      <c r="AE151" s="85" t="str">
        <f t="shared" si="65"/>
        <v>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 &amp; aws s3 cp s3://rtdc.mdm.uploadarchive.raw/RTDC4013/ "%USERPROFILE%\AppData\Local\Temp\OnboardLogs"\RTDC4013\2017-03-08 --exclude "*" --recursive --include "*20170308*" &amp; "%USERPROFILE%\Documents\GitHub\mrs-test-scripts\Headless Mode &amp; Sideloading\WalkAndUnGZ.bat" "%USERPROFILE%\AppData\Local\Temp\OnboardLogs"\RTDC4013\2017-03-08</v>
      </c>
      <c r="AF151" s="82" t="str">
        <f t="shared" si="66"/>
        <v>"C:\Program Files (x86)\AstroGrep\AstroGrep.exe" /spath="%USERPROFILE%\AppData\Local\Temp\OnboardLogs" /stypes="app*4013*20170308*" /stext=" 07:.+((SYSTEM_STATE.+slice.+state.+changed )|(ment ac)|(multiple cpu faults)|(system.+state.+changed )|(\[timeout)|(PRM\|1\|D)|(kpr)|(kdp)|(\|lc)|(penalty))" /e /r /s</v>
      </c>
      <c r="AG151" s="1" t="str">
        <f t="shared" si="67"/>
        <v>EC</v>
      </c>
      <c r="AH151" s="86" t="str">
        <f t="shared" si="68"/>
        <v>"%USERPROFILE%\Documents\GitHub\eaglep3\Utilities\RefineRTDCRunTimes.py" --tripid 236-07 --locoid 4013 --swversion DE.1.0.9.0 --startMP 204:233072 --initTime 2017-03-07T23:22:48 --startdatetime 2017-03-07T23:26:30 --delay 1 --endMP 204:110 --enddatetime 2017-03-08T00:04:32 --enforcementcount 2 &gt;&gt;C:\Users\stu\Documents\GitHub\eaglep3-reporting\EC\2017-03-07-refined-times.txt</v>
      </c>
      <c r="AI151" s="108" t="str">
        <f t="shared" si="69"/>
        <v>echo {"issue":{"subject":"","project_id":79,"tracker_id":40,"status_id":1,"priority_id":2,"assigned_to_id":23,"start_date":"2017-03-08","description":"","custom_fields":[{"id":1,"name":"Subdivision","value":"EC"},{"id":4,"name":"Milepost","value":"0.011"},{"id":17,"name":"Train ID","value":"236-07"},{"id":16,"name":"Locomotive ID","value":"4013"},{"id":130,"name":"Impact","value":""},{"id":150,"name":"Time of Event (Mountain Time)","value":"00:04:32"},{"id":151,"name":"Denver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70"/>
        <v>start /low /b %USERPROFILE%\Documents\GitHub\eaglep3\Utilities\DownloadLogsFromS3.py --loco 4013 --day 2017-03-07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"%USERPROFILE%\AppData\Local\Temp\OnboardLogs"\RTDC4013\*4013*20170308* | grep -SE "(Enforcement Action)|(\[TIMEOUT)|(CHR.+\|PRM\|1\|D.+(SWITCH|SIGNAL).+UNKNOWN)" - &gt;&gt; 2017-03-07-UncaughtWiMAX.txt</v>
      </c>
    </row>
    <row r="152" spans="1:91" s="20" customFormat="1" x14ac:dyDescent="0.25">
      <c r="A152" s="33" t="s">
        <v>774</v>
      </c>
      <c r="B152" s="7">
        <v>4022</v>
      </c>
      <c r="C152" s="21" t="s">
        <v>233</v>
      </c>
      <c r="D152" s="21" t="s">
        <v>228</v>
      </c>
      <c r="E152" s="13">
        <v>42801.955381944441</v>
      </c>
      <c r="F152" s="13">
        <v>42801.958680555559</v>
      </c>
      <c r="G152" s="7">
        <v>1</v>
      </c>
      <c r="H152" s="21" t="s">
        <v>513</v>
      </c>
      <c r="I152" s="13">
        <v>42801.984293981484</v>
      </c>
      <c r="J152" s="7">
        <v>2</v>
      </c>
      <c r="K152" s="98" t="str">
        <f t="shared" si="55"/>
        <v>4021/4022</v>
      </c>
      <c r="L152" s="21" t="str">
        <f>VLOOKUP(A152,'Trips&amp;Operators'!$C$1:$G$99999,5,FALSE)</f>
        <v>CHANDLER KELVIN</v>
      </c>
      <c r="M152" s="6">
        <f t="shared" si="56"/>
        <v>2.5613425925257616E-2</v>
      </c>
      <c r="N152" s="7">
        <f t="shared" si="57"/>
        <v>36.883333332370967</v>
      </c>
      <c r="O152" s="7"/>
      <c r="P152" s="7"/>
      <c r="Q152" s="22"/>
      <c r="R152" s="22"/>
      <c r="S152" s="31">
        <f t="shared" si="58"/>
        <v>1</v>
      </c>
      <c r="T152" s="46" t="str">
        <f t="shared" si="59"/>
        <v>NorthBound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60"/>
        <v>https://d0f6bd738d7f1b3e5a7ca70fe4ff75f0.us-east-1.aws.found.io/app/kibana#/discover/Steve-Slow-Train-Analysis-(2080s-and-2083s)?_g=(refreshInterval:(display:Off,pause:!f,section:0,value:0),time:(from:'2017-03-07T21:55:45-0700',mode:absolute,to:'2017-03-08T00:37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2" s="187" t="str">
        <f t="shared" si="61"/>
        <v>N</v>
      </c>
      <c r="X152" s="187">
        <f t="shared" si="53"/>
        <v>1</v>
      </c>
      <c r="Y152" s="62">
        <f t="shared" si="54"/>
        <v>4.6600000000000003E-2</v>
      </c>
      <c r="Z152" s="62">
        <f t="shared" si="62"/>
        <v>23.3276</v>
      </c>
      <c r="AA152" s="62">
        <f t="shared" si="63"/>
        <v>23.280999999999999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64"/>
        <v>0237-07</v>
      </c>
      <c r="AE152" s="85" t="str">
        <f t="shared" si="65"/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AF152" s="82" t="str">
        <f t="shared" si="66"/>
        <v>"C:\Program Files (x86)\AstroGrep\AstroGrep.exe" /spath="%USERPROFILE%\AppData\Local\Temp\OnboardLogs" /stypes="app*4022*20170308*" /stext=" 06:.+((SYSTEM_STATE.+slice.+state.+changed )|(ment ac)|(multiple cpu faults)|(system.+state.+changed )|(\[timeout)|(PRM\|1\|D)|(kpr)|(kdp)|(\|lc)|(penalty))" /e /r /s</v>
      </c>
      <c r="AG152" s="1" t="str">
        <f t="shared" si="67"/>
        <v>EC</v>
      </c>
      <c r="AH152" s="86" t="str">
        <f t="shared" si="68"/>
        <v>"%USERPROFILE%\Documents\GitHub\eaglep3\Utilities\RefineRTDCRunTimes.py" --tripid 237-07 --locoid 4022 --swversion DE.1.0.9.0 --startMP 204:466 --initTime 2017-03-07T22:55:45 --startdatetime 2017-03-07T23:00:30 --delay 1 --endMP 204:233276 --enddatetime 2017-03-07T23:37:23 --enforcementcount 2 &gt;&gt;C:\Users\stu\Documents\GitHub\eaglep3-reporting\EC\2017-03-07-refined-times.txt</v>
      </c>
      <c r="AI152" s="108" t="str">
        <f t="shared" si="69"/>
        <v>echo {"issue":{"subject":"","project_id":79,"tracker_id":40,"status_id":1,"priority_id":2,"assigned_to_id":23,"start_date":"2017-03-07","description":"","custom_fields":[{"id":1,"name":"Subdivision","value":"EC"},{"id":4,"name":"Milepost","value":"23.3276"},{"id":17,"name":"Train ID","value":"237-07"},{"id":16,"name":"Locomotive ID","value":"4022"},{"id":130,"name":"Impact","value":""},{"id":150,"name":"Time of Event (Mountain Time)","value":"23:37:23"},{"id":151,"name":"Denver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70"/>
        <v>start /low /b %USERPROFILE%\Documents\GitHub\eaglep3\Utilities\DownloadLogsFromS3.py --loco 4022 --day 2017-03-07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"%USERPROFILE%\AppData\Local\Temp\OnboardLogs"\RTDC4022\*4022*20170308* | grep -SE "(Enforcement Action)|(\[TIMEOUT)|(CHR.+\|PRM\|1\|D.+(SWITCH|SIGNAL).+UNKNOWN)" - &gt;&gt; 2017-03-07-UncaughtWiMAX.txt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599</v>
      </c>
      <c r="B153" s="7">
        <v>4021</v>
      </c>
      <c r="C153" s="21" t="s">
        <v>233</v>
      </c>
      <c r="D153" s="21" t="s">
        <v>462</v>
      </c>
      <c r="E153" s="13">
        <v>42801.993854166663</v>
      </c>
      <c r="F153" s="13">
        <v>42801.997488425928</v>
      </c>
      <c r="G153" s="7">
        <v>1</v>
      </c>
      <c r="H153" s="21" t="s">
        <v>224</v>
      </c>
      <c r="I153" s="13">
        <v>42802.026203703703</v>
      </c>
      <c r="J153" s="7">
        <v>2</v>
      </c>
      <c r="K153" s="98" t="str">
        <f t="shared" si="55"/>
        <v>4021/4022</v>
      </c>
      <c r="L153" s="21" t="str">
        <f>VLOOKUP(A153,'Trips&amp;Operators'!$C$1:$G$99999,5,FALSE)</f>
        <v>CHANDLER KELVIN</v>
      </c>
      <c r="M153" s="6">
        <f t="shared" si="56"/>
        <v>2.8715277774608694E-2</v>
      </c>
      <c r="N153" s="7">
        <f t="shared" si="57"/>
        <v>41.349999995436519</v>
      </c>
      <c r="O153" s="7"/>
      <c r="P153" s="7"/>
      <c r="Q153" s="22"/>
      <c r="R153" s="22"/>
      <c r="S153" s="31">
        <f t="shared" si="58"/>
        <v>1</v>
      </c>
      <c r="T153" s="46" t="str">
        <f t="shared" si="59"/>
        <v>Southbound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60"/>
        <v>https://d0f6bd738d7f1b3e5a7ca70fe4ff75f0.us-east-1.aws.found.io/app/kibana#/discover/Steve-Slow-Train-Analysis-(2080s-and-2083s)?_g=(refreshInterval:(display:Off,pause:!f,section:0,value:0),time:(from:'2017-03-07T22:51:09-0700',mode:absolute,to:'2017-03-08T01:37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3" s="187" t="str">
        <f t="shared" si="61"/>
        <v>N</v>
      </c>
      <c r="X153" s="187">
        <f t="shared" si="53"/>
        <v>1</v>
      </c>
      <c r="Y153" s="62">
        <f t="shared" si="54"/>
        <v>23.2957</v>
      </c>
      <c r="Z153" s="62">
        <f t="shared" si="62"/>
        <v>1.5599999999999999E-2</v>
      </c>
      <c r="AA153" s="62">
        <f t="shared" si="63"/>
        <v>23.280100000000001</v>
      </c>
      <c r="AB153" s="59" t="str">
        <f>VLOOKUP(A153,Enforcements!$C$7:$K$13,8,0)</f>
        <v>Bulletin (2)</v>
      </c>
      <c r="AC153" s="55" t="str">
        <f>VLOOKUP(A153,Enforcements!$C$7:$E$13,3,0)</f>
        <v>GRADE CROSSING</v>
      </c>
      <c r="AD153" s="56" t="str">
        <f t="shared" si="64"/>
        <v>0238-07</v>
      </c>
      <c r="AE153" s="85" t="str">
        <f t="shared" si="65"/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AF153" s="82" t="str">
        <f t="shared" si="66"/>
        <v>"C:\Program Files (x86)\AstroGrep\AstroGrep.exe" /spath="%USERPROFILE%\AppData\Local\Temp\OnboardLogs" /stypes="app*4021*20170308*" /stext=" 07:.+((SYSTEM_STATE.+slice.+state.+changed )|(ment ac)|(multiple cpu faults)|(system.+state.+changed )|(\[timeout)|(PRM\|1\|D)|(kpr)|(kdp)|(\|lc)|(penalty))" /e /r /s</v>
      </c>
      <c r="AG153" s="1" t="str">
        <f t="shared" si="67"/>
        <v>EC</v>
      </c>
      <c r="AH153" s="86" t="str">
        <f t="shared" si="68"/>
        <v>"%USERPROFILE%\Documents\GitHub\eaglep3\Utilities\RefineRTDCRunTimes.py" --tripid 238-07 --locoid 4021 --swversion DE.1.0.9.0 --startMP 204:232957 --initTime 2017-03-07T23:51:09 --startdatetime 2017-03-07T23:56:23 --delay 1 --endMP 204:156 --enddatetime 2017-03-08T00:37:44 --enforcementcount 2 &gt;&gt;C:\Users\stu\Documents\GitHub\eaglep3-reporting\EC\2017-03-07-refined-times.txt</v>
      </c>
      <c r="AI153" s="108" t="str">
        <f t="shared" si="69"/>
        <v>echo {"issue":{"subject":"","project_id":79,"tracker_id":40,"status_id":1,"priority_id":2,"assigned_to_id":23,"start_date":"2017-03-08","description":"","custom_fields":[{"id":1,"name":"Subdivision","value":"EC"},{"id":4,"name":"Milepost","value":"0.0156"},{"id":17,"name":"Train ID","value":"238-07"},{"id":16,"name":"Locomotive ID","value":"4021"},{"id":130,"name":"Impact","value":""},{"id":150,"name":"Time of Event (Mountain Time)","value":"00:37:44"},{"id":151,"name":"Denver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70"/>
        <v>start /low /b %USERPROFILE%\Documents\GitHub\eaglep3\Utilities\DownloadLogsFromS3.py --loco 4021 --day 2017-03-07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"%USERPROFILE%\AppData\Local\Temp\OnboardLogs"\RTDC4021\*4021*20170308* | grep -SE "(Enforcement Action)|(\[TIMEOUT)|(CHR.+\|PRM\|1\|D.+(SWITCH|SIGNAL).+UNKNOWN)" - &gt;&gt; 2017-03-07-UncaughtWiMAX.txt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777</v>
      </c>
      <c r="B154" s="7">
        <v>4044</v>
      </c>
      <c r="C154" s="21" t="s">
        <v>233</v>
      </c>
      <c r="D154" s="21" t="s">
        <v>214</v>
      </c>
      <c r="E154" s="13">
        <v>42801.977106481485</v>
      </c>
      <c r="F154" s="13">
        <v>42801.979317129626</v>
      </c>
      <c r="G154" s="7">
        <v>1</v>
      </c>
      <c r="H154" s="21" t="s">
        <v>493</v>
      </c>
      <c r="I154" s="13">
        <v>42802.003912037035</v>
      </c>
      <c r="J154" s="7">
        <v>2</v>
      </c>
      <c r="K154" s="98" t="str">
        <f t="shared" si="55"/>
        <v>4043/4044</v>
      </c>
      <c r="L154" s="21" t="str">
        <f>VLOOKUP(A154,'Trips&amp;Operators'!$C$1:$G$99999,5,FALSE)</f>
        <v>NEWELL JAMES</v>
      </c>
      <c r="M154" s="6">
        <f t="shared" si="56"/>
        <v>2.4594907408754807E-2</v>
      </c>
      <c r="N154" s="7">
        <f t="shared" si="57"/>
        <v>35.416666668606922</v>
      </c>
      <c r="O154" s="7"/>
      <c r="P154" s="7"/>
      <c r="Q154" s="22"/>
      <c r="R154" s="22"/>
      <c r="S154" s="31">
        <f t="shared" si="58"/>
        <v>1</v>
      </c>
      <c r="T154" s="46" t="str">
        <f t="shared" si="59"/>
        <v>NorthBound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60"/>
        <v>https://d0f6bd738d7f1b3e5a7ca70fe4ff75f0.us-east-1.aws.found.io/app/kibana#/discover/Steve-Slow-Train-Analysis-(2080s-and-2083s)?_g=(refreshInterval:(display:Off,pause:!f,section:0,value:0),time:(from:'2017-03-07T22:27:02-0700',mode:absolute,to:'2017-03-08T01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4" s="187" t="str">
        <f t="shared" si="61"/>
        <v>N</v>
      </c>
      <c r="X154" s="187">
        <f t="shared" si="53"/>
        <v>1</v>
      </c>
      <c r="Y154" s="62">
        <f t="shared" si="54"/>
        <v>4.53E-2</v>
      </c>
      <c r="Z154" s="62">
        <f t="shared" si="62"/>
        <v>23.329799999999999</v>
      </c>
      <c r="AA154" s="62">
        <f t="shared" si="63"/>
        <v>23.284499999999998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64"/>
        <v>0239-07</v>
      </c>
      <c r="AE154" s="85" t="str">
        <f t="shared" si="65"/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AF154" s="82" t="str">
        <f t="shared" si="66"/>
        <v>"C:\Program Files (x86)\AstroGrep\AstroGrep.exe" /spath="%USERPROFILE%\AppData\Local\Temp\OnboardLogs" /stypes="app*4044*20170308*" /stext=" 07:.+((SYSTEM_STATE.+slice.+state.+changed )|(ment ac)|(multiple cpu faults)|(system.+state.+changed )|(\[timeout)|(PRM\|1\|D)|(kpr)|(kdp)|(\|lc)|(penalty))" /e /r /s</v>
      </c>
      <c r="AG154" s="1" t="str">
        <f t="shared" si="67"/>
        <v>EC</v>
      </c>
      <c r="AH154" s="86" t="str">
        <f t="shared" si="68"/>
        <v>"%USERPROFILE%\Documents\GitHub\eaglep3\Utilities\RefineRTDCRunTimes.py" --tripid 239-07 --locoid 4044 --swversion DE.1.0.9.0 --startMP 204:453 --initTime 2017-03-07T23:27:02 --startdatetime 2017-03-07T23:30:13 --delay 1 --endMP 204:233298 --enddatetime 2017-03-08T00:05:38 --enforcementcount 2 &gt;&gt;C:\Users\stu\Documents\GitHub\eaglep3-reporting\EC\2017-03-07-refined-times.txt</v>
      </c>
      <c r="AI154" s="108" t="str">
        <f t="shared" si="69"/>
        <v>echo {"issue":{"subject":"","project_id":79,"tracker_id":40,"status_id":1,"priority_id":2,"assigned_to_id":23,"start_date":"2017-03-08","description":"","custom_fields":[{"id":1,"name":"Subdivision","value":"EC"},{"id":4,"name":"Milepost","value":"23.3298"},{"id":17,"name":"Train ID","value":"239-07"},{"id":16,"name":"Locomotive ID","value":"4044"},{"id":130,"name":"Impact","value":""},{"id":150,"name":"Time of Event (Mountain Time)","value":"00:05:38"},{"id":151,"name":"Denver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70"/>
        <v>start /low /b %USERPROFILE%\Documents\GitHub\eaglep3\Utilities\DownloadLogsFromS3.py --loco 4044 --day 2017-03-07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"%USERPROFILE%\AppData\Local\Temp\OnboardLogs"\RTDC4044\*4044*20170308* | grep -SE "(Enforcement Action)|(\[TIMEOUT)|(CHR.+\|PRM\|1\|D.+(SWITCH|SIGNAL).+UNKNOWN)" - &gt;&gt; 2017-03-07-UncaughtWiMAX.txt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600</v>
      </c>
      <c r="B155" s="7">
        <v>4043</v>
      </c>
      <c r="C155" s="21" t="s">
        <v>233</v>
      </c>
      <c r="D155" s="21" t="s">
        <v>793</v>
      </c>
      <c r="E155" s="13">
        <v>42802.013842592591</v>
      </c>
      <c r="F155" s="13">
        <v>42802.018206018518</v>
      </c>
      <c r="G155" s="7">
        <v>1</v>
      </c>
      <c r="H155" s="21" t="s">
        <v>863</v>
      </c>
      <c r="I155" s="13">
        <v>42802.039398148147</v>
      </c>
      <c r="J155" s="7">
        <v>2</v>
      </c>
      <c r="K155" s="98" t="str">
        <f t="shared" si="55"/>
        <v>4043/4044</v>
      </c>
      <c r="L155" s="21" t="str">
        <f>VLOOKUP(A155,'Trips&amp;Operators'!$C$1:$G$99999,5,FALSE)</f>
        <v>NEWELL JAMES</v>
      </c>
      <c r="M155" s="6">
        <f t="shared" si="56"/>
        <v>2.1192129628616385E-2</v>
      </c>
      <c r="N155" s="7"/>
      <c r="O155" s="7"/>
      <c r="P155" s="7">
        <f>24*60*SUM($M155:$M155)</f>
        <v>30.516666665207595</v>
      </c>
      <c r="Q155" s="22"/>
      <c r="R155" s="22" t="s">
        <v>994</v>
      </c>
      <c r="S155" s="31">
        <f t="shared" si="58"/>
        <v>0.91666666666666663</v>
      </c>
      <c r="T155" s="46" t="str">
        <f t="shared" si="59"/>
        <v>Southbound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11</v>
      </c>
      <c r="V155" s="186" t="str">
        <f t="shared" si="60"/>
        <v>https://d0f6bd738d7f1b3e5a7ca70fe4ff75f0.us-east-1.aws.found.io/app/kibana#/discover/Steve-Slow-Train-Analysis-(2080s-and-2083s)?_g=(refreshInterval:(display:Off,pause:!f,section:0,value:0),time:(from:'2017-03-07T23:19:56-0700',mode:absolute,to:'2017-03-08T01:56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5" s="187" t="str">
        <f t="shared" si="61"/>
        <v>Y</v>
      </c>
      <c r="X155" s="187">
        <f t="shared" si="53"/>
        <v>1</v>
      </c>
      <c r="Y155" s="62">
        <f t="shared" si="54"/>
        <v>23.299600000000002</v>
      </c>
      <c r="Z155" s="62">
        <f t="shared" si="62"/>
        <v>3.0305</v>
      </c>
      <c r="AA155" s="62">
        <f t="shared" si="63"/>
        <v>20.269100000000002</v>
      </c>
      <c r="AB155" s="59" t="str">
        <f>VLOOKUP(A155,Enforcements!$C$7:$K$13,8,0)</f>
        <v>Bulletin (2)</v>
      </c>
      <c r="AC155" s="55" t="str">
        <f>VLOOKUP(A155,Enforcements!$C$7:$E$13,3,0)</f>
        <v>GRADE CROSSING</v>
      </c>
      <c r="AD155" s="56" t="str">
        <f t="shared" si="64"/>
        <v>0240-07</v>
      </c>
      <c r="AE155" s="85" t="str">
        <f t="shared" si="65"/>
        <v>aws s3 cp s3://rtdc.mdm.uploadarchive.raw/RTDC4043/ "%USERPROFILE%\AppData\Local\Temp\OnboardLogs"\RTDC4043\2017-03-08 --exclude "*" --recursive --include "*20170308*" &amp; "%USERPROFILE%\Documents\GitHub\mrs-test-scripts\Headless Mode &amp; Sideloading\WalkAndUnGZ.bat" "%USERPROFILE%\AppData\Local\Temp\OnboardLogs"\RTDC4043\2017-03-08 &amp; aws s3 cp s3://rtdc.mdm.uploadarchive.raw/RTDC4043/ "%USERPROFILE%\AppData\Local\Temp\OnboardLogs"\RTDC4043\2017-03-09 --exclude "*" --recursive --include "*20170309*" &amp; "%USERPROFILE%\Documents\GitHub\mrs-test-scripts\Headless Mode &amp; Sideloading\WalkAndUnGZ.bat" "%USERPROFILE%\AppData\Local\Temp\OnboardLogs"\RTDC4043\2017-03-09</v>
      </c>
      <c r="AF155" s="82" t="str">
        <f t="shared" si="66"/>
        <v>"C:\Program Files (x86)\AstroGrep\AstroGrep.exe" /spath="%USERPROFILE%\AppData\Local\Temp\OnboardLogs" /stypes="app*4043*20170308*" /stext=" 07:.+((SYSTEM_STATE.+slice.+state.+changed )|(ment ac)|(multiple cpu faults)|(system.+state.+changed )|(\[timeout)|(PRM\|1\|D)|(kpr)|(kdp)|(\|lc)|(penalty))" /e /r /s</v>
      </c>
      <c r="AG155" s="1" t="str">
        <f t="shared" si="67"/>
        <v>EC</v>
      </c>
      <c r="AH155" s="86" t="str">
        <f t="shared" si="68"/>
        <v>"%USERPROFILE%\Documents\GitHub\eaglep3\Utilities\RefineRTDCRunTimes.py" --tripid 240-07 --locoid 4043 --swversion DE.1.0.9.0 --startMP 204:232996 --initTime 2017-03-08T00:19:56 --startdatetime 2017-03-08T00:26:13 --delay 1 --endMP 204:30305 --enddatetime 2017-03-08T00:56:44 --enforcementcount 2 &gt;&gt;C:\Users\stu\Documents\GitHub\eaglep3-reporting\EC\2017-03-07-refined-times.txt</v>
      </c>
      <c r="AI155" s="108" t="str">
        <f t="shared" si="69"/>
        <v>echo {"issue":{"subject":"UP Gate issue at Clayton XING?","project_id":79,"tracker_id":40,"status_id":1,"priority_id":2,"assigned_to_id":23,"start_date":"2017-03-08","description":"","custom_fields":[{"id":1,"name":"Subdivision","value":"EC"},{"id":4,"name":"Milepost","value":"3.0305"},{"id":17,"name":"Train ID","value":"240-07"},{"id":16,"name":"Locomotive ID","value":"4043"},{"id":130,"name":"Impact","value":""},{"id":150,"name":"Time of Event (Mountain Time)","value":"00:56:44"},{"id":151,"name":"Denver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70"/>
        <v>start /low /b %USERPROFILE%\Documents\GitHub\eaglep3\Utilities\DownloadLogsFromS3.py --loco 4043 --day 2017-03-08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"%USERPROFILE%\AppData\Local\Temp\OnboardLogs"\RTDC4043\*4043*20170308* | grep -SE "(Enforcement Action)|(\[TIMEOUT)|(CHR.+\|PRM\|1\|D.+(SWITCH|SIGNAL).+UNKNOWN)" - &gt;&gt; 2017-03-07-UncaughtWiMAX.txt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778</v>
      </c>
      <c r="B156" s="7">
        <v>4020</v>
      </c>
      <c r="C156" s="21" t="s">
        <v>233</v>
      </c>
      <c r="D156" s="21" t="s">
        <v>512</v>
      </c>
      <c r="E156" s="13">
        <v>42801.995787037034</v>
      </c>
      <c r="F156" s="13">
        <v>42802.000324074077</v>
      </c>
      <c r="G156" s="7">
        <v>1</v>
      </c>
      <c r="H156" s="21" t="s">
        <v>864</v>
      </c>
      <c r="I156" s="13">
        <v>42802.027013888888</v>
      </c>
      <c r="J156" s="7">
        <v>2</v>
      </c>
      <c r="K156" s="98" t="str">
        <f t="shared" si="55"/>
        <v>4019/4020</v>
      </c>
      <c r="L156" s="21" t="str">
        <f>VLOOKUP(A156,'Trips&amp;Operators'!$C$1:$G$99999,5,FALSE)</f>
        <v>STORY SAMANTHA</v>
      </c>
      <c r="M156" s="6">
        <f t="shared" si="56"/>
        <v>2.6689814811106771E-2</v>
      </c>
      <c r="N156" s="7">
        <f t="shared" ref="N156:N187" si="71">24*60*SUM($M156:$M156)</f>
        <v>38.433333327993751</v>
      </c>
      <c r="O156" s="7"/>
      <c r="P156" s="7"/>
      <c r="Q156" s="22"/>
      <c r="R156" s="22"/>
      <c r="S156" s="31">
        <f t="shared" si="58"/>
        <v>1</v>
      </c>
      <c r="T156" s="46" t="str">
        <f t="shared" si="59"/>
        <v>NorthBound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60"/>
        <v>https://d0f6bd738d7f1b3e5a7ca70fe4ff75f0.us-east-1.aws.found.io/app/kibana#/discover/Steve-Slow-Train-Analysis-(2080s-and-2083s)?_g=(refreshInterval:(display:Off,pause:!f,section:0,value:0),time:(from:'2017-03-07T22:53:56-0700',mode:absolute,to:'2017-03-08T01:38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6" s="187" t="str">
        <f t="shared" si="61"/>
        <v>N</v>
      </c>
      <c r="X156" s="187">
        <f t="shared" si="53"/>
        <v>1</v>
      </c>
      <c r="Y156" s="62">
        <f t="shared" si="54"/>
        <v>4.8000000000000001E-2</v>
      </c>
      <c r="Z156" s="62">
        <f t="shared" si="62"/>
        <v>23.337199999999999</v>
      </c>
      <c r="AA156" s="62">
        <f t="shared" si="63"/>
        <v>23.289200000000001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64"/>
        <v>0241-07</v>
      </c>
      <c r="AE156" s="85" t="str">
        <f t="shared" si="65"/>
        <v>aws s3 cp s3://rtdc.mdm.uploadarchive.raw/RTDC4020/ "%USERPROFILE%\AppData\Local\Temp\OnboardLogs"\RTDC4020\2017-03-08 --exclude "*" --recursive --include "*20170308*" &amp; "%USERPROFILE%\Documents\GitHub\mrs-test-scripts\Headless Mode &amp; Sideloading\WalkAndUnGZ.bat" "%USERPROFILE%\AppData\Local\Temp\OnboardLogs"\RTDC4020\2017-03-08 &amp; aws s3 cp s3://rtdc.mdm.uploadarchive.raw/RTDC4020/ "%USERPROFILE%\AppData\Local\Temp\OnboardLogs"\RTDC4020\2017-03-09 --exclude "*" --recursive --include "*20170309*" &amp; "%USERPROFILE%\Documents\GitHub\mrs-test-scripts\Headless Mode &amp; Sideloading\WalkAndUnGZ.bat" "%USERPROFILE%\AppData\Local\Temp\OnboardLogs"\RTDC4020\2017-03-09</v>
      </c>
      <c r="AF156" s="82" t="str">
        <f t="shared" si="66"/>
        <v>"C:\Program Files (x86)\AstroGrep\AstroGrep.exe" /spath="%USERPROFILE%\AppData\Local\Temp\OnboardLogs" /stypes="app*4020*20170308*" /stext=" 07:.+((SYSTEM_STATE.+slice.+state.+changed )|(ment ac)|(multiple cpu faults)|(system.+state.+changed )|(\[timeout)|(PRM\|1\|D)|(kpr)|(kdp)|(\|lc)|(penalty))" /e /r /s</v>
      </c>
      <c r="AG156" s="1" t="str">
        <f t="shared" si="67"/>
        <v>EC</v>
      </c>
      <c r="AH156" s="86" t="str">
        <f t="shared" si="68"/>
        <v>"%USERPROFILE%\Documents\GitHub\eaglep3\Utilities\RefineRTDCRunTimes.py" --tripid 241-07 --locoid 4020 --swversion DE.1.0.9.0 --startMP 204:480 --initTime 2017-03-07T23:53:56 --startdatetime 2017-03-08T00:00:28 --delay 1 --endMP 204:233372 --enddatetime 2017-03-08T00:38:54 --enforcementcount 2 &gt;&gt;C:\Users\stu\Documents\GitHub\eaglep3-reporting\EC\2017-03-07-refined-times.txt</v>
      </c>
      <c r="AI156" s="108" t="str">
        <f t="shared" si="69"/>
        <v>echo {"issue":{"subject":"","project_id":79,"tracker_id":40,"status_id":1,"priority_id":2,"assigned_to_id":23,"start_date":"2017-03-08","description":"","custom_fields":[{"id":1,"name":"Subdivision","value":"EC"},{"id":4,"name":"Milepost","value":"23.3372"},{"id":17,"name":"Train ID","value":"241-07"},{"id":16,"name":"Locomotive ID","value":"4020"},{"id":130,"name":"Impact","value":""},{"id":150,"name":"Time of Event (Mountain Time)","value":"00:38:54"},{"id":151,"name":"Denver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70"/>
        <v>start /low /b %USERPROFILE%\Documents\GitHub\eaglep3\Utilities\DownloadLogsFromS3.py --loco 4020 --day 2017-03-08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"%USERPROFILE%\AppData\Local\Temp\OnboardLogs"\RTDC4020\*4020*20170308* | grep -SE "(Enforcement Action)|(\[TIMEOUT)|(CHR.+\|PRM\|1\|D.+(SWITCH|SIGNAL).+UNKNOWN)" - &gt;&gt; 2017-03-07-UncaughtWiMAX.txt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3" t="s">
        <v>780</v>
      </c>
      <c r="B157" s="7">
        <v>4019</v>
      </c>
      <c r="C157" s="21" t="s">
        <v>233</v>
      </c>
      <c r="D157" s="21" t="s">
        <v>865</v>
      </c>
      <c r="E157" s="13">
        <v>42802.034328703703</v>
      </c>
      <c r="F157" s="13">
        <v>42802.039120370369</v>
      </c>
      <c r="G157" s="7">
        <v>1</v>
      </c>
      <c r="H157" s="21" t="s">
        <v>866</v>
      </c>
      <c r="I157" s="13">
        <v>42802.067893518521</v>
      </c>
      <c r="J157" s="7">
        <v>2</v>
      </c>
      <c r="K157" s="98" t="str">
        <f t="shared" si="55"/>
        <v>4019/4020</v>
      </c>
      <c r="L157" s="21" t="str">
        <f>VLOOKUP(A157,'Trips&amp;Operators'!$C$1:$G$99999,5,FALSE)</f>
        <v>STORY SAMANTHA</v>
      </c>
      <c r="M157" s="6">
        <f t="shared" si="56"/>
        <v>2.8773148151230998E-2</v>
      </c>
      <c r="N157" s="7">
        <f t="shared" si="71"/>
        <v>41.433333337772638</v>
      </c>
      <c r="O157" s="7"/>
      <c r="P157" s="7"/>
      <c r="Q157" s="22"/>
      <c r="R157" s="22"/>
      <c r="S157" s="31">
        <f t="shared" si="58"/>
        <v>1</v>
      </c>
      <c r="T157" s="46" t="str">
        <f t="shared" si="59"/>
        <v>Southbound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6" t="str">
        <f t="shared" si="60"/>
        <v>https://d0f6bd738d7f1b3e5a7ca70fe4ff75f0.us-east-1.aws.found.io/app/kibana#/discover/Steve-Slow-Train-Analysis-(2080s-and-2083s)?_g=(refreshInterval:(display:Off,pause:!f,section:0,value:0),time:(from:'2017-03-07T23:49:26-0700',mode:absolute,to:'2017-03-08T02:37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7" s="187" t="str">
        <f t="shared" si="61"/>
        <v>N</v>
      </c>
      <c r="X157" s="187">
        <f t="shared" ref="X157:X188" si="72">VALUE(LEFT(AD157,4))-VALUE(LEFT(AD156,4))</f>
        <v>1</v>
      </c>
      <c r="Y157" s="62">
        <f t="shared" si="54"/>
        <v>23.311499999999999</v>
      </c>
      <c r="Z157" s="62">
        <f t="shared" si="62"/>
        <v>2.1999999999999999E-2</v>
      </c>
      <c r="AA157" s="62">
        <f t="shared" si="63"/>
        <v>23.2895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64"/>
        <v>0242-07</v>
      </c>
      <c r="AE157" s="85" t="str">
        <f t="shared" si="65"/>
        <v>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 &amp; aws s3 cp s3://rtdc.mdm.uploadarchive.raw/RTDC4019/ "%USERPROFILE%\AppData\Local\Temp\OnboardLogs"\RTDC4019\2017-03-09 --exclude "*" --recursive --include "*20170309*" &amp; "%USERPROFILE%\Documents\GitHub\mrs-test-scripts\Headless Mode &amp; Sideloading\WalkAndUnGZ.bat" "%USERPROFILE%\AppData\Local\Temp\OnboardLogs"\RTDC4019\2017-03-09</v>
      </c>
      <c r="AF157" s="82" t="str">
        <f t="shared" si="66"/>
        <v>"C:\Program Files (x86)\AstroGrep\AstroGrep.exe" /spath="%USERPROFILE%\AppData\Local\Temp\OnboardLogs" /stypes="app*4019*20170308*" /stext=" 08:.+((SYSTEM_STATE.+slice.+state.+changed )|(ment ac)|(multiple cpu faults)|(system.+state.+changed )|(\[timeout)|(PRM\|1\|D)|(kpr)|(kdp)|(\|lc)|(penalty))" /e /r /s</v>
      </c>
      <c r="AG157" s="1" t="str">
        <f t="shared" si="67"/>
        <v>EC</v>
      </c>
      <c r="AH157" s="86" t="str">
        <f t="shared" si="68"/>
        <v>"%USERPROFILE%\Documents\GitHub\eaglep3\Utilities\RefineRTDCRunTimes.py" --tripid 242-07 --locoid 4019 --swversion DE.1.0.9.0 --startMP 204:233115 --initTime 2017-03-08T00:49:26 --startdatetime 2017-03-08T00:56:20 --delay 1 --endMP 204:220 --enddatetime 2017-03-08T01:37:46 --enforcementcount 2 &gt;&gt;C:\Users\stu\Documents\GitHub\eaglep3-reporting\EC\2017-03-07-refined-times.txt</v>
      </c>
      <c r="AI157" s="108" t="str">
        <f t="shared" si="69"/>
        <v>echo {"issue":{"subject":"","project_id":79,"tracker_id":40,"status_id":1,"priority_id":2,"assigned_to_id":23,"start_date":"2017-03-08","description":"","custom_fields":[{"id":1,"name":"Subdivision","value":"EC"},{"id":4,"name":"Milepost","value":"0.022"},{"id":17,"name":"Train ID","value":"242-07"},{"id":16,"name":"Locomotive ID","value":"4019"},{"id":130,"name":"Impact","value":""},{"id":150,"name":"Time of Event (Mountain Time)","value":"01:37:46"},{"id":151,"name":"Denver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70"/>
        <v>start /low /b %USERPROFILE%\Documents\GitHub\eaglep3\Utilities\DownloadLogsFromS3.py --loco 4019 --day 2017-03-08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"%USERPROFILE%\AppData\Local\Temp\OnboardLogs"\RTDC4019\*4019*20170308* | grep -SE "(Enforcement Action)|(\[TIMEOUT)|(CHR.+\|PRM\|1\|D.+(SWITCH|SIGNAL).+UNKNOWN)" - &gt;&gt; 2017-03-07-UncaughtWiMAX.txt</v>
      </c>
    </row>
    <row r="158" spans="1:91" x14ac:dyDescent="0.25">
      <c r="A158" s="33" t="s">
        <v>601</v>
      </c>
      <c r="B158" s="7">
        <v>4014</v>
      </c>
      <c r="C158" s="21" t="s">
        <v>233</v>
      </c>
      <c r="D158" s="21" t="s">
        <v>837</v>
      </c>
      <c r="E158" s="13">
        <v>42802.004629629628</v>
      </c>
      <c r="F158" s="13">
        <v>42802.021041666667</v>
      </c>
      <c r="G158" s="7">
        <v>1</v>
      </c>
      <c r="H158" s="21" t="s">
        <v>867</v>
      </c>
      <c r="I158" s="13">
        <v>42802.045798611114</v>
      </c>
      <c r="J158" s="7">
        <v>2</v>
      </c>
      <c r="K158" s="98" t="str">
        <f t="shared" si="55"/>
        <v>4013/4014</v>
      </c>
      <c r="L158" s="21" t="str">
        <f>VLOOKUP(A158,'Trips&amp;Operators'!$C$1:$G$99999,5,FALSE)</f>
        <v>STAMBAUGH JAMES</v>
      </c>
      <c r="M158" s="6">
        <f t="shared" si="56"/>
        <v>2.4756944447290152E-2</v>
      </c>
      <c r="N158" s="7">
        <f t="shared" si="71"/>
        <v>35.650000004097819</v>
      </c>
      <c r="O158" s="7"/>
      <c r="P158" s="7"/>
      <c r="Q158" s="22"/>
      <c r="R158" s="22"/>
      <c r="S158" s="31">
        <f t="shared" si="58"/>
        <v>1</v>
      </c>
      <c r="T158" s="46" t="str">
        <f t="shared" si="59"/>
        <v>NorthBound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6" t="str">
        <f t="shared" si="60"/>
        <v>https://d0f6bd738d7f1b3e5a7ca70fe4ff75f0.us-east-1.aws.found.io/app/kibana#/discover/Steve-Slow-Train-Analysis-(2080s-and-2083s)?_g=(refreshInterval:(display:Off,pause:!f,section:0,value:0),time:(from:'2017-03-07T23:06:40-0700',mode:absolute,to:'2017-03-08T02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8" s="187" t="str">
        <f t="shared" si="61"/>
        <v>N</v>
      </c>
      <c r="X158" s="187">
        <f t="shared" si="72"/>
        <v>1</v>
      </c>
      <c r="Y158" s="62">
        <f t="shared" si="54"/>
        <v>4.3099999999999999E-2</v>
      </c>
      <c r="Z158" s="62">
        <f t="shared" si="62"/>
        <v>23.343399999999999</v>
      </c>
      <c r="AA158" s="62">
        <f t="shared" si="63"/>
        <v>23.3003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64"/>
        <v>0243-07</v>
      </c>
      <c r="AE158" s="85" t="str">
        <f t="shared" si="65"/>
        <v>aws s3 cp s3://rtdc.mdm.uploadarchive.raw/RTDC4014/ "%USERPROFILE%\AppData\Local\Temp\OnboardLogs"\RTDC4014\2017-03-08 --exclude "*" --recursive --include "*20170308*" &amp; "%USERPROFILE%\Documents\GitHub\mrs-test-scripts\Headless Mode &amp; Sideloading\WalkAndUnGZ.bat" "%USERPROFILE%\AppData\Local\Temp\OnboardLogs"\RTDC4014\2017-03-08 &amp; aws s3 cp s3://rtdc.mdm.uploadarchive.raw/RTDC4014/ "%USERPROFILE%\AppData\Local\Temp\OnboardLogs"\RTDC4014\2017-03-09 --exclude "*" --recursive --include "*20170309*" &amp; "%USERPROFILE%\Documents\GitHub\mrs-test-scripts\Headless Mode &amp; Sideloading\WalkAndUnGZ.bat" "%USERPROFILE%\AppData\Local\Temp\OnboardLogs"\RTDC4014\2017-03-09</v>
      </c>
      <c r="AF158" s="82" t="str">
        <f t="shared" si="66"/>
        <v>"C:\Program Files (x86)\AstroGrep\AstroGrep.exe" /spath="%USERPROFILE%\AppData\Local\Temp\OnboardLogs" /stypes="app*4014*20170308*" /stext=" 08:.+((SYSTEM_STATE.+slice.+state.+changed )|(ment ac)|(multiple cpu faults)|(system.+state.+changed )|(\[timeout)|(PRM\|1\|D)|(kpr)|(kdp)|(\|lc)|(penalty))" /e /r /s</v>
      </c>
      <c r="AG158" s="1" t="str">
        <f t="shared" si="67"/>
        <v>EC</v>
      </c>
      <c r="AH158" s="86" t="str">
        <f t="shared" si="68"/>
        <v>"%USERPROFILE%\Documents\GitHub\eaglep3\Utilities\RefineRTDCRunTimes.py" --tripid 243-07 --locoid 4014 --swversion DE.1.0.9.0 --startMP 204:431 --initTime 2017-03-08T00:06:40 --startdatetime 2017-03-08T00:30:18 --delay 1 --endMP 204:233434 --enddatetime 2017-03-08T01:05:57 --enforcementcount 2 &gt;&gt;C:\Users\stu\Documents\GitHub\eaglep3-reporting\EC\2017-03-07-refined-times.txt</v>
      </c>
      <c r="AI158" s="108" t="str">
        <f t="shared" si="69"/>
        <v>echo {"issue":{"subject":"","project_id":79,"tracker_id":40,"status_id":1,"priority_id":2,"assigned_to_id":23,"start_date":"2017-03-08","description":"","custom_fields":[{"id":1,"name":"Subdivision","value":"EC"},{"id":4,"name":"Milepost","value":"23.3434"},{"id":17,"name":"Train ID","value":"243-07"},{"id":16,"name":"Locomotive ID","value":"4014"},{"id":130,"name":"Impact","value":""},{"id":150,"name":"Time of Event (Mountain Time)","value":"01:05:57"},{"id":151,"name":"Denver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70"/>
        <v>start /low /b %USERPROFILE%\Documents\GitHub\eaglep3\Utilities\DownloadLogsFromS3.py --loco 4014 --day 2017-03-08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"%USERPROFILE%\AppData\Local\Temp\OnboardLogs"\RTDC4014\*4014*20170308* | grep -SE "(Enforcement Action)|(\[TIMEOUT)|(CHR.+\|PRM\|1\|D.+(SWITCH|SIGNAL).+UNKNOWN)" - &gt;&gt; 2017-03-07-UncaughtWiMAX.txt</v>
      </c>
    </row>
    <row r="159" spans="1:91" x14ac:dyDescent="0.25">
      <c r="A159" s="33" t="s">
        <v>781</v>
      </c>
      <c r="B159" s="7">
        <v>4013</v>
      </c>
      <c r="C159" s="21" t="s">
        <v>233</v>
      </c>
      <c r="D159" s="21" t="s">
        <v>868</v>
      </c>
      <c r="E159" s="13">
        <v>42802.057650462964</v>
      </c>
      <c r="F159" s="13">
        <v>42802.059895833336</v>
      </c>
      <c r="G159" s="7">
        <v>1</v>
      </c>
      <c r="H159" s="21" t="s">
        <v>869</v>
      </c>
      <c r="I159" s="13">
        <v>42802.086076388892</v>
      </c>
      <c r="J159" s="7">
        <v>2</v>
      </c>
      <c r="K159" s="98" t="str">
        <f t="shared" si="55"/>
        <v>4013/4014</v>
      </c>
      <c r="L159" s="21" t="str">
        <f>VLOOKUP(A159,'Trips&amp;Operators'!$C$1:$G$99999,5,FALSE)</f>
        <v>STAMBAUGH JAMES</v>
      </c>
      <c r="M159" s="6">
        <f t="shared" si="56"/>
        <v>2.6180555556493346E-2</v>
      </c>
      <c r="N159" s="7">
        <f t="shared" si="71"/>
        <v>37.700000001350418</v>
      </c>
      <c r="O159" s="7"/>
      <c r="P159" s="7"/>
      <c r="Q159" s="22"/>
      <c r="R159" s="22"/>
      <c r="S159" s="31">
        <f t="shared" si="58"/>
        <v>1</v>
      </c>
      <c r="T159" s="46" t="str">
        <f t="shared" si="59"/>
        <v>Southbound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86" t="str">
        <f t="shared" si="60"/>
        <v>https://d0f6bd738d7f1b3e5a7ca70fe4ff75f0.us-east-1.aws.found.io/app/kibana#/discover/Steve-Slow-Train-Analysis-(2080s-and-2083s)?_g=(refreshInterval:(display:Off,pause:!f,section:0,value:0),time:(from:'2017-03-08T00:23:01-0700',mode:absolute,to:'2017-03-08T03:03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9" s="187" t="str">
        <f t="shared" si="61"/>
        <v>N</v>
      </c>
      <c r="X159" s="187">
        <f t="shared" si="72"/>
        <v>1</v>
      </c>
      <c r="Y159" s="62">
        <f t="shared" si="54"/>
        <v>23.310400000000001</v>
      </c>
      <c r="Z159" s="62">
        <f t="shared" si="62"/>
        <v>1.9800000000000002E-2</v>
      </c>
      <c r="AA159" s="62">
        <f t="shared" si="63"/>
        <v>23.290600000000001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64"/>
        <v>0244-07</v>
      </c>
      <c r="AE159" s="85" t="str">
        <f t="shared" si="65"/>
        <v>aws s3 cp s3://rtdc.mdm.uploadarchive.raw/RTDC4013/ "%USERPROFILE%\AppData\Local\Temp\OnboardLogs"\RTDC4013\2017-03-08 --exclude "*" --recursive --include "*20170308*" &amp; "%USERPROFILE%\Documents\GitHub\mrs-test-scripts\Headless Mode &amp; Sideloading\WalkAndUnGZ.bat" "%USERPROFILE%\AppData\Local\Temp\OnboardLogs"\RTDC4013\2017-03-08 &amp; aws s3 cp s3://rtdc.mdm.uploadarchive.raw/RTDC4013/ "%USERPROFILE%\AppData\Local\Temp\OnboardLogs"\RTDC4013\2017-03-09 --exclude "*" --recursive --include "*20170309*" &amp; "%USERPROFILE%\Documents\GitHub\mrs-test-scripts\Headless Mode &amp; Sideloading\WalkAndUnGZ.bat" "%USERPROFILE%\AppData\Local\Temp\OnboardLogs"\RTDC4013\2017-03-09</v>
      </c>
      <c r="AF159" s="82" t="str">
        <f t="shared" si="66"/>
        <v>"C:\Program Files (x86)\AstroGrep\AstroGrep.exe" /spath="%USERPROFILE%\AppData\Local\Temp\OnboardLogs" /stypes="app*4013*20170308*" /stext=" 09:.+((SYSTEM_STATE.+slice.+state.+changed )|(ment ac)|(multiple cpu faults)|(system.+state.+changed )|(\[timeout)|(PRM\|1\|D)|(kpr)|(kdp)|(\|lc)|(penalty))" /e /r /s</v>
      </c>
      <c r="AG159" s="1" t="str">
        <f t="shared" si="67"/>
        <v>EC</v>
      </c>
      <c r="AH159" s="86" t="str">
        <f t="shared" si="68"/>
        <v>"%USERPROFILE%\Documents\GitHub\eaglep3\Utilities\RefineRTDCRunTimes.py" --tripid 244-07 --locoid 4013 --swversion DE.1.0.9.0 --startMP 204:233104 --initTime 2017-03-08T01:23:01 --startdatetime 2017-03-08T01:26:15 --delay 1 --endMP 204:198 --enddatetime 2017-03-08T02:03:57 --enforcementcount 2 &gt;&gt;C:\Users\stu\Documents\GitHub\eaglep3-reporting\EC\2017-03-07-refined-times.txt</v>
      </c>
      <c r="AI159" s="108" t="str">
        <f t="shared" si="69"/>
        <v>echo {"issue":{"subject":"","project_id":79,"tracker_id":40,"status_id":1,"priority_id":2,"assigned_to_id":23,"start_date":"2017-03-08","description":"","custom_fields":[{"id":1,"name":"Subdivision","value":"EC"},{"id":4,"name":"Milepost","value":"0.0198"},{"id":17,"name":"Train ID","value":"244-07"},{"id":16,"name":"Locomotive ID","value":"4013"},{"id":130,"name":"Impact","value":""},{"id":150,"name":"Time of Event (Mountain Time)","value":"02:03:57"},{"id":151,"name":"Denver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70"/>
        <v>start /low /b %USERPROFILE%\Documents\GitHub\eaglep3\Utilities\DownloadLogsFromS3.py --loco 4013 --day 2017-03-08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"%USERPROFILE%\AppData\Local\Temp\OnboardLogs"\RTDC4013\*4013*20170308* | grep -SE "(Enforcement Action)|(\[TIMEOUT)|(CHR.+\|PRM\|1\|D.+(SWITCH|SIGNAL).+UNKNOWN)" - &gt;&gt; 2017-03-07-UncaughtWiMAX.txt</v>
      </c>
    </row>
    <row r="160" spans="1:91" x14ac:dyDescent="0.25">
      <c r="A160" s="33" t="s">
        <v>551</v>
      </c>
      <c r="B160" s="7">
        <v>4026</v>
      </c>
      <c r="C160" s="21" t="s">
        <v>233</v>
      </c>
      <c r="D160" s="21" t="s">
        <v>427</v>
      </c>
      <c r="E160" s="13">
        <v>42801.204421296294</v>
      </c>
      <c r="F160" s="13">
        <v>42801.20621527778</v>
      </c>
      <c r="G160" s="7">
        <v>1</v>
      </c>
      <c r="H160" s="21" t="s">
        <v>911</v>
      </c>
      <c r="I160" s="13">
        <v>42801.225671296299</v>
      </c>
      <c r="J160" s="7">
        <v>2</v>
      </c>
      <c r="K160" s="98" t="str">
        <f t="shared" si="55"/>
        <v>4025/4026</v>
      </c>
      <c r="L160" s="21" t="str">
        <f>VLOOKUP(A160,'Trips&amp;Operators'!$C$1:$G$99999,5,FALSE)</f>
        <v>YANAI IAN</v>
      </c>
      <c r="M160" s="6">
        <f t="shared" si="56"/>
        <v>1.9456018519122154E-2</v>
      </c>
      <c r="N160" s="7">
        <f t="shared" si="71"/>
        <v>28.016666667535901</v>
      </c>
      <c r="O160" s="7"/>
      <c r="P160" s="7"/>
      <c r="Q160" s="22"/>
      <c r="R160" s="22"/>
      <c r="S160" s="31">
        <f t="shared" si="58"/>
        <v>1</v>
      </c>
      <c r="T160" s="46" t="str">
        <f t="shared" si="59"/>
        <v>Southbound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60"/>
        <v>https://d0f6bd738d7f1b3e5a7ca70fe4ff75f0.us-east-1.aws.found.io/app/kibana#/discover/Steve-Slow-Train-Analysis-(2080s-and-2083s)?_g=(refreshInterval:(display:Off,pause:!f,section:0,value:0),time:(from:'2017-03-07T03:54:22-0700',mode:absolute,to:'2017-03-07T06:24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0" s="187" t="str">
        <f t="shared" si="61"/>
        <v>N</v>
      </c>
      <c r="X160" s="187">
        <f t="shared" si="72"/>
        <v>556</v>
      </c>
      <c r="Y160" s="62">
        <f t="shared" ref="Y160:Y191" si="73">RIGHT(D160,LEN(D160)-4)/10000</f>
        <v>5.8624000000000001</v>
      </c>
      <c r="Z160" s="62">
        <f t="shared" si="62"/>
        <v>6.7000000000000004E-2</v>
      </c>
      <c r="AA160" s="62">
        <f t="shared" si="63"/>
        <v>5.7953999999999999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64"/>
        <v>0800-07</v>
      </c>
      <c r="AE160" s="85" t="str">
        <f t="shared" si="65"/>
        <v>aws s3 cp s3://rtdc.mdm.uploadarchive.raw/RTDC4026/ "%USERPROFILE%\AppData\Local\Temp\OnboardLogs"\RTDC4026\2017-03-07 --exclude "*" --recursive --include "*20170307*" &amp; "%USERPROFILE%\Documents\GitHub\mrs-test-scripts\Headless Mode &amp; Sideloading\WalkAndUnGZ.bat" "%USERPROFILE%\AppData\Local\Temp\OnboardLogs"\RTDC4026\2017-03-07 &amp; aws s3 cp s3://rtdc.mdm.uploadarchive.raw/RTDC4026/ "%USERPROFILE%\AppData\Local\Temp\OnboardLogs"\RTDC4026\2017-03-08 --exclude "*" --recursive --include "*20170308*" &amp; "%USERPROFILE%\Documents\GitHub\mrs-test-scripts\Headless Mode &amp; Sideloading\WalkAndUnGZ.bat" "%USERPROFILE%\AppData\Local\Temp\OnboardLogs"\RTDC4026\2017-03-08</v>
      </c>
      <c r="AF160" s="82" t="str">
        <f t="shared" si="66"/>
        <v>"C:\Program Files (x86)\AstroGrep\AstroGrep.exe" /spath="%USERPROFILE%\AppData\Local\Temp\OnboardLogs" /stypes="app*4026*20170307*" /stext=" 12:.+((SYSTEM_STATE.+slice.+state.+changed )|(ment ac)|(multiple cpu faults)|(system.+state.+changed )|(\[timeout)|(PRM\|1\|D)|(kpr)|(kdp)|(\|lc)|(penalty))" /e /r /s</v>
      </c>
      <c r="AG160" s="1" t="str">
        <f t="shared" si="67"/>
        <v>NW</v>
      </c>
      <c r="AH160" s="86" t="str">
        <f t="shared" si="68"/>
        <v>"%USERPROFILE%\Documents\GitHub\eaglep3\Utilities\RefineRTDCRunTimes.py" --tripid 800-07 --locoid 4026 --swversion DE.1.0.9.0 --startMP 300:58624 --initTime 2017-03-07T04:54:22 --startdatetime 2017-03-07T04:56:57 --delay 1 --endMP 204:670 --enddatetime 2017-03-07T05:24:58 --enforcementcount 2 &gt;&gt;C:\Users\stu\Documents\GitHub\eaglep3-reporting\EC\2017-03-07-refined-times.txt</v>
      </c>
      <c r="AI160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{"issue":{"subject":"","project_id":79,"tracker_id":40,"status_id":1,"priority_id":2,"assigned_to_id":23,"start_date":"2017-03-07","description":"","custom_fields":[{"id":1,"name":"Subdivision","value":"NW"},{"id":4,"name":"Milepost","value":"0.067"},{"id":17,"name":"Train ID","value":"800-07"},{"id":16,"name":"Locomotive ID","value":"4026"},{"id":130,"name":"Impact","value":""},{"id":150,"name":"Time of Event (Mountain Time)","value":"05:24:58"},{"id":151,"name":"Denver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70"/>
        <v>start /low /b %USERPROFILE%\Documents\GitHub\eaglep3\Utilities\DownloadLogsFromS3.py --loco 4026 --day 2017-03-07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"%USERPROFILE%\AppData\Local\Temp\OnboardLogs"\RTDC4026\*4026*20170307* | grep -SE "(Enforcement Action)|(\[TIMEOUT)|(CHR.+\|PRM\|1\|D.+(SWITCH|SIGNAL).+UNKNOWN)" - &gt;&gt; 2017-03-07-UncaughtWiMAX.txt</v>
      </c>
    </row>
    <row r="161" spans="1:91" x14ac:dyDescent="0.25">
      <c r="A161" s="33" t="s">
        <v>619</v>
      </c>
      <c r="B161" s="7">
        <v>4025</v>
      </c>
      <c r="C161" s="21" t="s">
        <v>233</v>
      </c>
      <c r="D161" s="21" t="s">
        <v>912</v>
      </c>
      <c r="E161" s="13">
        <v>42801.227106481485</v>
      </c>
      <c r="F161" s="13">
        <v>42801.244016203702</v>
      </c>
      <c r="G161" s="7">
        <v>1</v>
      </c>
      <c r="H161" s="21" t="s">
        <v>463</v>
      </c>
      <c r="I161" s="13">
        <v>42801.253032407411</v>
      </c>
      <c r="J161" s="7">
        <v>2</v>
      </c>
      <c r="K161" s="98" t="str">
        <f t="shared" si="55"/>
        <v>4025/4026</v>
      </c>
      <c r="L161" s="21" t="str">
        <f>VLOOKUP(A161,'Trips&amp;Operators'!$C$1:$G$99999,5,FALSE)</f>
        <v>YANAI IAN</v>
      </c>
      <c r="M161" s="6">
        <f t="shared" si="56"/>
        <v>9.0162037085974589E-3</v>
      </c>
      <c r="N161" s="7">
        <f t="shared" si="71"/>
        <v>12.983333340380341</v>
      </c>
      <c r="O161" s="7"/>
      <c r="P161" s="7"/>
      <c r="Q161" s="22"/>
      <c r="R161" s="22"/>
      <c r="S161" s="31">
        <f t="shared" si="58"/>
        <v>1</v>
      </c>
      <c r="T161" s="46" t="str">
        <f t="shared" si="59"/>
        <v>NorthBound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60"/>
        <v>https://d0f6bd738d7f1b3e5a7ca70fe4ff75f0.us-east-1.aws.found.io/app/kibana#/discover/Steve-Slow-Train-Analysis-(2080s-and-2083s)?_g=(refreshInterval:(display:Off,pause:!f,section:0,value:0),time:(from:'2017-03-07T04:27:02-0700',mode:absolute,to:'2017-03-07T07:04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1" s="187" t="str">
        <f t="shared" si="61"/>
        <v>N</v>
      </c>
      <c r="X161" s="187">
        <f t="shared" si="72"/>
        <v>1</v>
      </c>
      <c r="Y161" s="62">
        <f t="shared" si="73"/>
        <v>9.6199999999999994E-2</v>
      </c>
      <c r="Z161" s="62">
        <f t="shared" si="62"/>
        <v>5.8940999999999999</v>
      </c>
      <c r="AA161" s="62">
        <f t="shared" si="63"/>
        <v>5.7979000000000003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64"/>
        <v>0801-07</v>
      </c>
      <c r="AE161" s="85" t="str">
        <f t="shared" si="65"/>
        <v>aws s3 cp s3://rtdc.mdm.uploadarchive.raw/RTDC4025/ "%USERPROFILE%\AppData\Local\Temp\OnboardLogs"\RTDC4025\2017-03-07 --exclude "*" --recursive --include "*20170307*" &amp; "%USERPROFILE%\Documents\GitHub\mrs-test-scripts\Headless Mode &amp; Sideloading\WalkAndUnGZ.bat" "%USERPROFILE%\AppData\Local\Temp\OnboardLogs"\RTDC4025\2017-03-07 &amp; aws s3 cp s3://rtdc.mdm.uploadarchive.raw/RTDC4025/ "%USERPROFILE%\AppData\Local\Temp\OnboardLogs"\RTDC4025\2017-03-08 --exclude "*" --recursive --include "*20170308*" &amp; "%USERPROFILE%\Documents\GitHub\mrs-test-scripts\Headless Mode &amp; Sideloading\WalkAndUnGZ.bat" "%USERPROFILE%\AppData\Local\Temp\OnboardLogs"\RTDC4025\2017-03-08</v>
      </c>
      <c r="AF161" s="82" t="str">
        <f t="shared" si="66"/>
        <v>"C:\Program Files (x86)\AstroGrep\AstroGrep.exe" /spath="%USERPROFILE%\AppData\Local\Temp\OnboardLogs" /stypes="app*4025*20170307*" /stext=" 13:.+((SYSTEM_STATE.+slice.+state.+changed )|(ment ac)|(multiple cpu faults)|(system.+state.+changed )|(\[timeout)|(PRM\|1\|D)|(kpr)|(kdp)|(\|lc)|(penalty))" /e /r /s</v>
      </c>
      <c r="AG161" s="1" t="str">
        <f t="shared" si="67"/>
        <v>NW</v>
      </c>
      <c r="AH161" s="86" t="str">
        <f t="shared" si="68"/>
        <v>"%USERPROFILE%\Documents\GitHub\eaglep3\Utilities\RefineRTDCRunTimes.py" --tripid 801-07 --locoid 4025 --swversion DE.1.0.9.0 --startMP 204:962 --initTime 2017-03-07T05:27:02 --startdatetime 2017-03-07T05:51:23 --delay 1 --endMP 300:58941 --enddatetime 2017-03-07T06:04:22 --enforcementcount 2 &gt;&gt;C:\Users\stu\Documents\GitHub\eaglep3-reporting\EC\2017-03-07-refined-times.txt</v>
      </c>
      <c r="AI161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{"issue":{"subject":"","project_id":79,"tracker_id":40,"status_id":1,"priority_id":2,"assigned_to_id":23,"start_date":"2017-03-07","description":"","custom_fields":[{"id":1,"name":"Subdivision","value":"NW"},{"id":4,"name":"Milepost","value":"5.8941"},{"id":17,"name":"Train ID","value":"801-07"},{"id":16,"name":"Locomotive ID","value":"4025"},{"id":130,"name":"Impact","value":""},{"id":150,"name":"Time of Event (Mountain Time)","value":"06:04:22"},{"id":151,"name":"Denver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70"/>
        <v>start /low /b %USERPROFILE%\Documents\GitHub\eaglep3\Utilities\DownloadLogsFromS3.py --loco 4025 --day 2017-03-07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"%USERPROFILE%\AppData\Local\Temp\OnboardLogs"\RTDC4025\*4025*20170307* | grep -SE "(Enforcement Action)|(\[TIMEOUT)|(CHR.+\|PRM\|1\|D.+(SWITCH|SIGNAL).+UNKNOWN)" - &gt;&gt; 2017-03-07-UncaughtWiMAX.txt</v>
      </c>
    </row>
    <row r="162" spans="1:91" x14ac:dyDescent="0.25">
      <c r="A162" s="33" t="s">
        <v>626</v>
      </c>
      <c r="B162" s="7">
        <v>4026</v>
      </c>
      <c r="C162" s="21" t="s">
        <v>233</v>
      </c>
      <c r="D162" s="21" t="s">
        <v>261</v>
      </c>
      <c r="E162" s="13">
        <v>42801.254189814812</v>
      </c>
      <c r="F162" s="13">
        <v>42801.255543981482</v>
      </c>
      <c r="G162" s="7">
        <v>1</v>
      </c>
      <c r="H162" s="21" t="s">
        <v>527</v>
      </c>
      <c r="I162" s="13">
        <v>42801.267418981479</v>
      </c>
      <c r="J162" s="7">
        <v>2</v>
      </c>
      <c r="K162" s="98" t="str">
        <f t="shared" si="55"/>
        <v>4025/4026</v>
      </c>
      <c r="L162" s="21" t="str">
        <f>VLOOKUP(A162,'Trips&amp;Operators'!$C$1:$G$99999,5,FALSE)</f>
        <v>YANAI IAN</v>
      </c>
      <c r="M162" s="6">
        <f t="shared" si="56"/>
        <v>1.187499999650754E-2</v>
      </c>
      <c r="N162" s="7">
        <f t="shared" si="71"/>
        <v>17.099999994970858</v>
      </c>
      <c r="O162" s="7"/>
      <c r="P162" s="7"/>
      <c r="Q162" s="22"/>
      <c r="R162" s="22"/>
      <c r="S162" s="31">
        <f t="shared" si="58"/>
        <v>1</v>
      </c>
      <c r="T162" s="46" t="str">
        <f t="shared" si="59"/>
        <v>Southbound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60"/>
        <v>https://d0f6bd738d7f1b3e5a7ca70fe4ff75f0.us-east-1.aws.found.io/app/kibana#/discover/Steve-Slow-Train-Analysis-(2080s-and-2083s)?_g=(refreshInterval:(display:Off,pause:!f,section:0,value:0),time:(from:'2017-03-07T05:06:02-0700',mode:absolute,to:'2017-03-07T07:25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2" s="187" t="str">
        <f t="shared" si="61"/>
        <v>N</v>
      </c>
      <c r="X162" s="187">
        <f t="shared" si="72"/>
        <v>1</v>
      </c>
      <c r="Y162" s="62">
        <f t="shared" si="73"/>
        <v>5.8635999999999999</v>
      </c>
      <c r="Z162" s="62">
        <f t="shared" si="62"/>
        <v>6.6799999999999998E-2</v>
      </c>
      <c r="AA162" s="62">
        <f t="shared" si="63"/>
        <v>5.7968000000000002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64"/>
        <v>0802-07</v>
      </c>
      <c r="AE162" s="85" t="str">
        <f t="shared" si="65"/>
        <v>aws s3 cp s3://rtdc.mdm.uploadarchive.raw/RTDC4026/ "%USERPROFILE%\AppData\Local\Temp\OnboardLogs"\RTDC4026\2017-03-07 --exclude "*" --recursive --include "*20170307*" &amp; "%USERPROFILE%\Documents\GitHub\mrs-test-scripts\Headless Mode &amp; Sideloading\WalkAndUnGZ.bat" "%USERPROFILE%\AppData\Local\Temp\OnboardLogs"\RTDC4026\2017-03-07 &amp; aws s3 cp s3://rtdc.mdm.uploadarchive.raw/RTDC4026/ "%USERPROFILE%\AppData\Local\Temp\OnboardLogs"\RTDC4026\2017-03-08 --exclude "*" --recursive --include "*20170308*" &amp; "%USERPROFILE%\Documents\GitHub\mrs-test-scripts\Headless Mode &amp; Sideloading\WalkAndUnGZ.bat" "%USERPROFILE%\AppData\Local\Temp\OnboardLogs"\RTDC4026\2017-03-08</v>
      </c>
      <c r="AF162" s="82" t="str">
        <f t="shared" si="66"/>
        <v>"C:\Program Files (x86)\AstroGrep\AstroGrep.exe" /spath="%USERPROFILE%\AppData\Local\Temp\OnboardLogs" /stypes="app*4026*20170307*" /stext=" 13:.+((SYSTEM_STATE.+slice.+state.+changed )|(ment ac)|(multiple cpu faults)|(system.+state.+changed )|(\[timeout)|(PRM\|1\|D)|(kpr)|(kdp)|(\|lc)|(penalty))" /e /r /s</v>
      </c>
      <c r="AG162" s="1" t="str">
        <f t="shared" si="67"/>
        <v>NW</v>
      </c>
      <c r="AH162" s="86" t="str">
        <f t="shared" si="68"/>
        <v>"%USERPROFILE%\Documents\GitHub\eaglep3\Utilities\RefineRTDCRunTimes.py" --tripid 802-07 --locoid 4026 --swversion DE.1.0.9.0 --startMP 300:58636 --initTime 2017-03-07T06:06:02 --startdatetime 2017-03-07T06:07:59 --delay 1 --endMP 204:668 --enddatetime 2017-03-07T06:25:05 --enforcementcount 2 &gt;&gt;C:\Users\stu\Documents\GitHub\eaglep3-reporting\EC\2017-03-07-refined-times.txt</v>
      </c>
      <c r="AI162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{"issue":{"subject":"","project_id":79,"tracker_id":40,"status_id":1,"priority_id":2,"assigned_to_id":23,"start_date":"2017-03-07","description":"","custom_fields":[{"id":1,"name":"Subdivision","value":"NW"},{"id":4,"name":"Milepost","value":"0.0668"},{"id":17,"name":"Train ID","value":"802-07"},{"id":16,"name":"Locomotive ID","value":"4026"},{"id":130,"name":"Impact","value":""},{"id":150,"name":"Time of Event (Mountain Time)","value":"06:25:05"},{"id":151,"name":"Denver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70"/>
        <v>start /low /b %USERPROFILE%\Documents\GitHub\eaglep3\Utilities\DownloadLogsFromS3.py --loco 4026 --day 2017-03-07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"%USERPROFILE%\AppData\Local\Temp\OnboardLogs"\RTDC4026\*4026*20170307* | grep -SE "(Enforcement Action)|(\[TIMEOUT)|(CHR.+\|PRM\|1\|D.+(SWITCH|SIGNAL).+UNKNOWN)" - &gt;&gt; 2017-03-07-UncaughtWiMAX.txt</v>
      </c>
    </row>
    <row r="163" spans="1:91" x14ac:dyDescent="0.25">
      <c r="A163" s="33" t="s">
        <v>554</v>
      </c>
      <c r="B163" s="7">
        <v>4031</v>
      </c>
      <c r="C163" s="21" t="s">
        <v>233</v>
      </c>
      <c r="D163" s="21" t="s">
        <v>913</v>
      </c>
      <c r="E163" s="13">
        <v>42801.2580787037</v>
      </c>
      <c r="F163" s="13">
        <v>42801.264803240738</v>
      </c>
      <c r="G163" s="7">
        <v>1</v>
      </c>
      <c r="H163" s="21" t="s">
        <v>914</v>
      </c>
      <c r="I163" s="13">
        <v>42801.273831018516</v>
      </c>
      <c r="J163" s="7">
        <v>2</v>
      </c>
      <c r="K163" s="98" t="str">
        <f t="shared" si="55"/>
        <v>4031/4032</v>
      </c>
      <c r="L163" s="21" t="str">
        <f>VLOOKUP(A163,'Trips&amp;Operators'!$C$1:$G$99999,5,FALSE)</f>
        <v>BROWN JACOB</v>
      </c>
      <c r="M163" s="6">
        <f t="shared" si="56"/>
        <v>9.0277777781011537E-3</v>
      </c>
      <c r="N163" s="7">
        <f t="shared" si="71"/>
        <v>13.000000000465661</v>
      </c>
      <c r="O163" s="7"/>
      <c r="P163" s="7"/>
      <c r="Q163" s="22"/>
      <c r="R163" s="22"/>
      <c r="S163" s="31">
        <f t="shared" si="58"/>
        <v>1</v>
      </c>
      <c r="T163" s="46" t="str">
        <f t="shared" si="59"/>
        <v>NorthBound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60"/>
        <v>https://d0f6bd738d7f1b3e5a7ca70fe4ff75f0.us-east-1.aws.found.io/app/kibana#/discover/Steve-Slow-Train-Analysis-(2080s-and-2083s)?_g=(refreshInterval:(display:Off,pause:!f,section:0,value:0),time:(from:'2017-03-07T05:11:38-0700',mode:absolute,to:'2017-03-07T07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3" s="187" t="str">
        <f t="shared" si="61"/>
        <v>N</v>
      </c>
      <c r="X163" s="187">
        <f t="shared" si="72"/>
        <v>1</v>
      </c>
      <c r="Y163" s="62">
        <f t="shared" si="73"/>
        <v>0.1016</v>
      </c>
      <c r="Z163" s="62">
        <f t="shared" si="62"/>
        <v>5.8943000000000003</v>
      </c>
      <c r="AA163" s="62">
        <f t="shared" si="63"/>
        <v>5.7927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64"/>
        <v>0803-07</v>
      </c>
      <c r="AE163" s="85" t="str">
        <f t="shared" si="65"/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163" s="82" t="str">
        <f t="shared" si="66"/>
        <v>"C:\Program Files (x86)\AstroGrep\AstroGrep.exe" /spath="%USERPROFILE%\AppData\Local\Temp\OnboardLogs" /stypes="app*4031*20170307*" /stext=" 13:.+((SYSTEM_STATE.+slice.+state.+changed )|(ment ac)|(multiple cpu faults)|(system.+state.+changed )|(\[timeout)|(PRM\|1\|D)|(kpr)|(kdp)|(\|lc)|(penalty))" /e /r /s</v>
      </c>
      <c r="AG163" s="1" t="str">
        <f t="shared" si="67"/>
        <v>NW</v>
      </c>
      <c r="AH163" s="86" t="str">
        <f t="shared" si="68"/>
        <v>"%USERPROFILE%\Documents\GitHub\eaglep3\Utilities\RefineRTDCRunTimes.py" --tripid 803-07 --locoid 4031 --swversion DE.1.0.9.0 --startMP 204:1016 --initTime 2017-03-07T06:11:38 --startdatetime 2017-03-07T06:21:19 --delay 1 --endMP 300:58943 --enddatetime 2017-03-07T06:34:19 --enforcementcount 2 &gt;&gt;C:\Users\stu\Documents\GitHub\eaglep3-reporting\EC\2017-03-07-refined-times.txt</v>
      </c>
      <c r="AI163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{"issue":{"subject":"","project_id":79,"tracker_id":40,"status_id":1,"priority_id":2,"assigned_to_id":23,"start_date":"2017-03-07","description":"","custom_fields":[{"id":1,"name":"Subdivision","value":"NW"},{"id":4,"name":"Milepost","value":"5.8943"},{"id":17,"name":"Train ID","value":"803-07"},{"id":16,"name":"Locomotive ID","value":"4031"},{"id":130,"name":"Impact","value":""},{"id":150,"name":"Time of Event (Mountain Time)","value":"06:34:19"},{"id":151,"name":"Denver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70"/>
        <v>start /low /b %USERPROFILE%\Documents\GitHub\eaglep3\Utilities\DownloadLogsFromS3.py --loco 4031 --day 2017-03-07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"%USERPROFILE%\AppData\Local\Temp\OnboardLogs"\RTDC4031\*4031*20170307* | grep -SE "(Enforcement Action)|(\[TIMEOUT)|(CHR.+\|PRM\|1\|D.+(SWITCH|SIGNAL).+UNKNOWN)" - &gt;&gt; 2017-03-07-UncaughtWiMAX.txt</v>
      </c>
    </row>
    <row r="164" spans="1:91" x14ac:dyDescent="0.25">
      <c r="A164" s="33" t="s">
        <v>556</v>
      </c>
      <c r="B164" s="7">
        <v>4032</v>
      </c>
      <c r="C164" s="21" t="s">
        <v>233</v>
      </c>
      <c r="D164" s="21" t="s">
        <v>915</v>
      </c>
      <c r="E164" s="13">
        <v>42801.275439814817</v>
      </c>
      <c r="F164" s="13">
        <v>42801.276539351849</v>
      </c>
      <c r="G164" s="7">
        <v>1</v>
      </c>
      <c r="H164" s="21" t="s">
        <v>916</v>
      </c>
      <c r="I164" s="13">
        <v>42801.28802083333</v>
      </c>
      <c r="J164" s="7">
        <v>2</v>
      </c>
      <c r="K164" s="98" t="str">
        <f t="shared" si="55"/>
        <v>4031/4032</v>
      </c>
      <c r="L164" s="21" t="str">
        <f>VLOOKUP(A164,'Trips&amp;Operators'!$C$1:$G$99999,5,FALSE)</f>
        <v>BROWN JACOB</v>
      </c>
      <c r="M164" s="6">
        <f t="shared" si="56"/>
        <v>1.1481481480586808E-2</v>
      </c>
      <c r="N164" s="7">
        <f t="shared" si="71"/>
        <v>16.533333332045004</v>
      </c>
      <c r="O164" s="7"/>
      <c r="P164" s="7"/>
      <c r="Q164" s="22"/>
      <c r="R164" s="22"/>
      <c r="S164" s="31">
        <f t="shared" si="58"/>
        <v>1</v>
      </c>
      <c r="T164" s="46" t="str">
        <f t="shared" si="59"/>
        <v>Southbound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60"/>
        <v>https://d0f6bd738d7f1b3e5a7ca70fe4ff75f0.us-east-1.aws.found.io/app/kibana#/discover/Steve-Slow-Train-Analysis-(2080s-and-2083s)?_g=(refreshInterval:(display:Off,pause:!f,section:0,value:0),time:(from:'2017-03-07T05:36:38-0700',mode:absolute,to:'2017-03-07T07:54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4" s="187" t="str">
        <f t="shared" si="61"/>
        <v>N</v>
      </c>
      <c r="X164" s="187">
        <f t="shared" si="72"/>
        <v>1</v>
      </c>
      <c r="Y164" s="62">
        <f t="shared" si="73"/>
        <v>5.8619000000000003</v>
      </c>
      <c r="Z164" s="62">
        <f t="shared" si="62"/>
        <v>7.2599999999999998E-2</v>
      </c>
      <c r="AA164" s="62">
        <f t="shared" si="63"/>
        <v>5.7893000000000008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64"/>
        <v>0804-07</v>
      </c>
      <c r="AE164" s="85" t="str">
        <f t="shared" si="65"/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164" s="82" t="str">
        <f t="shared" si="66"/>
        <v>"C:\Program Files (x86)\AstroGrep\AstroGrep.exe" /spath="%USERPROFILE%\AppData\Local\Temp\OnboardLogs" /stypes="app*4032*20170307*" /stext=" 13:.+((SYSTEM_STATE.+slice.+state.+changed )|(ment ac)|(multiple cpu faults)|(system.+state.+changed )|(\[timeout)|(PRM\|1\|D)|(kpr)|(kdp)|(\|lc)|(penalty))" /e /r /s</v>
      </c>
      <c r="AG164" s="1" t="str">
        <f t="shared" si="67"/>
        <v>NW</v>
      </c>
      <c r="AH164" s="86" t="str">
        <f t="shared" si="68"/>
        <v>"%USERPROFILE%\Documents\GitHub\eaglep3\Utilities\RefineRTDCRunTimes.py" --tripid 804-07 --locoid 4032 --swversion DE.1.0.9.0 --startMP 300:58619 --initTime 2017-03-07T06:36:38 --startdatetime 2017-03-07T06:38:13 --delay 1 --endMP 204:726 --enddatetime 2017-03-07T06:54:45 --enforcementcount 2 &gt;&gt;C:\Users\stu\Documents\GitHub\eaglep3-reporting\EC\2017-03-07-refined-times.txt</v>
      </c>
      <c r="AI164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{"issue":{"subject":"","project_id":79,"tracker_id":40,"status_id":1,"priority_id":2,"assigned_to_id":23,"start_date":"2017-03-07","description":"","custom_fields":[{"id":1,"name":"Subdivision","value":"NW"},{"id":4,"name":"Milepost","value":"0.0726"},{"id":17,"name":"Train ID","value":"804-07"},{"id":16,"name":"Locomotive ID","value":"4032"},{"id":130,"name":"Impact","value":""},{"id":150,"name":"Time of Event (Mountain Time)","value":"06:54:45"},{"id":151,"name":"Denver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70"/>
        <v>start /low /b %USERPROFILE%\Documents\GitHub\eaglep3\Utilities\DownloadLogsFromS3.py --loco 4032 --day 2017-03-07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"%USERPROFILE%\AppData\Local\Temp\OnboardLogs"\RTDC4032\*4032*20170307* | grep -SE "(Enforcement Action)|(\[TIMEOUT)|(CHR.+\|PRM\|1\|D.+(SWITCH|SIGNAL).+UNKNOWN)" - &gt;&gt; 2017-03-07-UncaughtWiMAX.txt</v>
      </c>
    </row>
    <row r="165" spans="1:91" s="20" customFormat="1" x14ac:dyDescent="0.25">
      <c r="A165" s="33" t="s">
        <v>629</v>
      </c>
      <c r="B165" s="7">
        <v>4025</v>
      </c>
      <c r="C165" s="21" t="s">
        <v>233</v>
      </c>
      <c r="D165" s="21" t="s">
        <v>917</v>
      </c>
      <c r="E165" s="13">
        <v>42801.268900462965</v>
      </c>
      <c r="F165" s="13">
        <v>42801.285636574074</v>
      </c>
      <c r="G165" s="7">
        <v>2</v>
      </c>
      <c r="H165" s="21" t="s">
        <v>529</v>
      </c>
      <c r="I165" s="13">
        <v>42801.29446759259</v>
      </c>
      <c r="J165" s="7">
        <v>2</v>
      </c>
      <c r="K165" s="98" t="str">
        <f t="shared" si="55"/>
        <v>4025/4026</v>
      </c>
      <c r="L165" s="21" t="str">
        <f>VLOOKUP(A165,'Trips&amp;Operators'!$C$1:$G$99999,5,FALSE)</f>
        <v>YANAI IAN</v>
      </c>
      <c r="M165" s="6">
        <f t="shared" si="56"/>
        <v>8.8310185165028088E-3</v>
      </c>
      <c r="N165" s="7">
        <f t="shared" si="71"/>
        <v>12.716666663764045</v>
      </c>
      <c r="O165" s="7"/>
      <c r="P165" s="7"/>
      <c r="Q165" s="22"/>
      <c r="R165" s="22"/>
      <c r="S165" s="31">
        <f t="shared" si="58"/>
        <v>1</v>
      </c>
      <c r="T165" s="46" t="str">
        <f t="shared" si="59"/>
        <v>NorthBound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60"/>
        <v>https://d0f6bd738d7f1b3e5a7ca70fe4ff75f0.us-east-1.aws.found.io/app/kibana#/discover/Steve-Slow-Train-Analysis-(2080s-and-2083s)?_g=(refreshInterval:(display:Off,pause:!f,section:0,value:0),time:(from:'2017-03-07T05:27:13-0700',mode:absolute,to:'2017-03-07T08:04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5" s="187" t="str">
        <f t="shared" si="61"/>
        <v>N</v>
      </c>
      <c r="X165" s="187">
        <f t="shared" si="72"/>
        <v>1</v>
      </c>
      <c r="Y165" s="62">
        <f t="shared" si="73"/>
        <v>9.5500000000000002E-2</v>
      </c>
      <c r="Z165" s="62">
        <f t="shared" si="62"/>
        <v>5.8928000000000003</v>
      </c>
      <c r="AA165" s="62">
        <f t="shared" si="63"/>
        <v>5.7972999999999999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64"/>
        <v>0805-07</v>
      </c>
      <c r="AE165" s="85" t="str">
        <f t="shared" si="65"/>
        <v>aws s3 cp s3://rtdc.mdm.uploadarchive.raw/RTDC4025/ "%USERPROFILE%\AppData\Local\Temp\OnboardLogs"\RTDC4025\2017-03-07 --exclude "*" --recursive --include "*20170307*" &amp; "%USERPROFILE%\Documents\GitHub\mrs-test-scripts\Headless Mode &amp; Sideloading\WalkAndUnGZ.bat" "%USERPROFILE%\AppData\Local\Temp\OnboardLogs"\RTDC4025\2017-03-07 &amp; aws s3 cp s3://rtdc.mdm.uploadarchive.raw/RTDC4025/ "%USERPROFILE%\AppData\Local\Temp\OnboardLogs"\RTDC4025\2017-03-08 --exclude "*" --recursive --include "*20170308*" &amp; "%USERPROFILE%\Documents\GitHub\mrs-test-scripts\Headless Mode &amp; Sideloading\WalkAndUnGZ.bat" "%USERPROFILE%\AppData\Local\Temp\OnboardLogs"\RTDC4025\2017-03-08</v>
      </c>
      <c r="AF165" s="82" t="str">
        <f t="shared" si="66"/>
        <v>"C:\Program Files (x86)\AstroGrep\AstroGrep.exe" /spath="%USERPROFILE%\AppData\Local\Temp\OnboardLogs" /stypes="app*4025*20170307*" /stext=" 14:.+((SYSTEM_STATE.+slice.+state.+changed )|(ment ac)|(multiple cpu faults)|(system.+state.+changed )|(\[timeout)|(PRM\|1\|D)|(kpr)|(kdp)|(\|lc)|(penalty))" /e /r /s</v>
      </c>
      <c r="AG165" s="1" t="str">
        <f t="shared" si="67"/>
        <v>NW</v>
      </c>
      <c r="AH165" s="86" t="str">
        <f t="shared" si="68"/>
        <v>"%USERPROFILE%\Documents\GitHub\eaglep3\Utilities\RefineRTDCRunTimes.py" --tripid 805-07 --locoid 4025 --swversion DE.1.0.9.0 --startMP 204:955 --initTime 2017-03-07T06:27:13 --startdatetime 2017-03-07T06:51:19 --delay 2 --endMP 300:58928 --enddatetime 2017-03-07T07:04:02 --enforcementcount 2 &gt;&gt;C:\Users\stu\Documents\GitHub\eaglep3-reporting\EC\2017-03-07-refined-times.txt</v>
      </c>
      <c r="AI165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{"issue":{"subject":"","project_id":79,"tracker_id":40,"status_id":1,"priority_id":2,"assigned_to_id":23,"start_date":"2017-03-07","description":"","custom_fields":[{"id":1,"name":"Subdivision","value":"NW"},{"id":4,"name":"Milepost","value":"5.8928"},{"id":17,"name":"Train ID","value":"805-07"},{"id":16,"name":"Locomotive ID","value":"4025"},{"id":130,"name":"Impact","value":""},{"id":150,"name":"Time of Event (Mountain Time)","value":"07:04:02"},{"id":151,"name":"Denver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70"/>
        <v>start /low /b %USERPROFILE%\Documents\GitHub\eaglep3\Utilities\DownloadLogsFromS3.py --loco 4025 --day 2017-03-07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"%USERPROFILE%\AppData\Local\Temp\OnboardLogs"\RTDC4025\*4025*20170307* | grep -SE "(Enforcement Action)|(\[TIMEOUT)|(CHR.+\|PRM\|1\|D.+(SWITCH|SIGNAL).+UNKNOWN)" - &gt;&gt; 2017-03-07-UncaughtWiMAX.txt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634</v>
      </c>
      <c r="B166" s="7">
        <v>4026</v>
      </c>
      <c r="C166" s="21" t="s">
        <v>233</v>
      </c>
      <c r="D166" s="21" t="s">
        <v>915</v>
      </c>
      <c r="E166" s="13">
        <v>42801.296076388891</v>
      </c>
      <c r="F166" s="13">
        <v>42801.298946759256</v>
      </c>
      <c r="G166" s="7">
        <v>1</v>
      </c>
      <c r="H166" s="21" t="s">
        <v>519</v>
      </c>
      <c r="I166" s="13">
        <v>42801.309791666667</v>
      </c>
      <c r="J166" s="7">
        <v>2</v>
      </c>
      <c r="K166" s="98" t="str">
        <f t="shared" si="55"/>
        <v>4025/4026</v>
      </c>
      <c r="L166" s="21" t="str">
        <f>VLOOKUP(A166,'Trips&amp;Operators'!$C$1:$G$99999,5,FALSE)</f>
        <v>YANAI IAN</v>
      </c>
      <c r="M166" s="6">
        <f t="shared" si="56"/>
        <v>1.0844907410501037E-2</v>
      </c>
      <c r="N166" s="7">
        <f t="shared" si="71"/>
        <v>15.616666671121493</v>
      </c>
      <c r="O166" s="7"/>
      <c r="P166" s="7"/>
      <c r="Q166" s="22"/>
      <c r="R166" s="22"/>
      <c r="S166" s="31">
        <f t="shared" si="58"/>
        <v>1</v>
      </c>
      <c r="T166" s="46" t="str">
        <f t="shared" si="59"/>
        <v>Southbound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60"/>
        <v>https://d0f6bd738d7f1b3e5a7ca70fe4ff75f0.us-east-1.aws.found.io/app/kibana#/discover/Steve-Slow-Train-Analysis-(2080s-and-2083s)?_g=(refreshInterval:(display:Off,pause:!f,section:0,value:0),time:(from:'2017-03-07T06:06:21-0700',mode:absolute,to:'2017-03-07T08:26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6" s="187" t="str">
        <f t="shared" si="61"/>
        <v>N</v>
      </c>
      <c r="X166" s="187">
        <f t="shared" si="72"/>
        <v>1</v>
      </c>
      <c r="Y166" s="62">
        <f t="shared" si="73"/>
        <v>5.8619000000000003</v>
      </c>
      <c r="Z166" s="62">
        <f t="shared" si="62"/>
        <v>6.8199999999999997E-2</v>
      </c>
      <c r="AA166" s="62">
        <f t="shared" si="63"/>
        <v>5.7937000000000003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64"/>
        <v>0806-07</v>
      </c>
      <c r="AE166" s="85" t="str">
        <f t="shared" si="65"/>
        <v>aws s3 cp s3://rtdc.mdm.uploadarchive.raw/RTDC4026/ "%USERPROFILE%\AppData\Local\Temp\OnboardLogs"\RTDC4026\2017-03-07 --exclude "*" --recursive --include "*20170307*" &amp; "%USERPROFILE%\Documents\GitHub\mrs-test-scripts\Headless Mode &amp; Sideloading\WalkAndUnGZ.bat" "%USERPROFILE%\AppData\Local\Temp\OnboardLogs"\RTDC4026\2017-03-07 &amp; aws s3 cp s3://rtdc.mdm.uploadarchive.raw/RTDC4026/ "%USERPROFILE%\AppData\Local\Temp\OnboardLogs"\RTDC4026\2017-03-08 --exclude "*" --recursive --include "*20170308*" &amp; "%USERPROFILE%\Documents\GitHub\mrs-test-scripts\Headless Mode &amp; Sideloading\WalkAndUnGZ.bat" "%USERPROFILE%\AppData\Local\Temp\OnboardLogs"\RTDC4026\2017-03-08</v>
      </c>
      <c r="AF166" s="82" t="str">
        <f t="shared" si="66"/>
        <v>"C:\Program Files (x86)\AstroGrep\AstroGrep.exe" /spath="%USERPROFILE%\AppData\Local\Temp\OnboardLogs" /stypes="app*4026*20170307*" /stext=" 14:.+((SYSTEM_STATE.+slice.+state.+changed )|(ment ac)|(multiple cpu faults)|(system.+state.+changed )|(\[timeout)|(PRM\|1\|D)|(kpr)|(kdp)|(\|lc)|(penalty))" /e /r /s</v>
      </c>
      <c r="AG166" s="1" t="str">
        <f t="shared" si="67"/>
        <v>NW</v>
      </c>
      <c r="AH166" s="86" t="str">
        <f t="shared" si="68"/>
        <v>"%USERPROFILE%\Documents\GitHub\eaglep3\Utilities\RefineRTDCRunTimes.py" --tripid 806-07 --locoid 4026 --swversion DE.1.0.9.0 --startMP 300:58619 --initTime 2017-03-07T07:06:21 --startdatetime 2017-03-07T07:10:29 --delay 1 --endMP 204:682 --enddatetime 2017-03-07T07:26:06 --enforcementcount 2 &gt;&gt;C:\Users\stu\Documents\GitHub\eaglep3-reporting\EC\2017-03-07-refined-times.txt</v>
      </c>
      <c r="AI166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{"issue":{"subject":"","project_id":79,"tracker_id":40,"status_id":1,"priority_id":2,"assigned_to_id":23,"start_date":"2017-03-07","description":"","custom_fields":[{"id":1,"name":"Subdivision","value":"NW"},{"id":4,"name":"Milepost","value":"0.0682"},{"id":17,"name":"Train ID","value":"806-07"},{"id":16,"name":"Locomotive ID","value":"4026"},{"id":130,"name":"Impact","value":""},{"id":150,"name":"Time of Event (Mountain Time)","value":"07:26:06"},{"id":151,"name":"Denver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70"/>
        <v>start /low /b %USERPROFILE%\Documents\GitHub\eaglep3\Utilities\DownloadLogsFromS3.py --loco 4026 --day 2017-03-07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"%USERPROFILE%\AppData\Local\Temp\OnboardLogs"\RTDC4026\*4026*20170307* | grep -SE "(Enforcement Action)|(\[TIMEOUT)|(CHR.+\|PRM\|1\|D.+(SWITCH|SIGNAL).+UNKNOWN)" - &gt;&gt; 2017-03-07-UncaughtWiMAX.txt</v>
      </c>
    </row>
    <row r="167" spans="1:91" x14ac:dyDescent="0.25">
      <c r="A167" s="33" t="s">
        <v>636</v>
      </c>
      <c r="B167" s="7">
        <v>4031</v>
      </c>
      <c r="C167" s="21" t="s">
        <v>233</v>
      </c>
      <c r="D167" s="21" t="s">
        <v>538</v>
      </c>
      <c r="E167" s="13">
        <v>42801.303773148145</v>
      </c>
      <c r="F167" s="13">
        <v>42801.307083333333</v>
      </c>
      <c r="G167" s="7">
        <v>1</v>
      </c>
      <c r="H167" s="21" t="s">
        <v>463</v>
      </c>
      <c r="I167" s="13">
        <v>42801.316331018519</v>
      </c>
      <c r="J167" s="7">
        <v>2</v>
      </c>
      <c r="K167" s="98" t="str">
        <f t="shared" si="55"/>
        <v>4031/4032</v>
      </c>
      <c r="L167" s="21" t="str">
        <f>VLOOKUP(A167,'Trips&amp;Operators'!$C$1:$G$99999,5,FALSE)</f>
        <v>BROWN JACOB</v>
      </c>
      <c r="M167" s="6">
        <f t="shared" si="56"/>
        <v>9.2476851859828457E-3</v>
      </c>
      <c r="N167" s="7">
        <f t="shared" si="71"/>
        <v>13.316666667815298</v>
      </c>
      <c r="O167" s="7"/>
      <c r="P167" s="7"/>
      <c r="Q167" s="22"/>
      <c r="R167" s="22"/>
      <c r="S167" s="31">
        <f t="shared" si="58"/>
        <v>1</v>
      </c>
      <c r="T167" s="46" t="str">
        <f t="shared" si="59"/>
        <v>NorthBound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60"/>
        <v>https://d0f6bd738d7f1b3e5a7ca70fe4ff75f0.us-east-1.aws.found.io/app/kibana#/discover/Steve-Slow-Train-Analysis-(2080s-and-2083s)?_g=(refreshInterval:(display:Off,pause:!f,section:0,value:0),time:(from:'2017-03-07T06:17:26-0700',mode:absolute,to:'2017-03-07T08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7" s="187" t="str">
        <f t="shared" si="61"/>
        <v>N</v>
      </c>
      <c r="X167" s="187">
        <f t="shared" si="72"/>
        <v>1</v>
      </c>
      <c r="Y167" s="62">
        <f t="shared" si="73"/>
        <v>0.10059999999999999</v>
      </c>
      <c r="Z167" s="62">
        <f t="shared" si="62"/>
        <v>5.8940999999999999</v>
      </c>
      <c r="AA167" s="62">
        <f t="shared" si="63"/>
        <v>5.7934999999999999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64"/>
        <v>0807-07</v>
      </c>
      <c r="AE167" s="85" t="str">
        <f t="shared" si="65"/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167" s="82" t="str">
        <f t="shared" si="66"/>
        <v>"C:\Program Files (x86)\AstroGrep\AstroGrep.exe" /spath="%USERPROFILE%\AppData\Local\Temp\OnboardLogs" /stypes="app*4031*20170307*" /stext=" 14:.+((SYSTEM_STATE.+slice.+state.+changed )|(ment ac)|(multiple cpu faults)|(system.+state.+changed )|(\[timeout)|(PRM\|1\|D)|(kpr)|(kdp)|(\|lc)|(penalty))" /e /r /s</v>
      </c>
      <c r="AG167" s="1" t="str">
        <f t="shared" si="67"/>
        <v>NW</v>
      </c>
      <c r="AH167" s="86" t="str">
        <f t="shared" si="68"/>
        <v>"%USERPROFILE%\Documents\GitHub\eaglep3\Utilities\RefineRTDCRunTimes.py" --tripid 807-07 --locoid 4031 --swversion DE.1.0.9.0 --startMP 204:1006 --initTime 2017-03-07T07:17:26 --startdatetime 2017-03-07T07:22:12 --delay 1 --endMP 300:58941 --enddatetime 2017-03-07T07:35:31 --enforcementcount 2 &gt;&gt;C:\Users\stu\Documents\GitHub\eaglep3-reporting\EC\2017-03-07-refined-times.txt</v>
      </c>
      <c r="AI167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{"issue":{"subject":"","project_id":79,"tracker_id":40,"status_id":1,"priority_id":2,"assigned_to_id":23,"start_date":"2017-03-07","description":"","custom_fields":[{"id":1,"name":"Subdivision","value":"NW"},{"id":4,"name":"Milepost","value":"5.8941"},{"id":17,"name":"Train ID","value":"807-07"},{"id":16,"name":"Locomotive ID","value":"4031"},{"id":130,"name":"Impact","value":""},{"id":150,"name":"Time of Event (Mountain Time)","value":"07:35:31"},{"id":151,"name":"Denver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70"/>
        <v>start /low /b %USERPROFILE%\Documents\GitHub\eaglep3\Utilities\DownloadLogsFromS3.py --loco 4031 --day 2017-03-07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"%USERPROFILE%\AppData\Local\Temp\OnboardLogs"\RTDC4031\*4031*20170307* | grep -SE "(Enforcement Action)|(\[TIMEOUT)|(CHR.+\|PRM\|1\|D.+(SWITCH|SIGNAL).+UNKNOWN)" - &gt;&gt; 2017-03-07-UncaughtWiMAX.txt</v>
      </c>
    </row>
    <row r="168" spans="1:91" x14ac:dyDescent="0.25">
      <c r="A168" s="33" t="s">
        <v>640</v>
      </c>
      <c r="B168" s="7">
        <v>4032</v>
      </c>
      <c r="C168" s="21" t="s">
        <v>233</v>
      </c>
      <c r="D168" s="21" t="s">
        <v>427</v>
      </c>
      <c r="E168" s="13">
        <v>42801.317314814813</v>
      </c>
      <c r="F168" s="13">
        <v>42801.318391203706</v>
      </c>
      <c r="G168" s="7">
        <v>1</v>
      </c>
      <c r="H168" s="21" t="s">
        <v>918</v>
      </c>
      <c r="I168" s="13">
        <v>42801.32984953704</v>
      </c>
      <c r="J168" s="7">
        <v>2</v>
      </c>
      <c r="K168" s="98" t="str">
        <f t="shared" si="55"/>
        <v>4031/4032</v>
      </c>
      <c r="L168" s="21" t="str">
        <f>VLOOKUP(A168,'Trips&amp;Operators'!$C$1:$G$99999,5,FALSE)</f>
        <v>BROWN JACOB</v>
      </c>
      <c r="M168" s="6">
        <f t="shared" si="56"/>
        <v>1.1458333334303461E-2</v>
      </c>
      <c r="N168" s="7">
        <f t="shared" si="71"/>
        <v>16.500000001396984</v>
      </c>
      <c r="O168" s="7"/>
      <c r="P168" s="7"/>
      <c r="Q168" s="22"/>
      <c r="R168" s="22"/>
      <c r="S168" s="31">
        <f t="shared" si="58"/>
        <v>1</v>
      </c>
      <c r="T168" s="46" t="str">
        <f t="shared" si="59"/>
        <v>Southbound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60"/>
        <v>https://d0f6bd738d7f1b3e5a7ca70fe4ff75f0.us-east-1.aws.found.io/app/kibana#/discover/Steve-Slow-Train-Analysis-(2080s-and-2083s)?_g=(refreshInterval:(display:Off,pause:!f,section:0,value:0),time:(from:'2017-03-07T06:36:56-0700',mode:absolute,to:'2017-03-07T08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8" s="187" t="str">
        <f t="shared" si="61"/>
        <v>N</v>
      </c>
      <c r="X168" s="187">
        <f t="shared" si="72"/>
        <v>1</v>
      </c>
      <c r="Y168" s="62">
        <f t="shared" si="73"/>
        <v>5.8624000000000001</v>
      </c>
      <c r="Z168" s="62">
        <f t="shared" si="62"/>
        <v>7.3099999999999998E-2</v>
      </c>
      <c r="AA168" s="62">
        <f t="shared" si="63"/>
        <v>5.7892999999999999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64"/>
        <v>0808-07</v>
      </c>
      <c r="AE168" s="85" t="str">
        <f t="shared" si="65"/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168" s="82" t="str">
        <f t="shared" si="66"/>
        <v>"C:\Program Files (x86)\AstroGrep\AstroGrep.exe" /spath="%USERPROFILE%\AppData\Local\Temp\OnboardLogs" /stypes="app*4032*20170307*" /stext=" 14:.+((SYSTEM_STATE.+slice.+state.+changed )|(ment ac)|(multiple cpu faults)|(system.+state.+changed )|(\[timeout)|(PRM\|1\|D)|(kpr)|(kdp)|(\|lc)|(penalty))" /e /r /s</v>
      </c>
      <c r="AG168" s="1" t="str">
        <f t="shared" si="67"/>
        <v>NW</v>
      </c>
      <c r="AH168" s="86" t="str">
        <f t="shared" si="68"/>
        <v>"%USERPROFILE%\Documents\GitHub\eaglep3\Utilities\RefineRTDCRunTimes.py" --tripid 808-07 --locoid 4032 --swversion DE.1.0.9.0 --startMP 300:58624 --initTime 2017-03-07T07:36:56 --startdatetime 2017-03-07T07:38:29 --delay 1 --endMP 204:731 --enddatetime 2017-03-07T07:54:59 --enforcementcount 2 &gt;&gt;C:\Users\stu\Documents\GitHub\eaglep3-reporting\EC\2017-03-07-refined-times.txt</v>
      </c>
      <c r="AI168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{"issue":{"subject":"","project_id":79,"tracker_id":40,"status_id":1,"priority_id":2,"assigned_to_id":23,"start_date":"2017-03-07","description":"","custom_fields":[{"id":1,"name":"Subdivision","value":"NW"},{"id":4,"name":"Milepost","value":"0.0731"},{"id":17,"name":"Train ID","value":"808-07"},{"id":16,"name":"Locomotive ID","value":"4032"},{"id":130,"name":"Impact","value":""},{"id":150,"name":"Time of Event (Mountain Time)","value":"07:54:59"},{"id":151,"name":"Denver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70"/>
        <v>start /low /b %USERPROFILE%\Documents\GitHub\eaglep3\Utilities\DownloadLogsFromS3.py --loco 4032 --day 2017-03-07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"%USERPROFILE%\AppData\Local\Temp\OnboardLogs"\RTDC4032\*4032*20170307* | grep -SE "(Enforcement Action)|(\[TIMEOUT)|(CHR.+\|PRM\|1\|D.+(SWITCH|SIGNAL).+UNKNOWN)" - &gt;&gt; 2017-03-07-UncaughtWiMAX.txt</v>
      </c>
    </row>
    <row r="169" spans="1:91" x14ac:dyDescent="0.25">
      <c r="A169" s="33" t="s">
        <v>559</v>
      </c>
      <c r="B169" s="7">
        <v>4025</v>
      </c>
      <c r="C169" s="21" t="s">
        <v>233</v>
      </c>
      <c r="D169" s="21" t="s">
        <v>919</v>
      </c>
      <c r="E169" s="13">
        <v>42801.31521990741</v>
      </c>
      <c r="F169" s="13">
        <v>42801.327233796299</v>
      </c>
      <c r="G169" s="7">
        <v>1</v>
      </c>
      <c r="H169" s="21" t="s">
        <v>920</v>
      </c>
      <c r="I169" s="13">
        <v>42801.336631944447</v>
      </c>
      <c r="J169" s="7">
        <v>2</v>
      </c>
      <c r="K169" s="98" t="str">
        <f t="shared" si="55"/>
        <v>4025/4026</v>
      </c>
      <c r="L169" s="21" t="str">
        <f>VLOOKUP(A169,'Trips&amp;Operators'!$C$1:$G$99999,5,FALSE)</f>
        <v>YANAI IAN</v>
      </c>
      <c r="M169" s="6">
        <f t="shared" si="56"/>
        <v>9.3981481477385387E-3</v>
      </c>
      <c r="N169" s="7">
        <f t="shared" si="71"/>
        <v>13.533333332743496</v>
      </c>
      <c r="O169" s="7"/>
      <c r="P169" s="7"/>
      <c r="Q169" s="22"/>
      <c r="R169" s="22"/>
      <c r="S169" s="31">
        <f t="shared" si="58"/>
        <v>1</v>
      </c>
      <c r="T169" s="46" t="str">
        <f t="shared" si="59"/>
        <v>NorthBound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60"/>
        <v>https://d0f6bd738d7f1b3e5a7ca70fe4ff75f0.us-east-1.aws.found.io/app/kibana#/discover/Steve-Slow-Train-Analysis-(2080s-and-2083s)?_g=(refreshInterval:(display:Off,pause:!f,section:0,value:0),time:(from:'2017-03-07T06:33:55-0700',mode:absolute,to:'2017-03-07T09:04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9" s="187" t="str">
        <f t="shared" si="61"/>
        <v>N</v>
      </c>
      <c r="X169" s="187">
        <f t="shared" si="72"/>
        <v>1</v>
      </c>
      <c r="Y169" s="62">
        <f t="shared" si="73"/>
        <v>9.5100000000000004E-2</v>
      </c>
      <c r="Z169" s="62">
        <f t="shared" si="62"/>
        <v>5.8936999999999999</v>
      </c>
      <c r="AA169" s="62">
        <f t="shared" si="63"/>
        <v>5.7985999999999995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64"/>
        <v>0809-07</v>
      </c>
      <c r="AE169" s="85" t="str">
        <f t="shared" si="65"/>
        <v>aws s3 cp s3://rtdc.mdm.uploadarchive.raw/RTDC4025/ "%USERPROFILE%\AppData\Local\Temp\OnboardLogs"\RTDC4025\2017-03-07 --exclude "*" --recursive --include "*20170307*" &amp; "%USERPROFILE%\Documents\GitHub\mrs-test-scripts\Headless Mode &amp; Sideloading\WalkAndUnGZ.bat" "%USERPROFILE%\AppData\Local\Temp\OnboardLogs"\RTDC4025\2017-03-07 &amp; aws s3 cp s3://rtdc.mdm.uploadarchive.raw/RTDC4025/ "%USERPROFILE%\AppData\Local\Temp\OnboardLogs"\RTDC4025\2017-03-08 --exclude "*" --recursive --include "*20170308*" &amp; "%USERPROFILE%\Documents\GitHub\mrs-test-scripts\Headless Mode &amp; Sideloading\WalkAndUnGZ.bat" "%USERPROFILE%\AppData\Local\Temp\OnboardLogs"\RTDC4025\2017-03-08</v>
      </c>
      <c r="AF169" s="82" t="str">
        <f t="shared" si="66"/>
        <v>"C:\Program Files (x86)\AstroGrep\AstroGrep.exe" /spath="%USERPROFILE%\AppData\Local\Temp\OnboardLogs" /stypes="app*4025*20170307*" /stext=" 15:.+((SYSTEM_STATE.+slice.+state.+changed )|(ment ac)|(multiple cpu faults)|(system.+state.+changed )|(\[timeout)|(PRM\|1\|D)|(kpr)|(kdp)|(\|lc)|(penalty))" /e /r /s</v>
      </c>
      <c r="AG169" s="1" t="str">
        <f t="shared" si="67"/>
        <v>NW</v>
      </c>
      <c r="AH169" s="86" t="str">
        <f t="shared" si="68"/>
        <v>"%USERPROFILE%\Documents\GitHub\eaglep3\Utilities\RefineRTDCRunTimes.py" --tripid 809-07 --locoid 4025 --swversion DE.1.0.9.0 --startMP 204:951 --initTime 2017-03-07T07:33:55 --startdatetime 2017-03-07T07:51:13 --delay 1 --endMP 300:58937 --enddatetime 2017-03-07T08:04:45 --enforcementcount 2 &gt;&gt;C:\Users\stu\Documents\GitHub\eaglep3-reporting\EC\2017-03-07-refined-times.txt</v>
      </c>
      <c r="AI169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{"issue":{"subject":"","project_id":79,"tracker_id":40,"status_id":1,"priority_id":2,"assigned_to_id":23,"start_date":"2017-03-07","description":"","custom_fields":[{"id":1,"name":"Subdivision","value":"NW"},{"id":4,"name":"Milepost","value":"5.8937"},{"id":17,"name":"Train ID","value":"809-07"},{"id":16,"name":"Locomotive ID","value":"4025"},{"id":130,"name":"Impact","value":""},{"id":150,"name":"Time of Event (Mountain Time)","value":"08:04:45"},{"id":151,"name":"Denver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70"/>
        <v>start /low /b %USERPROFILE%\Documents\GitHub\eaglep3\Utilities\DownloadLogsFromS3.py --loco 4025 --day 2017-03-07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"%USERPROFILE%\AppData\Local\Temp\OnboardLogs"\RTDC4025\*4025*20170307* | grep -SE "(Enforcement Action)|(\[TIMEOUT)|(CHR.+\|PRM\|1\|D.+(SWITCH|SIGNAL).+UNKNOWN)" - &gt;&gt; 2017-03-07-UncaughtWiMAX.txt</v>
      </c>
    </row>
    <row r="170" spans="1:91" x14ac:dyDescent="0.25">
      <c r="A170" s="33" t="s">
        <v>643</v>
      </c>
      <c r="B170" s="7">
        <v>4026</v>
      </c>
      <c r="C170" s="21" t="s">
        <v>233</v>
      </c>
      <c r="D170" s="21" t="s">
        <v>921</v>
      </c>
      <c r="E170" s="13">
        <v>42801.337453703702</v>
      </c>
      <c r="F170" s="13">
        <v>42801.338761574072</v>
      </c>
      <c r="G170" s="7">
        <v>1</v>
      </c>
      <c r="H170" s="21" t="s">
        <v>922</v>
      </c>
      <c r="I170" s="13">
        <v>42801.350868055553</v>
      </c>
      <c r="J170" s="7">
        <v>2</v>
      </c>
      <c r="K170" s="98" t="str">
        <f t="shared" si="55"/>
        <v>4025/4026</v>
      </c>
      <c r="L170" s="21" t="str">
        <f>VLOOKUP(A170,'Trips&amp;Operators'!$C$1:$G$99999,5,FALSE)</f>
        <v>YANAI IAN</v>
      </c>
      <c r="M170" s="6">
        <f t="shared" si="56"/>
        <v>1.2106481481168885E-2</v>
      </c>
      <c r="N170" s="7">
        <f t="shared" si="71"/>
        <v>17.433333332883194</v>
      </c>
      <c r="O170" s="7"/>
      <c r="P170" s="7"/>
      <c r="Q170" s="22"/>
      <c r="R170" s="22"/>
      <c r="S170" s="31">
        <f t="shared" si="58"/>
        <v>1</v>
      </c>
      <c r="T170" s="46" t="str">
        <f t="shared" si="59"/>
        <v>Southbound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60"/>
        <v>https://d0f6bd738d7f1b3e5a7ca70fe4ff75f0.us-east-1.aws.found.io/app/kibana#/discover/Steve-Slow-Train-Analysis-(2080s-and-2083s)?_g=(refreshInterval:(display:Off,pause:!f,section:0,value:0),time:(from:'2017-03-07T07:05:56-0700',mode:absolute,to:'2017-03-07T09:25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0" s="187" t="str">
        <f t="shared" si="61"/>
        <v>N</v>
      </c>
      <c r="X170" s="187">
        <f t="shared" si="72"/>
        <v>1</v>
      </c>
      <c r="Y170" s="62">
        <f t="shared" si="73"/>
        <v>5.8620999999999999</v>
      </c>
      <c r="Z170" s="62">
        <f t="shared" si="62"/>
        <v>6.8699999999999997E-2</v>
      </c>
      <c r="AA170" s="62">
        <f t="shared" si="63"/>
        <v>5.7934000000000001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64"/>
        <v>0810-07</v>
      </c>
      <c r="AE170" s="85" t="str">
        <f t="shared" si="65"/>
        <v>aws s3 cp s3://rtdc.mdm.uploadarchive.raw/RTDC4026/ "%USERPROFILE%\AppData\Local\Temp\OnboardLogs"\RTDC4026\2017-03-07 --exclude "*" --recursive --include "*20170307*" &amp; "%USERPROFILE%\Documents\GitHub\mrs-test-scripts\Headless Mode &amp; Sideloading\WalkAndUnGZ.bat" "%USERPROFILE%\AppData\Local\Temp\OnboardLogs"\RTDC4026\2017-03-07 &amp; aws s3 cp s3://rtdc.mdm.uploadarchive.raw/RTDC4026/ "%USERPROFILE%\AppData\Local\Temp\OnboardLogs"\RTDC4026\2017-03-08 --exclude "*" --recursive --include "*20170308*" &amp; "%USERPROFILE%\Documents\GitHub\mrs-test-scripts\Headless Mode &amp; Sideloading\WalkAndUnGZ.bat" "%USERPROFILE%\AppData\Local\Temp\OnboardLogs"\RTDC4026\2017-03-08</v>
      </c>
      <c r="AF170" s="82" t="str">
        <f t="shared" si="66"/>
        <v>"C:\Program Files (x86)\AstroGrep\AstroGrep.exe" /spath="%USERPROFILE%\AppData\Local\Temp\OnboardLogs" /stypes="app*4026*20170307*" /stext=" 15:.+((SYSTEM_STATE.+slice.+state.+changed )|(ment ac)|(multiple cpu faults)|(system.+state.+changed )|(\[timeout)|(PRM\|1\|D)|(kpr)|(kdp)|(\|lc)|(penalty))" /e /r /s</v>
      </c>
      <c r="AG170" s="1" t="str">
        <f t="shared" si="67"/>
        <v>NW</v>
      </c>
      <c r="AH170" s="86" t="str">
        <f t="shared" si="68"/>
        <v>"%USERPROFILE%\Documents\GitHub\eaglep3\Utilities\RefineRTDCRunTimes.py" --tripid 810-07 --locoid 4026 --swversion DE.1.0.9.0 --startMP 300:58621 --initTime 2017-03-07T08:05:56 --startdatetime 2017-03-07T08:07:49 --delay 1 --endMP 204:687 --enddatetime 2017-03-07T08:25:15 --enforcementcount 2 &gt;&gt;C:\Users\stu\Documents\GitHub\eaglep3-reporting\EC\2017-03-07-refined-times.txt</v>
      </c>
      <c r="AI170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{"issue":{"subject":"","project_id":79,"tracker_id":40,"status_id":1,"priority_id":2,"assigned_to_id":23,"start_date":"2017-03-07","description":"","custom_fields":[{"id":1,"name":"Subdivision","value":"NW"},{"id":4,"name":"Milepost","value":"0.0687"},{"id":17,"name":"Train ID","value":"810-07"},{"id":16,"name":"Locomotive ID","value":"4026"},{"id":130,"name":"Impact","value":""},{"id":150,"name":"Time of Event (Mountain Time)","value":"08:25:15"},{"id":151,"name":"Denver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70"/>
        <v>start /low /b %USERPROFILE%\Documents\GitHub\eaglep3\Utilities\DownloadLogsFromS3.py --loco 4026 --day 2017-03-07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"%USERPROFILE%\AppData\Local\Temp\OnboardLogs"\RTDC4026\*4026*20170307* | grep -SE "(Enforcement Action)|(\[TIMEOUT)|(CHR.+\|PRM\|1\|D.+(SWITCH|SIGNAL).+UNKNOWN)" - &gt;&gt; 2017-03-07-UncaughtWiMAX.txt</v>
      </c>
    </row>
    <row r="171" spans="1:91" s="20" customFormat="1" x14ac:dyDescent="0.25">
      <c r="A171" s="33" t="s">
        <v>646</v>
      </c>
      <c r="B171" s="7">
        <v>4031</v>
      </c>
      <c r="C171" s="21" t="s">
        <v>233</v>
      </c>
      <c r="D171" s="21" t="s">
        <v>923</v>
      </c>
      <c r="E171" s="13">
        <v>42801.346770833334</v>
      </c>
      <c r="F171" s="13">
        <v>42801.348067129627</v>
      </c>
      <c r="G171" s="7">
        <v>1</v>
      </c>
      <c r="H171" s="21" t="s">
        <v>924</v>
      </c>
      <c r="I171" s="13">
        <v>42801.357164351852</v>
      </c>
      <c r="J171" s="7">
        <v>2</v>
      </c>
      <c r="K171" s="98" t="str">
        <f t="shared" si="55"/>
        <v>4031/4032</v>
      </c>
      <c r="L171" s="21" t="str">
        <f>VLOOKUP(A171,'Trips&amp;Operators'!$C$1:$G$99999,5,FALSE)</f>
        <v>BROWN JACOB</v>
      </c>
      <c r="M171" s="6">
        <f t="shared" si="56"/>
        <v>9.0972222242271528E-3</v>
      </c>
      <c r="N171" s="7">
        <f t="shared" si="71"/>
        <v>13.1000000028871</v>
      </c>
      <c r="O171" s="7"/>
      <c r="P171" s="7"/>
      <c r="Q171" s="22"/>
      <c r="R171" s="22"/>
      <c r="S171" s="31">
        <f t="shared" si="58"/>
        <v>1</v>
      </c>
      <c r="T171" s="46" t="str">
        <f t="shared" si="59"/>
        <v>NorthBound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60"/>
        <v>https://d0f6bd738d7f1b3e5a7ca70fe4ff75f0.us-east-1.aws.found.io/app/kibana#/discover/Steve-Slow-Train-Analysis-(2080s-and-2083s)?_g=(refreshInterval:(display:Off,pause:!f,section:0,value:0),time:(from:'2017-03-07T07:19:21-0700',mode:absolute,to:'2017-03-07T09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1" s="187" t="str">
        <f t="shared" si="61"/>
        <v>N</v>
      </c>
      <c r="X171" s="187">
        <f t="shared" si="72"/>
        <v>1</v>
      </c>
      <c r="Y171" s="62">
        <f t="shared" si="73"/>
        <v>0.1013</v>
      </c>
      <c r="Z171" s="62">
        <f t="shared" si="62"/>
        <v>5.8975999999999997</v>
      </c>
      <c r="AA171" s="62">
        <f t="shared" si="63"/>
        <v>5.7962999999999996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64"/>
        <v>0811-07</v>
      </c>
      <c r="AE171" s="85" t="str">
        <f t="shared" si="65"/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171" s="82" t="str">
        <f t="shared" si="66"/>
        <v>"C:\Program Files (x86)\AstroGrep\AstroGrep.exe" /spath="%USERPROFILE%\AppData\Local\Temp\OnboardLogs" /stypes="app*4031*20170307*" /stext=" 15:.+((SYSTEM_STATE.+slice.+state.+changed )|(ment ac)|(multiple cpu faults)|(system.+state.+changed )|(\[timeout)|(PRM\|1\|D)|(kpr)|(kdp)|(\|lc)|(penalty))" /e /r /s</v>
      </c>
      <c r="AG171" s="1" t="str">
        <f t="shared" si="67"/>
        <v>NW</v>
      </c>
      <c r="AH171" s="86" t="str">
        <f t="shared" si="68"/>
        <v>"%USERPROFILE%\Documents\GitHub\eaglep3\Utilities\RefineRTDCRunTimes.py" --tripid 811-07 --locoid 4031 --swversion DE.1.0.9.0 --startMP 204:1013 --initTime 2017-03-07T08:19:21 --startdatetime 2017-03-07T08:21:13 --delay 1 --endMP 300:58976 --enddatetime 2017-03-07T08:34:19 --enforcementcount 2 &gt;&gt;C:\Users\stu\Documents\GitHub\eaglep3-reporting\EC\2017-03-07-refined-times.txt</v>
      </c>
      <c r="AI171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{"issue":{"subject":"","project_id":79,"tracker_id":40,"status_id":1,"priority_id":2,"assigned_to_id":23,"start_date":"2017-03-07","description":"","custom_fields":[{"id":1,"name":"Subdivision","value":"NW"},{"id":4,"name":"Milepost","value":"5.8976"},{"id":17,"name":"Train ID","value":"811-07"},{"id":16,"name":"Locomotive ID","value":"4031"},{"id":130,"name":"Impact","value":""},{"id":150,"name":"Time of Event (Mountain Time)","value":"08:34:19"},{"id":151,"name":"Denver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70"/>
        <v>start /low /b %USERPROFILE%\Documents\GitHub\eaglep3\Utilities\DownloadLogsFromS3.py --loco 4031 --day 2017-03-07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"%USERPROFILE%\AppData\Local\Temp\OnboardLogs"\RTDC4031\*4031*20170307* | grep -SE "(Enforcement Action)|(\[TIMEOUT)|(CHR.+\|PRM\|1\|D.+(SWITCH|SIGNAL).+UNKNOWN)" - &gt;&gt; 2017-03-07-UncaughtWiMAX.txt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3" t="s">
        <v>561</v>
      </c>
      <c r="B172" s="7">
        <v>4032</v>
      </c>
      <c r="C172" s="21" t="s">
        <v>233</v>
      </c>
      <c r="D172" s="21" t="s">
        <v>925</v>
      </c>
      <c r="E172" s="13">
        <v>42801.358043981483</v>
      </c>
      <c r="F172" s="13">
        <v>42801.359224537038</v>
      </c>
      <c r="G172" s="7">
        <v>0</v>
      </c>
      <c r="H172" s="21" t="s">
        <v>916</v>
      </c>
      <c r="I172" s="13">
        <v>42801.371886574074</v>
      </c>
      <c r="J172" s="7">
        <v>2</v>
      </c>
      <c r="K172" s="98" t="str">
        <f t="shared" si="55"/>
        <v>4031/4032</v>
      </c>
      <c r="L172" s="21" t="str">
        <f>VLOOKUP(A172,'Trips&amp;Operators'!$C$1:$G$99999,5,FALSE)</f>
        <v>BROWN JACOB</v>
      </c>
      <c r="M172" s="6">
        <f t="shared" si="56"/>
        <v>1.2662037035624962E-2</v>
      </c>
      <c r="N172" s="7">
        <f t="shared" si="71"/>
        <v>18.233333331299946</v>
      </c>
      <c r="O172" s="7"/>
      <c r="P172" s="7"/>
      <c r="Q172" s="22"/>
      <c r="R172" s="22"/>
      <c r="S172" s="31">
        <f t="shared" si="58"/>
        <v>1</v>
      </c>
      <c r="T172" s="46" t="str">
        <f t="shared" si="59"/>
        <v>Southbound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60"/>
        <v>https://d0f6bd738d7f1b3e5a7ca70fe4ff75f0.us-east-1.aws.found.io/app/kibana#/discover/Steve-Slow-Train-Analysis-(2080s-and-2083s)?_g=(refreshInterval:(display:Off,pause:!f,section:0,value:0),time:(from:'2017-03-07T07:35:35-0700',mode:absolute,to:'2017-03-07T09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2" s="187" t="str">
        <f t="shared" si="61"/>
        <v>N</v>
      </c>
      <c r="X172" s="187">
        <f t="shared" si="72"/>
        <v>1</v>
      </c>
      <c r="Y172" s="62">
        <f t="shared" si="73"/>
        <v>5.8653000000000004</v>
      </c>
      <c r="Z172" s="62">
        <f t="shared" si="62"/>
        <v>7.2599999999999998E-2</v>
      </c>
      <c r="AA172" s="62">
        <f t="shared" si="63"/>
        <v>5.7927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64"/>
        <v>0812-07</v>
      </c>
      <c r="AE172" s="85" t="str">
        <f t="shared" si="65"/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172" s="82" t="str">
        <f t="shared" si="66"/>
        <v>"C:\Program Files (x86)\AstroGrep\AstroGrep.exe" /spath="%USERPROFILE%\AppData\Local\Temp\OnboardLogs" /stypes="app*4032*20170307*" /stext=" 15:.+((SYSTEM_STATE.+slice.+state.+changed )|(ment ac)|(multiple cpu faults)|(system.+state.+changed )|(\[timeout)|(PRM\|1\|D)|(kpr)|(kdp)|(\|lc)|(penalty))" /e /r /s</v>
      </c>
      <c r="AG172" s="1" t="str">
        <f t="shared" si="67"/>
        <v>NW</v>
      </c>
      <c r="AH172" s="86" t="str">
        <f t="shared" si="68"/>
        <v>"%USERPROFILE%\Documents\GitHub\eaglep3\Utilities\RefineRTDCRunTimes.py" --tripid 812-07 --locoid 4032 --swversion DE.1.0.9.0 --startMP 300:58653 --initTime 2017-03-07T08:35:35 --startdatetime 2017-03-07T08:37:17 --delay 0 --endMP 204:726 --enddatetime 2017-03-07T08:55:31 --enforcementcount 2 &gt;&gt;C:\Users\stu\Documents\GitHub\eaglep3-reporting\EC\2017-03-07-refined-times.txt</v>
      </c>
      <c r="AI172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{"issue":{"subject":"","project_id":79,"tracker_id":40,"status_id":1,"priority_id":2,"assigned_to_id":23,"start_date":"2017-03-07","description":"","custom_fields":[{"id":1,"name":"Subdivision","value":"NW"},{"id":4,"name":"Milepost","value":"0.0726"},{"id":17,"name":"Train ID","value":"812-07"},{"id":16,"name":"Locomotive ID","value":"4032"},{"id":130,"name":"Impact","value":""},{"id":150,"name":"Time of Event (Mountain Time)","value":"08:55:31"},{"id":151,"name":"Denver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70"/>
        <v>start /low /b %USERPROFILE%\Documents\GitHub\eaglep3\Utilities\DownloadLogsFromS3.py --loco 4032 --day 2017-03-07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"%USERPROFILE%\AppData\Local\Temp\OnboardLogs"\RTDC4032\*4032*20170307* | grep -SE "(Enforcement Action)|(\[TIMEOUT)|(CHR.+\|PRM\|1\|D.+(SWITCH|SIGNAL).+UNKNOWN)" - &gt;&gt; 2017-03-07-UncaughtWiMAX.txt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3" t="s">
        <v>652</v>
      </c>
      <c r="B173" s="7">
        <v>4031</v>
      </c>
      <c r="C173" s="21" t="s">
        <v>233</v>
      </c>
      <c r="D173" s="21" t="s">
        <v>923</v>
      </c>
      <c r="E173" s="13">
        <v>42801.387384259258</v>
      </c>
      <c r="F173" s="13">
        <v>42801.389733796299</v>
      </c>
      <c r="G173" s="7">
        <v>1</v>
      </c>
      <c r="H173" s="21" t="s">
        <v>926</v>
      </c>
      <c r="I173" s="13">
        <v>42801.398900462962</v>
      </c>
      <c r="J173" s="7">
        <v>2</v>
      </c>
      <c r="K173" s="98" t="str">
        <f t="shared" si="55"/>
        <v>4031/4032</v>
      </c>
      <c r="L173" s="21" t="str">
        <f>VLOOKUP(A173,'Trips&amp;Operators'!$C$1:$G$99999,5,FALSE)</f>
        <v>BROWN JACOB</v>
      </c>
      <c r="M173" s="6">
        <f t="shared" si="56"/>
        <v>9.1666666630771942E-3</v>
      </c>
      <c r="N173" s="7">
        <f t="shared" si="71"/>
        <v>13.19999999483116</v>
      </c>
      <c r="O173" s="7"/>
      <c r="P173" s="7"/>
      <c r="Q173" s="22"/>
      <c r="R173" s="22"/>
      <c r="S173" s="31">
        <f t="shared" ref="S173:S204" si="74">SUM(U173:U173)/IF(AG173="EC",12,1)</f>
        <v>1</v>
      </c>
      <c r="T173" s="46" t="str">
        <f t="shared" si="59"/>
        <v>NorthBound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60"/>
        <v>https://d0f6bd738d7f1b3e5a7ca70fe4ff75f0.us-east-1.aws.found.io/app/kibana#/discover/Steve-Slow-Train-Analysis-(2080s-and-2083s)?_g=(refreshInterval:(display:Off,pause:!f,section:0,value:0),time:(from:'2017-03-07T08:17:50-0700',mode:absolute,to:'2017-03-07T10:34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3" s="187" t="str">
        <f t="shared" si="61"/>
        <v>N</v>
      </c>
      <c r="X173" s="187">
        <f t="shared" si="72"/>
        <v>1</v>
      </c>
      <c r="Y173" s="62">
        <f t="shared" si="73"/>
        <v>0.1013</v>
      </c>
      <c r="Z173" s="62">
        <f t="shared" si="62"/>
        <v>5.8956</v>
      </c>
      <c r="AA173" s="62">
        <f t="shared" si="63"/>
        <v>5.7942999999999998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64"/>
        <v>0813-07</v>
      </c>
      <c r="AE173" s="85" t="str">
        <f t="shared" si="65"/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173" s="82" t="str">
        <f t="shared" si="66"/>
        <v>"C:\Program Files (x86)\AstroGrep\AstroGrep.exe" /spath="%USERPROFILE%\AppData\Local\Temp\OnboardLogs" /stypes="app*4031*20170307*" /stext=" 16:.+((SYSTEM_STATE.+slice.+state.+changed )|(ment ac)|(multiple cpu faults)|(system.+state.+changed )|(\[timeout)|(PRM\|1\|D)|(kpr)|(kdp)|(\|lc)|(penalty))" /e /r /s</v>
      </c>
      <c r="AG173" s="1" t="str">
        <f t="shared" si="67"/>
        <v>NW</v>
      </c>
      <c r="AH173" s="86" t="str">
        <f t="shared" si="68"/>
        <v>"%USERPROFILE%\Documents\GitHub\eaglep3\Utilities\RefineRTDCRunTimes.py" --tripid 813-07 --locoid 4031 --swversion DE.1.0.9.0 --startMP 204:1013 --initTime 2017-03-07T09:17:50 --startdatetime 2017-03-07T09:21:13 --delay 1 --endMP 300:58956 --enddatetime 2017-03-07T09:34:25 --enforcementcount 2 &gt;&gt;C:\Users\stu\Documents\GitHub\eaglep3-reporting\EC\2017-03-07-refined-times.txt</v>
      </c>
      <c r="AI173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{"issue":{"subject":"","project_id":79,"tracker_id":40,"status_id":1,"priority_id":2,"assigned_to_id":23,"start_date":"2017-03-07","description":"","custom_fields":[{"id":1,"name":"Subdivision","value":"NW"},{"id":4,"name":"Milepost","value":"5.8956"},{"id":17,"name":"Train ID","value":"813-07"},{"id":16,"name":"Locomotive ID","value":"4031"},{"id":130,"name":"Impact","value":""},{"id":150,"name":"Time of Event (Mountain Time)","value":"09:34:25"},{"id":151,"name":"Denver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70"/>
        <v>start /low /b %USERPROFILE%\Documents\GitHub\eaglep3\Utilities\DownloadLogsFromS3.py --loco 4031 --day 2017-03-07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"%USERPROFILE%\AppData\Local\Temp\OnboardLogs"\RTDC4031\*4031*20170307* | grep -SE "(Enforcement Action)|(\[TIMEOUT)|(CHR.+\|PRM\|1\|D.+(SWITCH|SIGNAL).+UNKNOWN)" - &gt;&gt; 2017-03-07-UncaughtWiMAX.txt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654</v>
      </c>
      <c r="B174" s="7">
        <v>4032</v>
      </c>
      <c r="C174" s="21" t="s">
        <v>233</v>
      </c>
      <c r="D174" s="21" t="s">
        <v>885</v>
      </c>
      <c r="E174" s="13">
        <v>42801.399837962963</v>
      </c>
      <c r="F174" s="13">
        <v>42801.401076388887</v>
      </c>
      <c r="G174" s="7">
        <v>1</v>
      </c>
      <c r="H174" s="21" t="s">
        <v>461</v>
      </c>
      <c r="I174" s="13">
        <v>42801.413391203707</v>
      </c>
      <c r="J174" s="7">
        <v>2</v>
      </c>
      <c r="K174" s="98" t="str">
        <f t="shared" si="55"/>
        <v>4031/4032</v>
      </c>
      <c r="L174" s="21" t="str">
        <f>VLOOKUP(A174,'Trips&amp;Operators'!$C$1:$G$99999,5,FALSE)</f>
        <v>BROWN JACOB</v>
      </c>
      <c r="M174" s="6">
        <f t="shared" si="56"/>
        <v>1.2314814819546882E-2</v>
      </c>
      <c r="N174" s="7">
        <f t="shared" si="71"/>
        <v>17.73333334014751</v>
      </c>
      <c r="O174" s="7"/>
      <c r="P174" s="7"/>
      <c r="Q174" s="22"/>
      <c r="R174" s="22"/>
      <c r="S174" s="31">
        <f t="shared" si="74"/>
        <v>1</v>
      </c>
      <c r="T174" s="46" t="str">
        <f t="shared" si="59"/>
        <v>Southbound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60"/>
        <v>https://d0f6bd738d7f1b3e5a7ca70fe4ff75f0.us-east-1.aws.found.io/app/kibana#/discover/Steve-Slow-Train-Analysis-(2080s-and-2083s)?_g=(refreshInterval:(display:Off,pause:!f,section:0,value:0),time:(from:'2017-03-07T08:35:46-0700',mode:absolute,to:'2017-03-07T10:55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4" s="187" t="str">
        <f t="shared" si="61"/>
        <v>N</v>
      </c>
      <c r="X174" s="187">
        <f t="shared" si="72"/>
        <v>1</v>
      </c>
      <c r="Y174" s="62">
        <f t="shared" si="73"/>
        <v>5.8640999999999996</v>
      </c>
      <c r="Z174" s="62">
        <f t="shared" si="62"/>
        <v>7.3300000000000004E-2</v>
      </c>
      <c r="AA174" s="62">
        <f t="shared" si="63"/>
        <v>5.7907999999999999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64"/>
        <v>0814-07</v>
      </c>
      <c r="AE174" s="85" t="str">
        <f t="shared" si="65"/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174" s="82" t="str">
        <f t="shared" si="66"/>
        <v>"C:\Program Files (x86)\AstroGrep\AstroGrep.exe" /spath="%USERPROFILE%\AppData\Local\Temp\OnboardLogs" /stypes="app*4032*20170307*" /stext=" 16:.+((SYSTEM_STATE.+slice.+state.+changed )|(ment ac)|(multiple cpu faults)|(system.+state.+changed )|(\[timeout)|(PRM\|1\|D)|(kpr)|(kdp)|(\|lc)|(penalty))" /e /r /s</v>
      </c>
      <c r="AG174" s="1" t="str">
        <f t="shared" si="67"/>
        <v>NW</v>
      </c>
      <c r="AH174" s="86" t="str">
        <f t="shared" si="68"/>
        <v>"%USERPROFILE%\Documents\GitHub\eaglep3\Utilities\RefineRTDCRunTimes.py" --tripid 814-07 --locoid 4032 --swversion DE.1.0.9.0 --startMP 300:58641 --initTime 2017-03-07T09:35:46 --startdatetime 2017-03-07T09:37:33 --delay 1 --endMP 204:733 --enddatetime 2017-03-07T09:55:17 --enforcementcount 2 &gt;&gt;C:\Users\stu\Documents\GitHub\eaglep3-reporting\EC\2017-03-07-refined-times.txt</v>
      </c>
      <c r="AI174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{"issue":{"subject":"","project_id":79,"tracker_id":40,"status_id":1,"priority_id":2,"assigned_to_id":23,"start_date":"2017-03-07","description":"","custom_fields":[{"id":1,"name":"Subdivision","value":"NW"},{"id":4,"name":"Milepost","value":"0.0733"},{"id":17,"name":"Train ID","value":"814-07"},{"id":16,"name":"Locomotive ID","value":"4032"},{"id":130,"name":"Impact","value":""},{"id":150,"name":"Time of Event (Mountain Time)","value":"09:55:17"},{"id":151,"name":"Denver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70"/>
        <v>start /low /b %USERPROFILE%\Documents\GitHub\eaglep3\Utilities\DownloadLogsFromS3.py --loco 4032 --day 2017-03-07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"%USERPROFILE%\AppData\Local\Temp\OnboardLogs"\RTDC4032\*4032*20170307* | grep -SE "(Enforcement Action)|(\[TIMEOUT)|(CHR.+\|PRM\|1\|D.+(SWITCH|SIGNAL).+UNKNOWN)" - &gt;&gt; 2017-03-07-UncaughtWiMAX.txt</v>
      </c>
    </row>
    <row r="175" spans="1:91" s="20" customFormat="1" x14ac:dyDescent="0.25">
      <c r="A175" s="33" t="s">
        <v>660</v>
      </c>
      <c r="B175" s="7">
        <v>4031</v>
      </c>
      <c r="C175" s="21" t="s">
        <v>233</v>
      </c>
      <c r="D175" s="21" t="s">
        <v>923</v>
      </c>
      <c r="E175" s="13">
        <v>42801.42765046296</v>
      </c>
      <c r="F175" s="13">
        <v>42801.431481481479</v>
      </c>
      <c r="G175" s="7">
        <v>2</v>
      </c>
      <c r="H175" s="21" t="s">
        <v>927</v>
      </c>
      <c r="I175" s="13">
        <v>42801.44085648148</v>
      </c>
      <c r="J175" s="7">
        <v>2</v>
      </c>
      <c r="K175" s="98" t="str">
        <f t="shared" si="55"/>
        <v>4031/4032</v>
      </c>
      <c r="L175" s="21" t="str">
        <f>VLOOKUP(A175,'Trips&amp;Operators'!$C$1:$G$99999,5,FALSE)</f>
        <v>BROWN JACOB</v>
      </c>
      <c r="M175" s="6">
        <f t="shared" si="56"/>
        <v>9.3750000014551915E-3</v>
      </c>
      <c r="N175" s="7">
        <f t="shared" si="71"/>
        <v>13.500000002095476</v>
      </c>
      <c r="O175" s="7"/>
      <c r="P175" s="7"/>
      <c r="Q175" s="22"/>
      <c r="R175" s="22"/>
      <c r="S175" s="31">
        <f t="shared" si="74"/>
        <v>1</v>
      </c>
      <c r="T175" s="46" t="str">
        <f t="shared" si="59"/>
        <v>NorthBound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60"/>
        <v>https://d0f6bd738d7f1b3e5a7ca70fe4ff75f0.us-east-1.aws.found.io/app/kibana#/discover/Steve-Slow-Train-Analysis-(2080s-and-2083s)?_g=(refreshInterval:(display:Off,pause:!f,section:0,value:0),time:(from:'2017-03-07T09:15:49-0700',mode:absolute,to:'2017-03-07T11:34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5" s="187" t="str">
        <f t="shared" si="61"/>
        <v>N</v>
      </c>
      <c r="X175" s="187">
        <f t="shared" si="72"/>
        <v>1</v>
      </c>
      <c r="Y175" s="62">
        <f t="shared" si="73"/>
        <v>0.1013</v>
      </c>
      <c r="Z175" s="62">
        <f t="shared" si="62"/>
        <v>5.8958000000000004</v>
      </c>
      <c r="AA175" s="62">
        <f t="shared" si="63"/>
        <v>5.7945000000000002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64"/>
        <v>0815-07</v>
      </c>
      <c r="AE175" s="85" t="str">
        <f t="shared" si="65"/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175" s="82" t="str">
        <f t="shared" si="66"/>
        <v>"C:\Program Files (x86)\AstroGrep\AstroGrep.exe" /spath="%USERPROFILE%\AppData\Local\Temp\OnboardLogs" /stypes="app*4031*20170307*" /stext=" 17:.+((SYSTEM_STATE.+slice.+state.+changed )|(ment ac)|(multiple cpu faults)|(system.+state.+changed )|(\[timeout)|(PRM\|1\|D)|(kpr)|(kdp)|(\|lc)|(penalty))" /e /r /s</v>
      </c>
      <c r="AG175" s="1" t="str">
        <f t="shared" si="67"/>
        <v>NW</v>
      </c>
      <c r="AH175" s="86" t="str">
        <f t="shared" si="68"/>
        <v>"%USERPROFILE%\Documents\GitHub\eaglep3\Utilities\RefineRTDCRunTimes.py" --tripid 815-07 --locoid 4031 --swversion DE.1.0.9.0 --startMP 204:1013 --initTime 2017-03-07T10:15:49 --startdatetime 2017-03-07T10:21:20 --delay 2 --endMP 300:58958 --enddatetime 2017-03-07T10:34:50 --enforcementcount 2 &gt;&gt;C:\Users\stu\Documents\GitHub\eaglep3-reporting\EC\2017-03-07-refined-times.txt</v>
      </c>
      <c r="AI175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{"issue":{"subject":"","project_id":79,"tracker_id":40,"status_id":1,"priority_id":2,"assigned_to_id":23,"start_date":"2017-03-07","description":"","custom_fields":[{"id":1,"name":"Subdivision","value":"NW"},{"id":4,"name":"Milepost","value":"5.8958"},{"id":17,"name":"Train ID","value":"815-07"},{"id":16,"name":"Locomotive ID","value":"4031"},{"id":130,"name":"Impact","value":""},{"id":150,"name":"Time of Event (Mountain Time)","value":"10:34:50"},{"id":151,"name":"Denver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70"/>
        <v>start /low /b %USERPROFILE%\Documents\GitHub\eaglep3\Utilities\DownloadLogsFromS3.py --loco 4031 --day 2017-03-07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"%USERPROFILE%\AppData\Local\Temp\OnboardLogs"\RTDC4031\*4031*20170307* | grep -SE "(Enforcement Action)|(\[TIMEOUT)|(CHR.+\|PRM\|1\|D.+(SWITCH|SIGNAL).+UNKNOWN)" - &gt;&gt; 2017-03-07-UncaughtWiMAX.txt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665</v>
      </c>
      <c r="B176" s="7">
        <v>4032</v>
      </c>
      <c r="C176" s="21" t="s">
        <v>233</v>
      </c>
      <c r="D176" s="21" t="s">
        <v>885</v>
      </c>
      <c r="E176" s="13">
        <v>42801.442048611112</v>
      </c>
      <c r="F176" s="13">
        <v>42801.443229166667</v>
      </c>
      <c r="G176" s="7">
        <v>1</v>
      </c>
      <c r="H176" s="21" t="s">
        <v>916</v>
      </c>
      <c r="I176" s="13">
        <v>42801.454895833333</v>
      </c>
      <c r="J176" s="7">
        <v>2</v>
      </c>
      <c r="K176" s="98" t="str">
        <f t="shared" si="55"/>
        <v>4031/4032</v>
      </c>
      <c r="L176" s="21" t="str">
        <f>VLOOKUP(A176,'Trips&amp;Operators'!$C$1:$G$99999,5,FALSE)</f>
        <v>BROWN JACOB</v>
      </c>
      <c r="M176" s="6">
        <f t="shared" si="56"/>
        <v>1.1666666665405501E-2</v>
      </c>
      <c r="N176" s="7">
        <f t="shared" si="71"/>
        <v>16.799999998183921</v>
      </c>
      <c r="O176" s="7"/>
      <c r="P176" s="7"/>
      <c r="Q176" s="22"/>
      <c r="R176" s="22"/>
      <c r="S176" s="31">
        <f t="shared" si="74"/>
        <v>1</v>
      </c>
      <c r="T176" s="46" t="str">
        <f t="shared" si="59"/>
        <v>Southbound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60"/>
        <v>https://d0f6bd738d7f1b3e5a7ca70fe4ff75f0.us-east-1.aws.found.io/app/kibana#/discover/Steve-Slow-Train-Analysis-(2080s-and-2083s)?_g=(refreshInterval:(display:Off,pause:!f,section:0,value:0),time:(from:'2017-03-07T09:36:33-0700',mode:absolute,to:'2017-03-07T11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6" s="187" t="str">
        <f t="shared" si="61"/>
        <v>N</v>
      </c>
      <c r="X176" s="187">
        <f t="shared" si="72"/>
        <v>1</v>
      </c>
      <c r="Y176" s="62">
        <f t="shared" si="73"/>
        <v>5.8640999999999996</v>
      </c>
      <c r="Z176" s="62">
        <f t="shared" si="62"/>
        <v>7.2599999999999998E-2</v>
      </c>
      <c r="AA176" s="62">
        <f t="shared" si="63"/>
        <v>5.7914999999999992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64"/>
        <v>0816-07</v>
      </c>
      <c r="AE176" s="85" t="str">
        <f t="shared" si="65"/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176" s="82" t="str">
        <f t="shared" si="66"/>
        <v>"C:\Program Files (x86)\AstroGrep\AstroGrep.exe" /spath="%USERPROFILE%\AppData\Local\Temp\OnboardLogs" /stypes="app*4032*20170307*" /stext=" 17:.+((SYSTEM_STATE.+slice.+state.+changed )|(ment ac)|(multiple cpu faults)|(system.+state.+changed )|(\[timeout)|(PRM\|1\|D)|(kpr)|(kdp)|(\|lc)|(penalty))" /e /r /s</v>
      </c>
      <c r="AG176" s="1" t="str">
        <f t="shared" si="67"/>
        <v>NW</v>
      </c>
      <c r="AH176" s="86" t="str">
        <f t="shared" si="68"/>
        <v>"%USERPROFILE%\Documents\GitHub\eaglep3\Utilities\RefineRTDCRunTimes.py" --tripid 816-07 --locoid 4032 --swversion DE.1.0.9.0 --startMP 300:58641 --initTime 2017-03-07T10:36:33 --startdatetime 2017-03-07T10:38:15 --delay 1 --endMP 204:726 --enddatetime 2017-03-07T10:55:03 --enforcementcount 2 &gt;&gt;C:\Users\stu\Documents\GitHub\eaglep3-reporting\EC\2017-03-07-refined-times.txt</v>
      </c>
      <c r="AI176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{"issue":{"subject":"","project_id":79,"tracker_id":40,"status_id":1,"priority_id":2,"assigned_to_id":23,"start_date":"2017-03-07","description":"","custom_fields":[{"id":1,"name":"Subdivision","value":"NW"},{"id":4,"name":"Milepost","value":"0.0726"},{"id":17,"name":"Train ID","value":"816-07"},{"id":16,"name":"Locomotive ID","value":"4032"},{"id":130,"name":"Impact","value":""},{"id":150,"name":"Time of Event (Mountain Time)","value":"10:55:03"},{"id":151,"name":"Denver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70"/>
        <v>start /low /b %USERPROFILE%\Documents\GitHub\eaglep3\Utilities\DownloadLogsFromS3.py --loco 4032 --day 2017-03-07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"%USERPROFILE%\AppData\Local\Temp\OnboardLogs"\RTDC4032\*4032*20170307* | grep -SE "(Enforcement Action)|(\[TIMEOUT)|(CHR.+\|PRM\|1\|D.+(SWITCH|SIGNAL).+UNKNOWN)" - &gt;&gt; 2017-03-07-UncaughtWiMAX.txt</v>
      </c>
    </row>
    <row r="177" spans="1:91" s="20" customFormat="1" x14ac:dyDescent="0.25">
      <c r="A177" s="33" t="s">
        <v>671</v>
      </c>
      <c r="B177" s="7">
        <v>4031</v>
      </c>
      <c r="C177" s="21" t="s">
        <v>233</v>
      </c>
      <c r="D177" s="21" t="s">
        <v>928</v>
      </c>
      <c r="E177" s="13">
        <v>42801.470520833333</v>
      </c>
      <c r="F177" s="13">
        <v>42801.473090277781</v>
      </c>
      <c r="G177" s="7">
        <v>1</v>
      </c>
      <c r="H177" s="21" t="s">
        <v>920</v>
      </c>
      <c r="I177" s="13">
        <v>42801.482488425929</v>
      </c>
      <c r="J177" s="7">
        <v>2</v>
      </c>
      <c r="K177" s="98" t="str">
        <f t="shared" si="55"/>
        <v>4031/4032</v>
      </c>
      <c r="L177" s="21" t="str">
        <f>VLOOKUP(A177,'Trips&amp;Operators'!$C$1:$G$99999,5,FALSE)</f>
        <v>BROWN JACOB</v>
      </c>
      <c r="M177" s="6">
        <f t="shared" si="56"/>
        <v>9.3981481477385387E-3</v>
      </c>
      <c r="N177" s="7">
        <f t="shared" si="71"/>
        <v>13.533333332743496</v>
      </c>
      <c r="O177" s="7"/>
      <c r="P177" s="7"/>
      <c r="Q177" s="22"/>
      <c r="R177" s="22"/>
      <c r="S177" s="31">
        <f t="shared" si="74"/>
        <v>1</v>
      </c>
      <c r="T177" s="46" t="str">
        <f t="shared" si="59"/>
        <v>NorthBound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60"/>
        <v>https://d0f6bd738d7f1b3e5a7ca70fe4ff75f0.us-east-1.aws.found.io/app/kibana#/discover/Steve-Slow-Train-Analysis-(2080s-and-2083s)?_g=(refreshInterval:(display:Off,pause:!f,section:0,value:0),time:(from:'2017-03-07T10:17:33-0700',mode:absolute,to:'2017-03-07T12:34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7" s="187" t="str">
        <f t="shared" si="61"/>
        <v>N</v>
      </c>
      <c r="X177" s="187">
        <f t="shared" si="72"/>
        <v>1</v>
      </c>
      <c r="Y177" s="62">
        <f t="shared" si="73"/>
        <v>0.1009</v>
      </c>
      <c r="Z177" s="62">
        <f t="shared" si="62"/>
        <v>5.8936999999999999</v>
      </c>
      <c r="AA177" s="62">
        <f t="shared" si="63"/>
        <v>5.7927999999999997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64"/>
        <v>0817-07</v>
      </c>
      <c r="AE177" s="85" t="str">
        <f t="shared" si="65"/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177" s="82" t="str">
        <f t="shared" si="66"/>
        <v>"C:\Program Files (x86)\AstroGrep\AstroGrep.exe" /spath="%USERPROFILE%\AppData\Local\Temp\OnboardLogs" /stypes="app*4031*20170307*" /stext=" 18:.+((SYSTEM_STATE.+slice.+state.+changed )|(ment ac)|(multiple cpu faults)|(system.+state.+changed )|(\[timeout)|(PRM\|1\|D)|(kpr)|(kdp)|(\|lc)|(penalty))" /e /r /s</v>
      </c>
      <c r="AG177" s="1" t="str">
        <f t="shared" si="67"/>
        <v>NW</v>
      </c>
      <c r="AH177" s="86" t="str">
        <f t="shared" si="68"/>
        <v>"%USERPROFILE%\Documents\GitHub\eaglep3\Utilities\RefineRTDCRunTimes.py" --tripid 817-07 --locoid 4031 --swversion DE.1.0.9.0 --startMP 204:1009 --initTime 2017-03-07T11:17:33 --startdatetime 2017-03-07T11:21:15 --delay 1 --endMP 300:58937 --enddatetime 2017-03-07T11:34:47 --enforcementcount 2 &gt;&gt;C:\Users\stu\Documents\GitHub\eaglep3-reporting\EC\2017-03-07-refined-times.txt</v>
      </c>
      <c r="AI177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{"issue":{"subject":"","project_id":79,"tracker_id":40,"status_id":1,"priority_id":2,"assigned_to_id":23,"start_date":"2017-03-07","description":"","custom_fields":[{"id":1,"name":"Subdivision","value":"NW"},{"id":4,"name":"Milepost","value":"5.8937"},{"id":17,"name":"Train ID","value":"817-07"},{"id":16,"name":"Locomotive ID","value":"4031"},{"id":130,"name":"Impact","value":""},{"id":150,"name":"Time of Event (Mountain Time)","value":"11:34:47"},{"id":151,"name":"Denver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70"/>
        <v>start /low /b %USERPROFILE%\Documents\GitHub\eaglep3\Utilities\DownloadLogsFromS3.py --loco 4031 --day 2017-03-07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"%USERPROFILE%\AppData\Local\Temp\OnboardLogs"\RTDC4031\*4031*20170307* | grep -SE "(Enforcement Action)|(\[TIMEOUT)|(CHR.+\|PRM\|1\|D.+(SWITCH|SIGNAL).+UNKNOWN)" - &gt;&gt; 2017-03-07-UncaughtWiMAX.txt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3" t="s">
        <v>676</v>
      </c>
      <c r="B178" s="7">
        <v>4032</v>
      </c>
      <c r="C178" s="21" t="s">
        <v>233</v>
      </c>
      <c r="D178" s="21" t="s">
        <v>929</v>
      </c>
      <c r="E178" s="13">
        <v>42801.483310185184</v>
      </c>
      <c r="F178" s="13">
        <v>42801.485173611109</v>
      </c>
      <c r="G178" s="7">
        <v>1</v>
      </c>
      <c r="H178" s="21" t="s">
        <v>930</v>
      </c>
      <c r="I178" s="13">
        <v>42801.496469907404</v>
      </c>
      <c r="J178" s="7">
        <v>2</v>
      </c>
      <c r="K178" s="98" t="str">
        <f t="shared" si="55"/>
        <v>4031/4032</v>
      </c>
      <c r="L178" s="21" t="str">
        <f>VLOOKUP(A178,'Trips&amp;Operators'!$C$1:$G$99999,5,FALSE)</f>
        <v>BROWN JACOB</v>
      </c>
      <c r="M178" s="6">
        <f t="shared" si="56"/>
        <v>1.1296296295768116E-2</v>
      </c>
      <c r="N178" s="7">
        <f t="shared" si="71"/>
        <v>16.266666665906087</v>
      </c>
      <c r="O178" s="7"/>
      <c r="P178" s="7"/>
      <c r="Q178" s="22"/>
      <c r="R178" s="22"/>
      <c r="S178" s="31">
        <f t="shared" si="74"/>
        <v>1</v>
      </c>
      <c r="T178" s="46" t="str">
        <f t="shared" si="59"/>
        <v>Southbound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60"/>
        <v>https://d0f6bd738d7f1b3e5a7ca70fe4ff75f0.us-east-1.aws.found.io/app/kibana#/discover/Steve-Slow-Train-Analysis-(2080s-and-2083s)?_g=(refreshInterval:(display:Off,pause:!f,section:0,value:0),time:(from:'2017-03-07T10:35:58-0700',mode:absolute,to:'2017-03-07T12:54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8" s="187" t="str">
        <f t="shared" si="61"/>
        <v>N</v>
      </c>
      <c r="X178" s="187">
        <f t="shared" si="72"/>
        <v>1</v>
      </c>
      <c r="Y178" s="62">
        <f t="shared" si="73"/>
        <v>5.8616999999999999</v>
      </c>
      <c r="Z178" s="62">
        <f t="shared" si="62"/>
        <v>7.0599999999999996E-2</v>
      </c>
      <c r="AA178" s="62">
        <f t="shared" si="63"/>
        <v>5.7911000000000001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64"/>
        <v>0818-07</v>
      </c>
      <c r="AE178" s="85" t="str">
        <f t="shared" si="65"/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178" s="82" t="str">
        <f t="shared" si="66"/>
        <v>"C:\Program Files (x86)\AstroGrep\AstroGrep.exe" /spath="%USERPROFILE%\AppData\Local\Temp\OnboardLogs" /stypes="app*4032*20170307*" /stext=" 18:.+((SYSTEM_STATE.+slice.+state.+changed )|(ment ac)|(multiple cpu faults)|(system.+state.+changed )|(\[timeout)|(PRM\|1\|D)|(kpr)|(kdp)|(\|lc)|(penalty))" /e /r /s</v>
      </c>
      <c r="AG178" s="1" t="str">
        <f t="shared" si="67"/>
        <v>NW</v>
      </c>
      <c r="AH178" s="86" t="str">
        <f t="shared" si="68"/>
        <v>"%USERPROFILE%\Documents\GitHub\eaglep3\Utilities\RefineRTDCRunTimes.py" --tripid 818-07 --locoid 4032 --swversion DE.1.0.9.0 --startMP 300:58617 --initTime 2017-03-07T11:35:58 --startdatetime 2017-03-07T11:38:39 --delay 1 --endMP 204:706 --enddatetime 2017-03-07T11:54:55 --enforcementcount 2 &gt;&gt;C:\Users\stu\Documents\GitHub\eaglep3-reporting\EC\2017-03-07-refined-times.txt</v>
      </c>
      <c r="AI178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{"issue":{"subject":"","project_id":79,"tracker_id":40,"status_id":1,"priority_id":2,"assigned_to_id":23,"start_date":"2017-03-07","description":"","custom_fields":[{"id":1,"name":"Subdivision","value":"NW"},{"id":4,"name":"Milepost","value":"0.0706"},{"id":17,"name":"Train ID","value":"818-07"},{"id":16,"name":"Locomotive ID","value":"4032"},{"id":130,"name":"Impact","value":""},{"id":150,"name":"Time of Event (Mountain Time)","value":"11:54:55"},{"id":151,"name":"Denver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70"/>
        <v>start /low /b %USERPROFILE%\Documents\GitHub\eaglep3\Utilities\DownloadLogsFromS3.py --loco 4032 --day 2017-03-07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"%USERPROFILE%\AppData\Local\Temp\OnboardLogs"\RTDC4032\*4032*20170307* | grep -SE "(Enforcement Action)|(\[TIMEOUT)|(CHR.+\|PRM\|1\|D.+(SWITCH|SIGNAL).+UNKNOWN)" - &gt;&gt; 2017-03-07-UncaughtWiMAX.txt</v>
      </c>
    </row>
    <row r="179" spans="1:91" s="20" customFormat="1" x14ac:dyDescent="0.25">
      <c r="A179" s="33" t="s">
        <v>679</v>
      </c>
      <c r="B179" s="7">
        <v>4031</v>
      </c>
      <c r="C179" s="21" t="s">
        <v>233</v>
      </c>
      <c r="D179" s="21" t="s">
        <v>923</v>
      </c>
      <c r="E179" s="13">
        <v>42801.510787037034</v>
      </c>
      <c r="F179" s="13">
        <v>42801.514791666668</v>
      </c>
      <c r="G179" s="7">
        <v>0</v>
      </c>
      <c r="H179" s="21" t="s">
        <v>931</v>
      </c>
      <c r="I179" s="13">
        <v>42801.524270833332</v>
      </c>
      <c r="J179" s="7">
        <v>2</v>
      </c>
      <c r="K179" s="98" t="str">
        <f t="shared" si="55"/>
        <v>4031/4032</v>
      </c>
      <c r="L179" s="21" t="str">
        <f>VLOOKUP(A179,'Trips&amp;Operators'!$C$1:$G$99999,5,FALSE)</f>
        <v>BROWN JACOB</v>
      </c>
      <c r="M179" s="6">
        <f t="shared" si="56"/>
        <v>9.4791666633682325E-3</v>
      </c>
      <c r="N179" s="7">
        <f t="shared" si="71"/>
        <v>13.649999995250255</v>
      </c>
      <c r="O179" s="7"/>
      <c r="P179" s="7"/>
      <c r="Q179" s="22"/>
      <c r="R179" s="22"/>
      <c r="S179" s="31">
        <f t="shared" si="74"/>
        <v>1</v>
      </c>
      <c r="T179" s="46" t="str">
        <f t="shared" si="59"/>
        <v>NorthBound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60"/>
        <v>https://d0f6bd738d7f1b3e5a7ca70fe4ff75f0.us-east-1.aws.found.io/app/kibana#/discover/Steve-Slow-Train-Analysis-(2080s-and-2083s)?_g=(refreshInterval:(display:Off,pause:!f,section:0,value:0),time:(from:'2017-03-07T11:15:32-0700',mode:absolute,to:'2017-03-07T13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9" s="187" t="str">
        <f t="shared" si="61"/>
        <v>N</v>
      </c>
      <c r="X179" s="187">
        <f t="shared" si="72"/>
        <v>1</v>
      </c>
      <c r="Y179" s="62">
        <f t="shared" si="73"/>
        <v>0.1013</v>
      </c>
      <c r="Z179" s="62">
        <f t="shared" si="62"/>
        <v>5.8963000000000001</v>
      </c>
      <c r="AA179" s="62">
        <f t="shared" si="63"/>
        <v>5.7949999999999999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64"/>
        <v>0819-07</v>
      </c>
      <c r="AE179" s="85" t="str">
        <f t="shared" si="65"/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179" s="82" t="str">
        <f t="shared" si="66"/>
        <v>"C:\Program Files (x86)\AstroGrep\AstroGrep.exe" /spath="%USERPROFILE%\AppData\Local\Temp\OnboardLogs" /stypes="app*4031*20170307*" /stext=" 19:.+((SYSTEM_STATE.+slice.+state.+changed )|(ment ac)|(multiple cpu faults)|(system.+state.+changed )|(\[timeout)|(PRM\|1\|D)|(kpr)|(kdp)|(\|lc)|(penalty))" /e /r /s</v>
      </c>
      <c r="AG179" s="1" t="str">
        <f t="shared" si="67"/>
        <v>NW</v>
      </c>
      <c r="AH179" s="86" t="str">
        <f t="shared" si="68"/>
        <v>"%USERPROFILE%\Documents\GitHub\eaglep3\Utilities\RefineRTDCRunTimes.py" --tripid 819-07 --locoid 4031 --swversion DE.1.0.9.0 --startMP 204:1013 --initTime 2017-03-07T12:15:32 --startdatetime 2017-03-07T12:21:18 --delay 0 --endMP 300:58963 --enddatetime 2017-03-07T12:34:57 --enforcementcount 2 &gt;&gt;C:\Users\stu\Documents\GitHub\eaglep3-reporting\EC\2017-03-07-refined-times.txt</v>
      </c>
      <c r="AI179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{"issue":{"subject":"","project_id":79,"tracker_id":40,"status_id":1,"priority_id":2,"assigned_to_id":23,"start_date":"2017-03-07","description":"","custom_fields":[{"id":1,"name":"Subdivision","value":"NW"},{"id":4,"name":"Milepost","value":"5.8963"},{"id":17,"name":"Train ID","value":"819-07"},{"id":16,"name":"Locomotive ID","value":"4031"},{"id":130,"name":"Impact","value":""},{"id":150,"name":"Time of Event (Mountain Time)","value":"12:34:57"},{"id":151,"name":"Denver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70"/>
        <v>start /low /b %USERPROFILE%\Documents\GitHub\eaglep3\Utilities\DownloadLogsFromS3.py --loco 4031 --day 2017-03-07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"%USERPROFILE%\AppData\Local\Temp\OnboardLogs"\RTDC4031\*4031*20170307* | grep -SE "(Enforcement Action)|(\[TIMEOUT)|(CHR.+\|PRM\|1\|D.+(SWITCH|SIGNAL).+UNKNOWN)" - &gt;&gt; 2017-03-07-UncaughtWiMAX.txt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3" t="s">
        <v>683</v>
      </c>
      <c r="B180" s="7">
        <v>4032</v>
      </c>
      <c r="C180" s="21" t="s">
        <v>233</v>
      </c>
      <c r="D180" s="21" t="s">
        <v>932</v>
      </c>
      <c r="E180" s="13">
        <v>42801.525740740741</v>
      </c>
      <c r="F180" s="13">
        <v>42801.526967592596</v>
      </c>
      <c r="G180" s="7">
        <v>1</v>
      </c>
      <c r="H180" s="21" t="s">
        <v>453</v>
      </c>
      <c r="I180" s="13">
        <v>42801.537974537037</v>
      </c>
      <c r="J180" s="7">
        <v>2</v>
      </c>
      <c r="K180" s="98" t="str">
        <f t="shared" si="55"/>
        <v>4031/4032</v>
      </c>
      <c r="L180" s="21" t="str">
        <f>VLOOKUP(A180,'Trips&amp;Operators'!$C$1:$G$99999,5,FALSE)</f>
        <v>BROWN JACOB</v>
      </c>
      <c r="M180" s="6">
        <f t="shared" si="56"/>
        <v>1.1006944441760425E-2</v>
      </c>
      <c r="N180" s="7">
        <f t="shared" si="71"/>
        <v>15.849999996135011</v>
      </c>
      <c r="O180" s="7"/>
      <c r="P180" s="7"/>
      <c r="Q180" s="22"/>
      <c r="R180" s="22"/>
      <c r="S180" s="31">
        <f t="shared" si="74"/>
        <v>1</v>
      </c>
      <c r="T180" s="46" t="str">
        <f t="shared" si="59"/>
        <v>Southbound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60"/>
        <v>https://d0f6bd738d7f1b3e5a7ca70fe4ff75f0.us-east-1.aws.found.io/app/kibana#/discover/Steve-Slow-Train-Analysis-(2080s-and-2083s)?_g=(refreshInterval:(display:Off,pause:!f,section:0,value:0),time:(from:'2017-03-07T11:37:04-0700',mode:absolute,to:'2017-03-07T13:54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0" s="187" t="str">
        <f t="shared" si="61"/>
        <v>N</v>
      </c>
      <c r="X180" s="187">
        <f t="shared" si="72"/>
        <v>1</v>
      </c>
      <c r="Y180" s="62">
        <f t="shared" si="73"/>
        <v>5.8643000000000001</v>
      </c>
      <c r="Z180" s="62">
        <f t="shared" si="62"/>
        <v>7.4099999999999999E-2</v>
      </c>
      <c r="AA180" s="62">
        <f t="shared" si="63"/>
        <v>5.7902000000000005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64"/>
        <v>0820-07</v>
      </c>
      <c r="AE180" s="85" t="str">
        <f t="shared" si="65"/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180" s="82" t="str">
        <f t="shared" si="66"/>
        <v>"C:\Program Files (x86)\AstroGrep\AstroGrep.exe" /spath="%USERPROFILE%\AppData\Local\Temp\OnboardLogs" /stypes="app*4032*20170307*" /stext=" 19:.+((SYSTEM_STATE.+slice.+state.+changed )|(ment ac)|(multiple cpu faults)|(system.+state.+changed )|(\[timeout)|(PRM\|1\|D)|(kpr)|(kdp)|(\|lc)|(penalty))" /e /r /s</v>
      </c>
      <c r="AG180" s="1" t="str">
        <f t="shared" si="67"/>
        <v>NW</v>
      </c>
      <c r="AH180" s="86" t="str">
        <f t="shared" si="68"/>
        <v>"%USERPROFILE%\Documents\GitHub\eaglep3\Utilities\RefineRTDCRunTimes.py" --tripid 820-07 --locoid 4032 --swversion DE.1.0.9.0 --startMP 300:58643 --initTime 2017-03-07T12:37:04 --startdatetime 2017-03-07T12:38:50 --delay 1 --endMP 204:741 --enddatetime 2017-03-07T12:54:41 --enforcementcount 2 &gt;&gt;C:\Users\stu\Documents\GitHub\eaglep3-reporting\EC\2017-03-07-refined-times.txt</v>
      </c>
      <c r="AI180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{"issue":{"subject":"","project_id":79,"tracker_id":40,"status_id":1,"priority_id":2,"assigned_to_id":23,"start_date":"2017-03-07","description":"","custom_fields":[{"id":1,"name":"Subdivision","value":"NW"},{"id":4,"name":"Milepost","value":"0.0741"},{"id":17,"name":"Train ID","value":"820-07"},{"id":16,"name":"Locomotive ID","value":"4032"},{"id":130,"name":"Impact","value":""},{"id":150,"name":"Time of Event (Mountain Time)","value":"12:54:41"},{"id":151,"name":"Denver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70"/>
        <v>start /low /b %USERPROFILE%\Documents\GitHub\eaglep3\Utilities\DownloadLogsFromS3.py --loco 4032 --day 2017-03-07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"%USERPROFILE%\AppData\Local\Temp\OnboardLogs"\RTDC4032\*4032*20170307* | grep -SE "(Enforcement Action)|(\[TIMEOUT)|(CHR.+\|PRM\|1\|D.+(SWITCH|SIGNAL).+UNKNOWN)" - &gt;&gt; 2017-03-07-UncaughtWiMAX.txt</v>
      </c>
    </row>
    <row r="181" spans="1:91" x14ac:dyDescent="0.25">
      <c r="A181" s="33" t="s">
        <v>571</v>
      </c>
      <c r="B181" s="7">
        <v>4031</v>
      </c>
      <c r="C181" s="21" t="s">
        <v>233</v>
      </c>
      <c r="D181" s="21" t="s">
        <v>933</v>
      </c>
      <c r="E181" s="13">
        <v>42801.549456018518</v>
      </c>
      <c r="F181" s="13">
        <v>42801.556435185186</v>
      </c>
      <c r="G181" s="7">
        <v>2</v>
      </c>
      <c r="H181" s="21" t="s">
        <v>463</v>
      </c>
      <c r="I181" s="13">
        <v>42801.565613425926</v>
      </c>
      <c r="J181" s="7">
        <v>2</v>
      </c>
      <c r="K181" s="98" t="str">
        <f t="shared" si="55"/>
        <v>4031/4032</v>
      </c>
      <c r="L181" s="21" t="str">
        <f>VLOOKUP(A181,'Trips&amp;Operators'!$C$1:$G$99999,5,FALSE)</f>
        <v>LEVIN SCOTT</v>
      </c>
      <c r="M181" s="6">
        <f t="shared" si="56"/>
        <v>9.1782407398568466E-3</v>
      </c>
      <c r="N181" s="7">
        <f t="shared" si="71"/>
        <v>13.216666665393859</v>
      </c>
      <c r="O181" s="7"/>
      <c r="P181" s="7"/>
      <c r="Q181" s="22"/>
      <c r="R181" s="22"/>
      <c r="S181" s="31">
        <f t="shared" si="74"/>
        <v>1</v>
      </c>
      <c r="T181" s="46" t="str">
        <f t="shared" si="59"/>
        <v>NorthBound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60"/>
        <v>https://d0f6bd738d7f1b3e5a7ca70fe4ff75f0.us-east-1.aws.found.io/app/kibana#/discover/Steve-Slow-Train-Analysis-(2080s-and-2083s)?_g=(refreshInterval:(display:Off,pause:!f,section:0,value:0),time:(from:'2017-03-07T12:11:13-0700',mode:absolute,to:'2017-03-07T14:34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1" s="187" t="str">
        <f t="shared" si="61"/>
        <v>N</v>
      </c>
      <c r="X181" s="187">
        <f t="shared" si="72"/>
        <v>1</v>
      </c>
      <c r="Y181" s="62">
        <f t="shared" si="73"/>
        <v>0.1027</v>
      </c>
      <c r="Z181" s="62">
        <f t="shared" si="62"/>
        <v>5.8940999999999999</v>
      </c>
      <c r="AA181" s="62">
        <f t="shared" si="63"/>
        <v>5.7914000000000003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64"/>
        <v>0821-07</v>
      </c>
      <c r="AE181" s="85" t="str">
        <f t="shared" si="65"/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181" s="82" t="str">
        <f t="shared" si="66"/>
        <v>"C:\Program Files (x86)\AstroGrep\AstroGrep.exe" /spath="%USERPROFILE%\AppData\Local\Temp\OnboardLogs" /stypes="app*4031*20170307*" /stext=" 20:.+((SYSTEM_STATE.+slice.+state.+changed )|(ment ac)|(multiple cpu faults)|(system.+state.+changed )|(\[timeout)|(PRM\|1\|D)|(kpr)|(kdp)|(\|lc)|(penalty))" /e /r /s</v>
      </c>
      <c r="AG181" s="1" t="str">
        <f t="shared" si="67"/>
        <v>NW</v>
      </c>
      <c r="AH181" s="86" t="str">
        <f t="shared" si="68"/>
        <v>"%USERPROFILE%\Documents\GitHub\eaglep3\Utilities\RefineRTDCRunTimes.py" --tripid 821-07 --locoid 4031 --swversion DE.1.0.9.0 --startMP 204:1027 --initTime 2017-03-07T13:11:13 --startdatetime 2017-03-07T13:21:16 --delay 2 --endMP 300:58941 --enddatetime 2017-03-07T13:34:29 --enforcementcount 2 &gt;&gt;C:\Users\stu\Documents\GitHub\eaglep3-reporting\EC\2017-03-07-refined-times.txt</v>
      </c>
      <c r="AI181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{"issue":{"subject":"","project_id":79,"tracker_id":40,"status_id":1,"priority_id":2,"assigned_to_id":23,"start_date":"2017-03-07","description":"","custom_fields":[{"id":1,"name":"Subdivision","value":"NW"},{"id":4,"name":"Milepost","value":"5.8941"},{"id":17,"name":"Train ID","value":"821-07"},{"id":16,"name":"Locomotive ID","value":"4031"},{"id":130,"name":"Impact","value":""},{"id":150,"name":"Time of Event (Mountain Time)","value":"13:34:29"},{"id":151,"name":"Denver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70"/>
        <v>start /low /b %USERPROFILE%\Documents\GitHub\eaglep3\Utilities\DownloadLogsFromS3.py --loco 4031 --day 2017-03-07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"%USERPROFILE%\AppData\Local\Temp\OnboardLogs"\RTDC4031\*4031*20170307* | grep -SE "(Enforcement Action)|(\[TIMEOUT)|(CHR.+\|PRM\|1\|D.+(SWITCH|SIGNAL).+UNKNOWN)" - &gt;&gt; 2017-03-07-UncaughtWiMAX.txt</v>
      </c>
    </row>
    <row r="182" spans="1:91" x14ac:dyDescent="0.25">
      <c r="A182" s="33" t="s">
        <v>572</v>
      </c>
      <c r="B182" s="7">
        <v>4032</v>
      </c>
      <c r="C182" s="21" t="s">
        <v>233</v>
      </c>
      <c r="D182" s="21" t="s">
        <v>915</v>
      </c>
      <c r="E182" s="13">
        <v>42801.566863425927</v>
      </c>
      <c r="F182" s="13">
        <v>42801.568136574075</v>
      </c>
      <c r="G182" s="7">
        <v>1</v>
      </c>
      <c r="H182" s="21" t="s">
        <v>934</v>
      </c>
      <c r="I182" s="13">
        <v>42801.579629629632</v>
      </c>
      <c r="J182" s="7">
        <v>2</v>
      </c>
      <c r="K182" s="98" t="str">
        <f t="shared" si="55"/>
        <v>4031/4032</v>
      </c>
      <c r="L182" s="21" t="str">
        <f>VLOOKUP(A182,'Trips&amp;Operators'!$C$1:$G$99999,5,FALSE)</f>
        <v>LEVIN SCOTT</v>
      </c>
      <c r="M182" s="6">
        <f t="shared" si="56"/>
        <v>1.1493055557366461E-2</v>
      </c>
      <c r="N182" s="7">
        <f t="shared" si="71"/>
        <v>16.550000002607703</v>
      </c>
      <c r="O182" s="7"/>
      <c r="P182" s="7"/>
      <c r="Q182" s="22"/>
      <c r="R182" s="22"/>
      <c r="S182" s="31">
        <f t="shared" si="74"/>
        <v>1</v>
      </c>
      <c r="T182" s="46" t="str">
        <f t="shared" si="59"/>
        <v>Southbound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60"/>
        <v>https://d0f6bd738d7f1b3e5a7ca70fe4ff75f0.us-east-1.aws.found.io/app/kibana#/discover/Steve-Slow-Train-Analysis-(2080s-and-2083s)?_g=(refreshInterval:(display:Off,pause:!f,section:0,value:0),time:(from:'2017-03-07T12:36:17-0700',mode:absolute,to:'2017-03-07T14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2" s="187" t="str">
        <f t="shared" si="61"/>
        <v>N</v>
      </c>
      <c r="X182" s="187">
        <f t="shared" si="72"/>
        <v>1</v>
      </c>
      <c r="Y182" s="62">
        <f t="shared" si="73"/>
        <v>5.8619000000000003</v>
      </c>
      <c r="Z182" s="62">
        <f t="shared" si="62"/>
        <v>6.7100000000000007E-2</v>
      </c>
      <c r="AA182" s="62">
        <f t="shared" si="63"/>
        <v>5.7948000000000004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64"/>
        <v>0822-07</v>
      </c>
      <c r="AE182" s="85" t="str">
        <f t="shared" si="65"/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182" s="82" t="str">
        <f t="shared" si="66"/>
        <v>"C:\Program Files (x86)\AstroGrep\AstroGrep.exe" /spath="%USERPROFILE%\AppData\Local\Temp\OnboardLogs" /stypes="app*4032*20170307*" /stext=" 20:.+((SYSTEM_STATE.+slice.+state.+changed )|(ment ac)|(multiple cpu faults)|(system.+state.+changed )|(\[timeout)|(PRM\|1\|D)|(kpr)|(kdp)|(\|lc)|(penalty))" /e /r /s</v>
      </c>
      <c r="AG182" s="1" t="str">
        <f t="shared" si="67"/>
        <v>NW</v>
      </c>
      <c r="AH182" s="86" t="str">
        <f t="shared" si="68"/>
        <v>"%USERPROFILE%\Documents\GitHub\eaglep3\Utilities\RefineRTDCRunTimes.py" --tripid 822-07 --locoid 4032 --swversion DE.1.0.9.0 --startMP 300:58619 --initTime 2017-03-07T13:36:17 --startdatetime 2017-03-07T13:38:07 --delay 1 --endMP 204:671 --enddatetime 2017-03-07T13:54:40 --enforcementcount 2 &gt;&gt;C:\Users\stu\Documents\GitHub\eaglep3-reporting\EC\2017-03-07-refined-times.txt</v>
      </c>
      <c r="AI182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{"issue":{"subject":"","project_id":79,"tracker_id":40,"status_id":1,"priority_id":2,"assigned_to_id":23,"start_date":"2017-03-07","description":"","custom_fields":[{"id":1,"name":"Subdivision","value":"NW"},{"id":4,"name":"Milepost","value":"0.0671"},{"id":17,"name":"Train ID","value":"822-07"},{"id":16,"name":"Locomotive ID","value":"4032"},{"id":130,"name":"Impact","value":""},{"id":150,"name":"Time of Event (Mountain Time)","value":"13:54:40"},{"id":151,"name":"Denver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70"/>
        <v>start /low /b %USERPROFILE%\Documents\GitHub\eaglep3\Utilities\DownloadLogsFromS3.py --loco 4032 --day 2017-03-07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"%USERPROFILE%\AppData\Local\Temp\OnboardLogs"\RTDC4032\*4032*20170307* | grep -SE "(Enforcement Action)|(\[TIMEOUT)|(CHR.+\|PRM\|1\|D.+(SWITCH|SIGNAL).+UNKNOWN)" - &gt;&gt; 2017-03-07-UncaughtWiMAX.txt</v>
      </c>
    </row>
    <row r="183" spans="1:91" s="20" customFormat="1" x14ac:dyDescent="0.25">
      <c r="A183" s="33" t="s">
        <v>696</v>
      </c>
      <c r="B183" s="7">
        <v>4031</v>
      </c>
      <c r="C183" s="21" t="s">
        <v>233</v>
      </c>
      <c r="D183" s="21" t="s">
        <v>520</v>
      </c>
      <c r="E183" s="13">
        <v>42801.59584490741</v>
      </c>
      <c r="F183" s="13">
        <v>42801.598090277781</v>
      </c>
      <c r="G183" s="7">
        <v>1</v>
      </c>
      <c r="H183" s="21" t="s">
        <v>920</v>
      </c>
      <c r="I183" s="13">
        <v>42801.606990740744</v>
      </c>
      <c r="J183" s="7">
        <v>2</v>
      </c>
      <c r="K183" s="98" t="str">
        <f t="shared" si="55"/>
        <v>4031/4032</v>
      </c>
      <c r="L183" s="21" t="str">
        <f>VLOOKUP(A183,'Trips&amp;Operators'!$C$1:$G$99999,5,FALSE)</f>
        <v>LEVIN SCOTT</v>
      </c>
      <c r="M183" s="6">
        <f t="shared" si="56"/>
        <v>8.9004629626288079E-3</v>
      </c>
      <c r="N183" s="7">
        <f t="shared" si="71"/>
        <v>12.816666666185483</v>
      </c>
      <c r="O183" s="7"/>
      <c r="P183" s="7"/>
      <c r="Q183" s="22"/>
      <c r="R183" s="22"/>
      <c r="S183" s="31">
        <f t="shared" si="74"/>
        <v>1</v>
      </c>
      <c r="T183" s="46" t="str">
        <f t="shared" si="59"/>
        <v>NorthBound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60"/>
        <v>https://d0f6bd738d7f1b3e5a7ca70fe4ff75f0.us-east-1.aws.found.io/app/kibana#/discover/Steve-Slow-Train-Analysis-(2080s-and-2083s)?_g=(refreshInterval:(display:Off,pause:!f,section:0,value:0),time:(from:'2017-03-07T13:18:01-0700',mode:absolute,to:'2017-03-07T15:34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3" s="187" t="str">
        <f t="shared" si="61"/>
        <v>N</v>
      </c>
      <c r="X183" s="187">
        <f t="shared" si="72"/>
        <v>1</v>
      </c>
      <c r="Y183" s="62">
        <f t="shared" si="73"/>
        <v>9.69E-2</v>
      </c>
      <c r="Z183" s="62">
        <f t="shared" si="62"/>
        <v>5.8936999999999999</v>
      </c>
      <c r="AA183" s="62">
        <f t="shared" si="63"/>
        <v>5.7968000000000002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64"/>
        <v>0823-07</v>
      </c>
      <c r="AE183" s="85" t="str">
        <f t="shared" si="65"/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183" s="82" t="str">
        <f t="shared" si="66"/>
        <v>"C:\Program Files (x86)\AstroGrep\AstroGrep.exe" /spath="%USERPROFILE%\AppData\Local\Temp\OnboardLogs" /stypes="app*4031*20170307*" /stext=" 21:.+((SYSTEM_STATE.+slice.+state.+changed )|(ment ac)|(multiple cpu faults)|(system.+state.+changed )|(\[timeout)|(PRM\|1\|D)|(kpr)|(kdp)|(\|lc)|(penalty))" /e /r /s</v>
      </c>
      <c r="AG183" s="1" t="str">
        <f t="shared" si="67"/>
        <v>NW</v>
      </c>
      <c r="AH183" s="86" t="str">
        <f t="shared" si="68"/>
        <v>"%USERPROFILE%\Documents\GitHub\eaglep3\Utilities\RefineRTDCRunTimes.py" --tripid 823-07 --locoid 4031 --swversion DE.1.0.9.0 --startMP 204:969 --initTime 2017-03-07T14:18:01 --startdatetime 2017-03-07T14:21:15 --delay 1 --endMP 300:58937 --enddatetime 2017-03-07T14:34:04 --enforcementcount 2 &gt;&gt;C:\Users\stu\Documents\GitHub\eaglep3-reporting\EC\2017-03-07-refined-times.txt</v>
      </c>
      <c r="AI183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{"issue":{"subject":"","project_id":79,"tracker_id":40,"status_id":1,"priority_id":2,"assigned_to_id":23,"start_date":"2017-03-07","description":"","custom_fields":[{"id":1,"name":"Subdivision","value":"NW"},{"id":4,"name":"Milepost","value":"5.8937"},{"id":17,"name":"Train ID","value":"823-07"},{"id":16,"name":"Locomotive ID","value":"4031"},{"id":130,"name":"Impact","value":""},{"id":150,"name":"Time of Event (Mountain Time)","value":"14:34:04"},{"id":151,"name":"Denver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70"/>
        <v>start /low /b %USERPROFILE%\Documents\GitHub\eaglep3\Utilities\DownloadLogsFromS3.py --loco 4031 --day 2017-03-07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"%USERPROFILE%\AppData\Local\Temp\OnboardLogs"\RTDC4031\*4031*20170307* | grep -SE "(Enforcement Action)|(\[TIMEOUT)|(CHR.+\|PRM\|1\|D.+(SWITCH|SIGNAL).+UNKNOWN)" - &gt;&gt; 2017-03-07-UncaughtWiMAX.txt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3" t="s">
        <v>699</v>
      </c>
      <c r="B184" s="7">
        <v>4032</v>
      </c>
      <c r="C184" s="21" t="s">
        <v>233</v>
      </c>
      <c r="D184" s="21" t="s">
        <v>460</v>
      </c>
      <c r="E184" s="13">
        <v>42801.608124999999</v>
      </c>
      <c r="F184" s="13">
        <v>42801.609247685185</v>
      </c>
      <c r="G184" s="7">
        <v>1</v>
      </c>
      <c r="H184" s="21" t="s">
        <v>911</v>
      </c>
      <c r="I184" s="13">
        <v>42801.621192129627</v>
      </c>
      <c r="J184" s="7">
        <v>2</v>
      </c>
      <c r="K184" s="98" t="str">
        <f t="shared" si="55"/>
        <v>4031/4032</v>
      </c>
      <c r="L184" s="21" t="str">
        <f>VLOOKUP(A184,'Trips&amp;Operators'!$C$1:$G$99999,5,FALSE)</f>
        <v>LEVIN SCOTT</v>
      </c>
      <c r="M184" s="6">
        <f t="shared" si="56"/>
        <v>1.1944444442633539E-2</v>
      </c>
      <c r="N184" s="7">
        <f t="shared" si="71"/>
        <v>17.199999997392297</v>
      </c>
      <c r="O184" s="7"/>
      <c r="P184" s="7"/>
      <c r="Q184" s="22"/>
      <c r="R184" s="22"/>
      <c r="S184" s="31">
        <f t="shared" si="74"/>
        <v>1</v>
      </c>
      <c r="T184" s="46" t="str">
        <f t="shared" si="59"/>
        <v>Southbound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60"/>
        <v>https://d0f6bd738d7f1b3e5a7ca70fe4ff75f0.us-east-1.aws.found.io/app/kibana#/discover/Steve-Slow-Train-Analysis-(2080s-and-2083s)?_g=(refreshInterval:(display:Off,pause:!f,section:0,value:0),time:(from:'2017-03-07T13:35:42-0700',mode:absolute,to:'2017-03-07T15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4" s="187" t="str">
        <f t="shared" si="61"/>
        <v>N</v>
      </c>
      <c r="X184" s="187">
        <f t="shared" si="72"/>
        <v>1</v>
      </c>
      <c r="Y184" s="62">
        <f t="shared" si="73"/>
        <v>5.8613</v>
      </c>
      <c r="Z184" s="62">
        <f t="shared" si="62"/>
        <v>6.7000000000000004E-2</v>
      </c>
      <c r="AA184" s="62">
        <f t="shared" si="63"/>
        <v>5.7942999999999998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64"/>
        <v>0824-07</v>
      </c>
      <c r="AE184" s="85" t="str">
        <f t="shared" si="65"/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184" s="82" t="str">
        <f t="shared" si="66"/>
        <v>"C:\Program Files (x86)\AstroGrep\AstroGrep.exe" /spath="%USERPROFILE%\AppData\Local\Temp\OnboardLogs" /stypes="app*4032*20170307*" /stext=" 21:.+((SYSTEM_STATE.+slice.+state.+changed )|(ment ac)|(multiple cpu faults)|(system.+state.+changed )|(\[timeout)|(PRM\|1\|D)|(kpr)|(kdp)|(\|lc)|(penalty))" /e /r /s</v>
      </c>
      <c r="AG184" s="1" t="str">
        <f t="shared" si="67"/>
        <v>NW</v>
      </c>
      <c r="AH184" s="86" t="str">
        <f t="shared" si="68"/>
        <v>"%USERPROFILE%\Documents\GitHub\eaglep3\Utilities\RefineRTDCRunTimes.py" --tripid 824-07 --locoid 4032 --swversion DE.1.0.9.0 --startMP 300:58613 --initTime 2017-03-07T14:35:42 --startdatetime 2017-03-07T14:37:19 --delay 1 --endMP 204:670 --enddatetime 2017-03-07T14:54:31 --enforcementcount 2 &gt;&gt;C:\Users\stu\Documents\GitHub\eaglep3-reporting\EC\2017-03-07-refined-times.txt</v>
      </c>
      <c r="AI184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{"issue":{"subject":"","project_id":79,"tracker_id":40,"status_id":1,"priority_id":2,"assigned_to_id":23,"start_date":"2017-03-07","description":"","custom_fields":[{"id":1,"name":"Subdivision","value":"NW"},{"id":4,"name":"Milepost","value":"0.067"},{"id":17,"name":"Train ID","value":"824-07"},{"id":16,"name":"Locomotive ID","value":"4032"},{"id":130,"name":"Impact","value":""},{"id":150,"name":"Time of Event (Mountain Time)","value":"14:54:31"},{"id":151,"name":"Denver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70"/>
        <v>start /low /b %USERPROFILE%\Documents\GitHub\eaglep3\Utilities\DownloadLogsFromS3.py --loco 4032 --day 2017-03-07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"%USERPROFILE%\AppData\Local\Temp\OnboardLogs"\RTDC4032\*4032*20170307* | grep -SE "(Enforcement Action)|(\[TIMEOUT)|(CHR.+\|PRM\|1\|D.+(SWITCH|SIGNAL).+UNKNOWN)" - &gt;&gt; 2017-03-07-UncaughtWiMAX.txt</v>
      </c>
    </row>
    <row r="185" spans="1:91" s="20" customFormat="1" x14ac:dyDescent="0.25">
      <c r="A185" s="33" t="s">
        <v>578</v>
      </c>
      <c r="B185" s="7">
        <v>4031</v>
      </c>
      <c r="C185" s="21" t="s">
        <v>233</v>
      </c>
      <c r="D185" s="21" t="s">
        <v>532</v>
      </c>
      <c r="E185" s="13">
        <v>42801.637453703705</v>
      </c>
      <c r="F185" s="13">
        <v>42801.639768518522</v>
      </c>
      <c r="G185" s="7">
        <v>1</v>
      </c>
      <c r="H185" s="21" t="s">
        <v>526</v>
      </c>
      <c r="I185" s="13">
        <v>42801.650150462963</v>
      </c>
      <c r="J185" s="7">
        <v>2</v>
      </c>
      <c r="K185" s="98" t="str">
        <f t="shared" si="55"/>
        <v>4031/4032</v>
      </c>
      <c r="L185" s="21" t="str">
        <f>VLOOKUP(A185,'Trips&amp;Operators'!$C$1:$G$99999,5,FALSE)</f>
        <v>LEVIN SCOTT</v>
      </c>
      <c r="M185" s="6">
        <f t="shared" si="56"/>
        <v>1.0381944441178348E-2</v>
      </c>
      <c r="N185" s="7">
        <f t="shared" si="71"/>
        <v>14.949999995296821</v>
      </c>
      <c r="O185" s="7"/>
      <c r="P185" s="7"/>
      <c r="Q185" s="22"/>
      <c r="R185" s="22"/>
      <c r="S185" s="31">
        <f t="shared" si="74"/>
        <v>1</v>
      </c>
      <c r="T185" s="46" t="str">
        <f t="shared" si="59"/>
        <v>NorthBound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60"/>
        <v>https://d0f6bd738d7f1b3e5a7ca70fe4ff75f0.us-east-1.aws.found.io/app/kibana#/discover/Steve-Slow-Train-Analysis-(2080s-and-2083s)?_g=(refreshInterval:(display:Off,pause:!f,section:0,value:0),time:(from:'2017-03-07T14:17:56-0700',mode:absolute,to:'2017-03-07T16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5" s="187" t="str">
        <f t="shared" si="61"/>
        <v>N</v>
      </c>
      <c r="X185" s="187">
        <f t="shared" si="72"/>
        <v>1</v>
      </c>
      <c r="Y185" s="62">
        <f t="shared" si="73"/>
        <v>9.4799999999999995E-2</v>
      </c>
      <c r="Z185" s="62">
        <f t="shared" si="62"/>
        <v>5.8930999999999996</v>
      </c>
      <c r="AA185" s="62">
        <f t="shared" si="63"/>
        <v>5.7982999999999993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64"/>
        <v>0825-07</v>
      </c>
      <c r="AE185" s="85" t="str">
        <f t="shared" si="65"/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185" s="82" t="str">
        <f t="shared" si="66"/>
        <v>"C:\Program Files (x86)\AstroGrep\AstroGrep.exe" /spath="%USERPROFILE%\AppData\Local\Temp\OnboardLogs" /stypes="app*4031*20170307*" /stext=" 22:.+((SYSTEM_STATE.+slice.+state.+changed )|(ment ac)|(multiple cpu faults)|(system.+state.+changed )|(\[timeout)|(PRM\|1\|D)|(kpr)|(kdp)|(\|lc)|(penalty))" /e /r /s</v>
      </c>
      <c r="AG185" s="1" t="str">
        <f t="shared" si="67"/>
        <v>NW</v>
      </c>
      <c r="AH185" s="86" t="str">
        <f t="shared" si="68"/>
        <v>"%USERPROFILE%\Documents\GitHub\eaglep3\Utilities\RefineRTDCRunTimes.py" --tripid 825-07 --locoid 4031 --swversion DE.1.0.9.0 --startMP 204:948 --initTime 2017-03-07T15:17:56 --startdatetime 2017-03-07T15:21:16 --delay 1 --endMP 300:58931 --enddatetime 2017-03-07T15:36:13 --enforcementcount 2 &gt;&gt;C:\Users\stu\Documents\GitHub\eaglep3-reporting\EC\2017-03-07-refined-times.txt</v>
      </c>
      <c r="AI185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{"issue":{"subject":"","project_id":79,"tracker_id":40,"status_id":1,"priority_id":2,"assigned_to_id":23,"start_date":"2017-03-07","description":"","custom_fields":[{"id":1,"name":"Subdivision","value":"NW"},{"id":4,"name":"Milepost","value":"5.8931"},{"id":17,"name":"Train ID","value":"825-07"},{"id":16,"name":"Locomotive ID","value":"4031"},{"id":130,"name":"Impact","value":""},{"id":150,"name":"Time of Event (Mountain Time)","value":"15:36:13"},{"id":151,"name":"Denver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70"/>
        <v>start /low /b %USERPROFILE%\Documents\GitHub\eaglep3\Utilities\DownloadLogsFromS3.py --loco 4031 --day 2017-03-07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"%USERPROFILE%\AppData\Local\Temp\OnboardLogs"\RTDC4031\*4031*20170307* | grep -SE "(Enforcement Action)|(\[TIMEOUT)|(CHR.+\|PRM\|1\|D.+(SWITCH|SIGNAL).+UNKNOWN)" - &gt;&gt; 2017-03-07-UncaughtWiMAX.txt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3" t="s">
        <v>708</v>
      </c>
      <c r="B186" s="7">
        <v>4032</v>
      </c>
      <c r="C186" s="21" t="s">
        <v>233</v>
      </c>
      <c r="D186" s="21" t="s">
        <v>530</v>
      </c>
      <c r="E186" s="13">
        <v>42801.651261574072</v>
      </c>
      <c r="F186" s="13">
        <v>42801.652499999997</v>
      </c>
      <c r="G186" s="7">
        <v>1</v>
      </c>
      <c r="H186" s="21" t="s">
        <v>934</v>
      </c>
      <c r="I186" s="13">
        <v>42801.664502314816</v>
      </c>
      <c r="J186" s="7">
        <v>2</v>
      </c>
      <c r="K186" s="98" t="str">
        <f t="shared" si="55"/>
        <v>4031/4032</v>
      </c>
      <c r="L186" s="21" t="str">
        <f>VLOOKUP(A186,'Trips&amp;Operators'!$C$1:$G$99999,5,FALSE)</f>
        <v>LEVIN SCOTT</v>
      </c>
      <c r="M186" s="6">
        <f t="shared" si="56"/>
        <v>1.2002314819255844E-2</v>
      </c>
      <c r="N186" s="7">
        <f t="shared" si="71"/>
        <v>17.283333339728415</v>
      </c>
      <c r="O186" s="7"/>
      <c r="P186" s="7"/>
      <c r="Q186" s="22"/>
      <c r="R186" s="22"/>
      <c r="S186" s="31">
        <f t="shared" si="74"/>
        <v>1</v>
      </c>
      <c r="T186" s="46" t="str">
        <f t="shared" si="59"/>
        <v>Southbound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60"/>
        <v>https://d0f6bd738d7f1b3e5a7ca70fe4ff75f0.us-east-1.aws.found.io/app/kibana#/discover/Steve-Slow-Train-Analysis-(2080s-and-2083s)?_g=(refreshInterval:(display:Off,pause:!f,section:0,value:0),time:(from:'2017-03-07T14:37:49-0700',mode:absolute,to:'2017-03-07T16:56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6" s="187" t="str">
        <f t="shared" si="61"/>
        <v>N</v>
      </c>
      <c r="X186" s="187">
        <f t="shared" si="72"/>
        <v>1</v>
      </c>
      <c r="Y186" s="62">
        <f t="shared" si="73"/>
        <v>5.8611000000000004</v>
      </c>
      <c r="Z186" s="62">
        <f t="shared" si="62"/>
        <v>6.7100000000000007E-2</v>
      </c>
      <c r="AA186" s="62">
        <f t="shared" si="63"/>
        <v>5.7940000000000005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64"/>
        <v>0826-07</v>
      </c>
      <c r="AE186" s="85" t="str">
        <f t="shared" si="65"/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186" s="82" t="str">
        <f t="shared" si="66"/>
        <v>"C:\Program Files (x86)\AstroGrep\AstroGrep.exe" /spath="%USERPROFILE%\AppData\Local\Temp\OnboardLogs" /stypes="app*4032*20170307*" /stext=" 22:.+((SYSTEM_STATE.+slice.+state.+changed )|(ment ac)|(multiple cpu faults)|(system.+state.+changed )|(\[timeout)|(PRM\|1\|D)|(kpr)|(kdp)|(\|lc)|(penalty))" /e /r /s</v>
      </c>
      <c r="AG186" s="1" t="str">
        <f t="shared" si="67"/>
        <v>NW</v>
      </c>
      <c r="AH186" s="86" t="str">
        <f t="shared" si="68"/>
        <v>"%USERPROFILE%\Documents\GitHub\eaglep3\Utilities\RefineRTDCRunTimes.py" --tripid 826-07 --locoid 4032 --swversion DE.1.0.9.0 --startMP 300:58611 --initTime 2017-03-07T15:37:49 --startdatetime 2017-03-07T15:39:36 --delay 1 --endMP 204:671 --enddatetime 2017-03-07T15:56:53 --enforcementcount 2 &gt;&gt;C:\Users\stu\Documents\GitHub\eaglep3-reporting\EC\2017-03-07-refined-times.txt</v>
      </c>
      <c r="AI186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{"issue":{"subject":"","project_id":79,"tracker_id":40,"status_id":1,"priority_id":2,"assigned_to_id":23,"start_date":"2017-03-07","description":"","custom_fields":[{"id":1,"name":"Subdivision","value":"NW"},{"id":4,"name":"Milepost","value":"0.0671"},{"id":17,"name":"Train ID","value":"826-07"},{"id":16,"name":"Locomotive ID","value":"4032"},{"id":130,"name":"Impact","value":""},{"id":150,"name":"Time of Event (Mountain Time)","value":"15:56:53"},{"id":151,"name":"Denver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70"/>
        <v>start /low /b %USERPROFILE%\Documents\GitHub\eaglep3\Utilities\DownloadLogsFromS3.py --loco 4032 --day 2017-03-07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"%USERPROFILE%\AppData\Local\Temp\OnboardLogs"\RTDC4032\*4032*20170307* | grep -SE "(Enforcement Action)|(\[TIMEOUT)|(CHR.+\|PRM\|1\|D.+(SWITCH|SIGNAL).+UNKNOWN)" - &gt;&gt; 2017-03-07-UncaughtWiMAX.txt</v>
      </c>
    </row>
    <row r="187" spans="1:91" x14ac:dyDescent="0.25">
      <c r="A187" s="33" t="s">
        <v>710</v>
      </c>
      <c r="B187" s="7">
        <v>4025</v>
      </c>
      <c r="C187" s="21" t="s">
        <v>233</v>
      </c>
      <c r="D187" s="21" t="s">
        <v>935</v>
      </c>
      <c r="E187" s="13">
        <v>42801.653692129628</v>
      </c>
      <c r="F187" s="13">
        <v>42801.660798611112</v>
      </c>
      <c r="G187" s="7">
        <v>1</v>
      </c>
      <c r="H187" s="21" t="s">
        <v>914</v>
      </c>
      <c r="I187" s="13">
        <v>42801.670949074076</v>
      </c>
      <c r="J187" s="7">
        <v>2</v>
      </c>
      <c r="K187" s="98" t="str">
        <f t="shared" si="55"/>
        <v>4025/4026</v>
      </c>
      <c r="L187" s="21" t="str">
        <f>VLOOKUP(A187,'Trips&amp;Operators'!$C$1:$G$99999,5,FALSE)</f>
        <v>SWANSON BRYCE</v>
      </c>
      <c r="M187" s="6">
        <f t="shared" si="56"/>
        <v>1.0150462963792961E-2</v>
      </c>
      <c r="N187" s="7">
        <f t="shared" si="71"/>
        <v>14.616666667861864</v>
      </c>
      <c r="O187" s="7"/>
      <c r="P187" s="7"/>
      <c r="Q187" s="22"/>
      <c r="R187" s="22"/>
      <c r="S187" s="31">
        <f t="shared" si="74"/>
        <v>1</v>
      </c>
      <c r="T187" s="46" t="str">
        <f t="shared" si="59"/>
        <v>NorthBound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60"/>
        <v>https://d0f6bd738d7f1b3e5a7ca70fe4ff75f0.us-east-1.aws.found.io/app/kibana#/discover/Steve-Slow-Train-Analysis-(2080s-and-2083s)?_g=(refreshInterval:(display:Off,pause:!f,section:0,value:0),time:(from:'2017-03-07T14:41:19-0700',mode:absolute,to:'2017-03-07T17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7" s="187" t="str">
        <f t="shared" si="61"/>
        <v>N</v>
      </c>
      <c r="X187" s="187">
        <f t="shared" si="72"/>
        <v>1</v>
      </c>
      <c r="Y187" s="62">
        <f t="shared" si="73"/>
        <v>0.10390000000000001</v>
      </c>
      <c r="Z187" s="62">
        <f t="shared" si="62"/>
        <v>5.8943000000000003</v>
      </c>
      <c r="AA187" s="62">
        <f t="shared" si="63"/>
        <v>5.7904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64"/>
        <v>0827-07</v>
      </c>
      <c r="AE187" s="85" t="str">
        <f t="shared" si="65"/>
        <v>aws s3 cp s3://rtdc.mdm.uploadarchive.raw/RTDC4025/ "%USERPROFILE%\AppData\Local\Temp\OnboardLogs"\RTDC4025\2017-03-07 --exclude "*" --recursive --include "*20170307*" &amp; "%USERPROFILE%\Documents\GitHub\mrs-test-scripts\Headless Mode &amp; Sideloading\WalkAndUnGZ.bat" "%USERPROFILE%\AppData\Local\Temp\OnboardLogs"\RTDC4025\2017-03-07 &amp; aws s3 cp s3://rtdc.mdm.uploadarchive.raw/RTDC4025/ "%USERPROFILE%\AppData\Local\Temp\OnboardLogs"\RTDC4025\2017-03-08 --exclude "*" --recursive --include "*20170308*" &amp; "%USERPROFILE%\Documents\GitHub\mrs-test-scripts\Headless Mode &amp; Sideloading\WalkAndUnGZ.bat" "%USERPROFILE%\AppData\Local\Temp\OnboardLogs"\RTDC4025\2017-03-08</v>
      </c>
      <c r="AF187" s="82" t="str">
        <f t="shared" si="66"/>
        <v>"C:\Program Files (x86)\AstroGrep\AstroGrep.exe" /spath="%USERPROFILE%\AppData\Local\Temp\OnboardLogs" /stypes="app*4025*20170307*" /stext=" 23:.+((SYSTEM_STATE.+slice.+state.+changed )|(ment ac)|(multiple cpu faults)|(system.+state.+changed )|(\[timeout)|(PRM\|1\|D)|(kpr)|(kdp)|(\|lc)|(penalty))" /e /r /s</v>
      </c>
      <c r="AG187" s="1" t="str">
        <f t="shared" si="67"/>
        <v>NW</v>
      </c>
      <c r="AH187" s="86" t="str">
        <f t="shared" si="68"/>
        <v>"%USERPROFILE%\Documents\GitHub\eaglep3\Utilities\RefineRTDCRunTimes.py" --tripid 827-07 --locoid 4025 --swversion DE.1.0.9.0 --startMP 204:1039 --initTime 2017-03-07T15:41:19 --startdatetime 2017-03-07T15:51:33 --delay 1 --endMP 300:58943 --enddatetime 2017-03-07T16:06:10 --enforcementcount 2 &gt;&gt;C:\Users\stu\Documents\GitHub\eaglep3-reporting\EC\2017-03-07-refined-times.txt</v>
      </c>
      <c r="AI187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{"issue":{"subject":"","project_id":79,"tracker_id":40,"status_id":1,"priority_id":2,"assigned_to_id":23,"start_date":"2017-03-07","description":"","custom_fields":[{"id":1,"name":"Subdivision","value":"NW"},{"id":4,"name":"Milepost","value":"5.8943"},{"id":17,"name":"Train ID","value":"827-07"},{"id":16,"name":"Locomotive ID","value":"4025"},{"id":130,"name":"Impact","value":""},{"id":150,"name":"Time of Event (Mountain Time)","value":"16:06:10"},{"id":151,"name":"Denver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70"/>
        <v>start /low /b %USERPROFILE%\Documents\GitHub\eaglep3\Utilities\DownloadLogsFromS3.py --loco 4025 --day 2017-03-07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"%USERPROFILE%\AppData\Local\Temp\OnboardLogs"\RTDC4025\*4025*20170307* | grep -SE "(Enforcement Action)|(\[TIMEOUT)|(CHR.+\|PRM\|1\|D.+(SWITCH|SIGNAL).+UNKNOWN)" - &gt;&gt; 2017-03-07-UncaughtWiMAX.txt</v>
      </c>
    </row>
    <row r="188" spans="1:91" x14ac:dyDescent="0.25">
      <c r="A188" s="33" t="s">
        <v>714</v>
      </c>
      <c r="B188" s="7">
        <v>4026</v>
      </c>
      <c r="C188" s="21" t="s">
        <v>233</v>
      </c>
      <c r="D188" s="21" t="s">
        <v>936</v>
      </c>
      <c r="E188" s="13">
        <v>42801.671979166669</v>
      </c>
      <c r="F188" s="13">
        <v>42801.674120370371</v>
      </c>
      <c r="G188" s="7">
        <v>1</v>
      </c>
      <c r="H188" s="21" t="s">
        <v>937</v>
      </c>
      <c r="I188" s="13">
        <v>42801.685694444444</v>
      </c>
      <c r="J188" s="7">
        <v>2</v>
      </c>
      <c r="K188" s="98" t="str">
        <f t="shared" si="55"/>
        <v>4025/4026</v>
      </c>
      <c r="L188" s="21" t="str">
        <f>VLOOKUP(A188,'Trips&amp;Operators'!$C$1:$G$99999,5,FALSE)</f>
        <v>SWANSON BRYCE</v>
      </c>
      <c r="M188" s="6">
        <f t="shared" si="56"/>
        <v>1.1574074072996154E-2</v>
      </c>
      <c r="N188" s="7">
        <f t="shared" ref="N188:N219" si="75">24*60*SUM($M188:$M188)</f>
        <v>16.666666665114462</v>
      </c>
      <c r="O188" s="7"/>
      <c r="P188" s="7"/>
      <c r="Q188" s="22"/>
      <c r="R188" s="22"/>
      <c r="S188" s="31">
        <f t="shared" si="74"/>
        <v>1</v>
      </c>
      <c r="T188" s="46" t="str">
        <f t="shared" si="59"/>
        <v>Southbound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60"/>
        <v>https://d0f6bd738d7f1b3e5a7ca70fe4ff75f0.us-east-1.aws.found.io/app/kibana#/discover/Steve-Slow-Train-Analysis-(2080s-and-2083s)?_g=(refreshInterval:(display:Off,pause:!f,section:0,value:0),time:(from:'2017-03-07T15:07:39-0700',mode:absolute,to:'2017-03-07T17:27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8" s="187" t="str">
        <f t="shared" si="61"/>
        <v>N</v>
      </c>
      <c r="X188" s="187">
        <f t="shared" si="72"/>
        <v>1</v>
      </c>
      <c r="Y188" s="62">
        <f t="shared" si="73"/>
        <v>5.8630000000000004</v>
      </c>
      <c r="Z188" s="62">
        <f t="shared" si="62"/>
        <v>6.9199999999999998E-2</v>
      </c>
      <c r="AA188" s="62">
        <f t="shared" si="63"/>
        <v>5.7938000000000001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64"/>
        <v>0828-07</v>
      </c>
      <c r="AE188" s="85" t="str">
        <f t="shared" si="65"/>
        <v>aws s3 cp s3://rtdc.mdm.uploadarchive.raw/RTDC4026/ "%USERPROFILE%\AppData\Local\Temp\OnboardLogs"\RTDC4026\2017-03-07 --exclude "*" --recursive --include "*20170307*" &amp; "%USERPROFILE%\Documents\GitHub\mrs-test-scripts\Headless Mode &amp; Sideloading\WalkAndUnGZ.bat" "%USERPROFILE%\AppData\Local\Temp\OnboardLogs"\RTDC4026\2017-03-07 &amp; aws s3 cp s3://rtdc.mdm.uploadarchive.raw/RTDC4026/ "%USERPROFILE%\AppData\Local\Temp\OnboardLogs"\RTDC4026\2017-03-08 --exclude "*" --recursive --include "*20170308*" &amp; "%USERPROFILE%\Documents\GitHub\mrs-test-scripts\Headless Mode &amp; Sideloading\WalkAndUnGZ.bat" "%USERPROFILE%\AppData\Local\Temp\OnboardLogs"\RTDC4026\2017-03-08</v>
      </c>
      <c r="AF188" s="82" t="str">
        <f t="shared" si="66"/>
        <v>"C:\Program Files (x86)\AstroGrep\AstroGrep.exe" /spath="%USERPROFILE%\AppData\Local\Temp\OnboardLogs" /stypes="app*4026*20170307*" /stext=" 23:.+((SYSTEM_STATE.+slice.+state.+changed )|(ment ac)|(multiple cpu faults)|(system.+state.+changed )|(\[timeout)|(PRM\|1\|D)|(kpr)|(kdp)|(\|lc)|(penalty))" /e /r /s</v>
      </c>
      <c r="AG188" s="1" t="str">
        <f t="shared" si="67"/>
        <v>NW</v>
      </c>
      <c r="AH188" s="86" t="str">
        <f t="shared" si="68"/>
        <v>"%USERPROFILE%\Documents\GitHub\eaglep3\Utilities\RefineRTDCRunTimes.py" --tripid 828-07 --locoid 4026 --swversion DE.1.0.9.0 --startMP 300:58630 --initTime 2017-03-07T16:07:39 --startdatetime 2017-03-07T16:10:44 --delay 1 --endMP 204:692 --enddatetime 2017-03-07T16:27:24 --enforcementcount 2 &gt;&gt;C:\Users\stu\Documents\GitHub\eaglep3-reporting\EC\2017-03-07-refined-times.txt</v>
      </c>
      <c r="AI188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{"issue":{"subject":"","project_id":79,"tracker_id":40,"status_id":1,"priority_id":2,"assigned_to_id":23,"start_date":"2017-03-07","description":"","custom_fields":[{"id":1,"name":"Subdivision","value":"NW"},{"id":4,"name":"Milepost","value":"0.0692"},{"id":17,"name":"Train ID","value":"828-07"},{"id":16,"name":"Locomotive ID","value":"4026"},{"id":130,"name":"Impact","value":""},{"id":150,"name":"Time of Event (Mountain Time)","value":"16:27:24"},{"id":151,"name":"Denver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70"/>
        <v>start /low /b %USERPROFILE%\Documents\GitHub\eaglep3\Utilities\DownloadLogsFromS3.py --loco 4026 --day 2017-03-07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"%USERPROFILE%\AppData\Local\Temp\OnboardLogs"\RTDC4026\*4026*20170307* | grep -SE "(Enforcement Action)|(\[TIMEOUT)|(CHR.+\|PRM\|1\|D.+(SWITCH|SIGNAL).+UNKNOWN)" - &gt;&gt; 2017-03-07-UncaughtWiMAX.txt</v>
      </c>
    </row>
    <row r="189" spans="1:91" x14ac:dyDescent="0.25">
      <c r="A189" s="33" t="s">
        <v>715</v>
      </c>
      <c r="B189" s="7">
        <v>4031</v>
      </c>
      <c r="C189" s="21" t="s">
        <v>233</v>
      </c>
      <c r="D189" s="21" t="s">
        <v>545</v>
      </c>
      <c r="E189" s="13">
        <v>42801.673854166664</v>
      </c>
      <c r="F189" s="13">
        <v>42801.681585648148</v>
      </c>
      <c r="G189" s="7">
        <v>1</v>
      </c>
      <c r="H189" s="21" t="s">
        <v>938</v>
      </c>
      <c r="I189" s="13">
        <v>42801.691620370373</v>
      </c>
      <c r="J189" s="7">
        <v>2</v>
      </c>
      <c r="K189" s="98" t="str">
        <f t="shared" si="55"/>
        <v>4031/4032</v>
      </c>
      <c r="L189" s="21" t="str">
        <f>VLOOKUP(A189,'Trips&amp;Operators'!$C$1:$G$99999,5,FALSE)</f>
        <v>LEVIN SCOTT</v>
      </c>
      <c r="M189" s="6">
        <f t="shared" si="56"/>
        <v>1.0034722225100268E-2</v>
      </c>
      <c r="N189" s="7">
        <f t="shared" si="75"/>
        <v>14.450000004144385</v>
      </c>
      <c r="O189" s="7"/>
      <c r="P189" s="7"/>
      <c r="Q189" s="22"/>
      <c r="R189" s="22"/>
      <c r="S189" s="31">
        <f t="shared" si="74"/>
        <v>1</v>
      </c>
      <c r="T189" s="46" t="str">
        <f t="shared" si="59"/>
        <v>NorthBound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60"/>
        <v>https://d0f6bd738d7f1b3e5a7ca70fe4ff75f0.us-east-1.aws.found.io/app/kibana#/discover/Steve-Slow-Train-Analysis-(2080s-and-2083s)?_g=(refreshInterval:(display:Off,pause:!f,section:0,value:0),time:(from:'2017-03-07T15:10:21-0700',mode:absolute,to:'2017-03-07T17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9" s="187" t="str">
        <f t="shared" si="61"/>
        <v>N</v>
      </c>
      <c r="X189" s="187">
        <f t="shared" ref="X189:X195" si="76">VALUE(LEFT(AD189,4))-VALUE(LEFT(AD188,4))</f>
        <v>1</v>
      </c>
      <c r="Y189" s="62">
        <f t="shared" si="73"/>
        <v>9.6699999999999994E-2</v>
      </c>
      <c r="Z189" s="62">
        <f t="shared" si="62"/>
        <v>5.8983999999999996</v>
      </c>
      <c r="AA189" s="62">
        <f t="shared" si="63"/>
        <v>5.8016999999999994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64"/>
        <v>0829-07</v>
      </c>
      <c r="AE189" s="85" t="str">
        <f t="shared" si="65"/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189" s="82" t="str">
        <f t="shared" si="66"/>
        <v>"C:\Program Files (x86)\AstroGrep\AstroGrep.exe" /spath="%USERPROFILE%\AppData\Local\Temp\OnboardLogs" /stypes="app*4031*20170307*" /stext=" 23:.+((SYSTEM_STATE.+slice.+state.+changed )|(ment ac)|(multiple cpu faults)|(system.+state.+changed )|(\[timeout)|(PRM\|1\|D)|(kpr)|(kdp)|(\|lc)|(penalty))" /e /r /s</v>
      </c>
      <c r="AG189" s="1" t="str">
        <f t="shared" si="67"/>
        <v>NW</v>
      </c>
      <c r="AH189" s="86" t="str">
        <f t="shared" si="68"/>
        <v>"%USERPROFILE%\Documents\GitHub\eaglep3\Utilities\RefineRTDCRunTimes.py" --tripid 829-07 --locoid 4031 --swversion DE.1.0.9.0 --startMP 204:967 --initTime 2017-03-07T16:10:21 --startdatetime 2017-03-07T16:21:29 --delay 1 --endMP 300:58984 --enddatetime 2017-03-07T16:35:56 --enforcementcount 2 &gt;&gt;C:\Users\stu\Documents\GitHub\eaglep3-reporting\EC\2017-03-07-refined-times.txt</v>
      </c>
      <c r="AI189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{"issue":{"subject":"","project_id":79,"tracker_id":40,"status_id":1,"priority_id":2,"assigned_to_id":23,"start_date":"2017-03-07","description":"","custom_fields":[{"id":1,"name":"Subdivision","value":"NW"},{"id":4,"name":"Milepost","value":"5.8984"},{"id":17,"name":"Train ID","value":"829-07"},{"id":16,"name":"Locomotive ID","value":"4031"},{"id":130,"name":"Impact","value":""},{"id":150,"name":"Time of Event (Mountain Time)","value":"16:35:56"},{"id":151,"name":"Denver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70"/>
        <v>start /low /b %USERPROFILE%\Documents\GitHub\eaglep3\Utilities\DownloadLogsFromS3.py --loco 4031 --day 2017-03-07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"%USERPROFILE%\AppData\Local\Temp\OnboardLogs"\RTDC4031\*4031*20170307* | grep -SE "(Enforcement Action)|(\[TIMEOUT)|(CHR.+\|PRM\|1\|D.+(SWITCH|SIGNAL).+UNKNOWN)" - &gt;&gt; 2017-03-07-UncaughtWiMAX.txt</v>
      </c>
    </row>
    <row r="190" spans="1:91" x14ac:dyDescent="0.25">
      <c r="A190" s="33" t="s">
        <v>586</v>
      </c>
      <c r="B190" s="7">
        <v>4032</v>
      </c>
      <c r="C190" s="21" t="s">
        <v>233</v>
      </c>
      <c r="D190" s="21" t="s">
        <v>940</v>
      </c>
      <c r="E190" s="13">
        <v>42801.692928240744</v>
      </c>
      <c r="F190" s="13">
        <v>42801.694421296299</v>
      </c>
      <c r="G190" s="7">
        <v>1</v>
      </c>
      <c r="H190" s="21" t="s">
        <v>941</v>
      </c>
      <c r="I190" s="13">
        <v>42801.704814814817</v>
      </c>
      <c r="J190" s="7">
        <v>2</v>
      </c>
      <c r="K190" s="98" t="str">
        <f t="shared" si="55"/>
        <v>4031/4032</v>
      </c>
      <c r="L190" s="21" t="str">
        <f>VLOOKUP(A190,'Trips&amp;Operators'!$C$1:$G$99999,5,FALSE)</f>
        <v>LEVIN SCOTT</v>
      </c>
      <c r="M190" s="6">
        <f t="shared" si="56"/>
        <v>1.0393518517958E-2</v>
      </c>
      <c r="N190" s="7">
        <f t="shared" si="75"/>
        <v>14.96666666585952</v>
      </c>
      <c r="O190" s="7"/>
      <c r="P190" s="7"/>
      <c r="Q190" s="22"/>
      <c r="R190" s="22"/>
      <c r="S190" s="31">
        <f t="shared" si="74"/>
        <v>1</v>
      </c>
      <c r="T190" s="46" t="str">
        <f t="shared" si="59"/>
        <v>Southbound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60"/>
        <v>https://d0f6bd738d7f1b3e5a7ca70fe4ff75f0.us-east-1.aws.found.io/app/kibana#/discover/Steve-Slow-Train-Analysis-(2080s-and-2083s)?_g=(refreshInterval:(display:Off,pause:!f,section:0,value:0),time:(from:'2017-03-07T15:37:49-0700',mode:absolute,to:'2017-03-07T17:54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0" s="187" t="str">
        <f t="shared" si="61"/>
        <v>N</v>
      </c>
      <c r="X190" s="187">
        <f t="shared" si="76"/>
        <v>1</v>
      </c>
      <c r="Y190" s="62">
        <f t="shared" si="73"/>
        <v>5.8655999999999997</v>
      </c>
      <c r="Z190" s="62">
        <f t="shared" si="62"/>
        <v>6.9400000000000003E-2</v>
      </c>
      <c r="AA190" s="62">
        <f t="shared" si="63"/>
        <v>5.7961999999999998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64"/>
        <v>0830-07</v>
      </c>
      <c r="AE190" s="85" t="str">
        <f t="shared" si="65"/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190" s="82" t="str">
        <f t="shared" si="66"/>
        <v>"C:\Program Files (x86)\AstroGrep\AstroGrep.exe" /spath="%USERPROFILE%\AppData\Local\Temp\OnboardLogs" /stypes="app*4032*20170307*" /stext=" 23:.+((SYSTEM_STATE.+slice.+state.+changed )|(ment ac)|(multiple cpu faults)|(system.+state.+changed )|(\[timeout)|(PRM\|1\|D)|(kpr)|(kdp)|(\|lc)|(penalty))" /e /r /s</v>
      </c>
      <c r="AG190" s="1" t="str">
        <f t="shared" si="67"/>
        <v>NW</v>
      </c>
      <c r="AH190" s="86" t="str">
        <f t="shared" si="68"/>
        <v>"%USERPROFILE%\Documents\GitHub\eaglep3\Utilities\RefineRTDCRunTimes.py" --tripid 830-07 --locoid 4032 --swversion DE.1.0.9.0 --startMP 300:58656 --initTime 2017-03-07T16:37:49 --startdatetime 2017-03-07T16:39:58 --delay 1 --endMP 204:694 --enddatetime 2017-03-07T16:54:56 --enforcementcount 2 &gt;&gt;C:\Users\stu\Documents\GitHub\eaglep3-reporting\EC\2017-03-07-refined-times.txt</v>
      </c>
      <c r="AI190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{"issue":{"subject":"","project_id":79,"tracker_id":40,"status_id":1,"priority_id":2,"assigned_to_id":23,"start_date":"2017-03-07","description":"","custom_fields":[{"id":1,"name":"Subdivision","value":"NW"},{"id":4,"name":"Milepost","value":"0.0694"},{"id":17,"name":"Train ID","value":"830-07"},{"id":16,"name":"Locomotive ID","value":"4032"},{"id":130,"name":"Impact","value":""},{"id":150,"name":"Time of Event (Mountain Time)","value":"16:54:56"},{"id":151,"name":"Denver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70"/>
        <v>start /low /b %USERPROFILE%\Documents\GitHub\eaglep3\Utilities\DownloadLogsFromS3.py --loco 4032 --day 2017-03-07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"%USERPROFILE%\AppData\Local\Temp\OnboardLogs"\RTDC4032\*4032*20170307* | grep -SE "(Enforcement Action)|(\[TIMEOUT)|(CHR.+\|PRM\|1\|D.+(SWITCH|SIGNAL).+UNKNOWN)" - &gt;&gt; 2017-03-07-UncaughtWiMAX.txt</v>
      </c>
    </row>
    <row r="191" spans="1:91" x14ac:dyDescent="0.25">
      <c r="A191" s="33" t="s">
        <v>719</v>
      </c>
      <c r="B191" s="7">
        <v>4025</v>
      </c>
      <c r="C191" s="21" t="s">
        <v>233</v>
      </c>
      <c r="D191" s="21" t="s">
        <v>942</v>
      </c>
      <c r="E191" s="13">
        <v>42801.686898148146</v>
      </c>
      <c r="F191" s="13">
        <v>42801.702291666668</v>
      </c>
      <c r="G191" s="7">
        <v>1</v>
      </c>
      <c r="H191" s="21" t="s">
        <v>904</v>
      </c>
      <c r="I191" s="13">
        <v>42801.712500000001</v>
      </c>
      <c r="J191" s="7">
        <v>2</v>
      </c>
      <c r="K191" s="98" t="str">
        <f t="shared" si="55"/>
        <v>4025/4026</v>
      </c>
      <c r="L191" s="21" t="str">
        <f>VLOOKUP(A191,'Trips&amp;Operators'!$C$1:$G$99999,5,FALSE)</f>
        <v>SWANSON BRYCE</v>
      </c>
      <c r="M191" s="6">
        <f t="shared" si="56"/>
        <v>1.0208333333139308E-2</v>
      </c>
      <c r="N191" s="7">
        <f t="shared" si="75"/>
        <v>14.699999999720603</v>
      </c>
      <c r="O191" s="7"/>
      <c r="P191" s="7"/>
      <c r="Q191" s="22"/>
      <c r="R191" s="22"/>
      <c r="S191" s="31">
        <f t="shared" si="74"/>
        <v>1</v>
      </c>
      <c r="T191" s="46" t="str">
        <f t="shared" si="59"/>
        <v>NorthBound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60"/>
        <v>https://d0f6bd738d7f1b3e5a7ca70fe4ff75f0.us-east-1.aws.found.io/app/kibana#/discover/Steve-Slow-Train-Analysis-(2080s-and-2083s)?_g=(refreshInterval:(display:Off,pause:!f,section:0,value:0),time:(from:'2017-03-07T15:29:08-0700',mode:absolute,to:'2017-03-07T18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1" s="187" t="str">
        <f t="shared" si="61"/>
        <v>N</v>
      </c>
      <c r="X191" s="187">
        <f t="shared" si="76"/>
        <v>1</v>
      </c>
      <c r="Y191" s="62">
        <f t="shared" si="73"/>
        <v>9.8100000000000007E-2</v>
      </c>
      <c r="Z191" s="62">
        <f t="shared" si="62"/>
        <v>5.8921999999999999</v>
      </c>
      <c r="AA191" s="62">
        <f t="shared" si="63"/>
        <v>5.7941000000000003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64"/>
        <v>0831-07</v>
      </c>
      <c r="AE191" s="85" t="str">
        <f t="shared" si="65"/>
        <v>aws s3 cp s3://rtdc.mdm.uploadarchive.raw/RTDC4025/ "%USERPROFILE%\AppData\Local\Temp\OnboardLogs"\RTDC4025\2017-03-07 --exclude "*" --recursive --include "*20170307*" &amp; "%USERPROFILE%\Documents\GitHub\mrs-test-scripts\Headless Mode &amp; Sideloading\WalkAndUnGZ.bat" "%USERPROFILE%\AppData\Local\Temp\OnboardLogs"\RTDC4025\2017-03-07 &amp; aws s3 cp s3://rtdc.mdm.uploadarchive.raw/RTDC4025/ "%USERPROFILE%\AppData\Local\Temp\OnboardLogs"\RTDC4025\2017-03-08 --exclude "*" --recursive --include "*20170308*" &amp; "%USERPROFILE%\Documents\GitHub\mrs-test-scripts\Headless Mode &amp; Sideloading\WalkAndUnGZ.bat" "%USERPROFILE%\AppData\Local\Temp\OnboardLogs"\RTDC4025\2017-03-08</v>
      </c>
      <c r="AF191" s="82" t="str">
        <f t="shared" si="66"/>
        <v>"C:\Program Files (x86)\AstroGrep\AstroGrep.exe" /spath="%USERPROFILE%\AppData\Local\Temp\OnboardLogs" /stypes="app*4025*20170308*" /stext=" 00:.+((SYSTEM_STATE.+slice.+state.+changed )|(ment ac)|(multiple cpu faults)|(system.+state.+changed )|(\[timeout)|(PRM\|1\|D)|(kpr)|(kdp)|(\|lc)|(penalty))" /e /r /s</v>
      </c>
      <c r="AG191" s="1" t="str">
        <f t="shared" si="67"/>
        <v>NW</v>
      </c>
      <c r="AH191" s="86" t="str">
        <f t="shared" si="68"/>
        <v>"%USERPROFILE%\Documents\GitHub\eaglep3\Utilities\RefineRTDCRunTimes.py" --tripid 831-07 --locoid 4025 --swversion DE.1.0.9.0 --startMP 204:981 --initTime 2017-03-07T16:29:08 --startdatetime 2017-03-07T16:51:18 --delay 1 --endMP 300:58922 --enddatetime 2017-03-07T17:06:00 --enforcementcount 2 &gt;&gt;C:\Users\stu\Documents\GitHub\eaglep3-reporting\EC\2017-03-07-refined-times.txt</v>
      </c>
      <c r="AI191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{"issue":{"subject":"","project_id":79,"tracker_id":40,"status_id":1,"priority_id":2,"assigned_to_id":23,"start_date":"2017-03-07","description":"","custom_fields":[{"id":1,"name":"Subdivision","value":"NW"},{"id":4,"name":"Milepost","value":"5.8922"},{"id":17,"name":"Train ID","value":"831-07"},{"id":16,"name":"Locomotive ID","value":"4025"},{"id":130,"name":"Impact","value":""},{"id":150,"name":"Time of Event (Mountain Time)","value":"17:06:00"},{"id":151,"name":"Denver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70"/>
        <v>start /low /b %USERPROFILE%\Documents\GitHub\eaglep3\Utilities\DownloadLogsFromS3.py --loco 4025 --day 2017-03-07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"%USERPROFILE%\AppData\Local\Temp\OnboardLogs"\RTDC4025\*4025*20170307* | grep -SE "(Enforcement Action)|(\[TIMEOUT)|(CHR.+\|PRM\|1\|D.+(SWITCH|SIGNAL).+UNKNOWN)" - &gt;&gt; 2017-03-07-UncaughtWiMAX.txt</v>
      </c>
    </row>
    <row r="192" spans="1:91" x14ac:dyDescent="0.25">
      <c r="A192" s="33" t="s">
        <v>724</v>
      </c>
      <c r="B192" s="7">
        <v>4026</v>
      </c>
      <c r="C192" s="21" t="s">
        <v>233</v>
      </c>
      <c r="D192" s="21" t="s">
        <v>533</v>
      </c>
      <c r="E192" s="13">
        <v>42801.713518518518</v>
      </c>
      <c r="F192" s="13">
        <v>42801.715127314812</v>
      </c>
      <c r="G192" s="7">
        <v>1</v>
      </c>
      <c r="H192" s="21" t="s">
        <v>943</v>
      </c>
      <c r="I192" s="13">
        <v>42801.726388888892</v>
      </c>
      <c r="J192" s="7">
        <v>2</v>
      </c>
      <c r="K192" s="98" t="str">
        <f t="shared" si="55"/>
        <v>4025/4026</v>
      </c>
      <c r="L192" s="21" t="str">
        <f>VLOOKUP(A192,'Trips&amp;Operators'!$C$1:$G$99999,5,FALSE)</f>
        <v>SWANSON BRYCE</v>
      </c>
      <c r="M192" s="6">
        <f t="shared" si="56"/>
        <v>1.1261574079981074E-2</v>
      </c>
      <c r="N192" s="7">
        <f t="shared" si="75"/>
        <v>16.216666675172746</v>
      </c>
      <c r="O192" s="7"/>
      <c r="P192" s="7"/>
      <c r="Q192" s="22"/>
      <c r="R192" s="22"/>
      <c r="S192" s="31">
        <f t="shared" si="74"/>
        <v>1</v>
      </c>
      <c r="T192" s="46" t="str">
        <f t="shared" si="59"/>
        <v>Southbound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60"/>
        <v>https://d0f6bd738d7f1b3e5a7ca70fe4ff75f0.us-east-1.aws.found.io/app/kibana#/discover/Steve-Slow-Train-Analysis-(2080s-and-2083s)?_g=(refreshInterval:(display:Off,pause:!f,section:0,value:0),time:(from:'2017-03-07T16:07:28-0700',mode:absolute,to:'2017-03-07T18:26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2" s="187" t="str">
        <f t="shared" si="61"/>
        <v>N</v>
      </c>
      <c r="X192" s="187">
        <f t="shared" si="76"/>
        <v>1</v>
      </c>
      <c r="Y192" s="62">
        <f t="shared" ref="Y192:Y223" si="77">RIGHT(D192,LEN(D192)-4)/10000</f>
        <v>5.8608000000000002</v>
      </c>
      <c r="Z192" s="62">
        <f t="shared" si="62"/>
        <v>6.8000000000000005E-2</v>
      </c>
      <c r="AA192" s="62">
        <f t="shared" si="63"/>
        <v>5.7928000000000006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64"/>
        <v>0832-07</v>
      </c>
      <c r="AE192" s="85" t="str">
        <f t="shared" si="65"/>
        <v>aws s3 cp s3://rtdc.mdm.uploadarchive.raw/RTDC4026/ "%USERPROFILE%\AppData\Local\Temp\OnboardLogs"\RTDC4026\2017-03-07 --exclude "*" --recursive --include "*20170307*" &amp; "%USERPROFILE%\Documents\GitHub\mrs-test-scripts\Headless Mode &amp; Sideloading\WalkAndUnGZ.bat" "%USERPROFILE%\AppData\Local\Temp\OnboardLogs"\RTDC4026\2017-03-07 &amp; aws s3 cp s3://rtdc.mdm.uploadarchive.raw/RTDC4026/ "%USERPROFILE%\AppData\Local\Temp\OnboardLogs"\RTDC4026\2017-03-08 --exclude "*" --recursive --include "*20170308*" &amp; "%USERPROFILE%\Documents\GitHub\mrs-test-scripts\Headless Mode &amp; Sideloading\WalkAndUnGZ.bat" "%USERPROFILE%\AppData\Local\Temp\OnboardLogs"\RTDC4026\2017-03-08</v>
      </c>
      <c r="AF192" s="82" t="str">
        <f t="shared" si="66"/>
        <v>"C:\Program Files (x86)\AstroGrep\AstroGrep.exe" /spath="%USERPROFILE%\AppData\Local\Temp\OnboardLogs" /stypes="app*4026*20170308*" /stext=" 00:.+((SYSTEM_STATE.+slice.+state.+changed )|(ment ac)|(multiple cpu faults)|(system.+state.+changed )|(\[timeout)|(PRM\|1\|D)|(kpr)|(kdp)|(\|lc)|(penalty))" /e /r /s</v>
      </c>
      <c r="AG192" s="1" t="str">
        <f t="shared" si="67"/>
        <v>NW</v>
      </c>
      <c r="AH192" s="86" t="str">
        <f t="shared" si="68"/>
        <v>"%USERPROFILE%\Documents\GitHub\eaglep3\Utilities\RefineRTDCRunTimes.py" --tripid 832-07 --locoid 4026 --swversion DE.1.0.9.0 --startMP 300:58608 --initTime 2017-03-07T17:07:28 --startdatetime 2017-03-07T17:09:47 --delay 1 --endMP 204:680 --enddatetime 2017-03-07T17:26:00 --enforcementcount 2 &gt;&gt;C:\Users\stu\Documents\GitHub\eaglep3-reporting\EC\2017-03-07-refined-times.txt</v>
      </c>
      <c r="AI192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{"issue":{"subject":"","project_id":79,"tracker_id":40,"status_id":1,"priority_id":2,"assigned_to_id":23,"start_date":"2017-03-07","description":"","custom_fields":[{"id":1,"name":"Subdivision","value":"NW"},{"id":4,"name":"Milepost","value":"0.068"},{"id":17,"name":"Train ID","value":"832-07"},{"id":16,"name":"Locomotive ID","value":"4026"},{"id":130,"name":"Impact","value":""},{"id":150,"name":"Time of Event (Mountain Time)","value":"17:26:00"},{"id":151,"name":"Denver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70"/>
        <v>start /low /b %USERPROFILE%\Documents\GitHub\eaglep3\Utilities\DownloadLogsFromS3.py --loco 4026 --day 2017-03-07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"%USERPROFILE%\AppData\Local\Temp\OnboardLogs"\RTDC4026\*4026*20170308* | grep -SE "(Enforcement Action)|(\[TIMEOUT)|(CHR.+\|PRM\|1\|D.+(SWITCH|SIGNAL).+UNKNOWN)" - &gt;&gt; 2017-03-07-UncaughtWiMAX.txt</v>
      </c>
    </row>
    <row r="193" spans="1:40" x14ac:dyDescent="0.25">
      <c r="A193" s="33" t="s">
        <v>726</v>
      </c>
      <c r="B193" s="7">
        <v>4031</v>
      </c>
      <c r="C193" s="21" t="s">
        <v>233</v>
      </c>
      <c r="D193" s="21" t="s">
        <v>944</v>
      </c>
      <c r="E193" s="13">
        <v>42801.720810185187</v>
      </c>
      <c r="F193" s="13">
        <v>42801.723113425927</v>
      </c>
      <c r="G193" s="7">
        <v>1</v>
      </c>
      <c r="H193" s="21" t="s">
        <v>522</v>
      </c>
      <c r="I193" s="13">
        <v>42801.732129629629</v>
      </c>
      <c r="J193" s="7">
        <v>2</v>
      </c>
      <c r="K193" s="98" t="str">
        <f t="shared" si="55"/>
        <v>4031/4032</v>
      </c>
      <c r="L193" s="21" t="str">
        <f>VLOOKUP(A193,'Trips&amp;Operators'!$C$1:$G$99999,5,FALSE)</f>
        <v>LEVIN SCOTT</v>
      </c>
      <c r="M193" s="6">
        <f t="shared" si="56"/>
        <v>9.0162037013215013E-3</v>
      </c>
      <c r="N193" s="7">
        <f t="shared" si="75"/>
        <v>12.983333329902962</v>
      </c>
      <c r="O193" s="7"/>
      <c r="P193" s="7"/>
      <c r="Q193" s="22"/>
      <c r="R193" s="22"/>
      <c r="S193" s="31">
        <f t="shared" si="74"/>
        <v>1</v>
      </c>
      <c r="T193" s="46" t="str">
        <f t="shared" si="59"/>
        <v>NorthBound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60"/>
        <v>https://d0f6bd738d7f1b3e5a7ca70fe4ff75f0.us-east-1.aws.found.io/app/kibana#/discover/Steve-Slow-Train-Analysis-(2080s-and-2083s)?_g=(refreshInterval:(display:Off,pause:!f,section:0,value:0),time:(from:'2017-03-07T16:17:58-0700',mode:absolute,to:'2017-03-07T18:34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3" s="187" t="str">
        <f t="shared" si="61"/>
        <v>N</v>
      </c>
      <c r="X193" s="187">
        <f t="shared" si="76"/>
        <v>1</v>
      </c>
      <c r="Y193" s="62">
        <f t="shared" si="77"/>
        <v>9.8799999999999999E-2</v>
      </c>
      <c r="Z193" s="62">
        <f t="shared" si="62"/>
        <v>5.8929</v>
      </c>
      <c r="AA193" s="62">
        <f t="shared" si="63"/>
        <v>5.7941000000000003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64"/>
        <v>0833-07</v>
      </c>
      <c r="AE193" s="85" t="str">
        <f t="shared" si="65"/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193" s="82" t="str">
        <f t="shared" si="66"/>
        <v>"C:\Program Files (x86)\AstroGrep\AstroGrep.exe" /spath="%USERPROFILE%\AppData\Local\Temp\OnboardLogs" /stypes="app*4031*20170308*" /stext=" 00:.+((SYSTEM_STATE.+slice.+state.+changed )|(ment ac)|(multiple cpu faults)|(system.+state.+changed )|(\[timeout)|(PRM\|1\|D)|(kpr)|(kdp)|(\|lc)|(penalty))" /e /r /s</v>
      </c>
      <c r="AG193" s="1" t="str">
        <f t="shared" si="67"/>
        <v>NW</v>
      </c>
      <c r="AH193" s="86" t="str">
        <f t="shared" si="68"/>
        <v>"%USERPROFILE%\Documents\GitHub\eaglep3\Utilities\RefineRTDCRunTimes.py" --tripid 833-07 --locoid 4031 --swversion DE.1.0.9.0 --startMP 204:988 --initTime 2017-03-07T17:17:58 --startdatetime 2017-03-07T17:21:17 --delay 1 --endMP 300:58929 --enddatetime 2017-03-07T17:34:16 --enforcementcount 2 &gt;&gt;C:\Users\stu\Documents\GitHub\eaglep3-reporting\EC\2017-03-07-refined-times.txt</v>
      </c>
      <c r="AI193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{"issue":{"subject":"","project_id":79,"tracker_id":40,"status_id":1,"priority_id":2,"assigned_to_id":23,"start_date":"2017-03-07","description":"","custom_fields":[{"id":1,"name":"Subdivision","value":"NW"},{"id":4,"name":"Milepost","value":"5.8929"},{"id":17,"name":"Train ID","value":"833-07"},{"id":16,"name":"Locomotive ID","value":"4031"},{"id":130,"name":"Impact","value":""},{"id":150,"name":"Time of Event (Mountain Time)","value":"17:34:16"},{"id":151,"name":"Denver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70"/>
        <v>start /low /b %USERPROFILE%\Documents\GitHub\eaglep3\Utilities\DownloadLogsFromS3.py --loco 4031 --day 2017-03-07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"%USERPROFILE%\AppData\Local\Temp\OnboardLogs"\RTDC4031\*4031*20170308* | grep -SE "(Enforcement Action)|(\[TIMEOUT)|(CHR.+\|PRM\|1\|D.+(SWITCH|SIGNAL).+UNKNOWN)" - &gt;&gt; 2017-03-07-UncaughtWiMAX.txt</v>
      </c>
    </row>
    <row r="194" spans="1:40" x14ac:dyDescent="0.25">
      <c r="A194" s="33" t="s">
        <v>729</v>
      </c>
      <c r="B194" s="7">
        <v>4032</v>
      </c>
      <c r="C194" s="21" t="s">
        <v>233</v>
      </c>
      <c r="D194" s="21" t="s">
        <v>460</v>
      </c>
      <c r="E194" s="13">
        <v>42801.733298611114</v>
      </c>
      <c r="F194" s="13">
        <v>42801.734502314815</v>
      </c>
      <c r="G194" s="7">
        <v>1</v>
      </c>
      <c r="H194" s="21" t="s">
        <v>945</v>
      </c>
      <c r="I194" s="13">
        <v>42801.747569444444</v>
      </c>
      <c r="J194" s="7">
        <v>2</v>
      </c>
      <c r="K194" s="98" t="str">
        <f t="shared" si="55"/>
        <v>4031/4032</v>
      </c>
      <c r="L194" s="21" t="str">
        <f>VLOOKUP(A194,'Trips&amp;Operators'!$C$1:$G$99999,5,FALSE)</f>
        <v>LEVIN SCOTT</v>
      </c>
      <c r="M194" s="6">
        <f t="shared" si="56"/>
        <v>1.3067129628325347E-2</v>
      </c>
      <c r="N194" s="7">
        <f t="shared" si="75"/>
        <v>18.816666664788499</v>
      </c>
      <c r="O194" s="7"/>
      <c r="P194" s="7"/>
      <c r="Q194" s="22"/>
      <c r="R194" s="22"/>
      <c r="S194" s="31">
        <f t="shared" si="74"/>
        <v>1</v>
      </c>
      <c r="T194" s="46" t="str">
        <f t="shared" si="59"/>
        <v>Southbound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60"/>
        <v>https://d0f6bd738d7f1b3e5a7ca70fe4ff75f0.us-east-1.aws.found.io/app/kibana#/discover/Steve-Slow-Train-Analysis-(2080s-and-2083s)?_g=(refreshInterval:(display:Off,pause:!f,section:0,value:0),time:(from:'2017-03-07T16:35:57-0700',mode:absolute,to:'2017-03-07T18:56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4" s="187" t="str">
        <f t="shared" si="61"/>
        <v>N</v>
      </c>
      <c r="X194" s="187">
        <f t="shared" si="76"/>
        <v>1</v>
      </c>
      <c r="Y194" s="62">
        <f t="shared" si="77"/>
        <v>5.8613</v>
      </c>
      <c r="Z194" s="62">
        <f t="shared" si="62"/>
        <v>6.5699999999999995E-2</v>
      </c>
      <c r="AA194" s="62">
        <f t="shared" si="63"/>
        <v>5.7956000000000003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64"/>
        <v>0834-07</v>
      </c>
      <c r="AE194" s="85" t="str">
        <f t="shared" si="65"/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194" s="82" t="str">
        <f t="shared" si="66"/>
        <v>"C:\Program Files (x86)\AstroGrep\AstroGrep.exe" /spath="%USERPROFILE%\AppData\Local\Temp\OnboardLogs" /stypes="app*4032*20170308*" /stext=" 00:.+((SYSTEM_STATE.+slice.+state.+changed )|(ment ac)|(multiple cpu faults)|(system.+state.+changed )|(\[timeout)|(PRM\|1\|D)|(kpr)|(kdp)|(\|lc)|(penalty))" /e /r /s</v>
      </c>
      <c r="AG194" s="1" t="str">
        <f t="shared" si="67"/>
        <v>NW</v>
      </c>
      <c r="AH194" s="86" t="str">
        <f t="shared" si="68"/>
        <v>"%USERPROFILE%\Documents\GitHub\eaglep3\Utilities\RefineRTDCRunTimes.py" --tripid 834-07 --locoid 4032 --swversion DE.1.0.9.0 --startMP 300:58613 --initTime 2017-03-07T17:35:57 --startdatetime 2017-03-07T17:37:41 --delay 1 --endMP 204:657 --enddatetime 2017-03-07T17:56:30 --enforcementcount 2 &gt;&gt;C:\Users\stu\Documents\GitHub\eaglep3-reporting\EC\2017-03-07-refined-times.txt</v>
      </c>
      <c r="AI194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{"issue":{"subject":"","project_id":79,"tracker_id":40,"status_id":1,"priority_id":2,"assigned_to_id":23,"start_date":"2017-03-07","description":"","custom_fields":[{"id":1,"name":"Subdivision","value":"NW"},{"id":4,"name":"Milepost","value":"0.0657"},{"id":17,"name":"Train ID","value":"834-07"},{"id":16,"name":"Locomotive ID","value":"4032"},{"id":130,"name":"Impact","value":""},{"id":150,"name":"Time of Event (Mountain Time)","value":"17:56:30"},{"id":151,"name":"Denver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70"/>
        <v>start /low /b %USERPROFILE%\Documents\GitHub\eaglep3\Utilities\DownloadLogsFromS3.py --loco 4032 --day 2017-03-07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"%USERPROFILE%\AppData\Local\Temp\OnboardLogs"\RTDC4032\*4032*20170308* | grep -SE "(Enforcement Action)|(\[TIMEOUT)|(CHR.+\|PRM\|1\|D.+(SWITCH|SIGNAL).+UNKNOWN)" - &gt;&gt; 2017-03-07-UncaughtWiMAX.txt</v>
      </c>
    </row>
    <row r="195" spans="1:40" x14ac:dyDescent="0.25">
      <c r="A195" s="33" t="s">
        <v>727</v>
      </c>
      <c r="B195" s="7">
        <v>4025</v>
      </c>
      <c r="C195" s="21" t="s">
        <v>233</v>
      </c>
      <c r="D195" s="21" t="s">
        <v>942</v>
      </c>
      <c r="E195" s="13">
        <v>42801.727847222224</v>
      </c>
      <c r="F195" s="13">
        <v>42801.743958333333</v>
      </c>
      <c r="G195" s="7">
        <v>1</v>
      </c>
      <c r="H195" s="21" t="s">
        <v>522</v>
      </c>
      <c r="I195" s="13">
        <v>42801.75403935185</v>
      </c>
      <c r="J195" s="7">
        <v>2</v>
      </c>
      <c r="K195" s="98" t="str">
        <f t="shared" si="55"/>
        <v>4025/4026</v>
      </c>
      <c r="L195" s="21" t="str">
        <f>VLOOKUP(A195,'Trips&amp;Operators'!$C$1:$G$99999,5,FALSE)</f>
        <v>SWANSON BRYCE</v>
      </c>
      <c r="M195" s="6">
        <f t="shared" si="56"/>
        <v>1.0081018517666962E-2</v>
      </c>
      <c r="N195" s="7">
        <f t="shared" si="75"/>
        <v>14.516666665440425</v>
      </c>
      <c r="O195" s="7"/>
      <c r="P195" s="7"/>
      <c r="Q195" s="22"/>
      <c r="R195" s="22"/>
      <c r="S195" s="31">
        <f t="shared" si="74"/>
        <v>1</v>
      </c>
      <c r="T195" s="46" t="str">
        <f t="shared" si="59"/>
        <v>NorthBound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60"/>
        <v>https://d0f6bd738d7f1b3e5a7ca70fe4ff75f0.us-east-1.aws.found.io/app/kibana#/discover/Steve-Slow-Train-Analysis-(2080s-and-2083s)?_g=(refreshInterval:(display:Off,pause:!f,section:0,value:0),time:(from:'2017-03-07T16:28:06-0700',mode:absolute,to:'2017-03-07T19:05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5" s="187" t="str">
        <f t="shared" si="61"/>
        <v>N</v>
      </c>
      <c r="X195" s="187">
        <f t="shared" si="76"/>
        <v>1</v>
      </c>
      <c r="Y195" s="62">
        <f t="shared" si="77"/>
        <v>9.8100000000000007E-2</v>
      </c>
      <c r="Z195" s="62">
        <f t="shared" si="62"/>
        <v>5.8929</v>
      </c>
      <c r="AA195" s="62">
        <f t="shared" si="63"/>
        <v>5.7948000000000004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64"/>
        <v>0835-07</v>
      </c>
      <c r="AE195" s="85" t="str">
        <f t="shared" si="65"/>
        <v>aws s3 cp s3://rtdc.mdm.uploadarchive.raw/RTDC4025/ "%USERPROFILE%\AppData\Local\Temp\OnboardLogs"\RTDC4025\2017-03-07 --exclude "*" --recursive --include "*20170307*" &amp; "%USERPROFILE%\Documents\GitHub\mrs-test-scripts\Headless Mode &amp; Sideloading\WalkAndUnGZ.bat" "%USERPROFILE%\AppData\Local\Temp\OnboardLogs"\RTDC4025\2017-03-07 &amp; aws s3 cp s3://rtdc.mdm.uploadarchive.raw/RTDC4025/ "%USERPROFILE%\AppData\Local\Temp\OnboardLogs"\RTDC4025\2017-03-08 --exclude "*" --recursive --include "*20170308*" &amp; "%USERPROFILE%\Documents\GitHub\mrs-test-scripts\Headless Mode &amp; Sideloading\WalkAndUnGZ.bat" "%USERPROFILE%\AppData\Local\Temp\OnboardLogs"\RTDC4025\2017-03-08</v>
      </c>
      <c r="AF195" s="82" t="str">
        <f t="shared" si="66"/>
        <v>"C:\Program Files (x86)\AstroGrep\AstroGrep.exe" /spath="%USERPROFILE%\AppData\Local\Temp\OnboardLogs" /stypes="app*4025*20170308*" /stext=" 01:.+((SYSTEM_STATE.+slice.+state.+changed )|(ment ac)|(multiple cpu faults)|(system.+state.+changed )|(\[timeout)|(PRM\|1\|D)|(kpr)|(kdp)|(\|lc)|(penalty))" /e /r /s</v>
      </c>
      <c r="AG195" s="1" t="str">
        <f t="shared" si="67"/>
        <v>NW</v>
      </c>
      <c r="AH195" s="86" t="str">
        <f t="shared" si="68"/>
        <v>"%USERPROFILE%\Documents\GitHub\eaglep3\Utilities\RefineRTDCRunTimes.py" --tripid 835-07 --locoid 4025 --swversion DE.1.0.9.0 --startMP 204:981 --initTime 2017-03-07T17:28:06 --startdatetime 2017-03-07T17:51:18 --delay 1 --endMP 300:58929 --enddatetime 2017-03-07T18:05:49 --enforcementcount 2 &gt;&gt;C:\Users\stu\Documents\GitHub\eaglep3-reporting\EC\2017-03-07-refined-times.txt</v>
      </c>
      <c r="AI195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{"issue":{"subject":"","project_id":79,"tracker_id":40,"status_id":1,"priority_id":2,"assigned_to_id":23,"start_date":"2017-03-07","description":"","custom_fields":[{"id":1,"name":"Subdivision","value":"NW"},{"id":4,"name":"Milepost","value":"5.8929"},{"id":17,"name":"Train ID","value":"835-07"},{"id":16,"name":"Locomotive ID","value":"4025"},{"id":130,"name":"Impact","value":""},{"id":150,"name":"Time of Event (Mountain Time)","value":"18:05:49"},{"id":151,"name":"Denver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70"/>
        <v>start /low /b %USERPROFILE%\Documents\GitHub\eaglep3\Utilities\DownloadLogsFromS3.py --loco 4025 --day 2017-03-07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"%USERPROFILE%\AppData\Local\Temp\OnboardLogs"\RTDC4025\*4025*20170308* | grep -SE "(Enforcement Action)|(\[TIMEOUT)|(CHR.+\|PRM\|1\|D.+(SWITCH|SIGNAL).+UNKNOWN)" - &gt;&gt; 2017-03-07-UncaughtWiMAX.txt</v>
      </c>
    </row>
    <row r="196" spans="1:40" x14ac:dyDescent="0.25">
      <c r="A196" s="33" t="s">
        <v>733</v>
      </c>
      <c r="B196" s="7">
        <v>4026</v>
      </c>
      <c r="C196" s="21" t="s">
        <v>233</v>
      </c>
      <c r="D196" s="21" t="s">
        <v>946</v>
      </c>
      <c r="E196" s="13">
        <v>42801.757187499999</v>
      </c>
      <c r="F196" s="13">
        <v>42801.759212962963</v>
      </c>
      <c r="G196" s="7">
        <v>1</v>
      </c>
      <c r="H196" s="21" t="s">
        <v>527</v>
      </c>
      <c r="I196" s="13">
        <v>42801.770590277774</v>
      </c>
      <c r="J196" s="7">
        <v>2</v>
      </c>
      <c r="K196" s="98" t="str">
        <f t="shared" si="55"/>
        <v>4025/4026</v>
      </c>
      <c r="L196" s="21" t="str">
        <f>VLOOKUP(A196,'Trips&amp;Operators'!$C$1:$G$99999,5,FALSE)</f>
        <v>SWANSON BRYCE</v>
      </c>
      <c r="M196" s="6">
        <f t="shared" si="56"/>
        <v>1.137731481139781E-2</v>
      </c>
      <c r="N196" s="7">
        <f t="shared" si="75"/>
        <v>16.383333328412846</v>
      </c>
      <c r="O196" s="7"/>
      <c r="P196" s="7"/>
      <c r="Q196" s="22"/>
      <c r="R196" s="22"/>
      <c r="S196" s="31">
        <f t="shared" si="74"/>
        <v>1</v>
      </c>
      <c r="T196" s="46" t="str">
        <f t="shared" si="59"/>
        <v>Southbound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60"/>
        <v>https://d0f6bd738d7f1b3e5a7ca70fe4ff75f0.us-east-1.aws.found.io/app/kibana#/discover/Steve-Slow-Train-Analysis-(2080s-and-2083s)?_g=(refreshInterval:(display:Off,pause:!f,section:0,value:0),time:(from:'2017-03-07T17:10:21-0700',mode:absolute,to:'2017-03-07T19:29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6" s="187" t="str">
        <f t="shared" si="61"/>
        <v>N</v>
      </c>
      <c r="X196" s="187">
        <f t="shared" ref="X196:X201" si="78">VALUE(LEFT(AD196,4))-VALUE(LEFT(AD195,4))</f>
        <v>1</v>
      </c>
      <c r="Y196" s="62">
        <f t="shared" si="77"/>
        <v>5.7343000000000002</v>
      </c>
      <c r="Z196" s="62">
        <f t="shared" si="62"/>
        <v>6.6799999999999998E-2</v>
      </c>
      <c r="AA196" s="62">
        <f t="shared" si="63"/>
        <v>5.6675000000000004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64"/>
        <v>0836-07</v>
      </c>
      <c r="AE196" s="85" t="str">
        <f t="shared" si="65"/>
        <v>aws s3 cp s3://rtdc.mdm.uploadarchive.raw/RTDC4026/ "%USERPROFILE%\AppData\Local\Temp\OnboardLogs"\RTDC4026\2017-03-07 --exclude "*" --recursive --include "*20170307*" &amp; "%USERPROFILE%\Documents\GitHub\mrs-test-scripts\Headless Mode &amp; Sideloading\WalkAndUnGZ.bat" "%USERPROFILE%\AppData\Local\Temp\OnboardLogs"\RTDC4026\2017-03-07 &amp; aws s3 cp s3://rtdc.mdm.uploadarchive.raw/RTDC4026/ "%USERPROFILE%\AppData\Local\Temp\OnboardLogs"\RTDC4026\2017-03-08 --exclude "*" --recursive --include "*20170308*" &amp; "%USERPROFILE%\Documents\GitHub\mrs-test-scripts\Headless Mode &amp; Sideloading\WalkAndUnGZ.bat" "%USERPROFILE%\AppData\Local\Temp\OnboardLogs"\RTDC4026\2017-03-08</v>
      </c>
      <c r="AF196" s="82" t="str">
        <f t="shared" si="66"/>
        <v>"C:\Program Files (x86)\AstroGrep\AstroGrep.exe" /spath="%USERPROFILE%\AppData\Local\Temp\OnboardLogs" /stypes="app*4026*20170308*" /stext=" 01:.+((SYSTEM_STATE.+slice.+state.+changed )|(ment ac)|(multiple cpu faults)|(system.+state.+changed )|(\[timeout)|(PRM\|1\|D)|(kpr)|(kdp)|(\|lc)|(penalty))" /e /r /s</v>
      </c>
      <c r="AG196" s="1" t="str">
        <f t="shared" si="67"/>
        <v>NW</v>
      </c>
      <c r="AH196" s="86" t="str">
        <f t="shared" si="68"/>
        <v>"%USERPROFILE%\Documents\GitHub\eaglep3\Utilities\RefineRTDCRunTimes.py" --tripid 836-07 --locoid 4026 --swversion DE.1.0.9.0 --startMP 300:57343 --initTime 2017-03-07T18:10:21 --startdatetime 2017-03-07T18:13:16 --delay 1 --endMP 204:668 --enddatetime 2017-03-07T18:29:39 --enforcementcount 2 &gt;&gt;C:\Users\stu\Documents\GitHub\eaglep3-reporting\EC\2017-03-07-refined-times.txt</v>
      </c>
      <c r="AI196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{"issue":{"subject":"","project_id":79,"tracker_id":40,"status_id":1,"priority_id":2,"assigned_to_id":23,"start_date":"2017-03-07","description":"","custom_fields":[{"id":1,"name":"Subdivision","value":"NW"},{"id":4,"name":"Milepost","value":"0.0668"},{"id":17,"name":"Train ID","value":"836-07"},{"id":16,"name":"Locomotive ID","value":"4026"},{"id":130,"name":"Impact","value":""},{"id":150,"name":"Time of Event (Mountain Time)","value":"18:29:39"},{"id":151,"name":"Denver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70"/>
        <v>start /low /b %USERPROFILE%\Documents\GitHub\eaglep3\Utilities\DownloadLogsFromS3.py --loco 4026 --day 2017-03-07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"%USERPROFILE%\AppData\Local\Temp\OnboardLogs"\RTDC4026\*4026*20170308* | grep -SE "(Enforcement Action)|(\[TIMEOUT)|(CHR.+\|PRM\|1\|D.+(SWITCH|SIGNAL).+UNKNOWN)" - &gt;&gt; 2017-03-07-UncaughtWiMAX.txt</v>
      </c>
    </row>
    <row r="197" spans="1:40" x14ac:dyDescent="0.25">
      <c r="A197" s="33" t="s">
        <v>736</v>
      </c>
      <c r="B197" s="7">
        <v>4031</v>
      </c>
      <c r="C197" s="21" t="s">
        <v>233</v>
      </c>
      <c r="D197" s="21" t="s">
        <v>947</v>
      </c>
      <c r="E197" s="13">
        <v>42801.762395833335</v>
      </c>
      <c r="F197" s="13">
        <v>42801.764756944445</v>
      </c>
      <c r="G197" s="7">
        <v>1</v>
      </c>
      <c r="H197" s="21" t="s">
        <v>914</v>
      </c>
      <c r="I197" s="13">
        <v>42801.774062500001</v>
      </c>
      <c r="J197" s="7">
        <v>2</v>
      </c>
      <c r="K197" s="98" t="str">
        <f t="shared" si="55"/>
        <v>4031/4032</v>
      </c>
      <c r="L197" s="21" t="str">
        <f>VLOOKUP(A197,'Trips&amp;Operators'!$C$1:$G$99999,5,FALSE)</f>
        <v>LEVIN SCOTT</v>
      </c>
      <c r="M197" s="6">
        <f t="shared" si="56"/>
        <v>9.3055555553291924E-3</v>
      </c>
      <c r="N197" s="7">
        <f t="shared" si="75"/>
        <v>13.399999999674037</v>
      </c>
      <c r="O197" s="7"/>
      <c r="P197" s="7"/>
      <c r="Q197" s="22"/>
      <c r="R197" s="22"/>
      <c r="S197" s="31">
        <f t="shared" si="74"/>
        <v>1</v>
      </c>
      <c r="T197" s="46" t="str">
        <f t="shared" si="59"/>
        <v>NorthBound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60"/>
        <v>https://d0f6bd738d7f1b3e5a7ca70fe4ff75f0.us-east-1.aws.found.io/app/kibana#/discover/Steve-Slow-Train-Analysis-(2080s-and-2083s)?_g=(refreshInterval:(display:Off,pause:!f,section:0,value:0),time:(from:'2017-03-07T17:17:51-0700',mode:absolute,to:'2017-03-07T19:34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7" s="187" t="str">
        <f t="shared" si="61"/>
        <v>N</v>
      </c>
      <c r="X197" s="187">
        <f t="shared" si="78"/>
        <v>1</v>
      </c>
      <c r="Y197" s="62">
        <f t="shared" si="77"/>
        <v>9.4600000000000004E-2</v>
      </c>
      <c r="Z197" s="62">
        <f t="shared" si="62"/>
        <v>5.8943000000000003</v>
      </c>
      <c r="AA197" s="62">
        <f t="shared" si="63"/>
        <v>5.7997000000000005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64"/>
        <v>0837-07</v>
      </c>
      <c r="AE197" s="85" t="str">
        <f t="shared" si="65"/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197" s="82" t="str">
        <f t="shared" si="66"/>
        <v>"C:\Program Files (x86)\AstroGrep\AstroGrep.exe" /spath="%USERPROFILE%\AppData\Local\Temp\OnboardLogs" /stypes="app*4031*20170308*" /stext=" 01:.+((SYSTEM_STATE.+slice.+state.+changed )|(ment ac)|(multiple cpu faults)|(system.+state.+changed )|(\[timeout)|(PRM\|1\|D)|(kpr)|(kdp)|(\|lc)|(penalty))" /e /r /s</v>
      </c>
      <c r="AG197" s="1" t="str">
        <f t="shared" si="67"/>
        <v>NW</v>
      </c>
      <c r="AH197" s="86" t="str">
        <f t="shared" si="68"/>
        <v>"%USERPROFILE%\Documents\GitHub\eaglep3\Utilities\RefineRTDCRunTimes.py" --tripid 837-07 --locoid 4031 --swversion DE.1.0.9.0 --startMP 204:946 --initTime 2017-03-07T18:17:51 --startdatetime 2017-03-07T18:21:15 --delay 1 --endMP 300:58943 --enddatetime 2017-03-07T18:34:39 --enforcementcount 2 &gt;&gt;C:\Users\stu\Documents\GitHub\eaglep3-reporting\EC\2017-03-07-refined-times.txt</v>
      </c>
      <c r="AI197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{"issue":{"subject":"","project_id":79,"tracker_id":40,"status_id":1,"priority_id":2,"assigned_to_id":23,"start_date":"2017-03-07","description":"","custom_fields":[{"id":1,"name":"Subdivision","value":"NW"},{"id":4,"name":"Milepost","value":"5.8943"},{"id":17,"name":"Train ID","value":"837-07"},{"id":16,"name":"Locomotive ID","value":"4031"},{"id":130,"name":"Impact","value":""},{"id":150,"name":"Time of Event (Mountain Time)","value":"18:34:39"},{"id":151,"name":"Denver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70"/>
        <v>start /low /b %USERPROFILE%\Documents\GitHub\eaglep3\Utilities\DownloadLogsFromS3.py --loco 4031 --day 2017-03-07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"%USERPROFILE%\AppData\Local\Temp\OnboardLogs"\RTDC4031\*4031*20170308* | grep -SE "(Enforcement Action)|(\[TIMEOUT)|(CHR.+\|PRM\|1\|D.+(SWITCH|SIGNAL).+UNKNOWN)" - &gt;&gt; 2017-03-07-UncaughtWiMAX.txt</v>
      </c>
    </row>
    <row r="198" spans="1:40" x14ac:dyDescent="0.25">
      <c r="A198" s="33" t="s">
        <v>742</v>
      </c>
      <c r="B198" s="7">
        <v>4032</v>
      </c>
      <c r="C198" s="21" t="s">
        <v>233</v>
      </c>
      <c r="D198" s="21" t="s">
        <v>250</v>
      </c>
      <c r="E198" s="13">
        <v>42801.775069444448</v>
      </c>
      <c r="F198" s="13">
        <v>42801.776469907411</v>
      </c>
      <c r="G198" s="7">
        <v>1</v>
      </c>
      <c r="H198" s="21" t="s">
        <v>934</v>
      </c>
      <c r="I198" s="13">
        <v>42801.792291666665</v>
      </c>
      <c r="J198" s="7">
        <v>2</v>
      </c>
      <c r="K198" s="98" t="str">
        <f t="shared" si="55"/>
        <v>4031/4032</v>
      </c>
      <c r="L198" s="21" t="str">
        <f>VLOOKUP(A198,'Trips&amp;Operators'!$C$1:$G$99999,5,FALSE)</f>
        <v>LEVIN SCOTT</v>
      </c>
      <c r="M198" s="6">
        <f t="shared" si="56"/>
        <v>1.5821759254322387E-2</v>
      </c>
      <c r="N198" s="7">
        <f t="shared" si="75"/>
        <v>22.783333326224238</v>
      </c>
      <c r="O198" s="7"/>
      <c r="P198" s="7"/>
      <c r="Q198" s="22"/>
      <c r="R198" s="22"/>
      <c r="S198" s="31">
        <f t="shared" si="74"/>
        <v>1</v>
      </c>
      <c r="T198" s="46" t="str">
        <f t="shared" si="59"/>
        <v>Southbound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60"/>
        <v>https://d0f6bd738d7f1b3e5a7ca70fe4ff75f0.us-east-1.aws.found.io/app/kibana#/discover/Steve-Slow-Train-Analysis-(2080s-and-2083s)?_g=(refreshInterval:(display:Off,pause:!f,section:0,value:0),time:(from:'2017-03-07T17:36:06-0700',mode:absolute,to:'2017-03-07T20:00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8" s="187" t="str">
        <f t="shared" si="61"/>
        <v>N</v>
      </c>
      <c r="X198" s="187">
        <f t="shared" si="78"/>
        <v>1</v>
      </c>
      <c r="Y198" s="62">
        <f t="shared" si="77"/>
        <v>5.8623000000000003</v>
      </c>
      <c r="Z198" s="62">
        <f t="shared" si="62"/>
        <v>6.7100000000000007E-2</v>
      </c>
      <c r="AA198" s="62">
        <f t="shared" si="63"/>
        <v>5.7952000000000004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64"/>
        <v>0838-07</v>
      </c>
      <c r="AE198" s="85" t="str">
        <f t="shared" si="65"/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198" s="82" t="str">
        <f t="shared" si="66"/>
        <v>"C:\Program Files (x86)\AstroGrep\AstroGrep.exe" /spath="%USERPROFILE%\AppData\Local\Temp\OnboardLogs" /stypes="app*4032*20170308*" /stext=" 02:.+((SYSTEM_STATE.+slice.+state.+changed )|(ment ac)|(multiple cpu faults)|(system.+state.+changed )|(\[timeout)|(PRM\|1\|D)|(kpr)|(kdp)|(\|lc)|(penalty))" /e /r /s</v>
      </c>
      <c r="AG198" s="1" t="str">
        <f t="shared" si="67"/>
        <v>NW</v>
      </c>
      <c r="AH198" s="86" t="str">
        <f t="shared" si="68"/>
        <v>"%USERPROFILE%\Documents\GitHub\eaglep3\Utilities\RefineRTDCRunTimes.py" --tripid 838-07 --locoid 4032 --swversion DE.1.0.9.0 --startMP 300:58623 --initTime 2017-03-07T18:36:06 --startdatetime 2017-03-07T18:38:07 --delay 1 --endMP 204:671 --enddatetime 2017-03-07T19:00:54 --enforcementcount 2 &gt;&gt;C:\Users\stu\Documents\GitHub\eaglep3-reporting\EC\2017-03-07-refined-times.txt</v>
      </c>
      <c r="AI198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{"issue":{"subject":"","project_id":79,"tracker_id":40,"status_id":1,"priority_id":2,"assigned_to_id":23,"start_date":"2017-03-07","description":"","custom_fields":[{"id":1,"name":"Subdivision","value":"NW"},{"id":4,"name":"Milepost","value":"0.0671"},{"id":17,"name":"Train ID","value":"838-07"},{"id":16,"name":"Locomotive ID","value":"4032"},{"id":130,"name":"Impact","value":""},{"id":150,"name":"Time of Event (Mountain Time)","value":"19:00:54"},{"id":151,"name":"Denver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70"/>
        <v>start /low /b %USERPROFILE%\Documents\GitHub\eaglep3\Utilities\DownloadLogsFromS3.py --loco 4032 --day 2017-03-07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"%USERPROFILE%\AppData\Local\Temp\OnboardLogs"\RTDC4032\*4032*20170308* | grep -SE "(Enforcement Action)|(\[TIMEOUT)|(CHR.+\|PRM\|1\|D.+(SWITCH|SIGNAL).+UNKNOWN)" - &gt;&gt; 2017-03-07-UncaughtWiMAX.txt</v>
      </c>
    </row>
    <row r="199" spans="1:40" x14ac:dyDescent="0.25">
      <c r="A199" s="33" t="s">
        <v>741</v>
      </c>
      <c r="B199" s="7">
        <v>4025</v>
      </c>
      <c r="C199" s="21" t="s">
        <v>233</v>
      </c>
      <c r="D199" s="21" t="s">
        <v>912</v>
      </c>
      <c r="E199" s="13">
        <v>42801.771851851852</v>
      </c>
      <c r="F199" s="13">
        <v>42801.785613425927</v>
      </c>
      <c r="G199" s="7">
        <v>1</v>
      </c>
      <c r="H199" s="21" t="s">
        <v>948</v>
      </c>
      <c r="I199" s="13">
        <v>42801.79755787037</v>
      </c>
      <c r="J199" s="7">
        <v>2</v>
      </c>
      <c r="K199" s="98" t="str">
        <f t="shared" si="55"/>
        <v>4025/4026</v>
      </c>
      <c r="L199" s="21" t="str">
        <f>VLOOKUP(A199,'Trips&amp;Operators'!$C$1:$G$99999,5,FALSE)</f>
        <v>SWANSON BRYCE</v>
      </c>
      <c r="M199" s="6">
        <f t="shared" si="56"/>
        <v>1.1944444442633539E-2</v>
      </c>
      <c r="N199" s="7">
        <f t="shared" si="75"/>
        <v>17.199999997392297</v>
      </c>
      <c r="O199" s="7"/>
      <c r="P199" s="7"/>
      <c r="Q199" s="22"/>
      <c r="R199" s="22"/>
      <c r="S199" s="31">
        <f t="shared" si="74"/>
        <v>1</v>
      </c>
      <c r="T199" s="46" t="str">
        <f t="shared" si="59"/>
        <v>NorthBound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60"/>
        <v>https://d0f6bd738d7f1b3e5a7ca70fe4ff75f0.us-east-1.aws.found.io/app/kibana#/discover/Steve-Slow-Train-Analysis-(2080s-and-2083s)?_g=(refreshInterval:(display:Off,pause:!f,section:0,value:0),time:(from:'2017-03-07T17:31:28-0700',mode:absolute,to:'2017-03-07T20:08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9" s="187" t="str">
        <f t="shared" si="61"/>
        <v>N</v>
      </c>
      <c r="X199" s="187">
        <f t="shared" si="78"/>
        <v>1</v>
      </c>
      <c r="Y199" s="62">
        <f t="shared" si="77"/>
        <v>9.6199999999999994E-2</v>
      </c>
      <c r="Z199" s="62">
        <f t="shared" si="62"/>
        <v>5.8939000000000004</v>
      </c>
      <c r="AA199" s="62">
        <f t="shared" si="63"/>
        <v>5.7977000000000007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64"/>
        <v>0839-07</v>
      </c>
      <c r="AE199" s="85" t="str">
        <f t="shared" si="65"/>
        <v>aws s3 cp s3://rtdc.mdm.uploadarchive.raw/RTDC4025/ "%USERPROFILE%\AppData\Local\Temp\OnboardLogs"\RTDC4025\2017-03-07 --exclude "*" --recursive --include "*20170307*" &amp; "%USERPROFILE%\Documents\GitHub\mrs-test-scripts\Headless Mode &amp; Sideloading\WalkAndUnGZ.bat" "%USERPROFILE%\AppData\Local\Temp\OnboardLogs"\RTDC4025\2017-03-07 &amp; aws s3 cp s3://rtdc.mdm.uploadarchive.raw/RTDC4025/ "%USERPROFILE%\AppData\Local\Temp\OnboardLogs"\RTDC4025\2017-03-08 --exclude "*" --recursive --include "*20170308*" &amp; "%USERPROFILE%\Documents\GitHub\mrs-test-scripts\Headless Mode &amp; Sideloading\WalkAndUnGZ.bat" "%USERPROFILE%\AppData\Local\Temp\OnboardLogs"\RTDC4025\2017-03-08</v>
      </c>
      <c r="AF199" s="82" t="str">
        <f t="shared" si="66"/>
        <v>"C:\Program Files (x86)\AstroGrep\AstroGrep.exe" /spath="%USERPROFILE%\AppData\Local\Temp\OnboardLogs" /stypes="app*4025*20170308*" /stext=" 02:.+((SYSTEM_STATE.+slice.+state.+changed )|(ment ac)|(multiple cpu faults)|(system.+state.+changed )|(\[timeout)|(PRM\|1\|D)|(kpr)|(kdp)|(\|lc)|(penalty))" /e /r /s</v>
      </c>
      <c r="AG199" s="1" t="str">
        <f t="shared" si="67"/>
        <v>NW</v>
      </c>
      <c r="AH199" s="86" t="str">
        <f t="shared" si="68"/>
        <v>"%USERPROFILE%\Documents\GitHub\eaglep3\Utilities\RefineRTDCRunTimes.py" --tripid 839-07 --locoid 4025 --swversion DE.1.0.9.0 --startMP 204:962 --initTime 2017-03-07T18:31:28 --startdatetime 2017-03-07T18:51:17 --delay 1 --endMP 300:58939 --enddatetime 2017-03-07T19:08:29 --enforcementcount 2 &gt;&gt;C:\Users\stu\Documents\GitHub\eaglep3-reporting\EC\2017-03-07-refined-times.txt</v>
      </c>
      <c r="AI199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{"issue":{"subject":"","project_id":79,"tracker_id":40,"status_id":1,"priority_id":2,"assigned_to_id":23,"start_date":"2017-03-07","description":"","custom_fields":[{"id":1,"name":"Subdivision","value":"NW"},{"id":4,"name":"Milepost","value":"5.8939"},{"id":17,"name":"Train ID","value":"839-07"},{"id":16,"name":"Locomotive ID","value":"4025"},{"id":130,"name":"Impact","value":""},{"id":150,"name":"Time of Event (Mountain Time)","value":"19:08:29"},{"id":151,"name":"Denver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70"/>
        <v>start /low /b %USERPROFILE%\Documents\GitHub\eaglep3\Utilities\DownloadLogsFromS3.py --loco 4025 --day 2017-03-07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"%USERPROFILE%\AppData\Local\Temp\OnboardLogs"\RTDC4025\*4025*20170308* | grep -SE "(Enforcement Action)|(\[TIMEOUT)|(CHR.+\|PRM\|1\|D.+(SWITCH|SIGNAL).+UNKNOWN)" - &gt;&gt; 2017-03-07-UncaughtWiMAX.txt</v>
      </c>
    </row>
    <row r="200" spans="1:40" x14ac:dyDescent="0.25">
      <c r="A200" s="33" t="s">
        <v>751</v>
      </c>
      <c r="B200" s="7">
        <v>4032</v>
      </c>
      <c r="C200" s="21" t="s">
        <v>233</v>
      </c>
      <c r="D200" s="21" t="s">
        <v>530</v>
      </c>
      <c r="E200" s="13">
        <v>42801.816712962966</v>
      </c>
      <c r="F200" s="13">
        <v>42801.818067129629</v>
      </c>
      <c r="G200" s="7">
        <v>1</v>
      </c>
      <c r="H200" s="21" t="s">
        <v>527</v>
      </c>
      <c r="I200" s="13">
        <v>42801.830277777779</v>
      </c>
      <c r="J200" s="7">
        <v>2</v>
      </c>
      <c r="K200" s="98" t="str">
        <f t="shared" si="55"/>
        <v>4031/4032</v>
      </c>
      <c r="L200" s="21" t="str">
        <f>VLOOKUP(A200,'Trips&amp;Operators'!$C$1:$G$99999,5,FALSE)</f>
        <v>LEVIN SCOTT</v>
      </c>
      <c r="M200" s="6">
        <f t="shared" si="56"/>
        <v>1.2210648150357883E-2</v>
      </c>
      <c r="N200" s="7">
        <f t="shared" si="75"/>
        <v>17.583333336515352</v>
      </c>
      <c r="O200" s="7"/>
      <c r="P200" s="7"/>
      <c r="Q200" s="22"/>
      <c r="R200" s="22"/>
      <c r="S200" s="31">
        <f t="shared" si="74"/>
        <v>1</v>
      </c>
      <c r="T200" s="46" t="str">
        <f t="shared" si="59"/>
        <v>Southbound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60"/>
        <v>https://d0f6bd738d7f1b3e5a7ca70fe4ff75f0.us-east-1.aws.found.io/app/kibana#/discover/Steve-Slow-Train-Analysis-(2080s-and-2083s)?_g=(refreshInterval:(display:Off,pause:!f,section:0,value:0),time:(from:'2017-03-07T18:36:04-0700',mode:absolute,to:'2017-03-07T20:55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0" s="187" t="str">
        <f t="shared" si="61"/>
        <v>N</v>
      </c>
      <c r="X200" s="187">
        <f t="shared" si="78"/>
        <v>1</v>
      </c>
      <c r="Y200" s="62">
        <f t="shared" si="77"/>
        <v>5.8611000000000004</v>
      </c>
      <c r="Z200" s="62">
        <f t="shared" si="62"/>
        <v>6.6799999999999998E-2</v>
      </c>
      <c r="AA200" s="62">
        <f t="shared" si="63"/>
        <v>5.7943000000000007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64"/>
        <v>0840-07</v>
      </c>
      <c r="AE200" s="85" t="str">
        <f t="shared" si="65"/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200" s="82" t="str">
        <f t="shared" si="66"/>
        <v>"C:\Program Files (x86)\AstroGrep\AstroGrep.exe" /spath="%USERPROFILE%\AppData\Local\Temp\OnboardLogs" /stypes="app*4032*20170308*" /stext=" 02:.+((SYSTEM_STATE.+slice.+state.+changed )|(ment ac)|(multiple cpu faults)|(system.+state.+changed )|(\[timeout)|(PRM\|1\|D)|(kpr)|(kdp)|(\|lc)|(penalty))" /e /r /s</v>
      </c>
      <c r="AG200" s="1" t="str">
        <f t="shared" si="67"/>
        <v>NW</v>
      </c>
      <c r="AH200" s="86" t="str">
        <f t="shared" si="68"/>
        <v>"%USERPROFILE%\Documents\GitHub\eaglep3\Utilities\RefineRTDCRunTimes.py" --tripid 840-07 --locoid 4032 --swversion DE.1.0.9.0 --startMP 300:58611 --initTime 2017-03-07T19:36:04 --startdatetime 2017-03-07T19:38:01 --delay 1 --endMP 204:668 --enddatetime 2017-03-07T19:55:36 --enforcementcount 2 &gt;&gt;C:\Users\stu\Documents\GitHub\eaglep3-reporting\EC\2017-03-07-refined-times.txt</v>
      </c>
      <c r="AI200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{"issue":{"subject":"","project_id":79,"tracker_id":40,"status_id":1,"priority_id":2,"assigned_to_id":23,"start_date":"2017-03-07","description":"","custom_fields":[{"id":1,"name":"Subdivision","value":"NW"},{"id":4,"name":"Milepost","value":"0.0668"},{"id":17,"name":"Train ID","value":"840-07"},{"id":16,"name":"Locomotive ID","value":"4032"},{"id":130,"name":"Impact","value":""},{"id":150,"name":"Time of Event (Mountain Time)","value":"19:55:36"},{"id":151,"name":"Denver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70"/>
        <v>start /low /b %USERPROFILE%\Documents\GitHub\eaglep3\Utilities\DownloadLogsFromS3.py --loco 4032 --day 2017-03-07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"%USERPROFILE%\AppData\Local\Temp\OnboardLogs"\RTDC4032\*4032*20170308* | grep -SE "(Enforcement Action)|(\[TIMEOUT)|(CHR.+\|PRM\|1\|D.+(SWITCH|SIGNAL).+UNKNOWN)" - &gt;&gt; 2017-03-07-UncaughtWiMAX.txt</v>
      </c>
    </row>
    <row r="201" spans="1:40" x14ac:dyDescent="0.25">
      <c r="A201" s="33" t="s">
        <v>748</v>
      </c>
      <c r="B201" s="7">
        <v>4031</v>
      </c>
      <c r="C201" s="21" t="s">
        <v>233</v>
      </c>
      <c r="D201" s="21" t="s">
        <v>528</v>
      </c>
      <c r="E201" s="13">
        <v>42801.800636574073</v>
      </c>
      <c r="F201" s="13">
        <v>42801.806493055556</v>
      </c>
      <c r="G201" s="7">
        <v>0</v>
      </c>
      <c r="H201" s="21" t="s">
        <v>949</v>
      </c>
      <c r="I201" s="13">
        <v>42801.815520833334</v>
      </c>
      <c r="J201" s="7">
        <v>2</v>
      </c>
      <c r="K201" s="98" t="str">
        <f t="shared" si="55"/>
        <v>4031/4032</v>
      </c>
      <c r="L201" s="21" t="str">
        <f>VLOOKUP(A201,'Trips&amp;Operators'!$C$1:$G$99999,5,FALSE)</f>
        <v>LEVIN SCOTT</v>
      </c>
      <c r="M201" s="6">
        <f t="shared" si="56"/>
        <v>9.0277777781011537E-3</v>
      </c>
      <c r="N201" s="7">
        <f t="shared" si="75"/>
        <v>13.000000000465661</v>
      </c>
      <c r="O201" s="7"/>
      <c r="P201" s="7"/>
      <c r="Q201" s="22"/>
      <c r="R201" s="22"/>
      <c r="S201" s="31">
        <f t="shared" si="74"/>
        <v>1</v>
      </c>
      <c r="T201" s="46" t="str">
        <f t="shared" si="59"/>
        <v>NorthBound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60"/>
        <v>https://d0f6bd738d7f1b3e5a7ca70fe4ff75f0.us-east-1.aws.found.io/app/kibana#/discover/Steve-Slow-Train-Analysis-(2080s-and-2083s)?_g=(refreshInterval:(display:Off,pause:!f,section:0,value:0),time:(from:'2017-03-07T18:12:55-0700',mode:absolute,to:'2017-03-07T20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1" s="187" t="str">
        <f t="shared" si="61"/>
        <v>N</v>
      </c>
      <c r="X201" s="187">
        <f t="shared" si="78"/>
        <v>1</v>
      </c>
      <c r="Y201" s="62">
        <f t="shared" si="77"/>
        <v>9.6500000000000002E-2</v>
      </c>
      <c r="Z201" s="62">
        <f t="shared" si="62"/>
        <v>5.8924000000000003</v>
      </c>
      <c r="AA201" s="62">
        <f t="shared" si="63"/>
        <v>5.7959000000000005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64"/>
        <v>0841-07</v>
      </c>
      <c r="AE201" s="85" t="str">
        <f t="shared" si="65"/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201" s="82" t="str">
        <f t="shared" si="66"/>
        <v>"C:\Program Files (x86)\AstroGrep\AstroGrep.exe" /spath="%USERPROFILE%\AppData\Local\Temp\OnboardLogs" /stypes="app*4031*20170308*" /stext=" 02:.+((SYSTEM_STATE.+slice.+state.+changed )|(ment ac)|(multiple cpu faults)|(system.+state.+changed )|(\[timeout)|(PRM\|1\|D)|(kpr)|(kdp)|(\|lc)|(penalty))" /e /r /s</v>
      </c>
      <c r="AG201" s="1" t="str">
        <f t="shared" si="67"/>
        <v>NW</v>
      </c>
      <c r="AH201" s="86" t="str">
        <f t="shared" si="68"/>
        <v>"%USERPROFILE%\Documents\GitHub\eaglep3\Utilities\RefineRTDCRunTimes.py" --tripid 841-07 --locoid 4031 --swversion DE.1.0.9.0 --startMP 204:965 --initTime 2017-03-07T19:12:55 --startdatetime 2017-03-07T19:21:21 --delay 0 --endMP 300:58924 --enddatetime 2017-03-07T19:34:21 --enforcementcount 2 &gt;&gt;C:\Users\stu\Documents\GitHub\eaglep3-reporting\EC\2017-03-07-refined-times.txt</v>
      </c>
      <c r="AI201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{"issue":{"subject":"","project_id":79,"tracker_id":40,"status_id":1,"priority_id":2,"assigned_to_id":23,"start_date":"2017-03-07","description":"","custom_fields":[{"id":1,"name":"Subdivision","value":"NW"},{"id":4,"name":"Milepost","value":"5.8924"},{"id":17,"name":"Train ID","value":"841-07"},{"id":16,"name":"Locomotive ID","value":"4031"},{"id":130,"name":"Impact","value":""},{"id":150,"name":"Time of Event (Mountain Time)","value":"19:34:21"},{"id":151,"name":"Denver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70"/>
        <v>start /low /b %USERPROFILE%\Documents\GitHub\eaglep3\Utilities\DownloadLogsFromS3.py --loco 4031 --day 2017-03-07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"%USERPROFILE%\AppData\Local\Temp\OnboardLogs"\RTDC4031\*4031*20170308* | grep -SE "(Enforcement Action)|(\[TIMEOUT)|(CHR.+\|PRM\|1\|D.+(SWITCH|SIGNAL).+UNKNOWN)" - &gt;&gt; 2017-03-07-UncaughtWiMAX.txt</v>
      </c>
    </row>
    <row r="202" spans="1:40" x14ac:dyDescent="0.25">
      <c r="A202" s="33" t="s">
        <v>760</v>
      </c>
      <c r="B202" s="7">
        <v>4032</v>
      </c>
      <c r="C202" s="21" t="s">
        <v>233</v>
      </c>
      <c r="D202" s="21" t="s">
        <v>530</v>
      </c>
      <c r="E202" s="13">
        <v>42801.859444444446</v>
      </c>
      <c r="F202" s="13">
        <v>42801.860902777778</v>
      </c>
      <c r="G202" s="7">
        <v>1</v>
      </c>
      <c r="H202" s="21" t="s">
        <v>950</v>
      </c>
      <c r="I202" s="13">
        <v>42801.871481481481</v>
      </c>
      <c r="J202" s="7">
        <v>2</v>
      </c>
      <c r="K202" s="98" t="str">
        <f t="shared" si="55"/>
        <v>4031/4032</v>
      </c>
      <c r="L202" s="21" t="str">
        <f>VLOOKUP(A202,'Trips&amp;Operators'!$C$1:$G$99999,5,FALSE)</f>
        <v>LEVIN SCOTT</v>
      </c>
      <c r="M202" s="6">
        <f t="shared" si="56"/>
        <v>1.0578703702776693E-2</v>
      </c>
      <c r="N202" s="7">
        <f t="shared" si="75"/>
        <v>15.233333331998438</v>
      </c>
      <c r="O202" s="7"/>
      <c r="P202" s="7"/>
      <c r="Q202" s="22"/>
      <c r="R202" s="22"/>
      <c r="S202" s="31">
        <f t="shared" si="74"/>
        <v>1</v>
      </c>
      <c r="T202" s="46" t="str">
        <f t="shared" si="59"/>
        <v>Southbound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60"/>
        <v>https://d0f6bd738d7f1b3e5a7ca70fe4ff75f0.us-east-1.aws.found.io/app/kibana#/discover/Steve-Slow-Train-Analysis-(2080s-and-2083s)?_g=(refreshInterval:(display:Off,pause:!f,section:0,value:0),time:(from:'2017-03-07T19:37:36-0700',mode:absolute,to:'2017-03-07T21:54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2" s="187" t="str">
        <f t="shared" si="61"/>
        <v>N</v>
      </c>
      <c r="X202" s="187">
        <f t="shared" ref="X202:X233" si="79">VALUE(LEFT(AD202,4))-VALUE(LEFT(AD201,4))</f>
        <v>1</v>
      </c>
      <c r="Y202" s="62">
        <f t="shared" si="77"/>
        <v>5.8611000000000004</v>
      </c>
      <c r="Z202" s="62">
        <f t="shared" si="62"/>
        <v>7.0099999999999996E-2</v>
      </c>
      <c r="AA202" s="62">
        <f t="shared" si="63"/>
        <v>5.7910000000000004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64"/>
        <v>0842-07</v>
      </c>
      <c r="AE202" s="85" t="str">
        <f t="shared" si="65"/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202" s="82" t="str">
        <f t="shared" si="66"/>
        <v>"C:\Program Files (x86)\AstroGrep\AstroGrep.exe" /spath="%USERPROFILE%\AppData\Local\Temp\OnboardLogs" /stypes="app*4032*20170308*" /stext=" 03:.+((SYSTEM_STATE.+slice.+state.+changed )|(ment ac)|(multiple cpu faults)|(system.+state.+changed )|(\[timeout)|(PRM\|1\|D)|(kpr)|(kdp)|(\|lc)|(penalty))" /e /r /s</v>
      </c>
      <c r="AG202" s="1" t="str">
        <f t="shared" si="67"/>
        <v>NW</v>
      </c>
      <c r="AH202" s="86" t="str">
        <f t="shared" si="68"/>
        <v>"%USERPROFILE%\Documents\GitHub\eaglep3\Utilities\RefineRTDCRunTimes.py" --tripid 842-07 --locoid 4032 --swversion DE.1.0.9.0 --startMP 300:58611 --initTime 2017-03-07T20:37:36 --startdatetime 2017-03-07T20:39:42 --delay 1 --endMP 204:701 --enddatetime 2017-03-07T20:54:56 --enforcementcount 2 &gt;&gt;C:\Users\stu\Documents\GitHub\eaglep3-reporting\EC\2017-03-07-refined-times.txt</v>
      </c>
      <c r="AI202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{"issue":{"subject":"","project_id":79,"tracker_id":40,"status_id":1,"priority_id":2,"assigned_to_id":23,"start_date":"2017-03-07","description":"","custom_fields":[{"id":1,"name":"Subdivision","value":"NW"},{"id":4,"name":"Milepost","value":"0.0701"},{"id":17,"name":"Train ID","value":"842-07"},{"id":16,"name":"Locomotive ID","value":"4032"},{"id":130,"name":"Impact","value":""},{"id":150,"name":"Time of Event (Mountain Time)","value":"20:54:56"},{"id":151,"name":"Denver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70"/>
        <v>start /low /b %USERPROFILE%\Documents\GitHub\eaglep3\Utilities\DownloadLogsFromS3.py --loco 4032 --day 2017-03-07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"%USERPROFILE%\AppData\Local\Temp\OnboardLogs"\RTDC4032\*4032*20170308* | grep -SE "(Enforcement Action)|(\[TIMEOUT)|(CHR.+\|PRM\|1\|D.+(SWITCH|SIGNAL).+UNKNOWN)" - &gt;&gt; 2017-03-07-UncaughtWiMAX.txt</v>
      </c>
    </row>
    <row r="203" spans="1:40" x14ac:dyDescent="0.25">
      <c r="A203" s="33" t="s">
        <v>756</v>
      </c>
      <c r="B203" s="7">
        <v>4031</v>
      </c>
      <c r="C203" s="21" t="s">
        <v>233</v>
      </c>
      <c r="D203" s="21" t="s">
        <v>917</v>
      </c>
      <c r="E203" s="13">
        <v>42801.842256944445</v>
      </c>
      <c r="F203" s="13">
        <v>42801.848101851851</v>
      </c>
      <c r="G203" s="7">
        <v>1</v>
      </c>
      <c r="H203" s="21" t="s">
        <v>522</v>
      </c>
      <c r="I203" s="13">
        <v>42801.858136574076</v>
      </c>
      <c r="J203" s="7">
        <v>2</v>
      </c>
      <c r="K203" s="98" t="str">
        <f t="shared" si="55"/>
        <v>4031/4032</v>
      </c>
      <c r="L203" s="21" t="str">
        <f>VLOOKUP(A203,'Trips&amp;Operators'!$C$1:$G$99999,5,FALSE)</f>
        <v>LEVIN SCOTT</v>
      </c>
      <c r="M203" s="6">
        <f t="shared" si="56"/>
        <v>1.0034722225100268E-2</v>
      </c>
      <c r="N203" s="7">
        <f t="shared" si="75"/>
        <v>14.450000004144385</v>
      </c>
      <c r="O203" s="7"/>
      <c r="P203" s="7"/>
      <c r="Q203" s="22"/>
      <c r="R203" s="22"/>
      <c r="S203" s="31">
        <f t="shared" si="74"/>
        <v>1</v>
      </c>
      <c r="T203" s="46" t="str">
        <f t="shared" si="59"/>
        <v>NorthBound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60"/>
        <v>https://d0f6bd738d7f1b3e5a7ca70fe4ff75f0.us-east-1.aws.found.io/app/kibana#/discover/Steve-Slow-Train-Analysis-(2080s-and-2083s)?_g=(refreshInterval:(display:Off,pause:!f,section:0,value:0),time:(from:'2017-03-07T19:12:51-0700',mode:absolute,to:'2017-03-07T21:35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3" s="187" t="str">
        <f t="shared" si="61"/>
        <v>N</v>
      </c>
      <c r="X203" s="187">
        <f t="shared" si="79"/>
        <v>1</v>
      </c>
      <c r="Y203" s="62">
        <f t="shared" si="77"/>
        <v>9.5500000000000002E-2</v>
      </c>
      <c r="Z203" s="62">
        <f t="shared" si="62"/>
        <v>5.8929</v>
      </c>
      <c r="AA203" s="62">
        <f t="shared" si="63"/>
        <v>5.7973999999999997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64"/>
        <v>0843-07</v>
      </c>
      <c r="AE203" s="85" t="str">
        <f t="shared" si="65"/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203" s="82" t="str">
        <f t="shared" si="66"/>
        <v>"C:\Program Files (x86)\AstroGrep\AstroGrep.exe" /spath="%USERPROFILE%\AppData\Local\Temp\OnboardLogs" /stypes="app*4031*20170308*" /stext=" 03:.+((SYSTEM_STATE.+slice.+state.+changed )|(ment ac)|(multiple cpu faults)|(system.+state.+changed )|(\[timeout)|(PRM\|1\|D)|(kpr)|(kdp)|(\|lc)|(penalty))" /e /r /s</v>
      </c>
      <c r="AG203" s="1" t="str">
        <f t="shared" si="67"/>
        <v>NW</v>
      </c>
      <c r="AH203" s="86" t="str">
        <f t="shared" si="68"/>
        <v>"%USERPROFILE%\Documents\GitHub\eaglep3\Utilities\RefineRTDCRunTimes.py" --tripid 843-07 --locoid 4031 --swversion DE.1.0.9.0 --startMP 204:955 --initTime 2017-03-07T20:12:51 --startdatetime 2017-03-07T20:21:16 --delay 1 --endMP 300:58929 --enddatetime 2017-03-07T20:35:43 --enforcementcount 2 &gt;&gt;C:\Users\stu\Documents\GitHub\eaglep3-reporting\EC\2017-03-07-refined-times.txt</v>
      </c>
      <c r="AI203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{"issue":{"subject":"","project_id":79,"tracker_id":40,"status_id":1,"priority_id":2,"assigned_to_id":23,"start_date":"2017-03-07","description":"","custom_fields":[{"id":1,"name":"Subdivision","value":"NW"},{"id":4,"name":"Milepost","value":"5.8929"},{"id":17,"name":"Train ID","value":"843-07"},{"id":16,"name":"Locomotive ID","value":"4031"},{"id":130,"name":"Impact","value":""},{"id":150,"name":"Time of Event (Mountain Time)","value":"20:35:43"},{"id":151,"name":"Denver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70"/>
        <v>start /low /b %USERPROFILE%\Documents\GitHub\eaglep3\Utilities\DownloadLogsFromS3.py --loco 4031 --day 2017-03-07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"%USERPROFILE%\AppData\Local\Temp\OnboardLogs"\RTDC4031\*4031*20170308* | grep -SE "(Enforcement Action)|(\[TIMEOUT)|(CHR.+\|PRM\|1\|D.+(SWITCH|SIGNAL).+UNKNOWN)" - &gt;&gt; 2017-03-07-UncaughtWiMAX.txt</v>
      </c>
    </row>
    <row r="204" spans="1:40" x14ac:dyDescent="0.25">
      <c r="A204" s="33" t="s">
        <v>766</v>
      </c>
      <c r="B204" s="7">
        <v>4032</v>
      </c>
      <c r="C204" s="21" t="s">
        <v>233</v>
      </c>
      <c r="D204" s="21" t="s">
        <v>915</v>
      </c>
      <c r="E204" s="13">
        <v>42801.901400462964</v>
      </c>
      <c r="F204" s="13">
        <v>42801.902962962966</v>
      </c>
      <c r="G204" s="7">
        <v>1</v>
      </c>
      <c r="H204" s="21" t="s">
        <v>951</v>
      </c>
      <c r="I204" s="13">
        <v>42801.913564814815</v>
      </c>
      <c r="J204" s="7">
        <v>2</v>
      </c>
      <c r="K204" s="98" t="str">
        <f t="shared" si="55"/>
        <v>4031/4032</v>
      </c>
      <c r="L204" s="21" t="str">
        <f>VLOOKUP(A204,'Trips&amp;Operators'!$C$1:$G$99999,5,FALSE)</f>
        <v>SWANSON BRYCE</v>
      </c>
      <c r="M204" s="6">
        <f t="shared" si="56"/>
        <v>1.060185184906004E-2</v>
      </c>
      <c r="N204" s="7">
        <f t="shared" si="75"/>
        <v>15.266666662646458</v>
      </c>
      <c r="O204" s="7"/>
      <c r="P204" s="7"/>
      <c r="Q204" s="22"/>
      <c r="R204" s="22"/>
      <c r="S204" s="31">
        <f t="shared" si="74"/>
        <v>1</v>
      </c>
      <c r="T204" s="46" t="str">
        <f t="shared" si="59"/>
        <v>Southbound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60"/>
        <v>https://d0f6bd738d7f1b3e5a7ca70fe4ff75f0.us-east-1.aws.found.io/app/kibana#/discover/Steve-Slow-Train-Analysis-(2080s-and-2083s)?_g=(refreshInterval:(display:Off,pause:!f,section:0,value:0),time:(from:'2017-03-07T20:38:01-0700',mode:absolute,to:'2017-03-07T22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4" s="187" t="str">
        <f t="shared" si="61"/>
        <v>N</v>
      </c>
      <c r="X204" s="187">
        <f t="shared" si="79"/>
        <v>1</v>
      </c>
      <c r="Y204" s="62">
        <f t="shared" si="77"/>
        <v>5.8619000000000003</v>
      </c>
      <c r="Z204" s="62">
        <f t="shared" si="62"/>
        <v>7.17E-2</v>
      </c>
      <c r="AA204" s="62">
        <f t="shared" si="63"/>
        <v>5.7902000000000005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64"/>
        <v>0844-07</v>
      </c>
      <c r="AE204" s="85" t="str">
        <f t="shared" si="65"/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204" s="82" t="str">
        <f t="shared" si="66"/>
        <v>"C:\Program Files (x86)\AstroGrep\AstroGrep.exe" /spath="%USERPROFILE%\AppData\Local\Temp\OnboardLogs" /stypes="app*4032*20170308*" /stext=" 04:.+((SYSTEM_STATE.+slice.+state.+changed )|(ment ac)|(multiple cpu faults)|(system.+state.+changed )|(\[timeout)|(PRM\|1\|D)|(kpr)|(kdp)|(\|lc)|(penalty))" /e /r /s</v>
      </c>
      <c r="AG204" s="1" t="str">
        <f t="shared" si="67"/>
        <v>NW</v>
      </c>
      <c r="AH204" s="86" t="str">
        <f t="shared" si="68"/>
        <v>"%USERPROFILE%\Documents\GitHub\eaglep3\Utilities\RefineRTDCRunTimes.py" --tripid 844-07 --locoid 4032 --swversion DE.1.0.9.0 --startMP 300:58619 --initTime 2017-03-07T21:38:01 --startdatetime 2017-03-07T21:40:16 --delay 1 --endMP 204:717 --enddatetime 2017-03-07T21:55:32 --enforcementcount 2 &gt;&gt;C:\Users\stu\Documents\GitHub\eaglep3-reporting\EC\2017-03-07-refined-times.txt</v>
      </c>
      <c r="AI204" s="108" t="str">
        <f t="shared" si="69"/>
        <v>echo {"issue":{"subject":"","project_id":79,"tracker_id":40,"status_id":1,"priority_id":2,"assigned_to_id":23,"start_date":"2017-03-07","description":"","custom_fields":[{"id":1,"name":"Subdivision","value":"NW"},{"id":4,"name":"Milepost","value":"0.0717"},{"id":17,"name":"Train ID","value":"844-07"},{"id":16,"name":"Locomotive ID","value":"4032"},{"id":130,"name":"Impact","value":""},{"id":150,"name":"Time of Event (Mountain Time)","value":"21:55:32"},{"id":151,"name":"Denver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70"/>
        <v>start /low /b %USERPROFILE%\Documents\GitHub\eaglep3\Utilities\DownloadLogsFromS3.py --loco 4032 --day 2017-03-07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"%USERPROFILE%\AppData\Local\Temp\OnboardLogs"\RTDC4032\*4032*20170308* | grep -SE "(Enforcement Action)|(\[TIMEOUT)|(CHR.+\|PRM\|1\|D.+(SWITCH|SIGNAL).+UNKNOWN)" - &gt;&gt; 2017-03-07-UncaughtWiMAX.txt</v>
      </c>
    </row>
    <row r="205" spans="1:40" x14ac:dyDescent="0.25">
      <c r="A205" s="33" t="s">
        <v>764</v>
      </c>
      <c r="B205" s="7">
        <v>4031</v>
      </c>
      <c r="C205" s="21" t="s">
        <v>233</v>
      </c>
      <c r="D205" s="21" t="s">
        <v>521</v>
      </c>
      <c r="E205" s="13">
        <v>42801.874097222222</v>
      </c>
      <c r="F205" s="13">
        <v>42801.889849537038</v>
      </c>
      <c r="G205" s="7">
        <v>1</v>
      </c>
      <c r="H205" s="21" t="s">
        <v>249</v>
      </c>
      <c r="I205" s="13">
        <v>42801.900069444448</v>
      </c>
      <c r="J205" s="7">
        <v>2</v>
      </c>
      <c r="K205" s="98" t="str">
        <f t="shared" ref="K205:K251" si="80">IF(ISEVEN(B205),(B205-1)&amp;"/"&amp;B205,B205&amp;"/"&amp;(B205+1))</f>
        <v>4031/4032</v>
      </c>
      <c r="L205" s="21" t="str">
        <f>VLOOKUP(A205,'Trips&amp;Operators'!$C$1:$G$99999,5,FALSE)</f>
        <v>SWANSON BRYCE</v>
      </c>
      <c r="M205" s="6">
        <f t="shared" ref="M205:M251" si="81">I205-F205</f>
        <v>1.021990740991896E-2</v>
      </c>
      <c r="N205" s="7">
        <f t="shared" si="75"/>
        <v>14.716666670283303</v>
      </c>
      <c r="O205" s="7"/>
      <c r="P205" s="7"/>
      <c r="Q205" s="22"/>
      <c r="R205" s="22"/>
      <c r="S205" s="31">
        <f t="shared" ref="S205:S236" si="82">SUM(U205:U205)/IF(AG205="EC",12,1)</f>
        <v>1</v>
      </c>
      <c r="T205" s="46" t="str">
        <f t="shared" ref="T205:T251" si="83">IF(ISEVEN(LEFT(AD205,4)),"Southbound","NorthBound")</f>
        <v>NorthBound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 t="shared" ref="V205:V251" si="84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-07T19:58:42-0700',mode:absolute,to:'2017-03-07T22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5" s="187" t="str">
        <f t="shared" ref="W205:W251" si="85">IF(AA205&lt;IF(AG205="EC",23,5.65),"Y","N")</f>
        <v>N</v>
      </c>
      <c r="X205" s="187">
        <f t="shared" si="79"/>
        <v>1</v>
      </c>
      <c r="Y205" s="62">
        <f t="shared" si="77"/>
        <v>9.7900000000000001E-2</v>
      </c>
      <c r="Z205" s="62">
        <f t="shared" ref="Z205:Z251" si="86">RIGHT(H205,LEN(H205)-4)/10000</f>
        <v>5.8933</v>
      </c>
      <c r="AA205" s="62">
        <f t="shared" ref="AA205:AA251" si="87">ABS(Z205-Y205)</f>
        <v>5.7953999999999999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51" si="88">IF(LEN(A205)=6,"0"&amp;A205,A205)</f>
        <v>0845-07</v>
      </c>
      <c r="AE205" s="85" t="str">
        <f t="shared" ref="AE205:AE251" si="8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205" s="82" t="str">
        <f t="shared" ref="AF205:AF251" si="90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/stypes="app*4031*20170308*" /stext=" 04:.+((SYSTEM_STATE.+slice.+state.+changed )|(ment ac)|(multiple cpu faults)|(system.+state.+changed )|(\[timeout)|(PRM\|1\|D)|(kpr)|(kdp)|(\|lc)|(penalty))" /e /r /s</v>
      </c>
      <c r="AG205" s="1" t="str">
        <f t="shared" ref="AG205:AG251" si="91">IFERROR(IF(VALUE(LEFT(AD205,2))&lt;=2,"EC",IF(OR(VALUE(LEFT(AD205,2))=8,VALUE(LEFT(AD205,2))=18),"NW","Other")),"Other")</f>
        <v>NW</v>
      </c>
      <c r="AH205" s="86" t="str">
        <f t="shared" ref="AH205:AH251" si="92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845-07 --locoid 4031 --swversion DE.1.0.9.0 --startMP 204:979 --initTime 2017-03-07T20:58:42 --startdatetime 2017-03-07T21:21:23 --delay 1 --endMP 300:58933 --enddatetime 2017-03-07T21:36:06 --enforcementcount 2 &gt;&gt;C:\Users\stu\Documents\GitHub\eaglep3-reporting\EC\2017-03-07-refined-times.txt</v>
      </c>
      <c r="AI205" s="108" t="str">
        <f t="shared" ref="AI205:AI251" si="93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{"issue":{"subject":"","project_id":79,"tracker_id":40,"status_id":1,"priority_id":2,"assigned_to_id":23,"start_date":"2017-03-07","description":"","custom_fields":[{"id":1,"name":"Subdivision","value":"NW"},{"id":4,"name":"Milepost","value":"5.8933"},{"id":17,"name":"Train ID","value":"845-07"},{"id":16,"name":"Locomotive ID","value":"4031"},{"id":130,"name":"Impact","value":""},{"id":150,"name":"Time of Event (Mountain Time)","value":"21:36:06"},{"id":151,"name":"Denver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ref="AM205:AM251" si="94">"start /low /b "&amp;dls3logs&amp;" --loco "&amp;B205&amp;" --day "&amp;TEXT(F205,"YYYY-MM-DD")</f>
        <v>start /low /b %USERPROFILE%\Documents\GitHub\eaglep3\Utilities\DownloadLogsFromS3.py --loco 4031 --day 2017-03-07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"%USERPROFILE%\AppData\Local\Temp\OnboardLogs"\RTDC4031\*4031*20170308* | grep -SE "(Enforcement Action)|(\[TIMEOUT)|(CHR.+\|PRM\|1\|D.+(SWITCH|SIGNAL).+UNKNOWN)" - &gt;&gt; 2017-03-07-UncaughtWiMAX.txt</v>
      </c>
    </row>
    <row r="206" spans="1:40" x14ac:dyDescent="0.25">
      <c r="A206" s="33" t="s">
        <v>769</v>
      </c>
      <c r="B206" s="7">
        <v>4031</v>
      </c>
      <c r="C206" s="21" t="s">
        <v>233</v>
      </c>
      <c r="D206" s="21" t="s">
        <v>952</v>
      </c>
      <c r="E206" s="13">
        <v>42801.929039351853</v>
      </c>
      <c r="F206" s="13">
        <v>42801.931458333333</v>
      </c>
      <c r="G206" s="7">
        <v>1</v>
      </c>
      <c r="H206" s="21" t="s">
        <v>953</v>
      </c>
      <c r="I206" s="13">
        <v>42801.941504629627</v>
      </c>
      <c r="J206" s="7">
        <v>2</v>
      </c>
      <c r="K206" s="98" t="str">
        <f t="shared" si="80"/>
        <v>4031/4032</v>
      </c>
      <c r="L206" s="21" t="str">
        <f>VLOOKUP(A206,'Trips&amp;Operators'!$C$1:$G$99999,5,FALSE)</f>
        <v>SWANSON BRYCE</v>
      </c>
      <c r="M206" s="6">
        <f t="shared" si="81"/>
        <v>1.0046296294603962E-2</v>
      </c>
      <c r="N206" s="7">
        <f t="shared" si="75"/>
        <v>14.466666664229706</v>
      </c>
      <c r="O206" s="7"/>
      <c r="P206" s="7"/>
      <c r="Q206" s="22"/>
      <c r="R206" s="22"/>
      <c r="S206" s="31">
        <f t="shared" si="82"/>
        <v>1</v>
      </c>
      <c r="T206" s="46" t="str">
        <f t="shared" si="83"/>
        <v>NorthBound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 t="shared" si="84"/>
        <v>https://d0f6bd738d7f1b3e5a7ca70fe4ff75f0.us-east-1.aws.found.io/app/kibana#/discover/Steve-Slow-Train-Analysis-(2080s-and-2083s)?_g=(refreshInterval:(display:Off,pause:!f,section:0,value:0),time:(from:'2017-03-07T21:17:49-0700',mode:absolute,to:'2017-03-07T23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6" s="187" t="str">
        <f t="shared" si="85"/>
        <v>N</v>
      </c>
      <c r="X206" s="187">
        <f t="shared" si="79"/>
        <v>2</v>
      </c>
      <c r="Y206" s="62">
        <f t="shared" si="77"/>
        <v>9.9699999999999997E-2</v>
      </c>
      <c r="Z206" s="62">
        <f t="shared" si="86"/>
        <v>5.8926999999999996</v>
      </c>
      <c r="AA206" s="62">
        <f t="shared" si="87"/>
        <v>5.7929999999999993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88"/>
        <v>0847-07</v>
      </c>
      <c r="AE206" s="85" t="str">
        <f t="shared" si="89"/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206" s="82" t="str">
        <f t="shared" si="90"/>
        <v>"C:\Program Files (x86)\AstroGrep\AstroGrep.exe" /spath="%USERPROFILE%\AppData\Local\Temp\OnboardLogs" /stypes="app*4031*20170308*" /stext=" 05:.+((SYSTEM_STATE.+slice.+state.+changed )|(ment ac)|(multiple cpu faults)|(system.+state.+changed )|(\[timeout)|(PRM\|1\|D)|(kpr)|(kdp)|(\|lc)|(penalty))" /e /r /s</v>
      </c>
      <c r="AG206" s="1" t="str">
        <f t="shared" si="91"/>
        <v>NW</v>
      </c>
      <c r="AH206" s="86" t="str">
        <f t="shared" si="92"/>
        <v>"%USERPROFILE%\Documents\GitHub\eaglep3\Utilities\RefineRTDCRunTimes.py" --tripid 847-07 --locoid 4031 --swversion DE.1.0.9.0 --startMP 204:997 --initTime 2017-03-07T22:17:49 --startdatetime 2017-03-07T22:21:18 --delay 1 --endMP 300:58927 --enddatetime 2017-03-07T22:35:46 --enforcementcount 2 &gt;&gt;C:\Users\stu\Documents\GitHub\eaglep3-reporting\EC\2017-03-07-refined-times.txt</v>
      </c>
      <c r="AI206" s="108" t="str">
        <f t="shared" si="93"/>
        <v>echo {"issue":{"subject":"","project_id":79,"tracker_id":40,"status_id":1,"priority_id":2,"assigned_to_id":23,"start_date":"2017-03-07","description":"","custom_fields":[{"id":1,"name":"Subdivision","value":"NW"},{"id":4,"name":"Milepost","value":"5.8927"},{"id":17,"name":"Train ID","value":"847-07"},{"id":16,"name":"Locomotive ID","value":"4031"},{"id":130,"name":"Impact","value":""},{"id":150,"name":"Time of Event (Mountain Time)","value":"22:35:46"},{"id":151,"name":"Denver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94"/>
        <v>start /low /b %USERPROFILE%\Documents\GitHub\eaglep3\Utilities\DownloadLogsFromS3.py --loco 4031 --day 2017-03-07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"%USERPROFILE%\AppData\Local\Temp\OnboardLogs"\RTDC4031\*4031*20170308* | grep -SE "(Enforcement Action)|(\[TIMEOUT)|(CHR.+\|PRM\|1\|D.+(SWITCH|SIGNAL).+UNKNOWN)" - &gt;&gt; 2017-03-07-UncaughtWiMAX.txt</v>
      </c>
    </row>
    <row r="207" spans="1:40" x14ac:dyDescent="0.25">
      <c r="A207" s="33" t="s">
        <v>602</v>
      </c>
      <c r="B207" s="7">
        <v>4019</v>
      </c>
      <c r="C207" s="21" t="s">
        <v>233</v>
      </c>
      <c r="D207" s="21" t="s">
        <v>870</v>
      </c>
      <c r="E207" s="13">
        <v>42801.118935185186</v>
      </c>
      <c r="F207" s="13">
        <v>42801.121724537035</v>
      </c>
      <c r="G207" s="7">
        <v>3</v>
      </c>
      <c r="H207" s="21" t="s">
        <v>203</v>
      </c>
      <c r="I207" s="13">
        <v>42801.126064814816</v>
      </c>
      <c r="J207" s="7">
        <v>2</v>
      </c>
      <c r="K207" s="98" t="str">
        <f t="shared" si="80"/>
        <v>4019/4020</v>
      </c>
      <c r="L207" s="21" t="str">
        <f>VLOOKUP(A207,'Trips&amp;Operators'!$C$1:$G$99999,5,FALSE)</f>
        <v>SANTIZO D. EDY</v>
      </c>
      <c r="M207" s="6">
        <f t="shared" si="81"/>
        <v>4.3402777810115367E-3</v>
      </c>
      <c r="N207" s="7">
        <f t="shared" si="75"/>
        <v>6.2500000046566129</v>
      </c>
      <c r="O207" s="7"/>
      <c r="P207" s="7"/>
      <c r="Q207" s="22"/>
      <c r="R207" s="22"/>
      <c r="S207" s="31">
        <f t="shared" si="82"/>
        <v>1</v>
      </c>
      <c r="T207" s="46" t="str">
        <f t="shared" si="83"/>
        <v>Southbound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6" t="str">
        <f t="shared" si="84"/>
        <v>https://d0f6bd738d7f1b3e5a7ca70fe4ff75f0.us-east-1.aws.found.io/app/kibana#/discover/Steve-Slow-Train-Analysis-(2080s-and-2083s)?_g=(refreshInterval:(display:Off,pause:!f,section:0,value:0),time:(from:'2017-03-07T01:51:16-0700',mode:absolute,to:'2017-03-07T04:01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7" s="187" t="str">
        <f t="shared" si="85"/>
        <v>Y</v>
      </c>
      <c r="X207" s="187">
        <f t="shared" si="79"/>
        <v>-545</v>
      </c>
      <c r="Y207" s="62">
        <f t="shared" si="77"/>
        <v>1.9438</v>
      </c>
      <c r="Z207" s="62">
        <f t="shared" si="86"/>
        <v>1.52E-2</v>
      </c>
      <c r="AA207" s="62">
        <f t="shared" si="87"/>
        <v>1.9285999999999999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88"/>
        <v>0302-07</v>
      </c>
      <c r="AE207" s="85" t="str">
        <f t="shared" si="89"/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AF207" s="82" t="str">
        <f t="shared" si="90"/>
        <v>"C:\Program Files (x86)\AstroGrep\AstroGrep.exe" /spath="%USERPROFILE%\AppData\Local\Temp\OnboardLogs" /stypes="app*4019*20170307*" /stext=" 10:.+((SYSTEM_STATE.+slice.+state.+changed )|(ment ac)|(multiple cpu faults)|(system.+state.+changed )|(\[timeout)|(PRM\|1\|D)|(kpr)|(kdp)|(\|lc)|(penalty))" /e /r /s</v>
      </c>
      <c r="AG207" s="1" t="str">
        <f t="shared" si="91"/>
        <v>Other</v>
      </c>
      <c r="AH207" s="86" t="str">
        <f t="shared" si="92"/>
        <v>"%USERPROFILE%\Documents\GitHub\eaglep3\Utilities\RefineRTDCRunTimes.py" --tripid 302-07 --locoid 4019 --swversion DE.1.0.9.0 --startMP 300:19438 --initTime 2017-03-07T02:51:16 --startdatetime 2017-03-07T02:55:17 --delay 3 --endMP 204:152 --enddatetime 2017-03-07T03:01:32 --enforcementcount 2 &gt;&gt;C:\Users\stu\Documents\GitHub\eaglep3-reporting\EC\2017-03-07-refined-times.txt</v>
      </c>
      <c r="AI207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{"issue":{"subject":"","project_id":79,"tracker_id":40,"status_id":1,"priority_id":2,"assigned_to_id":23,"start_date":"2017-03-07","description":"","custom_fields":[{"id":1,"name":"Subdivision","value":"Other"},{"id":4,"name":"Milepost","value":"0.0152"},{"id":17,"name":"Train ID","value":"302-07"},{"id":16,"name":"Locomotive ID","value":"4019"},{"id":130,"name":"Impact","value":""},{"id":150,"name":"Time of Event (Mountain Time)","value":"03:01:32"},{"id":151,"name":"Denver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94"/>
        <v>start /low /b %USERPROFILE%\Documents\GitHub\eaglep3\Utilities\DownloadLogsFromS3.py --loco 4019 --day 2017-03-07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"%USERPROFILE%\AppData\Local\Temp\OnboardLogs"\RTDC4019\*4019*20170307* | grep -SE "(Enforcement Action)|(\[TIMEOUT)|(CHR.+\|PRM\|1\|D.+(SWITCH|SIGNAL).+UNKNOWN)" - &gt;&gt; 2017-03-07-UncaughtWiMAX.txt</v>
      </c>
    </row>
    <row r="208" spans="1:40" x14ac:dyDescent="0.25">
      <c r="A208" s="33" t="s">
        <v>744</v>
      </c>
      <c r="B208" s="7">
        <v>4016</v>
      </c>
      <c r="C208" s="21" t="s">
        <v>233</v>
      </c>
      <c r="D208" s="21" t="s">
        <v>426</v>
      </c>
      <c r="E208" s="13">
        <v>42801.781608796293</v>
      </c>
      <c r="F208" s="13">
        <v>42801.783043981479</v>
      </c>
      <c r="G208" s="7">
        <v>1</v>
      </c>
      <c r="H208" s="21" t="s">
        <v>517</v>
      </c>
      <c r="I208" s="13">
        <v>42801.791481481479</v>
      </c>
      <c r="J208" s="7">
        <v>2</v>
      </c>
      <c r="K208" s="98" t="str">
        <f t="shared" si="80"/>
        <v>4015/4016</v>
      </c>
      <c r="L208" s="21" t="str">
        <f>VLOOKUP(A208,'Trips&amp;Operators'!$C$1:$G$99999,5,FALSE)</f>
        <v>CLARK KATHLEEN</v>
      </c>
      <c r="M208" s="6">
        <f t="shared" si="81"/>
        <v>8.4375000005820766E-3</v>
      </c>
      <c r="N208" s="7">
        <f t="shared" si="75"/>
        <v>12.15000000083819</v>
      </c>
      <c r="O208" s="7"/>
      <c r="P208" s="7"/>
      <c r="Q208" s="22"/>
      <c r="R208" s="22"/>
      <c r="S208" s="31">
        <f t="shared" si="82"/>
        <v>1</v>
      </c>
      <c r="T208" s="46" t="str">
        <f t="shared" si="83"/>
        <v>NorthBound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6" t="str">
        <f t="shared" si="84"/>
        <v>https://d0f6bd738d7f1b3e5a7ca70fe4ff75f0.us-east-1.aws.found.io/app/kibana#/discover/Steve-Slow-Train-Analysis-(2080s-and-2083s)?_g=(refreshInterval:(display:Off,pause:!f,section:0,value:0),time:(from:'2017-03-07T17:45:31-0700',mode:absolute,to:'2017-03-07T19:59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8" s="187" t="str">
        <f t="shared" si="85"/>
        <v>Y</v>
      </c>
      <c r="X208" s="187">
        <f t="shared" si="79"/>
        <v>1</v>
      </c>
      <c r="Y208" s="62">
        <f t="shared" si="77"/>
        <v>4.8399999999999999E-2</v>
      </c>
      <c r="Z208" s="62">
        <f t="shared" si="86"/>
        <v>2.3346</v>
      </c>
      <c r="AA208" s="62">
        <f t="shared" si="87"/>
        <v>2.2862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88"/>
        <v>0303-07</v>
      </c>
      <c r="AE208" s="85" t="str">
        <f t="shared" si="89"/>
        <v>aws s3 cp s3://rtdc.mdm.uploadarchive.raw/RTDC4016/ "%USERPROFILE%\AppData\Local\Temp\OnboardLogs"\RTDC4016\2017-03-07 --exclude "*" --recursive --include "*20170307*" &amp; "%USERPROFILE%\Documents\GitHub\mrs-test-scripts\Headless Mode &amp; Sideloading\WalkAndUnGZ.bat" "%USERPROFILE%\AppData\Local\Temp\OnboardLogs"\RTDC4016\2017-03-07 &amp; aws s3 cp s3://rtdc.mdm.uploadarchive.raw/RTDC4016/ "%USERPROFILE%\AppData\Local\Temp\OnboardLogs"\RTDC4016\2017-03-08 --exclude "*" --recursive --include "*20170308*" &amp; "%USERPROFILE%\Documents\GitHub\mrs-test-scripts\Headless Mode &amp; Sideloading\WalkAndUnGZ.bat" "%USERPROFILE%\AppData\Local\Temp\OnboardLogs"\RTDC4016\2017-03-08</v>
      </c>
      <c r="AF208" s="82" t="str">
        <f t="shared" si="90"/>
        <v>"C:\Program Files (x86)\AstroGrep\AstroGrep.exe" /spath="%USERPROFILE%\AppData\Local\Temp\OnboardLogs" /stypes="app*4016*20170308*" /stext=" 01:.+((SYSTEM_STATE.+slice.+state.+changed )|(ment ac)|(multiple cpu faults)|(system.+state.+changed )|(\[timeout)|(PRM\|1\|D)|(kpr)|(kdp)|(\|lc)|(penalty))" /e /r /s</v>
      </c>
      <c r="AG208" s="1" t="str">
        <f t="shared" si="91"/>
        <v>Other</v>
      </c>
      <c r="AH208" s="86" t="str">
        <f t="shared" si="92"/>
        <v>"%USERPROFILE%\Documents\GitHub\eaglep3\Utilities\RefineRTDCRunTimes.py" --tripid 303-07 --locoid 4016 --swversion DE.1.0.9.0 --startMP 204:484 --initTime 2017-03-07T18:45:31 --startdatetime 2017-03-07T18:47:35 --delay 1 --endMP 300:23346 --enddatetime 2017-03-07T18:59:44 --enforcementcount 2 &gt;&gt;C:\Users\stu\Documents\GitHub\eaglep3-reporting\EC\2017-03-07-refined-times.txt</v>
      </c>
      <c r="AI208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{"issue":{"subject":"","project_id":79,"tracker_id":40,"status_id":1,"priority_id":2,"assigned_to_id":23,"start_date":"2017-03-07","description":"","custom_fields":[{"id":1,"name":"Subdivision","value":"Other"},{"id":4,"name":"Milepost","value":"2.3346"},{"id":17,"name":"Train ID","value":"303-07"},{"id":16,"name":"Locomotive ID","value":"4016"},{"id":130,"name":"Impact","value":""},{"id":150,"name":"Time of Event (Mountain Time)","value":"18:59:44"},{"id":151,"name":"Denver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94"/>
        <v>start /low /b %USERPROFILE%\Documents\GitHub\eaglep3\Utilities\DownloadLogsFromS3.py --loco 4016 --day 2017-03-07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"%USERPROFILE%\AppData\Local\Temp\OnboardLogs"\RTDC4016\*4016*20170308* | grep -SE "(Enforcement Action)|(\[TIMEOUT)|(CHR.+\|PRM\|1\|D.+(SWITCH|SIGNAL).+UNKNOWN)" - &gt;&gt; 2017-03-07-UncaughtWiMAX.txt</v>
      </c>
    </row>
    <row r="209" spans="1:40" x14ac:dyDescent="0.25">
      <c r="A209" s="33" t="s">
        <v>603</v>
      </c>
      <c r="B209" s="7">
        <v>4005</v>
      </c>
      <c r="C209" s="21" t="s">
        <v>233</v>
      </c>
      <c r="D209" s="21" t="s">
        <v>871</v>
      </c>
      <c r="E209" s="13">
        <v>42801.14366898148</v>
      </c>
      <c r="F209" s="13">
        <v>42801.145578703705</v>
      </c>
      <c r="G209" s="7">
        <v>2</v>
      </c>
      <c r="H209" s="21" t="s">
        <v>226</v>
      </c>
      <c r="I209" s="13">
        <v>42801.151238425926</v>
      </c>
      <c r="J209" s="7">
        <v>2</v>
      </c>
      <c r="K209" s="98" t="str">
        <f t="shared" si="80"/>
        <v>4005/4006</v>
      </c>
      <c r="L209" s="21" t="str">
        <f>VLOOKUP(A209,'Trips&amp;Operators'!$C$1:$G$99999,5,FALSE)</f>
        <v>MAELZER KURT</v>
      </c>
      <c r="M209" s="6">
        <f t="shared" si="81"/>
        <v>5.6597222210257314E-3</v>
      </c>
      <c r="N209" s="7">
        <f t="shared" si="75"/>
        <v>8.1499999982770532</v>
      </c>
      <c r="O209" s="7"/>
      <c r="P209" s="7"/>
      <c r="Q209" s="22"/>
      <c r="R209" s="22"/>
      <c r="S209" s="31">
        <f t="shared" si="82"/>
        <v>1</v>
      </c>
      <c r="T209" s="46" t="str">
        <f t="shared" si="83"/>
        <v>Southbound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6" t="str">
        <f t="shared" si="84"/>
        <v>https://d0f6bd738d7f1b3e5a7ca70fe4ff75f0.us-east-1.aws.found.io/app/kibana#/discover/Steve-Slow-Train-Analysis-(2080s-and-2083s)?_g=(refreshInterval:(display:Off,pause:!f,section:0,value:0),time:(from:'2017-03-07T02:26:53-0700',mode:absolute,to:'2017-03-07T04:37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9" s="187" t="str">
        <f t="shared" si="85"/>
        <v>Y</v>
      </c>
      <c r="X209" s="187">
        <f t="shared" si="79"/>
        <v>1</v>
      </c>
      <c r="Y209" s="62">
        <f t="shared" si="77"/>
        <v>2.351</v>
      </c>
      <c r="Z209" s="62">
        <f t="shared" si="86"/>
        <v>1.47E-2</v>
      </c>
      <c r="AA209" s="62">
        <f t="shared" si="87"/>
        <v>2.3363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88"/>
        <v>0304-07</v>
      </c>
      <c r="AE209" s="85" t="str">
        <f t="shared" si="89"/>
        <v>aws s3 cp s3://rtdc.mdm.uploadarchive.raw/RTDC4005/ "%USERPROFILE%\AppData\Local\Temp\OnboardLogs"\RTDC4005\2017-03-07 --exclude "*" --recursive --include "*20170307*" &amp; "%USERPROFILE%\Documents\GitHub\mrs-test-scripts\Headless Mode &amp; Sideloading\WalkAndUnGZ.bat" "%USERPROFILE%\AppData\Local\Temp\OnboardLogs"\RTDC4005\2017-03-07 &amp; aws s3 cp s3://rtdc.mdm.uploadarchive.raw/RTDC4005/ "%USERPROFILE%\AppData\Local\Temp\OnboardLogs"\RTDC4005\2017-03-08 --exclude "*" --recursive --include "*20170308*" &amp; "%USERPROFILE%\Documents\GitHub\mrs-test-scripts\Headless Mode &amp; Sideloading\WalkAndUnGZ.bat" "%USERPROFILE%\AppData\Local\Temp\OnboardLogs"\RTDC4005\2017-03-08</v>
      </c>
      <c r="AF209" s="82" t="str">
        <f t="shared" si="90"/>
        <v>"C:\Program Files (x86)\AstroGrep\AstroGrep.exe" /spath="%USERPROFILE%\AppData\Local\Temp\OnboardLogs" /stypes="app*4005*20170307*" /stext=" 10:.+((SYSTEM_STATE.+slice.+state.+changed )|(ment ac)|(multiple cpu faults)|(system.+state.+changed )|(\[timeout)|(PRM\|1\|D)|(kpr)|(kdp)|(\|lc)|(penalty))" /e /r /s</v>
      </c>
      <c r="AG209" s="1" t="str">
        <f t="shared" si="91"/>
        <v>Other</v>
      </c>
      <c r="AH209" s="86" t="str">
        <f t="shared" si="92"/>
        <v>"%USERPROFILE%\Documents\GitHub\eaglep3\Utilities\RefineRTDCRunTimes.py" --tripid 304-07 --locoid 4005 --swversion DE.1.0.9.0 --startMP 300:23510 --initTime 2017-03-07T03:26:53 --startdatetime 2017-03-07T03:29:38 --delay 2 --endMP 204:147 --enddatetime 2017-03-07T03:37:47 --enforcementcount 2 &gt;&gt;C:\Users\stu\Documents\GitHub\eaglep3-reporting\EC\2017-03-07-refined-times.txt</v>
      </c>
      <c r="AI209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{"issue":{"subject":"","project_id":79,"tracker_id":40,"status_id":1,"priority_id":2,"assigned_to_id":23,"start_date":"2017-03-07","description":"","custom_fields":[{"id":1,"name":"Subdivision","value":"Other"},{"id":4,"name":"Milepost","value":"0.0147"},{"id":17,"name":"Train ID","value":"304-07"},{"id":16,"name":"Locomotive ID","value":"4005"},{"id":130,"name":"Impact","value":""},{"id":150,"name":"Time of Event (Mountain Time)","value":"03:37:47"},{"id":151,"name":"Denver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94"/>
        <v>start /low /b %USERPROFILE%\Documents\GitHub\eaglep3\Utilities\DownloadLogsFromS3.py --loco 4005 --day 2017-03-07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"%USERPROFILE%\AppData\Local\Temp\OnboardLogs"\RTDC4005\*4005*20170307* | grep -SE "(Enforcement Action)|(\[TIMEOUT)|(CHR.+\|PRM\|1\|D.+(SWITCH|SIGNAL).+UNKNOWN)" - &gt;&gt; 2017-03-07-UncaughtWiMAX.txt</v>
      </c>
    </row>
    <row r="210" spans="1:40" x14ac:dyDescent="0.25">
      <c r="A210" s="33" t="s">
        <v>593</v>
      </c>
      <c r="B210" s="7">
        <v>4011</v>
      </c>
      <c r="C210" s="21" t="s">
        <v>233</v>
      </c>
      <c r="D210" s="21" t="s">
        <v>244</v>
      </c>
      <c r="E210" s="13">
        <v>42801.799837962964</v>
      </c>
      <c r="F210" s="13">
        <v>42801.802002314813</v>
      </c>
      <c r="G210" s="7">
        <v>1</v>
      </c>
      <c r="H210" s="21" t="s">
        <v>872</v>
      </c>
      <c r="I210" s="13">
        <v>42801.808888888889</v>
      </c>
      <c r="J210" s="7">
        <v>2</v>
      </c>
      <c r="K210" s="98" t="str">
        <f t="shared" si="80"/>
        <v>4011/4012</v>
      </c>
      <c r="L210" s="21" t="str">
        <f>VLOOKUP(A210,'Trips&amp;Operators'!$C$1:$G$99999,5,FALSE)</f>
        <v>LOCKLEAR TRAVIS</v>
      </c>
      <c r="M210" s="6">
        <f t="shared" si="81"/>
        <v>6.8865740759065375E-3</v>
      </c>
      <c r="N210" s="7">
        <f t="shared" si="75"/>
        <v>9.916666669305414</v>
      </c>
      <c r="O210" s="7"/>
      <c r="P210" s="7"/>
      <c r="Q210" s="22"/>
      <c r="R210" s="22"/>
      <c r="S210" s="31">
        <f t="shared" si="82"/>
        <v>1</v>
      </c>
      <c r="T210" s="46" t="str">
        <f t="shared" si="83"/>
        <v>NorthBound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6" t="str">
        <f t="shared" si="84"/>
        <v>https://d0f6bd738d7f1b3e5a7ca70fe4ff75f0.us-east-1.aws.found.io/app/kibana#/discover/Steve-Slow-Train-Analysis-(2080s-and-2083s)?_g=(refreshInterval:(display:Off,pause:!f,section:0,value:0),time:(from:'2017-03-07T18:11:46-0700',mode:absolute,to:'2017-03-07T20:24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0" s="187" t="str">
        <f t="shared" si="85"/>
        <v>Y</v>
      </c>
      <c r="X210" s="187">
        <f t="shared" si="79"/>
        <v>1</v>
      </c>
      <c r="Y210" s="62">
        <f t="shared" si="77"/>
        <v>4.6699999999999998E-2</v>
      </c>
      <c r="Z210" s="62">
        <f t="shared" si="86"/>
        <v>2.3313999999999999</v>
      </c>
      <c r="AA210" s="62">
        <f t="shared" si="87"/>
        <v>2.2847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88"/>
        <v>0305-07</v>
      </c>
      <c r="AE210" s="85" t="str">
        <f t="shared" si="89"/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AF210" s="82" t="str">
        <f t="shared" si="90"/>
        <v>"C:\Program Files (x86)\AstroGrep\AstroGrep.exe" /spath="%USERPROFILE%\AppData\Local\Temp\OnboardLogs" /stypes="app*4011*20170308*" /stext=" 02:.+((SYSTEM_STATE.+slice.+state.+changed )|(ment ac)|(multiple cpu faults)|(system.+state.+changed )|(\[timeout)|(PRM\|1\|D)|(kpr)|(kdp)|(\|lc)|(penalty))" /e /r /s</v>
      </c>
      <c r="AG210" s="1" t="str">
        <f t="shared" si="91"/>
        <v>Other</v>
      </c>
      <c r="AH210" s="86" t="str">
        <f t="shared" si="92"/>
        <v>"%USERPROFILE%\Documents\GitHub\eaglep3\Utilities\RefineRTDCRunTimes.py" --tripid 305-07 --locoid 4011 --swversion DE.1.0.9.0 --startMP 204:467 --initTime 2017-03-07T19:11:46 --startdatetime 2017-03-07T19:14:53 --delay 1 --endMP 300:23314 --enddatetime 2017-03-07T19:24:48 --enforcementcount 2 &gt;&gt;C:\Users\stu\Documents\GitHub\eaglep3-reporting\EC\2017-03-07-refined-times.txt</v>
      </c>
      <c r="AI210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{"issue":{"subject":"","project_id":79,"tracker_id":40,"status_id":1,"priority_id":2,"assigned_to_id":23,"start_date":"2017-03-07","description":"","custom_fields":[{"id":1,"name":"Subdivision","value":"Other"},{"id":4,"name":"Milepost","value":"2.3314"},{"id":17,"name":"Train ID","value":"305-07"},{"id":16,"name":"Locomotive ID","value":"4011"},{"id":130,"name":"Impact","value":""},{"id":150,"name":"Time of Event (Mountain Time)","value":"19:24:48"},{"id":151,"name":"Denver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94"/>
        <v>start /low /b %USERPROFILE%\Documents\GitHub\eaglep3\Utilities\DownloadLogsFromS3.py --loco 4011 --day 2017-03-07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"%USERPROFILE%\AppData\Local\Temp\OnboardLogs"\RTDC4011\*4011*20170308* | grep -SE "(Enforcement Action)|(\[TIMEOUT)|(CHR.+\|PRM\|1\|D.+(SWITCH|SIGNAL).+UNKNOWN)" - &gt;&gt; 2017-03-07-UncaughtWiMAX.txt</v>
      </c>
    </row>
    <row r="211" spans="1:40" x14ac:dyDescent="0.25">
      <c r="A211" s="33" t="s">
        <v>604</v>
      </c>
      <c r="B211" s="7">
        <v>4017</v>
      </c>
      <c r="C211" s="21" t="s">
        <v>233</v>
      </c>
      <c r="D211" s="21" t="s">
        <v>873</v>
      </c>
      <c r="E211" s="13">
        <v>42801.162152777775</v>
      </c>
      <c r="F211" s="13">
        <v>42801.165208333332</v>
      </c>
      <c r="G211" s="7">
        <v>1</v>
      </c>
      <c r="H211" s="21" t="s">
        <v>221</v>
      </c>
      <c r="I211" s="13">
        <v>42801.171307870369</v>
      </c>
      <c r="J211" s="7">
        <v>2</v>
      </c>
      <c r="K211" s="98" t="str">
        <f t="shared" si="80"/>
        <v>4017/4018</v>
      </c>
      <c r="L211" s="21" t="str">
        <f>VLOOKUP(A211,'Trips&amp;Operators'!$C$1:$G$99999,5,FALSE)</f>
        <v>STARKS ANGELINA</v>
      </c>
      <c r="M211" s="6">
        <f t="shared" si="81"/>
        <v>6.0995370367891155E-3</v>
      </c>
      <c r="N211" s="7">
        <f t="shared" si="75"/>
        <v>8.7833333329763263</v>
      </c>
      <c r="O211" s="7"/>
      <c r="P211" s="7"/>
      <c r="Q211" s="22"/>
      <c r="R211" s="22"/>
      <c r="S211" s="31">
        <f t="shared" si="82"/>
        <v>1</v>
      </c>
      <c r="T211" s="46" t="str">
        <f t="shared" si="83"/>
        <v>Southbound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6" t="str">
        <f t="shared" si="84"/>
        <v>https://d0f6bd738d7f1b3e5a7ca70fe4ff75f0.us-east-1.aws.found.io/app/kibana#/discover/Steve-Slow-Train-Analysis-(2080s-and-2083s)?_g=(refreshInterval:(display:Off,pause:!f,section:0,value:0),time:(from:'2017-03-07T02:53:30-0700',mode:absolute,to:'2017-03-07T05:06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1" s="187" t="str">
        <f t="shared" si="85"/>
        <v>Y</v>
      </c>
      <c r="X211" s="187">
        <f t="shared" si="79"/>
        <v>1</v>
      </c>
      <c r="Y211" s="62">
        <f t="shared" si="77"/>
        <v>2.5127999999999999</v>
      </c>
      <c r="Z211" s="62">
        <f t="shared" si="86"/>
        <v>1.41E-2</v>
      </c>
      <c r="AA211" s="62">
        <f t="shared" si="87"/>
        <v>2.4986999999999999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88"/>
        <v>0306-07</v>
      </c>
      <c r="AE211" s="85" t="str">
        <f t="shared" si="89"/>
        <v>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 &amp; aws s3 cp s3://rtdc.mdm.uploadarchive.raw/RTDC4017/ "%USERPROFILE%\AppData\Local\Temp\OnboardLogs"\RTDC4017\2017-03-08 --exclude "*" --recursive --include "*20170308*" &amp; "%USERPROFILE%\Documents\GitHub\mrs-test-scripts\Headless Mode &amp; Sideloading\WalkAndUnGZ.bat" "%USERPROFILE%\AppData\Local\Temp\OnboardLogs"\RTDC4017\2017-03-08</v>
      </c>
      <c r="AF211" s="82" t="str">
        <f t="shared" si="90"/>
        <v>"C:\Program Files (x86)\AstroGrep\AstroGrep.exe" /spath="%USERPROFILE%\AppData\Local\Temp\OnboardLogs" /stypes="app*4017*20170307*" /stext=" 11:.+((SYSTEM_STATE.+slice.+state.+changed )|(ment ac)|(multiple cpu faults)|(system.+state.+changed )|(\[timeout)|(PRM\|1\|D)|(kpr)|(kdp)|(\|lc)|(penalty))" /e /r /s</v>
      </c>
      <c r="AG211" s="1" t="str">
        <f t="shared" si="91"/>
        <v>Other</v>
      </c>
      <c r="AH211" s="86" t="str">
        <f t="shared" si="92"/>
        <v>"%USERPROFILE%\Documents\GitHub\eaglep3\Utilities\RefineRTDCRunTimes.py" --tripid 306-07 --locoid 4017 --swversion DE.1.0.9.0 --startMP 300:25128 --initTime 2017-03-07T03:53:30 --startdatetime 2017-03-07T03:57:54 --delay 1 --endMP 204:141 --enddatetime 2017-03-07T04:06:41 --enforcementcount 2 &gt;&gt;C:\Users\stu\Documents\GitHub\eaglep3-reporting\EC\2017-03-07-refined-times.txt</v>
      </c>
      <c r="AI211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{"issue":{"subject":"","project_id":79,"tracker_id":40,"status_id":1,"priority_id":2,"assigned_to_id":23,"start_date":"2017-03-07","description":"","custom_fields":[{"id":1,"name":"Subdivision","value":"Other"},{"id":4,"name":"Milepost","value":"0.0141"},{"id":17,"name":"Train ID","value":"306-07"},{"id":16,"name":"Locomotive ID","value":"4017"},{"id":130,"name":"Impact","value":""},{"id":150,"name":"Time of Event (Mountain Time)","value":"04:06:41"},{"id":151,"name":"Denver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94"/>
        <v>start /low /b %USERPROFILE%\Documents\GitHub\eaglep3\Utilities\DownloadLogsFromS3.py --loco 4017 --day 2017-03-07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"%USERPROFILE%\AppData\Local\Temp\OnboardLogs"\RTDC4017\*4017*20170307* | grep -SE "(Enforcement Action)|(\[TIMEOUT)|(CHR.+\|PRM\|1\|D.+(SWITCH|SIGNAL).+UNKNOWN)" - &gt;&gt; 2017-03-07-UncaughtWiMAX.txt</v>
      </c>
    </row>
    <row r="212" spans="1:40" x14ac:dyDescent="0.25">
      <c r="A212" s="33" t="s">
        <v>752</v>
      </c>
      <c r="B212" s="7">
        <v>4018</v>
      </c>
      <c r="C212" s="21" t="s">
        <v>233</v>
      </c>
      <c r="D212" s="21" t="s">
        <v>209</v>
      </c>
      <c r="E212" s="13">
        <v>42801.819675925923</v>
      </c>
      <c r="F212" s="13">
        <v>42801.823263888888</v>
      </c>
      <c r="G212" s="7">
        <v>2</v>
      </c>
      <c r="H212" s="21" t="s">
        <v>874</v>
      </c>
      <c r="I212" s="13">
        <v>42801.830127314817</v>
      </c>
      <c r="J212" s="7">
        <v>2</v>
      </c>
      <c r="K212" s="98" t="str">
        <f t="shared" si="80"/>
        <v>4017/4018</v>
      </c>
      <c r="L212" s="21" t="str">
        <f>VLOOKUP(A212,'Trips&amp;Operators'!$C$1:$G$99999,5,FALSE)</f>
        <v>BRANNON JEFFREY</v>
      </c>
      <c r="M212" s="6">
        <f t="shared" si="81"/>
        <v>6.8634259296231903E-3</v>
      </c>
      <c r="N212" s="7">
        <f t="shared" si="75"/>
        <v>9.8833333386573941</v>
      </c>
      <c r="O212" s="7"/>
      <c r="P212" s="7"/>
      <c r="Q212" s="22"/>
      <c r="R212" s="22"/>
      <c r="S212" s="31">
        <f t="shared" si="82"/>
        <v>1</v>
      </c>
      <c r="T212" s="46" t="str">
        <f t="shared" si="83"/>
        <v>NorthBound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6" t="str">
        <f t="shared" si="84"/>
        <v>https://d0f6bd738d7f1b3e5a7ca70fe4ff75f0.us-east-1.aws.found.io/app/kibana#/discover/Steve-Slow-Train-Analysis-(2080s-and-2083s)?_g=(refreshInterval:(display:Off,pause:!f,section:0,value:0),time:(from:'2017-03-07T18:40:20-0700',mode:absolute,to:'2017-03-07T20:55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2" s="187" t="str">
        <f t="shared" si="85"/>
        <v>Y</v>
      </c>
      <c r="X212" s="187">
        <f t="shared" si="79"/>
        <v>1</v>
      </c>
      <c r="Y212" s="62">
        <f t="shared" si="77"/>
        <v>4.5100000000000001E-2</v>
      </c>
      <c r="Z212" s="62">
        <f t="shared" si="86"/>
        <v>2.3300999999999998</v>
      </c>
      <c r="AA212" s="62">
        <f t="shared" si="87"/>
        <v>2.2849999999999997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88"/>
        <v>0307-07</v>
      </c>
      <c r="AE212" s="85" t="str">
        <f t="shared" si="89"/>
        <v>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 &amp; aws s3 cp s3://rtdc.mdm.uploadarchive.raw/RTDC4018/ "%USERPROFILE%\AppData\Local\Temp\OnboardLogs"\RTDC4018\2017-03-08 --exclude "*" --recursive --include "*20170308*" &amp; "%USERPROFILE%\Documents\GitHub\mrs-test-scripts\Headless Mode &amp; Sideloading\WalkAndUnGZ.bat" "%USERPROFILE%\AppData\Local\Temp\OnboardLogs"\RTDC4018\2017-03-08</v>
      </c>
      <c r="AF212" s="82" t="str">
        <f t="shared" si="90"/>
        <v>"C:\Program Files (x86)\AstroGrep\AstroGrep.exe" /spath="%USERPROFILE%\AppData\Local\Temp\OnboardLogs" /stypes="app*4018*20170308*" /stext=" 02:.+((SYSTEM_STATE.+slice.+state.+changed )|(ment ac)|(multiple cpu faults)|(system.+state.+changed )|(\[timeout)|(PRM\|1\|D)|(kpr)|(kdp)|(\|lc)|(penalty))" /e /r /s</v>
      </c>
      <c r="AG212" s="1" t="str">
        <f t="shared" si="91"/>
        <v>Other</v>
      </c>
      <c r="AH212" s="86" t="str">
        <f t="shared" si="92"/>
        <v>"%USERPROFILE%\Documents\GitHub\eaglep3\Utilities\RefineRTDCRunTimes.py" --tripid 307-07 --locoid 4018 --swversion DE.1.0.9.0 --startMP 204:451 --initTime 2017-03-07T19:40:20 --startdatetime 2017-03-07T19:45:30 --delay 2 --endMP 300:23301 --enddatetime 2017-03-07T19:55:23 --enforcementcount 2 &gt;&gt;C:\Users\stu\Documents\GitHub\eaglep3-reporting\EC\2017-03-07-refined-times.txt</v>
      </c>
      <c r="AI212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{"issue":{"subject":"","project_id":79,"tracker_id":40,"status_id":1,"priority_id":2,"assigned_to_id":23,"start_date":"2017-03-07","description":"","custom_fields":[{"id":1,"name":"Subdivision","value":"Other"},{"id":4,"name":"Milepost","value":"2.3301"},{"id":17,"name":"Train ID","value":"307-07"},{"id":16,"name":"Locomotive ID","value":"4018"},{"id":130,"name":"Impact","value":""},{"id":150,"name":"Time of Event (Mountain Time)","value":"19:55:23"},{"id":151,"name":"Denver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94"/>
        <v>start /low /b %USERPROFILE%\Documents\GitHub\eaglep3\Utilities\DownloadLogsFromS3.py --loco 4018 --day 2017-03-07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"%USERPROFILE%\AppData\Local\Temp\OnboardLogs"\RTDC4018\*4018*20170308* | grep -SE "(Enforcement Action)|(\[TIMEOUT)|(CHR.+\|PRM\|1\|D.+(SWITCH|SIGNAL).+UNKNOWN)" - &gt;&gt; 2017-03-07-UncaughtWiMAX.txt</v>
      </c>
    </row>
    <row r="213" spans="1:40" x14ac:dyDescent="0.25">
      <c r="A213" s="33" t="s">
        <v>606</v>
      </c>
      <c r="B213" s="7">
        <v>4021</v>
      </c>
      <c r="C213" s="21" t="s">
        <v>233</v>
      </c>
      <c r="D213" s="21" t="s">
        <v>875</v>
      </c>
      <c r="E213" s="13">
        <v>42801.173738425925</v>
      </c>
      <c r="F213" s="13">
        <v>42801.175613425927</v>
      </c>
      <c r="G213" s="7">
        <v>1</v>
      </c>
      <c r="H213" s="21" t="s">
        <v>184</v>
      </c>
      <c r="I213" s="13">
        <v>42801.181076388886</v>
      </c>
      <c r="J213" s="7">
        <v>2</v>
      </c>
      <c r="K213" s="98" t="str">
        <f t="shared" si="80"/>
        <v>4021/4022</v>
      </c>
      <c r="L213" s="21" t="str">
        <f>VLOOKUP(A213,'Trips&amp;Operators'!$C$1:$G$99999,5,FALSE)</f>
        <v>BONDS REYNALDO</v>
      </c>
      <c r="M213" s="6">
        <f t="shared" si="81"/>
        <v>5.4629629594273865E-3</v>
      </c>
      <c r="N213" s="7">
        <f t="shared" si="75"/>
        <v>7.8666666615754366</v>
      </c>
      <c r="O213" s="7"/>
      <c r="P213" s="7"/>
      <c r="Q213" s="22"/>
      <c r="R213" s="22"/>
      <c r="S213" s="31">
        <f t="shared" si="82"/>
        <v>1</v>
      </c>
      <c r="T213" s="46" t="str">
        <f t="shared" si="83"/>
        <v>Southbound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6" t="str">
        <f t="shared" si="84"/>
        <v>https://d0f6bd738d7f1b3e5a7ca70fe4ff75f0.us-east-1.aws.found.io/app/kibana#/discover/Steve-Slow-Train-Analysis-(2080s-and-2083s)?_g=(refreshInterval:(display:Off,pause:!f,section:0,value:0),time:(from:'2017-03-07T03:10:11-0700',mode:absolute,to:'2017-03-07T05:20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3" s="187" t="str">
        <f t="shared" si="85"/>
        <v>Y</v>
      </c>
      <c r="X213" s="187">
        <f t="shared" si="79"/>
        <v>1</v>
      </c>
      <c r="Y213" s="62">
        <f t="shared" si="77"/>
        <v>2.2168000000000001</v>
      </c>
      <c r="Z213" s="62">
        <f t="shared" si="86"/>
        <v>1.49E-2</v>
      </c>
      <c r="AA213" s="62">
        <f t="shared" si="87"/>
        <v>2.2019000000000002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88"/>
        <v>0308-07</v>
      </c>
      <c r="AE213" s="85" t="str">
        <f t="shared" si="89"/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AF213" s="82" t="str">
        <f t="shared" si="90"/>
        <v>"C:\Program Files (x86)\AstroGrep\AstroGrep.exe" /spath="%USERPROFILE%\AppData\Local\Temp\OnboardLogs" /stypes="app*4021*20170307*" /stext=" 11:.+((SYSTEM_STATE.+slice.+state.+changed )|(ment ac)|(multiple cpu faults)|(system.+state.+changed )|(\[timeout)|(PRM\|1\|D)|(kpr)|(kdp)|(\|lc)|(penalty))" /e /r /s</v>
      </c>
      <c r="AG213" s="1" t="str">
        <f t="shared" si="91"/>
        <v>Other</v>
      </c>
      <c r="AH213" s="86" t="str">
        <f t="shared" si="92"/>
        <v>"%USERPROFILE%\Documents\GitHub\eaglep3\Utilities\RefineRTDCRunTimes.py" --tripid 308-07 --locoid 4021 --swversion DE.1.0.9.0 --startMP 300:22168 --initTime 2017-03-07T04:10:11 --startdatetime 2017-03-07T04:12:53 --delay 1 --endMP 204:149 --enddatetime 2017-03-07T04:20:45 --enforcementcount 2 &gt;&gt;C:\Users\stu\Documents\GitHub\eaglep3-reporting\EC\2017-03-07-refined-times.txt</v>
      </c>
      <c r="AI213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{"issue":{"subject":"","project_id":79,"tracker_id":40,"status_id":1,"priority_id":2,"assigned_to_id":23,"start_date":"2017-03-07","description":"","custom_fields":[{"id":1,"name":"Subdivision","value":"Other"},{"id":4,"name":"Milepost","value":"0.0149"},{"id":17,"name":"Train ID","value":"308-07"},{"id":16,"name":"Locomotive ID","value":"4021"},{"id":130,"name":"Impact","value":""},{"id":150,"name":"Time of Event (Mountain Time)","value":"04:20:45"},{"id":151,"name":"Denver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94"/>
        <v>start /low /b %USERPROFILE%\Documents\GitHub\eaglep3\Utilities\DownloadLogsFromS3.py --loco 4021 --day 2017-03-07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"%USERPROFILE%\AppData\Local\Temp\OnboardLogs"\RTDC4021\*4021*20170307* | grep -SE "(Enforcement Action)|(\[TIMEOUT)|(CHR.+\|PRM\|1\|D.+(SWITCH|SIGNAL).+UNKNOWN)" - &gt;&gt; 2017-03-07-UncaughtWiMAX.txt</v>
      </c>
    </row>
    <row r="214" spans="1:40" x14ac:dyDescent="0.25">
      <c r="A214" s="33" t="s">
        <v>608</v>
      </c>
      <c r="B214" s="7">
        <v>4012</v>
      </c>
      <c r="C214" s="21" t="s">
        <v>233</v>
      </c>
      <c r="D214" s="21" t="s">
        <v>876</v>
      </c>
      <c r="E214" s="13">
        <v>42801.179814814815</v>
      </c>
      <c r="F214" s="13">
        <v>42801.182962962965</v>
      </c>
      <c r="G214" s="7">
        <v>4</v>
      </c>
      <c r="H214" s="21" t="s">
        <v>258</v>
      </c>
      <c r="I214" s="13">
        <v>42801.193506944444</v>
      </c>
      <c r="J214" s="7">
        <v>2</v>
      </c>
      <c r="K214" s="98" t="str">
        <f t="shared" si="80"/>
        <v>4011/4012</v>
      </c>
      <c r="L214" s="21" t="str">
        <f>VLOOKUP(A214,'Trips&amp;Operators'!$C$1:$G$99999,5,FALSE)</f>
        <v>DAVIS WENDY</v>
      </c>
      <c r="M214" s="6">
        <f t="shared" si="81"/>
        <v>1.0543981479713693E-2</v>
      </c>
      <c r="N214" s="7">
        <f t="shared" si="75"/>
        <v>15.183333330787718</v>
      </c>
      <c r="O214" s="7"/>
      <c r="P214" s="7"/>
      <c r="Q214" s="22"/>
      <c r="R214" s="22"/>
      <c r="S214" s="31">
        <f t="shared" si="82"/>
        <v>1</v>
      </c>
      <c r="T214" s="46" t="str">
        <f t="shared" si="83"/>
        <v>Southbound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6" t="str">
        <f t="shared" si="84"/>
        <v>https://d0f6bd738d7f1b3e5a7ca70fe4ff75f0.us-east-1.aws.found.io/app/kibana#/discover/Steve-Slow-Train-Analysis-(2080s-and-2083s)?_g=(refreshInterval:(display:Off,pause:!f,section:0,value:0),time:(from:'2017-03-07T03:18:56-0700',mode:absolute,to:'2017-03-07T05:38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4" s="187" t="str">
        <f t="shared" si="85"/>
        <v>Y</v>
      </c>
      <c r="X214" s="187">
        <f t="shared" si="79"/>
        <v>2</v>
      </c>
      <c r="Y214" s="62">
        <f t="shared" si="77"/>
        <v>2.3620000000000001</v>
      </c>
      <c r="Z214" s="62">
        <f t="shared" si="86"/>
        <v>1.61E-2</v>
      </c>
      <c r="AA214" s="62">
        <f t="shared" si="87"/>
        <v>2.3459000000000003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88"/>
        <v>0310-07</v>
      </c>
      <c r="AE214" s="85" t="str">
        <f t="shared" si="89"/>
        <v>aws s3 cp s3://rtdc.mdm.uploadarchive.raw/RTDC4012/ "%USERPROFILE%\AppData\Local\Temp\OnboardLogs"\RTDC4012\2017-03-07 --exclude "*" --recursive --include "*20170307*" &amp; "%USERPROFILE%\Documents\GitHub\mrs-test-scripts\Headless Mode &amp; Sideloading\WalkAndUnGZ.bat" "%USERPROFILE%\AppData\Local\Temp\OnboardLogs"\RTDC4012\2017-03-07 &amp; aws s3 cp s3://rtdc.mdm.uploadarchive.raw/RTDC4012/ "%USERPROFILE%\AppData\Local\Temp\OnboardLogs"\RTDC4012\2017-03-08 --exclude "*" --recursive --include "*20170308*" &amp; "%USERPROFILE%\Documents\GitHub\mrs-test-scripts\Headless Mode &amp; Sideloading\WalkAndUnGZ.bat" "%USERPROFILE%\AppData\Local\Temp\OnboardLogs"\RTDC4012\2017-03-08</v>
      </c>
      <c r="AF214" s="82" t="str">
        <f t="shared" si="90"/>
        <v>"C:\Program Files (x86)\AstroGrep\AstroGrep.exe" /spath="%USERPROFILE%\AppData\Local\Temp\OnboardLogs" /stypes="app*4012*20170307*" /stext=" 11:.+((SYSTEM_STATE.+slice.+state.+changed )|(ment ac)|(multiple cpu faults)|(system.+state.+changed )|(\[timeout)|(PRM\|1\|D)|(kpr)|(kdp)|(\|lc)|(penalty))" /e /r /s</v>
      </c>
      <c r="AG214" s="1" t="str">
        <f t="shared" si="91"/>
        <v>Other</v>
      </c>
      <c r="AH214" s="86" t="str">
        <f t="shared" si="92"/>
        <v>"%USERPROFILE%\Documents\GitHub\eaglep3\Utilities\RefineRTDCRunTimes.py" --tripid 310-07 --locoid 4012 --swversion DE.1.0.9.0 --startMP 300:23620 --initTime 2017-03-07T04:18:56 --startdatetime 2017-03-07T04:23:28 --delay 4 --endMP 204:161 --enddatetime 2017-03-07T04:38:39 --enforcementcount 2 &gt;&gt;C:\Users\stu\Documents\GitHub\eaglep3-reporting\EC\2017-03-07-refined-times.txt</v>
      </c>
      <c r="AI214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{"issue":{"subject":"","project_id":79,"tracker_id":40,"status_id":1,"priority_id":2,"assigned_to_id":23,"start_date":"2017-03-07","description":"","custom_fields":[{"id":1,"name":"Subdivision","value":"Other"},{"id":4,"name":"Milepost","value":"0.0161"},{"id":17,"name":"Train ID","value":"310-07"},{"id":16,"name":"Locomotive ID","value":"4012"},{"id":130,"name":"Impact","value":""},{"id":150,"name":"Time of Event (Mountain Time)","value":"04:38:39"},{"id":151,"name":"Denver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94"/>
        <v>start /low /b %USERPROFILE%\Documents\GitHub\eaglep3\Utilities\DownloadLogsFromS3.py --loco 4012 --day 2017-03-07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"%USERPROFILE%\AppData\Local\Temp\OnboardLogs"\RTDC4012\*4012*20170307* | grep -SE "(Enforcement Action)|(\[TIMEOUT)|(CHR.+\|PRM\|1\|D.+(SWITCH|SIGNAL).+UNKNOWN)" - &gt;&gt; 2017-03-07-UncaughtWiMAX.txt</v>
      </c>
    </row>
    <row r="215" spans="1:40" x14ac:dyDescent="0.25">
      <c r="A215" s="33" t="s">
        <v>782</v>
      </c>
      <c r="B215" s="7">
        <v>4020</v>
      </c>
      <c r="C215" s="21" t="s">
        <v>233</v>
      </c>
      <c r="D215" s="21" t="s">
        <v>877</v>
      </c>
      <c r="E215" s="13">
        <v>42802.069814814815</v>
      </c>
      <c r="F215" s="13">
        <v>42802.083518518521</v>
      </c>
      <c r="G215" s="7">
        <v>1</v>
      </c>
      <c r="H215" s="21" t="s">
        <v>872</v>
      </c>
      <c r="I215" s="13">
        <v>42802.092662037037</v>
      </c>
      <c r="J215" s="7">
        <v>2</v>
      </c>
      <c r="K215" s="98" t="str">
        <f t="shared" si="80"/>
        <v>4019/4020</v>
      </c>
      <c r="L215" s="21" t="str">
        <f>VLOOKUP(A215,'Trips&amp;Operators'!$C$1:$G$99999,5,FALSE)</f>
        <v>STORY SAMANTHA</v>
      </c>
      <c r="M215" s="6">
        <f t="shared" si="81"/>
        <v>9.1435185167938471E-3</v>
      </c>
      <c r="N215" s="7">
        <f t="shared" si="75"/>
        <v>13.16666666418314</v>
      </c>
      <c r="O215" s="7"/>
      <c r="P215" s="7"/>
      <c r="Q215" s="22"/>
      <c r="R215" s="22"/>
      <c r="S215" s="31">
        <f t="shared" si="82"/>
        <v>1</v>
      </c>
      <c r="T215" s="46" t="str">
        <f t="shared" si="83"/>
        <v>NorthBound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6" t="str">
        <f t="shared" si="84"/>
        <v>https://d0f6bd738d7f1b3e5a7ca70fe4ff75f0.us-east-1.aws.found.io/app/kibana#/discover/Steve-Slow-Train-Analysis-(2080s-and-2083s)?_g=(refreshInterval:(display:Off,pause:!f,section:0,value:0),time:(from:'2017-03-08T00:40:32-0700',mode:absolute,to:'2017-03-08T03:13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5" s="187" t="str">
        <f t="shared" si="85"/>
        <v>Y</v>
      </c>
      <c r="X215" s="187">
        <f t="shared" si="79"/>
        <v>1</v>
      </c>
      <c r="Y215" s="62">
        <f t="shared" si="77"/>
        <v>5.2600000000000001E-2</v>
      </c>
      <c r="Z215" s="62">
        <f t="shared" si="86"/>
        <v>2.3313999999999999</v>
      </c>
      <c r="AA215" s="62">
        <f t="shared" si="87"/>
        <v>2.2787999999999999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88"/>
        <v>0311-07</v>
      </c>
      <c r="AE215" s="85" t="str">
        <f t="shared" si="89"/>
        <v>aws s3 cp s3://rtdc.mdm.uploadarchive.raw/RTDC4020/ "%USERPROFILE%\AppData\Local\Temp\OnboardLogs"\RTDC4020\2017-03-08 --exclude "*" --recursive --include "*20170308*" &amp; "%USERPROFILE%\Documents\GitHub\mrs-test-scripts\Headless Mode &amp; Sideloading\WalkAndUnGZ.bat" "%USERPROFILE%\AppData\Local\Temp\OnboardLogs"\RTDC4020\2017-03-08 &amp; aws s3 cp s3://rtdc.mdm.uploadarchive.raw/RTDC4020/ "%USERPROFILE%\AppData\Local\Temp\OnboardLogs"\RTDC4020\2017-03-09 --exclude "*" --recursive --include "*20170309*" &amp; "%USERPROFILE%\Documents\GitHub\mrs-test-scripts\Headless Mode &amp; Sideloading\WalkAndUnGZ.bat" "%USERPROFILE%\AppData\Local\Temp\OnboardLogs"\RTDC4020\2017-03-09</v>
      </c>
      <c r="AF215" s="82" t="str">
        <f t="shared" si="90"/>
        <v>"C:\Program Files (x86)\AstroGrep\AstroGrep.exe" /spath="%USERPROFILE%\AppData\Local\Temp\OnboardLogs" /stypes="app*4020*20170308*" /stext=" 09:.+((SYSTEM_STATE.+slice.+state.+changed )|(ment ac)|(multiple cpu faults)|(system.+state.+changed )|(\[timeout)|(PRM\|1\|D)|(kpr)|(kdp)|(\|lc)|(penalty))" /e /r /s</v>
      </c>
      <c r="AG215" s="1" t="str">
        <f t="shared" si="91"/>
        <v>Other</v>
      </c>
      <c r="AH215" s="86" t="str">
        <f t="shared" si="92"/>
        <v>"%USERPROFILE%\Documents\GitHub\eaglep3\Utilities\RefineRTDCRunTimes.py" --tripid 311-07 --locoid 4020 --swversion DE.1.0.9.0 --startMP 204:526 --initTime 2017-03-08T01:40:32 --startdatetime 2017-03-08T02:00:16 --delay 1 --endMP 300:23314 --enddatetime 2017-03-08T02:13:26 --enforcementcount 2 &gt;&gt;C:\Users\stu\Documents\GitHub\eaglep3-reporting\EC\2017-03-07-refined-times.txt</v>
      </c>
      <c r="AI215" s="108" t="str">
        <f t="shared" si="93"/>
        <v>echo {"issue":{"subject":"","project_id":79,"tracker_id":40,"status_id":1,"priority_id":2,"assigned_to_id":23,"start_date":"2017-03-08","description":"","custom_fields":[{"id":1,"name":"Subdivision","value":"Other"},{"id":4,"name":"Milepost","value":"2.3314"},{"id":17,"name":"Train ID","value":"311-07"},{"id":16,"name":"Locomotive ID","value":"4020"},{"id":130,"name":"Impact","value":""},{"id":150,"name":"Time of Event (Mountain Time)","value":"02:13:26"},{"id":151,"name":"Denver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94"/>
        <v>start /low /b %USERPROFILE%\Documents\GitHub\eaglep3\Utilities\DownloadLogsFromS3.py --loco 4020 --day 2017-03-08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"%USERPROFILE%\AppData\Local\Temp\OnboardLogs"\RTDC4020\*4020*20170308* | grep -SE "(Enforcement Action)|(\[TIMEOUT)|(CHR.+\|PRM\|1\|D.+(SWITCH|SIGNAL).+UNKNOWN)" - &gt;&gt; 2017-03-07-UncaughtWiMAX.txt</v>
      </c>
    </row>
    <row r="216" spans="1:40" x14ac:dyDescent="0.25">
      <c r="A216" s="33" t="s">
        <v>491</v>
      </c>
      <c r="B216" s="7">
        <v>4053</v>
      </c>
      <c r="C216" s="21" t="s">
        <v>233</v>
      </c>
      <c r="D216" s="21" t="s">
        <v>234</v>
      </c>
      <c r="E216" s="13">
        <v>42801.094490740739</v>
      </c>
      <c r="F216" s="13">
        <v>42801.096747685187</v>
      </c>
      <c r="G216" s="7">
        <v>2</v>
      </c>
      <c r="H216" s="21" t="s">
        <v>516</v>
      </c>
      <c r="I216" s="13">
        <v>42801.105451388888</v>
      </c>
      <c r="J216" s="7">
        <v>2</v>
      </c>
      <c r="K216" s="98" t="str">
        <f t="shared" si="80"/>
        <v>4053/4054</v>
      </c>
      <c r="L216" s="21" t="str">
        <f>VLOOKUP(A216,'Trips&amp;Operators'!$C$1:$G$99999,5,FALSE)</f>
        <v>STORY SAMANTHA</v>
      </c>
      <c r="M216" s="6">
        <f t="shared" si="81"/>
        <v>8.703703701030463E-3</v>
      </c>
      <c r="N216" s="7">
        <f t="shared" si="75"/>
        <v>12.533333329483867</v>
      </c>
      <c r="O216" s="7"/>
      <c r="P216" s="7"/>
      <c r="Q216" s="22"/>
      <c r="R216" s="22"/>
      <c r="S216" s="31">
        <f t="shared" si="82"/>
        <v>1</v>
      </c>
      <c r="T216" s="46" t="str">
        <f t="shared" si="83"/>
        <v>NorthBound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6" t="str">
        <f t="shared" si="84"/>
        <v>https://d0f6bd738d7f1b3e5a7ca70fe4ff75f0.us-east-1.aws.found.io/app/kibana#/discover/Steve-Slow-Train-Analysis-(2080s-and-2083s)?_g=(refreshInterval:(display:Off,pause:!f,section:0,value:0),time:(from:'2017-03-07T01:16:04-0700',mode:absolute,to:'2017-03-07T03:31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6" s="187" t="str">
        <f t="shared" si="85"/>
        <v>Y</v>
      </c>
      <c r="X216" s="187">
        <f t="shared" si="79"/>
        <v>2</v>
      </c>
      <c r="Y216" s="62">
        <f t="shared" si="77"/>
        <v>4.58E-2</v>
      </c>
      <c r="Z216" s="62">
        <f t="shared" si="86"/>
        <v>2.331</v>
      </c>
      <c r="AA216" s="62">
        <f t="shared" si="87"/>
        <v>2.2852000000000001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88"/>
        <v>0313-06</v>
      </c>
      <c r="AE216" s="85" t="str">
        <f t="shared" si="89"/>
        <v>aws s3 cp s3://rtdc.mdm.uploadarchive.raw/RTDC4053/ "%USERPROFILE%\AppData\Local\Temp\OnboardLogs"\RTDC4053\2017-03-07 --exclude "*" --recursive --include "*20170307*" &amp; "%USERPROFILE%\Documents\GitHub\mrs-test-scripts\Headless Mode &amp; Sideloading\WalkAndUnGZ.bat" "%USERPROFILE%\AppData\Local\Temp\OnboardLogs"\RTDC4053\2017-03-07 &amp; aws s3 cp s3://rtdc.mdm.uploadarchive.raw/RTDC4053/ "%USERPROFILE%\AppData\Local\Temp\OnboardLogs"\RTDC4053\2017-03-08 --exclude "*" --recursive --include "*20170308*" &amp; "%USERPROFILE%\Documents\GitHub\mrs-test-scripts\Headless Mode &amp; Sideloading\WalkAndUnGZ.bat" "%USERPROFILE%\AppData\Local\Temp\OnboardLogs"\RTDC4053\2017-03-08</v>
      </c>
      <c r="AF216" s="82" t="str">
        <f t="shared" si="90"/>
        <v>"C:\Program Files (x86)\AstroGrep\AstroGrep.exe" /spath="%USERPROFILE%\AppData\Local\Temp\OnboardLogs" /stypes="app*4053*20170307*" /stext=" 09:.+((SYSTEM_STATE.+slice.+state.+changed )|(ment ac)|(multiple cpu faults)|(system.+state.+changed )|(\[timeout)|(PRM\|1\|D)|(kpr)|(kdp)|(\|lc)|(penalty))" /e /r /s</v>
      </c>
      <c r="AG216" s="1" t="str">
        <f t="shared" si="91"/>
        <v>Other</v>
      </c>
      <c r="AH216" s="86" t="str">
        <f t="shared" si="92"/>
        <v>"%USERPROFILE%\Documents\GitHub\eaglep3\Utilities\RefineRTDCRunTimes.py" --tripid 313-06 --locoid 4053 --swversion DE.1.0.9.0 --startMP 204:458 --initTime 2017-03-07T02:16:04 --startdatetime 2017-03-07T02:19:19 --delay 2 --endMP 300:23310 --enddatetime 2017-03-07T02:31:51 --enforcementcount 2 &gt;&gt;C:\Users\stu\Documents\GitHub\eaglep3-reporting\EC\2017-03-07-refined-times.txt</v>
      </c>
      <c r="AI216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{"issue":{"subject":"","project_id":79,"tracker_id":40,"status_id":1,"priority_id":2,"assigned_to_id":23,"start_date":"2017-03-07","description":"","custom_fields":[{"id":1,"name":"Subdivision","value":"Other"},{"id":4,"name":"Milepost","value":"2.331"},{"id":17,"name":"Train ID","value":"313-06"},{"id":16,"name":"Locomotive ID","value":"4053"},{"id":130,"name":"Impact","value":""},{"id":150,"name":"Time of Event (Mountain Time)","value":"02:31:51"},{"id":151,"name":"Denver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94"/>
        <v>start /low /b %USERPROFILE%\Documents\GitHub\eaglep3\Utilities\DownloadLogsFromS3.py --loco 4053 --day 2017-03-07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"%USERPROFILE%\AppData\Local\Temp\OnboardLogs"\RTDC4053\*4053*20170307* | grep -SE "(Enforcement Action)|(\[TIMEOUT)|(CHR.+\|PRM\|1\|D.+(SWITCH|SIGNAL).+UNKNOWN)" - &gt;&gt; 2017-03-07-UncaughtWiMAX.txt</v>
      </c>
    </row>
    <row r="217" spans="1:40" x14ac:dyDescent="0.25">
      <c r="A217" s="33" t="s">
        <v>783</v>
      </c>
      <c r="B217" s="7">
        <v>4014</v>
      </c>
      <c r="C217" s="21" t="s">
        <v>233</v>
      </c>
      <c r="D217" s="21" t="s">
        <v>534</v>
      </c>
      <c r="E217" s="13">
        <v>42802.087638888886</v>
      </c>
      <c r="F217" s="13">
        <v>42802.08898148148</v>
      </c>
      <c r="G217" s="7">
        <v>1</v>
      </c>
      <c r="H217" s="21" t="s">
        <v>878</v>
      </c>
      <c r="I217" s="13">
        <v>25568.708333333332</v>
      </c>
      <c r="J217" s="7">
        <v>2</v>
      </c>
      <c r="K217" s="98" t="str">
        <f t="shared" si="80"/>
        <v>4013/4014</v>
      </c>
      <c r="L217" s="21" t="str">
        <f>VLOOKUP(A217,'Trips&amp;Operators'!$C$1:$G$99999,5,FALSE)</f>
        <v>STAMBAUGH JAMES</v>
      </c>
      <c r="M217" s="6">
        <f t="shared" si="81"/>
        <v>-17233.380648148148</v>
      </c>
      <c r="N217" s="7">
        <f t="shared" si="75"/>
        <v>-24816068.133333333</v>
      </c>
      <c r="O217" s="7"/>
      <c r="P217" s="7"/>
      <c r="Q217" s="22"/>
      <c r="R217" s="22"/>
      <c r="S217" s="31">
        <f t="shared" si="82"/>
        <v>0</v>
      </c>
      <c r="T217" s="46" t="str">
        <f t="shared" si="83"/>
        <v>NorthBound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6" t="str">
        <f t="shared" si="84"/>
        <v>https://d0f6bd738d7f1b3e5a7ca70fe4ff75f0.us-east-1.aws.found.io/app/kibana#/discover/Steve-Slow-Train-Analysis-(2080s-and-2083s)?_g=(refreshInterval:(display:Off,pause:!f,section:0,value:0),time:(from:'2017-03-08T01:06:12-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7" s="187" t="str">
        <f t="shared" si="85"/>
        <v>Y</v>
      </c>
      <c r="X217" s="187">
        <f t="shared" si="79"/>
        <v>0</v>
      </c>
      <c r="Y217" s="62">
        <f t="shared" si="77"/>
        <v>6.5000000000000002E-2</v>
      </c>
      <c r="Z217" s="62">
        <f t="shared" si="86"/>
        <v>0.18240000000000001</v>
      </c>
      <c r="AA217" s="62">
        <f t="shared" si="87"/>
        <v>0.1174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88"/>
        <v>0313-07</v>
      </c>
      <c r="AE217" s="85" t="str">
        <f t="shared" si="89"/>
        <v>aws s3 cp s3://rtdc.mdm.uploadarchive.raw/RTDC4014/ "%USERPROFILE%\AppData\Local\Temp\OnboardLogs"\RTDC4014\2017-03-08 --exclude "*" --recursive --include "*20170308*" &amp; "%USERPROFILE%\Documents\GitHub\mrs-test-scripts\Headless Mode &amp; Sideloading\WalkAndUnGZ.bat" "%USERPROFILE%\AppData\Local\Temp\OnboardLogs"\RTDC4014\2017-03-08 &amp; aws s3 cp s3://rtdc.mdm.uploadarchive.raw/RTDC4014/ "%USERPROFILE%\AppData\Local\Temp\OnboardLogs"\RTDC4014\2017-03-09 --exclude "*" --recursive --include "*20170309*" &amp; "%USERPROFILE%\Documents\GitHub\mrs-test-scripts\Headless Mode &amp; Sideloading\WalkAndUnGZ.bat" "%USERPROFILE%\AppData\Local\Temp\OnboardLogs"\RTDC4014\2017-03-09</v>
      </c>
      <c r="AF217" s="82" t="str">
        <f t="shared" si="90"/>
        <v>"C:\Program Files (x86)\AstroGrep\AstroGrep.exe" /spath="%USERPROFILE%\AppData\Local\Temp\OnboardLogs" /stypes="app*4014*19700101*" /stext=" 00:.+((SYSTEM_STATE.+slice.+state.+changed )|(ment ac)|(multiple cpu faults)|(system.+state.+changed )|(\[timeout)|(PRM\|1\|D)|(kpr)|(kdp)|(\|lc)|(penalty))" /e /r /s</v>
      </c>
      <c r="AG217" s="1" t="str">
        <f t="shared" si="91"/>
        <v>Other</v>
      </c>
      <c r="AH217" s="86" t="str">
        <f t="shared" si="92"/>
        <v>"%USERPROFILE%\Documents\GitHub\eaglep3\Utilities\RefineRTDCRunTimes.py" --tripid 313-07 --locoid 4014 --swversion DE.1.0.9.0 --startMP 204:650 --initTime 2017-03-08T02:06:12 --startdatetime 2017-03-08T02:08:08 --delay 1 --endMP 204:1824 --enddatetime 1969-12-31T17:00:00 --enforcementcount 2 &gt;&gt;C:\Users\stu\Documents\GitHub\eaglep3-reporting\EC\2017-03-07-refined-times.txt</v>
      </c>
      <c r="AI217" s="108" t="str">
        <f t="shared" si="93"/>
        <v>echo {"issue":{"subject":"","project_id":79,"tracker_id":40,"status_id":1,"priority_id":2,"assigned_to_id":23,"start_date":"1969-12-31","description":"","custom_fields":[{"id":1,"name":"Subdivision","value":"Other"},{"id":4,"name":"Milepost","value":"0.1824"},{"id":17,"name":"Train ID","value":"313-07"},{"id":16,"name":"Locomotive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94"/>
        <v>start /low /b %USERPROFILE%\Documents\GitHub\eaglep3\Utilities\DownloadLogsFromS3.py --loco 4014 --day 2017-03-08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"%USERPROFILE%\AppData\Local\Temp\OnboardLogs"\RTDC4014\*4014*19930804* | grep -SE "(Enforcement Action)|(\[TIMEOUT)|(CHR.+\|PRM\|1\|D.+(SWITCH|SIGNAL).+UNKNOWN)" - &gt;&gt; 2017-03-07-UncaughtWiMAX.txt</v>
      </c>
    </row>
    <row r="218" spans="1:40" x14ac:dyDescent="0.25">
      <c r="A218" s="33" t="s">
        <v>779</v>
      </c>
      <c r="B218" s="7">
        <v>4022</v>
      </c>
      <c r="C218" s="21" t="s">
        <v>233</v>
      </c>
      <c r="D218" s="21" t="s">
        <v>228</v>
      </c>
      <c r="E218" s="13">
        <v>42802.028969907406</v>
      </c>
      <c r="F218" s="13">
        <v>42802.032222222224</v>
      </c>
      <c r="G218" s="7">
        <v>4</v>
      </c>
      <c r="H218" s="21" t="s">
        <v>879</v>
      </c>
      <c r="I218" s="13">
        <v>42802.037581018521</v>
      </c>
      <c r="J218" s="7">
        <v>2</v>
      </c>
      <c r="K218" s="98" t="str">
        <f t="shared" si="80"/>
        <v>4021/4022</v>
      </c>
      <c r="L218" s="21" t="str">
        <f>VLOOKUP(A218,'Trips&amp;Operators'!$C$1:$G$99999,5,FALSE)</f>
        <v>CHANDLER KELVIN</v>
      </c>
      <c r="M218" s="6">
        <f t="shared" si="81"/>
        <v>5.3587962975143455E-3</v>
      </c>
      <c r="N218" s="7">
        <f t="shared" si="75"/>
        <v>7.7166666684206575</v>
      </c>
      <c r="O218" s="7"/>
      <c r="P218" s="7"/>
      <c r="Q218" s="22"/>
      <c r="R218" s="22"/>
      <c r="S218" s="31">
        <f t="shared" si="82"/>
        <v>1</v>
      </c>
      <c r="T218" s="46" t="str">
        <f t="shared" si="83"/>
        <v>NorthBound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6" t="str">
        <f t="shared" si="84"/>
        <v>https://d0f6bd738d7f1b3e5a7ca70fe4ff75f0.us-east-1.aws.found.io/app/kibana#/discover/Steve-Slow-Train-Analysis-(2080s-and-2083s)?_g=(refreshInterval:(display:Off,pause:!f,section:0,value:0),time:(from:'2017-03-07T23:41:43-0700',mode:absolute,to:'2017-03-08T01:54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8" s="187" t="str">
        <f t="shared" si="85"/>
        <v>Y</v>
      </c>
      <c r="X218" s="187">
        <f t="shared" si="79"/>
        <v>2</v>
      </c>
      <c r="Y218" s="62">
        <f t="shared" si="77"/>
        <v>4.6600000000000003E-2</v>
      </c>
      <c r="Z218" s="62">
        <f t="shared" si="86"/>
        <v>2.2848000000000002</v>
      </c>
      <c r="AA218" s="62">
        <f t="shared" si="87"/>
        <v>2.2382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88"/>
        <v>0315-07</v>
      </c>
      <c r="AE218" s="85" t="str">
        <f t="shared" si="89"/>
        <v>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 &amp; aws s3 cp s3://rtdc.mdm.uploadarchive.raw/RTDC4022/ "%USERPROFILE%\AppData\Local\Temp\OnboardLogs"\RTDC4022\2017-03-09 --exclude "*" --recursive --include "*20170309*" &amp; "%USERPROFILE%\Documents\GitHub\mrs-test-scripts\Headless Mode &amp; Sideloading\WalkAndUnGZ.bat" "%USERPROFILE%\AppData\Local\Temp\OnboardLogs"\RTDC4022\2017-03-09</v>
      </c>
      <c r="AF218" s="82" t="str">
        <f t="shared" si="90"/>
        <v>"C:\Program Files (x86)\AstroGrep\AstroGrep.exe" /spath="%USERPROFILE%\AppData\Local\Temp\OnboardLogs" /stypes="app*4022*20170308*" /stext=" 07:.+((SYSTEM_STATE.+slice.+state.+changed )|(ment ac)|(multiple cpu faults)|(system.+state.+changed )|(\[timeout)|(PRM\|1\|D)|(kpr)|(kdp)|(\|lc)|(penalty))" /e /r /s</v>
      </c>
      <c r="AG218" s="1" t="str">
        <f t="shared" si="91"/>
        <v>Other</v>
      </c>
      <c r="AH218" s="86" t="str">
        <f t="shared" si="92"/>
        <v>"%USERPROFILE%\Documents\GitHub\eaglep3\Utilities\RefineRTDCRunTimes.py" --tripid 315-07 --locoid 4022 --swversion DE.1.0.9.0 --startMP 204:466 --initTime 2017-03-08T00:41:43 --startdatetime 2017-03-08T00:46:24 --delay 4 --endMP 300:22848 --enddatetime 2017-03-08T00:54:07 --enforcementcount 2 &gt;&gt;C:\Users\stu\Documents\GitHub\eaglep3-reporting\EC\2017-03-07-refined-times.txt</v>
      </c>
      <c r="AI218" s="108" t="str">
        <f t="shared" si="93"/>
        <v>echo {"issue":{"subject":"","project_id":79,"tracker_id":40,"status_id":1,"priority_id":2,"assigned_to_id":23,"start_date":"2017-03-08","description":"","custom_fields":[{"id":1,"name":"Subdivision","value":"Other"},{"id":4,"name":"Milepost","value":"2.2848"},{"id":17,"name":"Train ID","value":"315-07"},{"id":16,"name":"Locomotive ID","value":"4022"},{"id":130,"name":"Impact","value":""},{"id":150,"name":"Time of Event (Mountain Time)","value":"00:54:07"},{"id":151,"name":"Denver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94"/>
        <v>start /low /b %USERPROFILE%\Documents\GitHub\eaglep3\Utilities\DownloadLogsFromS3.py --loco 4022 --day 2017-03-08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"%USERPROFILE%\AppData\Local\Temp\OnboardLogs"\RTDC4022\*4022*20170308* | grep -SE "(Enforcement Action)|(\[TIMEOUT)|(CHR.+\|PRM\|1\|D.+(SWITCH|SIGNAL).+UNKNOWN)" - &gt;&gt; 2017-03-07-UncaughtWiMAX.txt</v>
      </c>
    </row>
    <row r="219" spans="1:40" x14ac:dyDescent="0.25">
      <c r="A219" s="33" t="s">
        <v>610</v>
      </c>
      <c r="B219" s="7">
        <v>4025</v>
      </c>
      <c r="C219" s="21" t="s">
        <v>233</v>
      </c>
      <c r="D219" s="21" t="s">
        <v>957</v>
      </c>
      <c r="E219" s="13">
        <v>42801.19394675926</v>
      </c>
      <c r="F219" s="13">
        <v>42801.197789351849</v>
      </c>
      <c r="G219" s="7">
        <v>5</v>
      </c>
      <c r="H219" s="21" t="s">
        <v>531</v>
      </c>
      <c r="I219" s="13">
        <v>42801.203333333331</v>
      </c>
      <c r="J219" s="7">
        <v>2</v>
      </c>
      <c r="K219" s="98" t="str">
        <f t="shared" si="80"/>
        <v>4025/4026</v>
      </c>
      <c r="L219" s="21" t="str">
        <f>VLOOKUP(A219,'Trips&amp;Operators'!$C$1:$G$99999,5,FALSE)</f>
        <v>YANAI IAN</v>
      </c>
      <c r="M219" s="6">
        <f t="shared" si="81"/>
        <v>5.543981482333038E-3</v>
      </c>
      <c r="N219" s="7">
        <f t="shared" si="75"/>
        <v>7.9833333345595747</v>
      </c>
      <c r="O219" s="7"/>
      <c r="P219" s="7"/>
      <c r="Q219" s="22"/>
      <c r="R219" s="22"/>
      <c r="S219" s="31">
        <f t="shared" si="82"/>
        <v>0</v>
      </c>
      <c r="T219" s="46" t="str">
        <f t="shared" si="83"/>
        <v>NorthBound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6" t="str">
        <f t="shared" si="84"/>
        <v>https://d0f6bd738d7f1b3e5a7ca70fe4ff75f0.us-east-1.aws.found.io/app/kibana#/discover/Steve-Slow-Train-Analysis-(2080s-and-2083s)?_g=(refreshInterval:(display:Off,pause:!f,section:0,value:0),time:(from:'2017-03-07T03:39:17-0700',mode:absolute,to:'2017-03-07T05:52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9" s="187" t="str">
        <f t="shared" si="85"/>
        <v>Y</v>
      </c>
      <c r="X219" s="187">
        <f t="shared" si="79"/>
        <v>586</v>
      </c>
      <c r="Y219" s="62">
        <f t="shared" si="77"/>
        <v>2.9878</v>
      </c>
      <c r="Z219" s="62">
        <f t="shared" si="86"/>
        <v>5.8935000000000004</v>
      </c>
      <c r="AA219" s="62">
        <f t="shared" si="87"/>
        <v>2.9057000000000004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88"/>
        <v>0901-07</v>
      </c>
      <c r="AE219" s="85" t="str">
        <f t="shared" si="89"/>
        <v>aws s3 cp s3://rtdc.mdm.uploadarchive.raw/RTDC4025/ "%USERPROFILE%\AppData\Local\Temp\OnboardLogs"\RTDC4025\2017-03-07 --exclude "*" --recursive --include "*20170307*" &amp; "%USERPROFILE%\Documents\GitHub\mrs-test-scripts\Headless Mode &amp; Sideloading\WalkAndUnGZ.bat" "%USERPROFILE%\AppData\Local\Temp\OnboardLogs"\RTDC4025\2017-03-07 &amp; aws s3 cp s3://rtdc.mdm.uploadarchive.raw/RTDC4025/ "%USERPROFILE%\AppData\Local\Temp\OnboardLogs"\RTDC4025\2017-03-08 --exclude "*" --recursive --include "*20170308*" &amp; "%USERPROFILE%\Documents\GitHub\mrs-test-scripts\Headless Mode &amp; Sideloading\WalkAndUnGZ.bat" "%USERPROFILE%\AppData\Local\Temp\OnboardLogs"\RTDC4025\2017-03-08</v>
      </c>
      <c r="AF219" s="82" t="str">
        <f t="shared" si="90"/>
        <v>"C:\Program Files (x86)\AstroGrep\AstroGrep.exe" /spath="%USERPROFILE%\AppData\Local\Temp\OnboardLogs" /stypes="app*4025*20170307*" /stext=" 11:.+((SYSTEM_STATE.+slice.+state.+changed )|(ment ac)|(multiple cpu faults)|(system.+state.+changed )|(\[timeout)|(PRM\|1\|D)|(kpr)|(kdp)|(\|lc)|(penalty))" /e /r /s</v>
      </c>
      <c r="AG219" s="1" t="str">
        <f t="shared" si="91"/>
        <v>Other</v>
      </c>
      <c r="AH219" s="86" t="str">
        <f t="shared" si="92"/>
        <v>"%USERPROFILE%\Documents\GitHub\eaglep3\Utilities\RefineRTDCRunTimes.py" --tripid 901-07 --locoid 4025 --swversion DE.1.0.9.0 --startMP 300:29878 --initTime 2017-03-07T04:39:17 --startdatetime 2017-03-07T04:44:49 --delay 5 --endMP 300:58935 --enddatetime 2017-03-07T04:52:48 --enforcementcount 2 &gt;&gt;C:\Users\stu\Documents\GitHub\eaglep3-reporting\EC\2017-03-07-refined-times.txt</v>
      </c>
      <c r="AI219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{"issue":{"subject":"","project_id":79,"tracker_id":40,"status_id":1,"priority_id":2,"assigned_to_id":23,"start_date":"2017-03-07","description":"","custom_fields":[{"id":1,"name":"Subdivision","value":"Other"},{"id":4,"name":"Milepost","value":"5.8935"},{"id":17,"name":"Train ID","value":"901-07"},{"id":16,"name":"Locomotive ID","value":"4025"},{"id":130,"name":"Impact","value":""},{"id":150,"name":"Time of Event (Mountain Time)","value":"04:52:48"},{"id":151,"name":"Denver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94"/>
        <v>start /low /b %USERPROFILE%\Documents\GitHub\eaglep3\Utilities\DownloadLogsFromS3.py --loco 4025 --day 2017-03-07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"%USERPROFILE%\AppData\Local\Temp\OnboardLogs"\RTDC4025\*4025*20170307* | grep -SE "(Enforcement Action)|(\[TIMEOUT)|(CHR.+\|PRM\|1\|D.+(SWITCH|SIGNAL).+UNKNOWN)" - &gt;&gt; 2017-03-07-UncaughtWiMAX.txt</v>
      </c>
    </row>
    <row r="220" spans="1:40" x14ac:dyDescent="0.25">
      <c r="A220" s="33" t="s">
        <v>624</v>
      </c>
      <c r="B220" s="7">
        <v>4032</v>
      </c>
      <c r="C220" s="21" t="s">
        <v>233</v>
      </c>
      <c r="D220" s="21" t="s">
        <v>958</v>
      </c>
      <c r="E220" s="13">
        <v>42801.241342592592</v>
      </c>
      <c r="F220" s="13">
        <v>42801.243078703701</v>
      </c>
      <c r="G220" s="7">
        <v>2</v>
      </c>
      <c r="H220" s="21" t="s">
        <v>918</v>
      </c>
      <c r="I220" s="13">
        <v>42801.248287037037</v>
      </c>
      <c r="J220" s="7">
        <v>2</v>
      </c>
      <c r="K220" s="98" t="str">
        <f t="shared" si="80"/>
        <v>4031/4032</v>
      </c>
      <c r="L220" s="21" t="str">
        <f>VLOOKUP(A220,'Trips&amp;Operators'!$C$1:$G$99999,5,FALSE)</f>
        <v>BROWN JACOB</v>
      </c>
      <c r="M220" s="6">
        <f t="shared" si="81"/>
        <v>5.2083333357586525E-3</v>
      </c>
      <c r="N220" s="7">
        <f t="shared" ref="N220:N251" si="95">24*60*SUM($M220:$M220)</f>
        <v>7.5000000034924597</v>
      </c>
      <c r="O220" s="7"/>
      <c r="P220" s="7"/>
      <c r="Q220" s="22"/>
      <c r="R220" s="22"/>
      <c r="S220" s="31">
        <f t="shared" si="82"/>
        <v>1</v>
      </c>
      <c r="T220" s="46" t="str">
        <f t="shared" si="83"/>
        <v>Southbound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6" t="str">
        <f t="shared" si="84"/>
        <v>https://d0f6bd738d7f1b3e5a7ca70fe4ff75f0.us-east-1.aws.found.io/app/kibana#/discover/Steve-Slow-Train-Analysis-(2080s-and-2083s)?_g=(refreshInterval:(display:Off,pause:!f,section:0,value:0),time:(from:'2017-03-07T04:47:32-0700',mode:absolute,to:'2017-03-07T06:57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0" s="187" t="str">
        <f t="shared" si="85"/>
        <v>Y</v>
      </c>
      <c r="X220" s="187">
        <f t="shared" si="79"/>
        <v>1</v>
      </c>
      <c r="Y220" s="62">
        <f t="shared" si="77"/>
        <v>2.3873000000000002</v>
      </c>
      <c r="Z220" s="62">
        <f t="shared" si="86"/>
        <v>7.3099999999999998E-2</v>
      </c>
      <c r="AA220" s="62">
        <f t="shared" si="87"/>
        <v>2.3142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88"/>
        <v>0902-07</v>
      </c>
      <c r="AE220" s="85" t="str">
        <f t="shared" si="89"/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220" s="82" t="str">
        <f t="shared" si="90"/>
        <v>"C:\Program Files (x86)\AstroGrep\AstroGrep.exe" /spath="%USERPROFILE%\AppData\Local\Temp\OnboardLogs" /stypes="app*4032*20170307*" /stext=" 12:.+((SYSTEM_STATE.+slice.+state.+changed )|(ment ac)|(multiple cpu faults)|(system.+state.+changed )|(\[timeout)|(PRM\|1\|D)|(kpr)|(kdp)|(\|lc)|(penalty))" /e /r /s</v>
      </c>
      <c r="AG220" s="1" t="str">
        <f t="shared" si="91"/>
        <v>Other</v>
      </c>
      <c r="AH220" s="86" t="str">
        <f t="shared" si="92"/>
        <v>"%USERPROFILE%\Documents\GitHub\eaglep3\Utilities\RefineRTDCRunTimes.py" --tripid 902-07 --locoid 4032 --swversion DE.1.0.9.0 --startMP 300:23873 --initTime 2017-03-07T05:47:32 --startdatetime 2017-03-07T05:50:02 --delay 2 --endMP 204:731 --enddatetime 2017-03-07T05:57:32 --enforcementcount 2 &gt;&gt;C:\Users\stu\Documents\GitHub\eaglep3-reporting\EC\2017-03-07-refined-times.txt</v>
      </c>
      <c r="AI220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{"issue":{"subject":"","project_id":79,"tracker_id":40,"status_id":1,"priority_id":2,"assigned_to_id":23,"start_date":"2017-03-07","description":"","custom_fields":[{"id":1,"name":"Subdivision","value":"Other"},{"id":4,"name":"Milepost","value":"0.0731"},{"id":17,"name":"Train ID","value":"902-07"},{"id":16,"name":"Locomotive ID","value":"4032"},{"id":130,"name":"Impact","value":""},{"id":150,"name":"Time of Event (Mountain Time)","value":"05:57:32"},{"id":151,"name":"Denver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94"/>
        <v>start /low /b %USERPROFILE%\Documents\GitHub\eaglep3\Utilities\DownloadLogsFromS3.py --loco 4032 --day 2017-03-07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"%USERPROFILE%\AppData\Local\Temp\OnboardLogs"\RTDC4032\*4032*20170307* | grep -SE "(Enforcement Action)|(\[TIMEOUT)|(CHR.+\|PRM\|1\|D.+(SWITCH|SIGNAL).+UNKNOWN)" - &gt;&gt; 2017-03-07-UncaughtWiMAX.txt</v>
      </c>
    </row>
    <row r="221" spans="1:40" x14ac:dyDescent="0.25">
      <c r="A221" s="33" t="s">
        <v>648</v>
      </c>
      <c r="B221" s="7">
        <v>4025</v>
      </c>
      <c r="C221" s="21" t="s">
        <v>233</v>
      </c>
      <c r="D221" s="21" t="s">
        <v>525</v>
      </c>
      <c r="E221" s="13">
        <v>42801.352789351855</v>
      </c>
      <c r="F221" s="13">
        <v>42801.354108796295</v>
      </c>
      <c r="G221" s="7">
        <v>1</v>
      </c>
      <c r="H221" s="21" t="s">
        <v>959</v>
      </c>
      <c r="I221" s="13">
        <v>42801.364398148151</v>
      </c>
      <c r="J221" s="7">
        <v>2</v>
      </c>
      <c r="K221" s="98" t="str">
        <f t="shared" si="80"/>
        <v>4025/4026</v>
      </c>
      <c r="L221" s="21" t="str">
        <f>VLOOKUP(A221,'Trips&amp;Operators'!$C$1:$G$99999,5,FALSE)</f>
        <v>YANAI IAN</v>
      </c>
      <c r="M221" s="6">
        <f t="shared" si="81"/>
        <v>1.0289351856044959E-2</v>
      </c>
      <c r="N221" s="7">
        <f t="shared" si="95"/>
        <v>14.816666672704741</v>
      </c>
      <c r="O221" s="7"/>
      <c r="P221" s="7"/>
      <c r="Q221" s="22"/>
      <c r="R221" s="22"/>
      <c r="S221" s="31">
        <f t="shared" si="82"/>
        <v>1</v>
      </c>
      <c r="T221" s="46" t="str">
        <f t="shared" si="83"/>
        <v>NorthBound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6" t="str">
        <f t="shared" si="84"/>
        <v>https://d0f6bd738d7f1b3e5a7ca70fe4ff75f0.us-east-1.aws.found.io/app/kibana#/discover/Steve-Slow-Train-Analysis-(2080s-and-2083s)?_g=(refreshInterval:(display:Off,pause:!f,section:0,value:0),time:(from:'2017-03-07T07:28:01-0700',mode:absolute,to:'2017-03-07T09:44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1" s="187" t="str">
        <f t="shared" si="85"/>
        <v>Y</v>
      </c>
      <c r="X221" s="187">
        <f t="shared" si="79"/>
        <v>1</v>
      </c>
      <c r="Y221" s="62">
        <f t="shared" si="77"/>
        <v>9.64E-2</v>
      </c>
      <c r="Z221" s="62">
        <f t="shared" si="86"/>
        <v>2.4207000000000001</v>
      </c>
      <c r="AA221" s="62">
        <f t="shared" si="87"/>
        <v>2.3243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88"/>
        <v>0903-07</v>
      </c>
      <c r="AE221" s="85" t="str">
        <f t="shared" si="89"/>
        <v>aws s3 cp s3://rtdc.mdm.uploadarchive.raw/RTDC4025/ "%USERPROFILE%\AppData\Local\Temp\OnboardLogs"\RTDC4025\2017-03-07 --exclude "*" --recursive --include "*20170307*" &amp; "%USERPROFILE%\Documents\GitHub\mrs-test-scripts\Headless Mode &amp; Sideloading\WalkAndUnGZ.bat" "%USERPROFILE%\AppData\Local\Temp\OnboardLogs"\RTDC4025\2017-03-07 &amp; aws s3 cp s3://rtdc.mdm.uploadarchive.raw/RTDC4025/ "%USERPROFILE%\AppData\Local\Temp\OnboardLogs"\RTDC4025\2017-03-08 --exclude "*" --recursive --include "*20170308*" &amp; "%USERPROFILE%\Documents\GitHub\mrs-test-scripts\Headless Mode &amp; Sideloading\WalkAndUnGZ.bat" "%USERPROFILE%\AppData\Local\Temp\OnboardLogs"\RTDC4025\2017-03-08</v>
      </c>
      <c r="AF221" s="82" t="str">
        <f t="shared" si="90"/>
        <v>"C:\Program Files (x86)\AstroGrep\AstroGrep.exe" /spath="%USERPROFILE%\AppData\Local\Temp\OnboardLogs" /stypes="app*4025*20170307*" /stext=" 15:.+((SYSTEM_STATE.+slice.+state.+changed )|(ment ac)|(multiple cpu faults)|(system.+state.+changed )|(\[timeout)|(PRM\|1\|D)|(kpr)|(kdp)|(\|lc)|(penalty))" /e /r /s</v>
      </c>
      <c r="AG221" s="1" t="str">
        <f t="shared" si="91"/>
        <v>Other</v>
      </c>
      <c r="AH221" s="86" t="str">
        <f t="shared" si="92"/>
        <v>"%USERPROFILE%\Documents\GitHub\eaglep3\Utilities\RefineRTDCRunTimes.py" --tripid 903-07 --locoid 4025 --swversion DE.1.0.9.0 --startMP 204:964 --initTime 2017-03-07T08:28:01 --startdatetime 2017-03-07T08:29:55 --delay 1 --endMP 300:24207 --enddatetime 2017-03-07T08:44:44 --enforcementcount 2 &gt;&gt;C:\Users\stu\Documents\GitHub\eaglep3-reporting\EC\2017-03-07-refined-times.txt</v>
      </c>
      <c r="AI221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{"issue":{"subject":"","project_id":79,"tracker_id":40,"status_id":1,"priority_id":2,"assigned_to_id":23,"start_date":"2017-03-07","description":"","custom_fields":[{"id":1,"name":"Subdivision","value":"Other"},{"id":4,"name":"Milepost","value":"2.4207"},{"id":17,"name":"Train ID","value":"903-07"},{"id":16,"name":"Locomotive ID","value":"4025"},{"id":130,"name":"Impact","value":""},{"id":150,"name":"Time of Event (Mountain Time)","value":"08:44:44"},{"id":151,"name":"Denver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94"/>
        <v>start /low /b %USERPROFILE%\Documents\GitHub\eaglep3\Utilities\DownloadLogsFromS3.py --loco 4025 --day 2017-03-07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"%USERPROFILE%\AppData\Local\Temp\OnboardLogs"\RTDC4025\*4025*20170307* | grep -SE "(Enforcement Action)|(\[TIMEOUT)|(CHR.+\|PRM\|1\|D.+(SWITCH|SIGNAL).+UNKNOWN)" - &gt;&gt; 2017-03-07-UncaughtWiMAX.txt</v>
      </c>
    </row>
    <row r="222" spans="1:40" x14ac:dyDescent="0.25">
      <c r="A222" s="33" t="s">
        <v>577</v>
      </c>
      <c r="B222" s="7">
        <v>4026</v>
      </c>
      <c r="C222" s="21" t="s">
        <v>233</v>
      </c>
      <c r="D222" s="21" t="s">
        <v>960</v>
      </c>
      <c r="E222" s="13">
        <v>42801.6408912037</v>
      </c>
      <c r="F222" s="13">
        <v>42801.643726851849</v>
      </c>
      <c r="G222" s="7">
        <v>3</v>
      </c>
      <c r="H222" s="21" t="s">
        <v>918</v>
      </c>
      <c r="I222" s="13">
        <v>42801.648738425924</v>
      </c>
      <c r="J222" s="7">
        <v>2</v>
      </c>
      <c r="K222" s="98" t="str">
        <f t="shared" si="80"/>
        <v>4025/4026</v>
      </c>
      <c r="L222" s="21" t="str">
        <f>VLOOKUP(A222,'Trips&amp;Operators'!$C$1:$G$99999,5,FALSE)</f>
        <v>SWANSON BRYCE</v>
      </c>
      <c r="M222" s="6">
        <f t="shared" si="81"/>
        <v>5.0115740741603076E-3</v>
      </c>
      <c r="N222" s="7">
        <f t="shared" si="95"/>
        <v>7.216666666790843</v>
      </c>
      <c r="O222" s="7"/>
      <c r="P222" s="7"/>
      <c r="Q222" s="22"/>
      <c r="R222" s="22"/>
      <c r="S222" s="31">
        <f t="shared" si="82"/>
        <v>1</v>
      </c>
      <c r="T222" s="46" t="str">
        <f t="shared" si="83"/>
        <v>Southbound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6" t="str">
        <f t="shared" si="84"/>
        <v>https://d0f6bd738d7f1b3e5a7ca70fe4ff75f0.us-east-1.aws.found.io/app/kibana#/discover/Steve-Slow-Train-Analysis-(2080s-and-2083s)?_g=(refreshInterval:(display:Off,pause:!f,section:0,value:0),time:(from:'2017-03-07T14:22:53-0700',mode:absolute,to:'2017-03-07T16:34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2" s="187" t="str">
        <f t="shared" si="85"/>
        <v>Y</v>
      </c>
      <c r="X222" s="187">
        <f t="shared" si="79"/>
        <v>1</v>
      </c>
      <c r="Y222" s="62">
        <f t="shared" si="77"/>
        <v>2.2105999999999999</v>
      </c>
      <c r="Z222" s="62">
        <f t="shared" si="86"/>
        <v>7.3099999999999998E-2</v>
      </c>
      <c r="AA222" s="62">
        <f t="shared" si="87"/>
        <v>2.1374999999999997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88"/>
        <v>0904-07</v>
      </c>
      <c r="AE222" s="85" t="str">
        <f t="shared" si="89"/>
        <v>aws s3 cp s3://rtdc.mdm.uploadarchive.raw/RTDC4026/ "%USERPROFILE%\AppData\Local\Temp\OnboardLogs"\RTDC4026\2017-03-07 --exclude "*" --recursive --include "*20170307*" &amp; "%USERPROFILE%\Documents\GitHub\mrs-test-scripts\Headless Mode &amp; Sideloading\WalkAndUnGZ.bat" "%USERPROFILE%\AppData\Local\Temp\OnboardLogs"\RTDC4026\2017-03-07 &amp; aws s3 cp s3://rtdc.mdm.uploadarchive.raw/RTDC4026/ "%USERPROFILE%\AppData\Local\Temp\OnboardLogs"\RTDC4026\2017-03-08 --exclude "*" --recursive --include "*20170308*" &amp; "%USERPROFILE%\Documents\GitHub\mrs-test-scripts\Headless Mode &amp; Sideloading\WalkAndUnGZ.bat" "%USERPROFILE%\AppData\Local\Temp\OnboardLogs"\RTDC4026\2017-03-08</v>
      </c>
      <c r="AF222" s="82" t="str">
        <f t="shared" si="90"/>
        <v>"C:\Program Files (x86)\AstroGrep\AstroGrep.exe" /spath="%USERPROFILE%\AppData\Local\Temp\OnboardLogs" /stypes="app*4026*20170307*" /stext=" 22:.+((SYSTEM_STATE.+slice.+state.+changed )|(ment ac)|(multiple cpu faults)|(system.+state.+changed )|(\[timeout)|(PRM\|1\|D)|(kpr)|(kdp)|(\|lc)|(penalty))" /e /r /s</v>
      </c>
      <c r="AG222" s="1" t="str">
        <f t="shared" si="91"/>
        <v>Other</v>
      </c>
      <c r="AH222" s="86" t="str">
        <f t="shared" si="92"/>
        <v>"%USERPROFILE%\Documents\GitHub\eaglep3\Utilities\RefineRTDCRunTimes.py" --tripid 904-07 --locoid 4026 --swversion DE.1.0.9.0 --startMP 300:22106 --initTime 2017-03-07T15:22:53 --startdatetime 2017-03-07T15:26:58 --delay 3 --endMP 204:731 --enddatetime 2017-03-07T15:34:11 --enforcementcount 2 &gt;&gt;C:\Users\stu\Documents\GitHub\eaglep3-reporting\EC\2017-03-07-refined-times.txt</v>
      </c>
      <c r="AI222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{"issue":{"subject":"","project_id":79,"tracker_id":40,"status_id":1,"priority_id":2,"assigned_to_id":23,"start_date":"2017-03-07","description":"","custom_fields":[{"id":1,"name":"Subdivision","value":"Other"},{"id":4,"name":"Milepost","value":"0.0731"},{"id":17,"name":"Train ID","value":"904-07"},{"id":16,"name":"Locomotive ID","value":"4026"},{"id":130,"name":"Impact","value":""},{"id":150,"name":"Time of Event (Mountain Time)","value":"15:34:11"},{"id":151,"name":"Denver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94"/>
        <v>start /low /b %USERPROFILE%\Documents\GitHub\eaglep3\Utilities\DownloadLogsFromS3.py --loco 4026 --day 2017-03-07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"%USERPROFILE%\AppData\Local\Temp\OnboardLogs"\RTDC4026\*4026*20170307* | grep -SE "(Enforcement Action)|(\[TIMEOUT)|(CHR.+\|PRM\|1\|D.+(SWITCH|SIGNAL).+UNKNOWN)" - &gt;&gt; 2017-03-07-UncaughtWiMAX.txt</v>
      </c>
    </row>
    <row r="223" spans="1:40" x14ac:dyDescent="0.25">
      <c r="A223" s="33" t="s">
        <v>747</v>
      </c>
      <c r="B223" s="7">
        <v>4026</v>
      </c>
      <c r="C223" s="21" t="s">
        <v>233</v>
      </c>
      <c r="D223" s="21" t="s">
        <v>427</v>
      </c>
      <c r="E223" s="13">
        <v>42801.798935185187</v>
      </c>
      <c r="F223" s="13">
        <v>42801.800381944442</v>
      </c>
      <c r="G223" s="7">
        <v>1</v>
      </c>
      <c r="H223" s="21" t="s">
        <v>961</v>
      </c>
      <c r="I223" s="13">
        <v>42801.805312500001</v>
      </c>
      <c r="J223" s="7">
        <v>2</v>
      </c>
      <c r="K223" s="98" t="str">
        <f t="shared" si="80"/>
        <v>4025/4026</v>
      </c>
      <c r="L223" s="21" t="str">
        <f>VLOOKUP(A223,'Trips&amp;Operators'!$C$1:$G$99999,5,FALSE)</f>
        <v>SWANSON BRYCE</v>
      </c>
      <c r="M223" s="6">
        <f t="shared" si="81"/>
        <v>4.9305555585306138E-3</v>
      </c>
      <c r="N223" s="7">
        <f t="shared" si="95"/>
        <v>7.1000000042840838</v>
      </c>
      <c r="O223" s="7"/>
      <c r="P223" s="7"/>
      <c r="Q223" s="22"/>
      <c r="R223" s="22"/>
      <c r="S223" s="31">
        <f t="shared" si="82"/>
        <v>0</v>
      </c>
      <c r="T223" s="46" t="str">
        <f t="shared" si="83"/>
        <v>Southbound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6" t="str">
        <f t="shared" si="84"/>
        <v>https://d0f6bd738d7f1b3e5a7ca70fe4ff75f0.us-east-1.aws.found.io/app/kibana#/discover/Steve-Slow-Train-Analysis-(2080s-and-2083s)?_g=(refreshInterval:(display:Off,pause:!f,section:0,value:0),time:(from:'2017-03-07T18:10:28-0700',mode:absolute,to:'2017-03-07T20:19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3" s="187" t="str">
        <f t="shared" si="85"/>
        <v>Y</v>
      </c>
      <c r="X223" s="187">
        <f t="shared" si="79"/>
        <v>2</v>
      </c>
      <c r="Y223" s="62">
        <f t="shared" si="77"/>
        <v>5.8624000000000001</v>
      </c>
      <c r="Z223" s="62">
        <f t="shared" si="86"/>
        <v>2.8799000000000001</v>
      </c>
      <c r="AA223" s="62">
        <f t="shared" si="87"/>
        <v>2.9824999999999999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88"/>
        <v>0906-07</v>
      </c>
      <c r="AE223" s="85" t="str">
        <f t="shared" si="89"/>
        <v>aws s3 cp s3://rtdc.mdm.uploadarchive.raw/RTDC4026/ "%USERPROFILE%\AppData\Local\Temp\OnboardLogs"\RTDC4026\2017-03-07 --exclude "*" --recursive --include "*20170307*" &amp; "%USERPROFILE%\Documents\GitHub\mrs-test-scripts\Headless Mode &amp; Sideloading\WalkAndUnGZ.bat" "%USERPROFILE%\AppData\Local\Temp\OnboardLogs"\RTDC4026\2017-03-07 &amp; aws s3 cp s3://rtdc.mdm.uploadarchive.raw/RTDC4026/ "%USERPROFILE%\AppData\Local\Temp\OnboardLogs"\RTDC4026\2017-03-08 --exclude "*" --recursive --include "*20170308*" &amp; "%USERPROFILE%\Documents\GitHub\mrs-test-scripts\Headless Mode &amp; Sideloading\WalkAndUnGZ.bat" "%USERPROFILE%\AppData\Local\Temp\OnboardLogs"\RTDC4026\2017-03-08</v>
      </c>
      <c r="AF223" s="82" t="str">
        <f t="shared" si="90"/>
        <v>"C:\Program Files (x86)\AstroGrep\AstroGrep.exe" /spath="%USERPROFILE%\AppData\Local\Temp\OnboardLogs" /stypes="app*4026*20170308*" /stext=" 02:.+((SYSTEM_STATE.+slice.+state.+changed )|(ment ac)|(multiple cpu faults)|(system.+state.+changed )|(\[timeout)|(PRM\|1\|D)|(kpr)|(kdp)|(\|lc)|(penalty))" /e /r /s</v>
      </c>
      <c r="AG223" s="1" t="str">
        <f t="shared" si="91"/>
        <v>Other</v>
      </c>
      <c r="AH223" s="86" t="str">
        <f t="shared" si="92"/>
        <v>"%USERPROFILE%\Documents\GitHub\eaglep3\Utilities\RefineRTDCRunTimes.py" --tripid 906-07 --locoid 4026 --swversion DE.1.0.9.0 --startMP 300:58624 --initTime 2017-03-07T19:10:28 --startdatetime 2017-03-07T19:12:33 --delay 1 --endMP 300:28799 --enddatetime 2017-03-07T19:19:39 --enforcementcount 2 &gt;&gt;C:\Users\stu\Documents\GitHub\eaglep3-reporting\EC\2017-03-07-refined-times.txt</v>
      </c>
      <c r="AI223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{"issue":{"subject":"","project_id":79,"tracker_id":40,"status_id":1,"priority_id":2,"assigned_to_id":23,"start_date":"2017-03-07","description":"","custom_fields":[{"id":1,"name":"Subdivision","value":"Other"},{"id":4,"name":"Milepost","value":"2.8799"},{"id":17,"name":"Train ID","value":"906-07"},{"id":16,"name":"Locomotive ID","value":"4026"},{"id":130,"name":"Impact","value":""},{"id":150,"name":"Time of Event (Mountain Time)","value":"19:19:39"},{"id":151,"name":"Denver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94"/>
        <v>start /low /b %USERPROFILE%\Documents\GitHub\eaglep3\Utilities\DownloadLogsFromS3.py --loco 4026 --day 2017-03-07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"%USERPROFILE%\AppData\Local\Temp\OnboardLogs"\RTDC4026\*4026*20170308* | grep -SE "(Enforcement Action)|(\[TIMEOUT)|(CHR.+\|PRM\|1\|D.+(SWITCH|SIGNAL).+UNKNOWN)" - &gt;&gt; 2017-03-07-UncaughtWiMAX.txt</v>
      </c>
    </row>
    <row r="224" spans="1:40" x14ac:dyDescent="0.25">
      <c r="A224" s="33" t="s">
        <v>564</v>
      </c>
      <c r="B224" s="7">
        <v>4008</v>
      </c>
      <c r="C224" s="21" t="s">
        <v>233</v>
      </c>
      <c r="D224" s="21" t="s">
        <v>880</v>
      </c>
      <c r="E224" s="13">
        <v>42801.4531712963</v>
      </c>
      <c r="F224" s="13">
        <v>42801.458078703705</v>
      </c>
      <c r="G224" s="7">
        <v>6</v>
      </c>
      <c r="H224" s="21" t="s">
        <v>881</v>
      </c>
      <c r="I224" s="13">
        <v>42801.46366898148</v>
      </c>
      <c r="J224" s="7">
        <v>2</v>
      </c>
      <c r="K224" s="98" t="str">
        <f t="shared" si="80"/>
        <v>4007/4008</v>
      </c>
      <c r="L224" s="21" t="str">
        <f>VLOOKUP(A224,'Trips&amp;Operators'!$C$1:$G$99999,5,FALSE)</f>
        <v>DE LA ROSA ALEX</v>
      </c>
      <c r="M224" s="6">
        <f t="shared" si="81"/>
        <v>5.5902777748997323E-3</v>
      </c>
      <c r="N224" s="7">
        <f t="shared" si="95"/>
        <v>8.0499999958556145</v>
      </c>
      <c r="O224" s="7"/>
      <c r="P224" s="7"/>
      <c r="Q224" s="22"/>
      <c r="R224" s="22"/>
      <c r="S224" s="31">
        <f t="shared" si="82"/>
        <v>0</v>
      </c>
      <c r="T224" s="46" t="e">
        <f t="shared" si="83"/>
        <v>#VALUE!</v>
      </c>
      <c r="U224" s="18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6" t="str">
        <f t="shared" si="84"/>
        <v>https://d0f6bd738d7f1b3e5a7ca70fe4ff75f0.us-east-1.aws.found.io/app/kibana#/discover/Steve-Slow-Train-Analysis-(2080s-and-2083s)?_g=(refreshInterval:(display:Off,pause:!f,section:0,value:0),time:(from:'2017-03-07T09:52:34-0700',mode:absolute,to:'2017-03-07T12:07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4" s="187" t="str">
        <f t="shared" si="85"/>
        <v>Y</v>
      </c>
      <c r="X224" s="187" t="e">
        <f t="shared" si="79"/>
        <v>#VALUE!</v>
      </c>
      <c r="Y224" s="62">
        <f t="shared" ref="Y224:Y251" si="96">RIGHT(D224,LEN(D224)-4)/10000</f>
        <v>2.2759999999999998</v>
      </c>
      <c r="Z224" s="62">
        <f t="shared" si="86"/>
        <v>9.2100000000000001E-2</v>
      </c>
      <c r="AA224" s="62">
        <f t="shared" si="87"/>
        <v>2.1839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88"/>
        <v>50-07</v>
      </c>
      <c r="AE224" s="85" t="str">
        <f t="shared" si="89"/>
        <v>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 &amp; aws s3 cp s3://rtdc.mdm.uploadarchive.raw/RTDC4008/ "%USERPROFILE%\AppData\Local\Temp\OnboardLogs"\RTDC4008\2017-03-08 --exclude "*" --recursive --include "*20170308*" &amp; "%USERPROFILE%\Documents\GitHub\mrs-test-scripts\Headless Mode &amp; Sideloading\WalkAndUnGZ.bat" "%USERPROFILE%\AppData\Local\Temp\OnboardLogs"\RTDC4008\2017-03-08</v>
      </c>
      <c r="AF224" s="82" t="str">
        <f t="shared" si="90"/>
        <v>"C:\Program Files (x86)\AstroGrep\AstroGrep.exe" /spath="%USERPROFILE%\AppData\Local\Temp\OnboardLogs" /stypes="app*4008*20170307*" /stext=" 18:.+((SYSTEM_STATE.+slice.+state.+changed )|(ment ac)|(multiple cpu faults)|(system.+state.+changed )|(\[timeout)|(PRM\|1\|D)|(kpr)|(kdp)|(\|lc)|(penalty))" /e /r /s</v>
      </c>
      <c r="AG224" s="1" t="str">
        <f t="shared" si="91"/>
        <v>Other</v>
      </c>
      <c r="AH224" s="86" t="str">
        <f t="shared" si="92"/>
        <v>"%USERPROFILE%\Documents\GitHub\eaglep3\Utilities\RefineRTDCRunTimes.py" --tripid 50-07 --locoid 4008 --swversion DE.1.0.9.0 --startMP 300:22760 --initTime 2017-03-07T10:52:34 --startdatetime 2017-03-07T10:59:38 --delay 6 --endMP 204:921 --enddatetime 2017-03-07T11:07:41 --enforcementcount 2 &gt;&gt;C:\Users\stu\Documents\GitHub\eaglep3-reporting\EC\2017-03-07-refined-times.txt</v>
      </c>
      <c r="AI224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{"issue":{"subject":"","project_id":79,"tracker_id":40,"status_id":1,"priority_id":2,"assigned_to_id":23,"start_date":"2017-03-07","description":"","custom_fields":[{"id":1,"name":"Subdivision","value":"Other"},{"id":4,"name":"Milepost","value":"0.0921"},{"id":17,"name":"Train ID","value":"50-07"},{"id":16,"name":"Locomotive ID","value":"4008"},{"id":130,"name":"Impact","value":""},{"id":150,"name":"Time of Event (Mountain Time)","value":"11:07:41"},{"id":151,"name":"Denver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94"/>
        <v>start /low /b %USERPROFILE%\Documents\GitHub\eaglep3\Utilities\DownloadLogsFromS3.py --loco 4008 --day 2017-03-07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"%USERPROFILE%\AppData\Local\Temp\OnboardLogs"\RTDC4008\*4008*20170307* | grep -SE "(Enforcement Action)|(\[TIMEOUT)|(CHR.+\|PRM\|1\|D.+(SWITCH|SIGNAL).+UNKNOWN)" - &gt;&gt; 2017-03-07-UncaughtWiMAX.txt</v>
      </c>
    </row>
    <row r="225" spans="1:40" x14ac:dyDescent="0.25">
      <c r="A225" s="33" t="s">
        <v>674</v>
      </c>
      <c r="B225" s="7">
        <v>4007</v>
      </c>
      <c r="C225" s="21" t="s">
        <v>233</v>
      </c>
      <c r="D225" s="21" t="s">
        <v>882</v>
      </c>
      <c r="E225" s="13">
        <v>42801.476701388892</v>
      </c>
      <c r="F225" s="13">
        <v>42801.481527777774</v>
      </c>
      <c r="G225" s="7">
        <v>2</v>
      </c>
      <c r="H225" s="21" t="s">
        <v>883</v>
      </c>
      <c r="I225" s="13">
        <v>42801.488715277781</v>
      </c>
      <c r="J225" s="7">
        <v>2</v>
      </c>
      <c r="K225" s="98" t="str">
        <f t="shared" si="80"/>
        <v>4007/4008</v>
      </c>
      <c r="L225" s="21" t="str">
        <f>VLOOKUP(A225,'Trips&amp;Operators'!$C$1:$G$99999,5,FALSE)</f>
        <v>MAELZER KURT</v>
      </c>
      <c r="M225" s="6">
        <f t="shared" si="81"/>
        <v>7.187500006693881E-3</v>
      </c>
      <c r="N225" s="7">
        <f t="shared" si="95"/>
        <v>10.350000009639189</v>
      </c>
      <c r="O225" s="7"/>
      <c r="P225" s="7"/>
      <c r="Q225" s="22"/>
      <c r="R225" s="22"/>
      <c r="S225" s="31">
        <f t="shared" si="82"/>
        <v>0</v>
      </c>
      <c r="T225" s="46" t="e">
        <f t="shared" si="83"/>
        <v>#VALUE!</v>
      </c>
      <c r="U225" s="18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6" t="str">
        <f t="shared" si="84"/>
        <v>https://d0f6bd738d7f1b3e5a7ca70fe4ff75f0.us-east-1.aws.found.io/app/kibana#/discover/Steve-Slow-Train-Analysis-(2080s-and-2083s)?_g=(refreshInterval:(display:Off,pause:!f,section:0,value:0),time:(from:'2017-03-07T10:26:27-0700',mode:absolute,to:'2017-03-07T12:43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5" s="187" t="str">
        <f t="shared" si="85"/>
        <v>Y</v>
      </c>
      <c r="X225" s="187" t="e">
        <f t="shared" si="79"/>
        <v>#VALUE!</v>
      </c>
      <c r="Y225" s="62">
        <f t="shared" si="96"/>
        <v>0.1179</v>
      </c>
      <c r="Z225" s="62">
        <f t="shared" si="86"/>
        <v>2.4224000000000001</v>
      </c>
      <c r="AA225" s="62">
        <f t="shared" si="87"/>
        <v>2.3045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88"/>
        <v>51-07</v>
      </c>
      <c r="AE225" s="85" t="str">
        <f t="shared" si="89"/>
        <v>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 &amp; aws s3 cp s3://rtdc.mdm.uploadarchive.raw/RTDC4007/ "%USERPROFILE%\AppData\Local\Temp\OnboardLogs"\RTDC4007\2017-03-08 --exclude "*" --recursive --include "*20170308*" &amp; "%USERPROFILE%\Documents\GitHub\mrs-test-scripts\Headless Mode &amp; Sideloading\WalkAndUnGZ.bat" "%USERPROFILE%\AppData\Local\Temp\OnboardLogs"\RTDC4007\2017-03-08</v>
      </c>
      <c r="AF225" s="82" t="str">
        <f t="shared" si="90"/>
        <v>"C:\Program Files (x86)\AstroGrep\AstroGrep.exe" /spath="%USERPROFILE%\AppData\Local\Temp\OnboardLogs" /stypes="app*4007*20170307*" /stext=" 18:.+((SYSTEM_STATE.+slice.+state.+changed )|(ment ac)|(multiple cpu faults)|(system.+state.+changed )|(\[timeout)|(PRM\|1\|D)|(kpr)|(kdp)|(\|lc)|(penalty))" /e /r /s</v>
      </c>
      <c r="AG225" s="1" t="str">
        <f t="shared" si="91"/>
        <v>Other</v>
      </c>
      <c r="AH225" s="86" t="str">
        <f t="shared" si="92"/>
        <v>"%USERPROFILE%\Documents\GitHub\eaglep3\Utilities\RefineRTDCRunTimes.py" --tripid 51-07 --locoid 4007 --swversion DE.1.0.9.0 --startMP 204:1179 --initTime 2017-03-07T11:26:27 --startdatetime 2017-03-07T11:33:24 --delay 2 --endMP 300:24224 --enddatetime 2017-03-07T11:43:45 --enforcementcount 2 &gt;&gt;C:\Users\stu\Documents\GitHub\eaglep3-reporting\EC\2017-03-07-refined-times.txt</v>
      </c>
      <c r="AI225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{"issue":{"subject":"","project_id":79,"tracker_id":40,"status_id":1,"priority_id":2,"assigned_to_id":23,"start_date":"2017-03-07","description":"","custom_fields":[{"id":1,"name":"Subdivision","value":"Other"},{"id":4,"name":"Milepost","value":"2.4224"},{"id":17,"name":"Train ID","value":"51-07"},{"id":16,"name":"Locomotive ID","value":"4007"},{"id":130,"name":"Impact","value":""},{"id":150,"name":"Time of Event (Mountain Time)","value":"11:43:45"},{"id":151,"name":"Denver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94"/>
        <v>start /low /b %USERPROFILE%\Documents\GitHub\eaglep3\Utilities\DownloadLogsFromS3.py --loco 4007 --day 2017-03-07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"%USERPROFILE%\AppData\Local\Temp\OnboardLogs"\RTDC4007\*4007*20170307* | grep -SE "(Enforcement Action)|(\[TIMEOUT)|(CHR.+\|PRM\|1\|D.+(SWITCH|SIGNAL).+UNKNOWN)" - &gt;&gt; 2017-03-07-UncaughtWiMAX.txt</v>
      </c>
    </row>
    <row r="226" spans="1:40" x14ac:dyDescent="0.25">
      <c r="A226" s="33" t="s">
        <v>580</v>
      </c>
      <c r="B226" s="7">
        <v>4035</v>
      </c>
      <c r="C226" s="21" t="s">
        <v>233</v>
      </c>
      <c r="D226" s="21" t="s">
        <v>250</v>
      </c>
      <c r="E226" s="13">
        <v>42801.631562499999</v>
      </c>
      <c r="F226" s="13">
        <v>42801.640960648147</v>
      </c>
      <c r="G226" s="7">
        <v>1</v>
      </c>
      <c r="H226" s="21" t="s">
        <v>884</v>
      </c>
      <c r="I226" s="13">
        <v>42801.666585648149</v>
      </c>
      <c r="J226" s="7">
        <v>2</v>
      </c>
      <c r="K226" s="98" t="str">
        <f t="shared" si="80"/>
        <v>4035/4036</v>
      </c>
      <c r="L226" s="21" t="str">
        <f>VLOOKUP(A226,'Trips&amp;Operators'!$C$1:$G$99999,5,FALSE)</f>
        <v>HOLCOMB KAMDEN</v>
      </c>
      <c r="M226" s="6">
        <f t="shared" si="81"/>
        <v>2.5625000002037268E-2</v>
      </c>
      <c r="N226" s="7">
        <f t="shared" si="95"/>
        <v>36.900000002933666</v>
      </c>
      <c r="O226" s="7"/>
      <c r="P226" s="7"/>
      <c r="Q226" s="22"/>
      <c r="R226" s="22"/>
      <c r="S226" s="31">
        <f t="shared" si="82"/>
        <v>0</v>
      </c>
      <c r="T226" s="46" t="e">
        <f t="shared" si="83"/>
        <v>#VALUE!</v>
      </c>
      <c r="U226" s="18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6" t="str">
        <f t="shared" si="84"/>
        <v>https://d0f6bd738d7f1b3e5a7ca70fe4ff75f0.us-east-1.aws.found.io/app/kibana#/discover/Steve-Slow-Train-Analysis-(2080s-and-2083s)?_g=(refreshInterval:(display:Off,pause:!f,section:0,value:0),time:(from:'2017-03-07T14:09:27-0700',mode:absolute,to:'2017-03-07T16:59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6" s="187" t="str">
        <f t="shared" si="85"/>
        <v>Y</v>
      </c>
      <c r="X226" s="187" t="e">
        <f t="shared" si="79"/>
        <v>#VALUE!</v>
      </c>
      <c r="Y226" s="62">
        <f t="shared" si="96"/>
        <v>5.8623000000000003</v>
      </c>
      <c r="Z226" s="62">
        <f t="shared" si="86"/>
        <v>3.3416999999999999</v>
      </c>
      <c r="AA226" s="62">
        <f t="shared" si="87"/>
        <v>2.5206000000000004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88"/>
        <v>52-07</v>
      </c>
      <c r="AE226" s="85" t="str">
        <f t="shared" si="89"/>
        <v>aws s3 cp s3://rtdc.mdm.uploadarchive.raw/RTDC4035/ "%USERPROFILE%\AppData\Local\Temp\OnboardLogs"\RTDC4035\2017-03-07 --exclude "*" --recursive --include "*20170307*" &amp; "%USERPROFILE%\Documents\GitHub\mrs-test-scripts\Headless Mode &amp; Sideloading\WalkAndUnGZ.bat" "%USERPROFILE%\AppData\Local\Temp\OnboardLogs"\RTDC4035\2017-03-07 &amp; aws s3 cp s3://rtdc.mdm.uploadarchive.raw/RTDC4035/ "%USERPROFILE%\AppData\Local\Temp\OnboardLogs"\RTDC4035\2017-03-08 --exclude "*" --recursive --include "*20170308*" &amp; "%USERPROFILE%\Documents\GitHub\mrs-test-scripts\Headless Mode &amp; Sideloading\WalkAndUnGZ.bat" "%USERPROFILE%\AppData\Local\Temp\OnboardLogs"\RTDC4035\2017-03-08</v>
      </c>
      <c r="AF226" s="82" t="str">
        <f t="shared" si="90"/>
        <v>"C:\Program Files (x86)\AstroGrep\AstroGrep.exe" /spath="%USERPROFILE%\AppData\Local\Temp\OnboardLogs" /stypes="app*4035*20170307*" /stext=" 22:.+((SYSTEM_STATE.+slice.+state.+changed )|(ment ac)|(multiple cpu faults)|(system.+state.+changed )|(\[timeout)|(PRM\|1\|D)|(kpr)|(kdp)|(\|lc)|(penalty))" /e /r /s</v>
      </c>
      <c r="AG226" s="1" t="str">
        <f t="shared" si="91"/>
        <v>Other</v>
      </c>
      <c r="AH226" s="86" t="str">
        <f t="shared" si="92"/>
        <v>"%USERPROFILE%\Documents\GitHub\eaglep3\Utilities\RefineRTDCRunTimes.py" --tripid 52-07 --locoid 4035 --swversion DE.1.0.9.0 --startMP 300:58623 --initTime 2017-03-07T15:09:27 --startdatetime 2017-03-07T15:22:59 --delay 1 --endMP 300:33417 --enddatetime 2017-03-07T15:59:53 --enforcementcount 2 &gt;&gt;C:\Users\stu\Documents\GitHub\eaglep3-reporting\EC\2017-03-07-refined-times.txt</v>
      </c>
      <c r="AI226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{"issue":{"subject":"","project_id":79,"tracker_id":40,"status_id":1,"priority_id":2,"assigned_to_id":23,"start_date":"2017-03-07","description":"","custom_fields":[{"id":1,"name":"Subdivision","value":"Other"},{"id":4,"name":"Milepost","value":"3.3417"},{"id":17,"name":"Train ID","value":"52-07"},{"id":16,"name":"Locomotive ID","value":"4035"},{"id":130,"name":"Impact","value":""},{"id":150,"name":"Time of Event (Mountain Time)","value":"15:59:53"},{"id":151,"name":"Denver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94"/>
        <v>start /low /b %USERPROFILE%\Documents\GitHub\eaglep3\Utilities\DownloadLogsFromS3.py --loco 4035 --day 2017-03-07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"%USERPROFILE%\AppData\Local\Temp\OnboardLogs"\RTDC4035\*4035*20170307* | grep -SE "(Enforcement Action)|(\[TIMEOUT)|(CHR.+\|PRM\|1\|D.+(SWITCH|SIGNAL).+UNKNOWN)" - &gt;&gt; 2017-03-07-UncaughtWiMAX.txt</v>
      </c>
    </row>
    <row r="227" spans="1:40" x14ac:dyDescent="0.25">
      <c r="A227" s="33" t="s">
        <v>580</v>
      </c>
      <c r="B227" s="7">
        <v>4035</v>
      </c>
      <c r="C227" s="21" t="s">
        <v>233</v>
      </c>
      <c r="D227" s="21" t="s">
        <v>885</v>
      </c>
      <c r="E227" s="13">
        <v>42801.668506944443</v>
      </c>
      <c r="F227" s="13">
        <v>42801.691921296297</v>
      </c>
      <c r="G227" s="7">
        <v>1</v>
      </c>
      <c r="H227" s="21" t="s">
        <v>886</v>
      </c>
      <c r="I227" s="13">
        <v>42801.702152777776</v>
      </c>
      <c r="J227" s="7">
        <v>2</v>
      </c>
      <c r="K227" s="98" t="str">
        <f t="shared" si="80"/>
        <v>4035/4036</v>
      </c>
      <c r="L227" s="21" t="str">
        <f>VLOOKUP(A227,'Trips&amp;Operators'!$C$1:$G$99999,5,FALSE)</f>
        <v>HOLCOMB KAMDEN</v>
      </c>
      <c r="M227" s="6">
        <f t="shared" si="81"/>
        <v>1.0231481479422655E-2</v>
      </c>
      <c r="N227" s="7">
        <f t="shared" si="95"/>
        <v>14.733333330368623</v>
      </c>
      <c r="O227" s="7"/>
      <c r="P227" s="7"/>
      <c r="Q227" s="22"/>
      <c r="R227" s="22"/>
      <c r="S227" s="31">
        <f t="shared" si="82"/>
        <v>0</v>
      </c>
      <c r="T227" s="46" t="e">
        <f t="shared" si="83"/>
        <v>#VALUE!</v>
      </c>
      <c r="U227" s="18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6" t="str">
        <f t="shared" si="84"/>
        <v>https://d0f6bd738d7f1b3e5a7ca70fe4ff75f0.us-east-1.aws.found.io/app/kibana#/discover/Steve-Slow-Train-Analysis-(2080s-and-2083s)?_g=(refreshInterval:(display:Off,pause:!f,section:0,value:0),time:(from:'2017-03-07T15:02:39-0700',mode:absolute,to:'2017-03-07T17:51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7" s="187" t="str">
        <f t="shared" si="85"/>
        <v>Y</v>
      </c>
      <c r="X227" s="187" t="e">
        <f t="shared" si="79"/>
        <v>#VALUE!</v>
      </c>
      <c r="Y227" s="62">
        <f t="shared" si="96"/>
        <v>5.8640999999999996</v>
      </c>
      <c r="Z227" s="62">
        <f t="shared" si="86"/>
        <v>3.2757999999999998</v>
      </c>
      <c r="AA227" s="62">
        <f t="shared" si="87"/>
        <v>2.5882999999999998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88"/>
        <v>52-07</v>
      </c>
      <c r="AE227" s="85" t="str">
        <f t="shared" si="89"/>
        <v>aws s3 cp s3://rtdc.mdm.uploadarchive.raw/RTDC4035/ "%USERPROFILE%\AppData\Local\Temp\OnboardLogs"\RTDC4035\2017-03-07 --exclude "*" --recursive --include "*20170307*" &amp; "%USERPROFILE%\Documents\GitHub\mrs-test-scripts\Headless Mode &amp; Sideloading\WalkAndUnGZ.bat" "%USERPROFILE%\AppData\Local\Temp\OnboardLogs"\RTDC4035\2017-03-07 &amp; aws s3 cp s3://rtdc.mdm.uploadarchive.raw/RTDC4035/ "%USERPROFILE%\AppData\Local\Temp\OnboardLogs"\RTDC4035\2017-03-08 --exclude "*" --recursive --include "*20170308*" &amp; "%USERPROFILE%\Documents\GitHub\mrs-test-scripts\Headless Mode &amp; Sideloading\WalkAndUnGZ.bat" "%USERPROFILE%\AppData\Local\Temp\OnboardLogs"\RTDC4035\2017-03-08</v>
      </c>
      <c r="AF227" s="82" t="str">
        <f t="shared" si="90"/>
        <v>"C:\Program Files (x86)\AstroGrep\AstroGrep.exe" /spath="%USERPROFILE%\AppData\Local\Temp\OnboardLogs" /stypes="app*4035*20170307*" /stext=" 23:.+((SYSTEM_STATE.+slice.+state.+changed )|(ment ac)|(multiple cpu faults)|(system.+state.+changed )|(\[timeout)|(PRM\|1\|D)|(kpr)|(kdp)|(\|lc)|(penalty))" /e /r /s</v>
      </c>
      <c r="AG227" s="1" t="str">
        <f t="shared" si="91"/>
        <v>Other</v>
      </c>
      <c r="AH227" s="86" t="str">
        <f t="shared" si="92"/>
        <v>"%USERPROFILE%\Documents\GitHub\eaglep3\Utilities\RefineRTDCRunTimes.py" --tripid 52-07 --locoid 4035 --swversion DE.1.0.9.0 --startMP 300:58641 --initTime 2017-03-07T16:02:39 --startdatetime 2017-03-07T16:36:22 --delay 1 --endMP 300:32758 --enddatetime 2017-03-07T16:51:06 --enforcementcount 2 &gt;&gt;C:\Users\stu\Documents\GitHub\eaglep3-reporting\EC\2017-03-07-refined-times.txt</v>
      </c>
      <c r="AI227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{"issue":{"subject":"","project_id":79,"tracker_id":40,"status_id":1,"priority_id":2,"assigned_to_id":23,"start_date":"2017-03-07","description":"","custom_fields":[{"id":1,"name":"Subdivision","value":"Other"},{"id":4,"name":"Milepost","value":"3.2758"},{"id":17,"name":"Train ID","value":"52-07"},{"id":16,"name":"Locomotive ID","value":"4035"},{"id":130,"name":"Impact","value":""},{"id":150,"name":"Time of Event (Mountain Time)","value":"16:51:06"},{"id":151,"name":"Denver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94"/>
        <v>start /low /b %USERPROFILE%\Documents\GitHub\eaglep3\Utilities\DownloadLogsFromS3.py --loco 4035 --day 2017-03-07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"%USERPROFILE%\AppData\Local\Temp\OnboardLogs"\RTDC4035\*4035*20170307* | grep -SE "(Enforcement Action)|(\[TIMEOUT)|(CHR.+\|PRM\|1\|D.+(SWITCH|SIGNAL).+UNKNOWN)" - &gt;&gt; 2017-03-07-UncaughtWiMAX.txt</v>
      </c>
    </row>
    <row r="228" spans="1:40" x14ac:dyDescent="0.25">
      <c r="A228" s="33" t="s">
        <v>580</v>
      </c>
      <c r="B228" s="7">
        <v>4035</v>
      </c>
      <c r="C228" s="21" t="s">
        <v>233</v>
      </c>
      <c r="D228" s="21" t="s">
        <v>523</v>
      </c>
      <c r="E228" s="13">
        <v>42801.687743055554</v>
      </c>
      <c r="F228" s="13">
        <v>42801.691921296297</v>
      </c>
      <c r="G228" s="7">
        <v>1</v>
      </c>
      <c r="H228" s="21" t="s">
        <v>887</v>
      </c>
      <c r="I228" s="13">
        <v>42801.702152777776</v>
      </c>
      <c r="J228" s="7">
        <v>2</v>
      </c>
      <c r="K228" s="98" t="str">
        <f t="shared" si="80"/>
        <v>4035/4036</v>
      </c>
      <c r="L228" s="21" t="str">
        <f>VLOOKUP(A228,'Trips&amp;Operators'!$C$1:$G$99999,5,FALSE)</f>
        <v>HOLCOMB KAMDEN</v>
      </c>
      <c r="M228" s="6">
        <f t="shared" si="81"/>
        <v>1.0231481479422655E-2</v>
      </c>
      <c r="N228" s="7">
        <f t="shared" si="95"/>
        <v>14.733333330368623</v>
      </c>
      <c r="O228" s="7"/>
      <c r="P228" s="7"/>
      <c r="Q228" s="22"/>
      <c r="R228" s="22"/>
      <c r="S228" s="31">
        <f t="shared" si="82"/>
        <v>0</v>
      </c>
      <c r="T228" s="46" t="e">
        <f t="shared" si="83"/>
        <v>#VALUE!</v>
      </c>
      <c r="U228" s="18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6" t="str">
        <f t="shared" si="84"/>
        <v>https://d0f6bd738d7f1b3e5a7ca70fe4ff75f0.us-east-1.aws.found.io/app/kibana#/discover/Steve-Slow-Train-Analysis-(2080s-and-2083s)?_g=(refreshInterval:(display:Off,pause:!f,section:0,value:0),time:(from:'2017-03-07T15:30:21-0700',mode:absolute,to:'2017-03-07T17:51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8" s="187" t="str">
        <f t="shared" si="85"/>
        <v>Y</v>
      </c>
      <c r="X228" s="187" t="e">
        <f t="shared" si="79"/>
        <v>#VALUE!</v>
      </c>
      <c r="Y228" s="62">
        <f t="shared" si="96"/>
        <v>5.8651</v>
      </c>
      <c r="Z228" s="62">
        <f t="shared" si="86"/>
        <v>2.8734000000000002</v>
      </c>
      <c r="AA228" s="62">
        <f t="shared" si="87"/>
        <v>2.9916999999999998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88"/>
        <v>52-07</v>
      </c>
      <c r="AE228" s="85" t="str">
        <f t="shared" si="89"/>
        <v>aws s3 cp s3://rtdc.mdm.uploadarchive.raw/RTDC4035/ "%USERPROFILE%\AppData\Local\Temp\OnboardLogs"\RTDC4035\2017-03-07 --exclude "*" --recursive --include "*20170307*" &amp; "%USERPROFILE%\Documents\GitHub\mrs-test-scripts\Headless Mode &amp; Sideloading\WalkAndUnGZ.bat" "%USERPROFILE%\AppData\Local\Temp\OnboardLogs"\RTDC4035\2017-03-07 &amp; aws s3 cp s3://rtdc.mdm.uploadarchive.raw/RTDC4035/ "%USERPROFILE%\AppData\Local\Temp\OnboardLogs"\RTDC4035\2017-03-08 --exclude "*" --recursive --include "*20170308*" &amp; "%USERPROFILE%\Documents\GitHub\mrs-test-scripts\Headless Mode &amp; Sideloading\WalkAndUnGZ.bat" "%USERPROFILE%\AppData\Local\Temp\OnboardLogs"\RTDC4035\2017-03-08</v>
      </c>
      <c r="AF228" s="82" t="str">
        <f t="shared" si="90"/>
        <v>"C:\Program Files (x86)\AstroGrep\AstroGrep.exe" /spath="%USERPROFILE%\AppData\Local\Temp\OnboardLogs" /stypes="app*4035*20170307*" /stext=" 23:.+((SYSTEM_STATE.+slice.+state.+changed )|(ment ac)|(multiple cpu faults)|(system.+state.+changed )|(\[timeout)|(PRM\|1\|D)|(kpr)|(kdp)|(\|lc)|(penalty))" /e /r /s</v>
      </c>
      <c r="AG228" s="1" t="str">
        <f t="shared" si="91"/>
        <v>Other</v>
      </c>
      <c r="AH228" s="86" t="str">
        <f t="shared" si="92"/>
        <v>"%USERPROFILE%\Documents\GitHub\eaglep3\Utilities\RefineRTDCRunTimes.py" --tripid 52-07 --locoid 4035 --swversion DE.1.0.9.0 --startMP 300:58651 --initTime 2017-03-07T16:30:21 --startdatetime 2017-03-07T16:36:22 --delay 1 --endMP 300:28734 --enddatetime 2017-03-07T16:51:06 --enforcementcount 2 &gt;&gt;C:\Users\stu\Documents\GitHub\eaglep3-reporting\EC\2017-03-07-refined-times.txt</v>
      </c>
      <c r="AI228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{"issue":{"subject":"","project_id":79,"tracker_id":40,"status_id":1,"priority_id":2,"assigned_to_id":23,"start_date":"2017-03-07","description":"","custom_fields":[{"id":1,"name":"Subdivision","value":"Other"},{"id":4,"name":"Milepost","value":"2.8734"},{"id":17,"name":"Train ID","value":"52-07"},{"id":16,"name":"Locomotive ID","value":"4035"},{"id":130,"name":"Impact","value":""},{"id":150,"name":"Time of Event (Mountain Time)","value":"16:51:06"},{"id":151,"name":"Denver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94"/>
        <v>start /low /b %USERPROFILE%\Documents\GitHub\eaglep3\Utilities\DownloadLogsFromS3.py --loco 4035 --day 2017-03-07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"%USERPROFILE%\AppData\Local\Temp\OnboardLogs"\RTDC4035\*4035*20170307* | grep -SE "(Enforcement Action)|(\[TIMEOUT)|(CHR.+\|PRM\|1\|D.+(SWITCH|SIGNAL).+UNKNOWN)" - &gt;&gt; 2017-03-07-UncaughtWiMAX.txt</v>
      </c>
    </row>
    <row r="229" spans="1:40" x14ac:dyDescent="0.25">
      <c r="A229" s="33" t="s">
        <v>580</v>
      </c>
      <c r="B229" s="7">
        <v>4036</v>
      </c>
      <c r="C229" s="21" t="s">
        <v>233</v>
      </c>
      <c r="D229" s="21" t="s">
        <v>888</v>
      </c>
      <c r="E229" s="13">
        <v>42801.622812499998</v>
      </c>
      <c r="F229" s="13">
        <v>42801.640960648147</v>
      </c>
      <c r="G229" s="7">
        <v>1</v>
      </c>
      <c r="H229" s="21" t="s">
        <v>463</v>
      </c>
      <c r="I229" s="13">
        <v>42801.666585648149</v>
      </c>
      <c r="J229" s="7">
        <v>2</v>
      </c>
      <c r="K229" s="98" t="str">
        <f t="shared" si="80"/>
        <v>4035/4036</v>
      </c>
      <c r="L229" s="21" t="str">
        <f>VLOOKUP(A229,'Trips&amp;Operators'!$C$1:$G$99999,5,FALSE)</f>
        <v>HOLCOMB KAMDEN</v>
      </c>
      <c r="M229" s="6">
        <f t="shared" si="81"/>
        <v>2.5625000002037268E-2</v>
      </c>
      <c r="N229" s="7">
        <f t="shared" si="95"/>
        <v>36.900000002933666</v>
      </c>
      <c r="O229" s="7"/>
      <c r="P229" s="7"/>
      <c r="Q229" s="22"/>
      <c r="R229" s="22"/>
      <c r="S229" s="31">
        <f t="shared" si="82"/>
        <v>0</v>
      </c>
      <c r="T229" s="46" t="e">
        <f t="shared" si="83"/>
        <v>#VALUE!</v>
      </c>
      <c r="U229" s="18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6" t="str">
        <f t="shared" si="84"/>
        <v>https://d0f6bd738d7f1b3e5a7ca70fe4ff75f0.us-east-1.aws.found.io/app/kibana#/discover/Steve-Slow-Train-Analysis-(2080s-and-2083s)?_g=(refreshInterval:(display:Off,pause:!f,section:0,value:0),time:(from:'2017-03-07T13:56:51-0700',mode:absolute,to:'2017-03-07T16:59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29" s="187" t="str">
        <f t="shared" si="85"/>
        <v>Y</v>
      </c>
      <c r="X229" s="187" t="e">
        <f t="shared" si="79"/>
        <v>#VALUE!</v>
      </c>
      <c r="Y229" s="62">
        <f t="shared" si="96"/>
        <v>2.1979000000000002</v>
      </c>
      <c r="Z229" s="62">
        <f t="shared" si="86"/>
        <v>5.8940999999999999</v>
      </c>
      <c r="AA229" s="62">
        <f t="shared" si="87"/>
        <v>3.6961999999999997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88"/>
        <v>52-07</v>
      </c>
      <c r="AE229" s="85" t="str">
        <f t="shared" si="89"/>
        <v>aws s3 cp s3://rtdc.mdm.uploadarchive.raw/RTDC4036/ "%USERPROFILE%\AppData\Local\Temp\OnboardLogs"\RTDC4036\2017-03-07 --exclude "*" --recursive --include "*20170307*" &amp; "%USERPROFILE%\Documents\GitHub\mrs-test-scripts\Headless Mode &amp; Sideloading\WalkAndUnGZ.bat" "%USERPROFILE%\AppData\Local\Temp\OnboardLogs"\RTDC4036\2017-03-07 &amp; aws s3 cp s3://rtdc.mdm.uploadarchive.raw/RTDC4036/ "%USERPROFILE%\AppData\Local\Temp\OnboardLogs"\RTDC4036\2017-03-08 --exclude "*" --recursive --include "*20170308*" &amp; "%USERPROFILE%\Documents\GitHub\mrs-test-scripts\Headless Mode &amp; Sideloading\WalkAndUnGZ.bat" "%USERPROFILE%\AppData\Local\Temp\OnboardLogs"\RTDC4036\2017-03-08</v>
      </c>
      <c r="AF229" s="82" t="str">
        <f t="shared" si="90"/>
        <v>"C:\Program Files (x86)\AstroGrep\AstroGrep.exe" /spath="%USERPROFILE%\AppData\Local\Temp\OnboardLogs" /stypes="app*4036*20170307*" /stext=" 22:.+((SYSTEM_STATE.+slice.+state.+changed )|(ment ac)|(multiple cpu faults)|(system.+state.+changed )|(\[timeout)|(PRM\|1\|D)|(kpr)|(kdp)|(\|lc)|(penalty))" /e /r /s</v>
      </c>
      <c r="AG229" s="1" t="str">
        <f t="shared" si="91"/>
        <v>Other</v>
      </c>
      <c r="AH229" s="86" t="str">
        <f t="shared" si="92"/>
        <v>"%USERPROFILE%\Documents\GitHub\eaglep3\Utilities\RefineRTDCRunTimes.py" --tripid 52-07 --locoid 4036 --swversion DE.1.0.9.0 --startMP 300:21979 --initTime 2017-03-07T14:56:51 --startdatetime 2017-03-07T15:22:59 --delay 1 --endMP 300:58941 --enddatetime 2017-03-07T15:59:53 --enforcementcount 2 &gt;&gt;C:\Users\stu\Documents\GitHub\eaglep3-reporting\EC\2017-03-07-refined-times.txt</v>
      </c>
      <c r="AI229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{"issue":{"subject":"","project_id":79,"tracker_id":40,"status_id":1,"priority_id":2,"assigned_to_id":23,"start_date":"2017-03-07","description":"","custom_fields":[{"id":1,"name":"Subdivision","value":"Other"},{"id":4,"name":"Milepost","value":"5.8941"},{"id":17,"name":"Train ID","value":"52-07"},{"id":16,"name":"Locomotive ID","value":"4036"},{"id":130,"name":"Impact","value":""},{"id":150,"name":"Time of Event (Mountain Time)","value":"15:59:53"},{"id":151,"name":"Denver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94"/>
        <v>start /low /b %USERPROFILE%\Documents\GitHub\eaglep3\Utilities\DownloadLogsFromS3.py --loco 4036 --day 2017-03-07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"%USERPROFILE%\AppData\Local\Temp\OnboardLogs"\RTDC4036\*4036*20170307* | grep -SE "(Enforcement Action)|(\[TIMEOUT)|(CHR.+\|PRM\|1\|D.+(SWITCH|SIGNAL).+UNKNOWN)" - &gt;&gt; 2017-03-07-UncaughtWiMAX.txt</v>
      </c>
    </row>
    <row r="230" spans="1:40" x14ac:dyDescent="0.25">
      <c r="A230" s="33" t="s">
        <v>580</v>
      </c>
      <c r="B230" s="7">
        <v>4036</v>
      </c>
      <c r="C230" s="21" t="s">
        <v>233</v>
      </c>
      <c r="D230" s="21" t="s">
        <v>889</v>
      </c>
      <c r="E230" s="13">
        <v>42801.677256944444</v>
      </c>
      <c r="F230" s="13">
        <v>42801.691921296297</v>
      </c>
      <c r="G230" s="7">
        <v>1</v>
      </c>
      <c r="H230" s="21" t="s">
        <v>890</v>
      </c>
      <c r="I230" s="13">
        <v>42801.702152777776</v>
      </c>
      <c r="J230" s="7">
        <v>2</v>
      </c>
      <c r="K230" s="98" t="str">
        <f t="shared" si="80"/>
        <v>4035/4036</v>
      </c>
      <c r="L230" s="21" t="str">
        <f>VLOOKUP(A230,'Trips&amp;Operators'!$C$1:$G$99999,5,FALSE)</f>
        <v>HOLCOMB KAMDEN</v>
      </c>
      <c r="M230" s="6">
        <f t="shared" si="81"/>
        <v>1.0231481479422655E-2</v>
      </c>
      <c r="N230" s="7">
        <f t="shared" si="95"/>
        <v>14.733333330368623</v>
      </c>
      <c r="O230" s="7"/>
      <c r="P230" s="7"/>
      <c r="Q230" s="22"/>
      <c r="R230" s="22"/>
      <c r="S230" s="31">
        <f t="shared" si="82"/>
        <v>0</v>
      </c>
      <c r="T230" s="46" t="e">
        <f t="shared" si="83"/>
        <v>#VALUE!</v>
      </c>
      <c r="U230" s="18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6" t="str">
        <f t="shared" si="84"/>
        <v>https://d0f6bd738d7f1b3e5a7ca70fe4ff75f0.us-east-1.aws.found.io/app/kibana#/discover/Steve-Slow-Train-Analysis-(2080s-and-2083s)?_g=(refreshInterval:(display:Off,pause:!f,section:0,value:0),time:(from:'2017-03-07T15:15:15-0700',mode:absolute,to:'2017-03-07T17:51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30" s="187" t="str">
        <f t="shared" si="85"/>
        <v>Y</v>
      </c>
      <c r="X230" s="187" t="e">
        <f t="shared" si="79"/>
        <v>#VALUE!</v>
      </c>
      <c r="Y230" s="62">
        <f t="shared" si="96"/>
        <v>3.3069999999999999</v>
      </c>
      <c r="Z230" s="62">
        <f t="shared" si="86"/>
        <v>5.8978000000000002</v>
      </c>
      <c r="AA230" s="62">
        <f t="shared" si="87"/>
        <v>2.5908000000000002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88"/>
        <v>52-07</v>
      </c>
      <c r="AE230" s="85" t="str">
        <f t="shared" si="89"/>
        <v>aws s3 cp s3://rtdc.mdm.uploadarchive.raw/RTDC4036/ "%USERPROFILE%\AppData\Local\Temp\OnboardLogs"\RTDC4036\2017-03-07 --exclude "*" --recursive --include "*20170307*" &amp; "%USERPROFILE%\Documents\GitHub\mrs-test-scripts\Headless Mode &amp; Sideloading\WalkAndUnGZ.bat" "%USERPROFILE%\AppData\Local\Temp\OnboardLogs"\RTDC4036\2017-03-07 &amp; aws s3 cp s3://rtdc.mdm.uploadarchive.raw/RTDC4036/ "%USERPROFILE%\AppData\Local\Temp\OnboardLogs"\RTDC4036\2017-03-08 --exclude "*" --recursive --include "*20170308*" &amp; "%USERPROFILE%\Documents\GitHub\mrs-test-scripts\Headless Mode &amp; Sideloading\WalkAndUnGZ.bat" "%USERPROFILE%\AppData\Local\Temp\OnboardLogs"\RTDC4036\2017-03-08</v>
      </c>
      <c r="AF230" s="82" t="str">
        <f t="shared" si="90"/>
        <v>"C:\Program Files (x86)\AstroGrep\AstroGrep.exe" /spath="%USERPROFILE%\AppData\Local\Temp\OnboardLogs" /stypes="app*4036*20170307*" /stext=" 23:.+((SYSTEM_STATE.+slice.+state.+changed )|(ment ac)|(multiple cpu faults)|(system.+state.+changed )|(\[timeout)|(PRM\|1\|D)|(kpr)|(kdp)|(\|lc)|(penalty))" /e /r /s</v>
      </c>
      <c r="AG230" s="1" t="str">
        <f t="shared" si="91"/>
        <v>Other</v>
      </c>
      <c r="AH230" s="86" t="str">
        <f t="shared" si="92"/>
        <v>"%USERPROFILE%\Documents\GitHub\eaglep3\Utilities\RefineRTDCRunTimes.py" --tripid 52-07 --locoid 4036 --swversion DE.1.0.9.0 --startMP 300:33070 --initTime 2017-03-07T16:15:15 --startdatetime 2017-03-07T16:36:22 --delay 1 --endMP 300:58978 --enddatetime 2017-03-07T16:51:06 --enforcementcount 2 &gt;&gt;C:\Users\stu\Documents\GitHub\eaglep3-reporting\EC\2017-03-07-refined-times.txt</v>
      </c>
      <c r="AI230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{"issue":{"subject":"","project_id":79,"tracker_id":40,"status_id":1,"priority_id":2,"assigned_to_id":23,"start_date":"2017-03-07","description":"","custom_fields":[{"id":1,"name":"Subdivision","value":"Other"},{"id":4,"name":"Milepost","value":"5.8978"},{"id":17,"name":"Train ID","value":"52-07"},{"id":16,"name":"Locomotive ID","value":"4036"},{"id":130,"name":"Impact","value":""},{"id":150,"name":"Time of Event (Mountain Time)","value":"16:51:06"},{"id":151,"name":"Denver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94"/>
        <v>start /low /b %USERPROFILE%\Documents\GitHub\eaglep3\Utilities\DownloadLogsFromS3.py --loco 4036 --day 2017-03-07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"%USERPROFILE%\AppData\Local\Temp\OnboardLogs"\RTDC4036\*4036*20170307* | grep -SE "(Enforcement Action)|(\[TIMEOUT)|(CHR.+\|PRM\|1\|D.+(SWITCH|SIGNAL).+UNKNOWN)" - &gt;&gt; 2017-03-07-UncaughtWiMAX.txt</v>
      </c>
    </row>
    <row r="231" spans="1:40" x14ac:dyDescent="0.25">
      <c r="A231" s="33" t="s">
        <v>580</v>
      </c>
      <c r="B231" s="7">
        <v>4036</v>
      </c>
      <c r="C231" s="21" t="s">
        <v>233</v>
      </c>
      <c r="D231" s="21" t="s">
        <v>891</v>
      </c>
      <c r="E231" s="13">
        <v>42801.639745370368</v>
      </c>
      <c r="F231" s="13">
        <v>42801.679108796299</v>
      </c>
      <c r="G231" s="7">
        <v>1</v>
      </c>
      <c r="H231" s="21" t="s">
        <v>537</v>
      </c>
      <c r="I231" s="13">
        <v>42801.686354166668</v>
      </c>
      <c r="J231" s="7">
        <v>2</v>
      </c>
      <c r="K231" s="98" t="str">
        <f t="shared" si="80"/>
        <v>4035/4036</v>
      </c>
      <c r="L231" s="21" t="str">
        <f>VLOOKUP(A231,'Trips&amp;Operators'!$C$1:$G$99999,5,FALSE)</f>
        <v>HOLCOMB KAMDEN</v>
      </c>
      <c r="M231" s="6">
        <f t="shared" si="81"/>
        <v>7.2453703687642701E-3</v>
      </c>
      <c r="N231" s="7">
        <f t="shared" si="95"/>
        <v>10.433333331020549</v>
      </c>
      <c r="O231" s="7"/>
      <c r="P231" s="7"/>
      <c r="Q231" s="22"/>
      <c r="R231" s="22"/>
      <c r="S231" s="31">
        <f t="shared" si="82"/>
        <v>0</v>
      </c>
      <c r="T231" s="46" t="e">
        <f t="shared" si="83"/>
        <v>#VALUE!</v>
      </c>
      <c r="U231" s="18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6" t="str">
        <f t="shared" si="84"/>
        <v>https://d0f6bd738d7f1b3e5a7ca70fe4ff75f0.us-east-1.aws.found.io/app/kibana#/discover/Steve-Slow-Train-Analysis-(2080s-and-2083s)?_g=(refreshInterval:(display:Off,pause:!f,section:0,value:0),time:(from:'2017-03-07T14:21:14-0700',mode:absolute,to:'2017-03-07T17:28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31" s="187" t="str">
        <f t="shared" si="85"/>
        <v>Y</v>
      </c>
      <c r="X231" s="187" t="e">
        <f t="shared" si="79"/>
        <v>#VALUE!</v>
      </c>
      <c r="Y231" s="62">
        <f t="shared" si="96"/>
        <v>3.3727999999999998</v>
      </c>
      <c r="Z231" s="62">
        <f t="shared" si="86"/>
        <v>5.8949999999999996</v>
      </c>
      <c r="AA231" s="62">
        <f t="shared" si="87"/>
        <v>2.5221999999999998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88"/>
        <v>52-07</v>
      </c>
      <c r="AE231" s="85" t="str">
        <f t="shared" si="89"/>
        <v>aws s3 cp s3://rtdc.mdm.uploadarchive.raw/RTDC4036/ "%USERPROFILE%\AppData\Local\Temp\OnboardLogs"\RTDC4036\2017-03-07 --exclude "*" --recursive --include "*20170307*" &amp; "%USERPROFILE%\Documents\GitHub\mrs-test-scripts\Headless Mode &amp; Sideloading\WalkAndUnGZ.bat" "%USERPROFILE%\AppData\Local\Temp\OnboardLogs"\RTDC4036\2017-03-07 &amp; aws s3 cp s3://rtdc.mdm.uploadarchive.raw/RTDC4036/ "%USERPROFILE%\AppData\Local\Temp\OnboardLogs"\RTDC4036\2017-03-08 --exclude "*" --recursive --include "*20170308*" &amp; "%USERPROFILE%\Documents\GitHub\mrs-test-scripts\Headless Mode &amp; Sideloading\WalkAndUnGZ.bat" "%USERPROFILE%\AppData\Local\Temp\OnboardLogs"\RTDC4036\2017-03-08</v>
      </c>
      <c r="AF231" s="82" t="str">
        <f t="shared" si="90"/>
        <v>"C:\Program Files (x86)\AstroGrep\AstroGrep.exe" /spath="%USERPROFILE%\AppData\Local\Temp\OnboardLogs" /stypes="app*4036*20170307*" /stext=" 23:.+((SYSTEM_STATE.+slice.+state.+changed )|(ment ac)|(multiple cpu faults)|(system.+state.+changed )|(\[timeout)|(PRM\|1\|D)|(kpr)|(kdp)|(\|lc)|(penalty))" /e /r /s</v>
      </c>
      <c r="AG231" s="1" t="str">
        <f t="shared" si="91"/>
        <v>Other</v>
      </c>
      <c r="AH231" s="86" t="str">
        <f t="shared" si="92"/>
        <v>"%USERPROFILE%\Documents\GitHub\eaglep3\Utilities\RefineRTDCRunTimes.py" --tripid 52-07 --locoid 4036 --swversion DE.1.0.9.0 --startMP 300:33728 --initTime 2017-03-07T15:21:14 --startdatetime 2017-03-07T16:17:55 --delay 1 --endMP 300:58950 --enddatetime 2017-03-07T16:28:21 --enforcementcount 2 &gt;&gt;C:\Users\stu\Documents\GitHub\eaglep3-reporting\EC\2017-03-07-refined-times.txt</v>
      </c>
      <c r="AI231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{"issue":{"subject":"","project_id":79,"tracker_id":40,"status_id":1,"priority_id":2,"assigned_to_id":23,"start_date":"2017-03-07","description":"","custom_fields":[{"id":1,"name":"Subdivision","value":"Other"},{"id":4,"name":"Milepost","value":"5.895"},{"id":17,"name":"Train ID","value":"52-07"},{"id":16,"name":"Locomotive ID","value":"4036"},{"id":130,"name":"Impact","value":""},{"id":150,"name":"Time of Event (Mountain Time)","value":"16:28:21"},{"id":151,"name":"Denver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94"/>
        <v>start /low /b %USERPROFILE%\Documents\GitHub\eaglep3\Utilities\DownloadLogsFromS3.py --loco 4036 --day 2017-03-07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"%USERPROFILE%\AppData\Local\Temp\OnboardLogs"\RTDC4036\*4036*20170307* | grep -SE "(Enforcement Action)|(\[TIMEOUT)|(CHR.+\|PRM\|1\|D.+(SWITCH|SIGNAL).+UNKNOWN)" - &gt;&gt; 2017-03-07-UncaughtWiMAX.txt</v>
      </c>
    </row>
    <row r="232" spans="1:40" x14ac:dyDescent="0.25">
      <c r="A232" s="33" t="s">
        <v>587</v>
      </c>
      <c r="B232" s="7">
        <v>4008</v>
      </c>
      <c r="C232" s="21" t="s">
        <v>233</v>
      </c>
      <c r="D232" s="21" t="s">
        <v>892</v>
      </c>
      <c r="E232" s="13">
        <v>42801.740208333336</v>
      </c>
      <c r="F232" s="13">
        <v>42801.741238425922</v>
      </c>
      <c r="G232" s="7">
        <v>1</v>
      </c>
      <c r="H232" s="21">
        <v>8.5243055555555554</v>
      </c>
      <c r="I232" s="13">
        <v>42801.750497685185</v>
      </c>
      <c r="J232" s="7">
        <v>2</v>
      </c>
      <c r="K232" s="98" t="str">
        <f t="shared" si="80"/>
        <v>4007/4008</v>
      </c>
      <c r="L232" s="21" t="str">
        <f>VLOOKUP(A232,'Trips&amp;Operators'!$C$1:$G$99999,5,FALSE)</f>
        <v>STORY SAMANTHA</v>
      </c>
      <c r="M232" s="6">
        <f t="shared" si="81"/>
        <v>9.2592592627624981E-3</v>
      </c>
      <c r="N232" s="7">
        <f t="shared" si="95"/>
        <v>13.333333338377997</v>
      </c>
      <c r="O232" s="7"/>
      <c r="P232" s="7"/>
      <c r="Q232" s="22"/>
      <c r="R232" s="22"/>
      <c r="S232" s="31">
        <f t="shared" si="82"/>
        <v>0</v>
      </c>
      <c r="T232" s="46" t="e">
        <f t="shared" si="83"/>
        <v>#VALUE!</v>
      </c>
      <c r="U232" s="18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6" t="str">
        <f t="shared" si="84"/>
        <v>https://d0f6bd738d7f1b3e5a7ca70fe4ff75f0.us-east-1.aws.found.io/app/kibana#/discover/Steve-Slow-Train-Analysis-(2080s-and-2083s)?_g=(refreshInterval:(display:Off,pause:!f,section:0,value:0),time:(from:'2017-03-07T16:45:54-0700',mode:absolute,to:'2017-03-07T19:00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2" s="187" t="str">
        <f t="shared" si="85"/>
        <v>N</v>
      </c>
      <c r="X232" s="187" t="e">
        <f t="shared" si="79"/>
        <v>#VALUE!</v>
      </c>
      <c r="Y232" s="62">
        <f t="shared" si="96"/>
        <v>2.3247</v>
      </c>
      <c r="Z232" s="62">
        <f t="shared" si="86"/>
        <v>43055555.555600002</v>
      </c>
      <c r="AA232" s="62">
        <f t="shared" si="87"/>
        <v>43055553.230900005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88"/>
        <v>54-07</v>
      </c>
      <c r="AE232" s="85" t="str">
        <f t="shared" si="89"/>
        <v>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 &amp; aws s3 cp s3://rtdc.mdm.uploadarchive.raw/RTDC4008/ "%USERPROFILE%\AppData\Local\Temp\OnboardLogs"\RTDC4008\2017-03-08 --exclude "*" --recursive --include "*20170308*" &amp; "%USERPROFILE%\Documents\GitHub\mrs-test-scripts\Headless Mode &amp; Sideloading\WalkAndUnGZ.bat" "%USERPROFILE%\AppData\Local\Temp\OnboardLogs"\RTDC4008\2017-03-08</v>
      </c>
      <c r="AF232" s="82" t="str">
        <f t="shared" si="90"/>
        <v>"C:\Program Files (x86)\AstroGrep\AstroGrep.exe" /spath="%USERPROFILE%\AppData\Local\Temp\OnboardLogs" /stypes="app*4008*20170308*" /stext=" 01:.+((SYSTEM_STATE.+slice.+state.+changed )|(ment ac)|(multiple cpu faults)|(system.+state.+changed )|(\[timeout)|(PRM\|1\|D)|(kpr)|(kdp)|(\|lc)|(penalty))" /e /r /s</v>
      </c>
      <c r="AG232" s="1" t="str">
        <f t="shared" si="91"/>
        <v>Other</v>
      </c>
      <c r="AH232" s="86" t="str">
        <f t="shared" si="92"/>
        <v>"%USERPROFILE%\Documents\GitHub\eaglep3\Utilities\RefineRTDCRunTimes.py" --tripid 54-07 --locoid 4008 --swversion DE.1.0.9.0 --startMP 300:23247 --initTime 2017-03-07T17:45:54 --startdatetime 2017-03-07T17:47:23 --delay 1 --endMP 8.52430555555556 --enddatetime 2017-03-07T18:00:43 --enforcementcount 2 &gt;&gt;C:\Users\stu\Documents\GitHub\eaglep3-reporting\EC\2017-03-07-refined-times.txt</v>
      </c>
      <c r="AI232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43055555.5556"},{"id":17,"name":"Train ID","value":"54-07"},{"id":16,"name":"Locomotive ID","value":"4008"},{"id":130,"name":"Impact","value":""},{"id":150,"name":"Time of Event (Mountain Time)","value":"18:00:43"},{"id":151,"name":"Denver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94"/>
        <v>start /low /b %USERPROFILE%\Documents\GitHub\eaglep3\Utilities\DownloadLogsFromS3.py --loco 4008 --day 2017-03-07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"%USERPROFILE%\AppData\Local\Temp\OnboardLogs"\RTDC4008\*4008*20170308* | grep -SE "(Enforcement Action)|(\[TIMEOUT)|(CHR.+\|PRM\|1\|D.+(SWITCH|SIGNAL).+UNKNOWN)" - &gt;&gt; 2017-03-07-UncaughtWiMAX.txt</v>
      </c>
    </row>
    <row r="233" spans="1:40" x14ac:dyDescent="0.25">
      <c r="A233" s="33" t="s">
        <v>739</v>
      </c>
      <c r="B233" s="7">
        <v>4007</v>
      </c>
      <c r="C233" s="21" t="s">
        <v>233</v>
      </c>
      <c r="D233" s="21" t="s">
        <v>893</v>
      </c>
      <c r="E233" s="13">
        <v>42801.771203703705</v>
      </c>
      <c r="F233" s="13">
        <v>42801.777789351851</v>
      </c>
      <c r="G233" s="7">
        <v>1</v>
      </c>
      <c r="H233" s="21" t="s">
        <v>894</v>
      </c>
      <c r="I233" s="13">
        <v>42801.787210648145</v>
      </c>
      <c r="J233" s="7">
        <v>2</v>
      </c>
      <c r="K233" s="98" t="str">
        <f t="shared" si="80"/>
        <v>4007/4008</v>
      </c>
      <c r="L233" s="21" t="str">
        <f>VLOOKUP(A233,'Trips&amp;Operators'!$C$1:$G$99999,5,FALSE)</f>
        <v>STEWART MICHAEL</v>
      </c>
      <c r="M233" s="6">
        <f t="shared" si="81"/>
        <v>9.4212962940218858E-3</v>
      </c>
      <c r="N233" s="7">
        <f t="shared" si="95"/>
        <v>13.566666663391516</v>
      </c>
      <c r="O233" s="7"/>
      <c r="P233" s="7"/>
      <c r="Q233" s="22"/>
      <c r="R233" s="22"/>
      <c r="S233" s="31">
        <f t="shared" si="82"/>
        <v>0</v>
      </c>
      <c r="T233" s="46" t="e">
        <f t="shared" si="83"/>
        <v>#VALUE!</v>
      </c>
      <c r="U233" s="18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6" t="str">
        <f t="shared" si="84"/>
        <v>https://d0f6bd738d7f1b3e5a7ca70fe4ff75f0.us-east-1.aws.found.io/app/kibana#/discover/Steve-Slow-Train-Analysis-(2080s-and-2083s)?_g=(refreshInterval:(display:Off,pause:!f,section:0,value:0),time:(from:'2017-03-07T17:30:32-0700',mode:absolute,to:'2017-03-07T19:53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3" s="187" t="str">
        <f t="shared" si="85"/>
        <v>Y</v>
      </c>
      <c r="X233" s="187" t="e">
        <f t="shared" si="79"/>
        <v>#VALUE!</v>
      </c>
      <c r="Y233" s="62">
        <f t="shared" si="96"/>
        <v>3.4700000000000002E-2</v>
      </c>
      <c r="Z233" s="62">
        <f t="shared" si="86"/>
        <v>2.4251999999999998</v>
      </c>
      <c r="AA233" s="62">
        <f t="shared" si="87"/>
        <v>2.3904999999999998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88"/>
        <v>55-07</v>
      </c>
      <c r="AE233" s="85" t="str">
        <f t="shared" si="89"/>
        <v>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 &amp; aws s3 cp s3://rtdc.mdm.uploadarchive.raw/RTDC4007/ "%USERPROFILE%\AppData\Local\Temp\OnboardLogs"\RTDC4007\2017-03-08 --exclude "*" --recursive --include "*20170308*" &amp; "%USERPROFILE%\Documents\GitHub\mrs-test-scripts\Headless Mode &amp; Sideloading\WalkAndUnGZ.bat" "%USERPROFILE%\AppData\Local\Temp\OnboardLogs"\RTDC4007\2017-03-08</v>
      </c>
      <c r="AF233" s="82" t="str">
        <f t="shared" si="90"/>
        <v>"C:\Program Files (x86)\AstroGrep\AstroGrep.exe" /spath="%USERPROFILE%\AppData\Local\Temp\OnboardLogs" /stypes="app*4007*20170308*" /stext=" 01:.+((SYSTEM_STATE.+slice.+state.+changed )|(ment ac)|(multiple cpu faults)|(system.+state.+changed )|(\[timeout)|(PRM\|1\|D)|(kpr)|(kdp)|(\|lc)|(penalty))" /e /r /s</v>
      </c>
      <c r="AG233" s="1" t="str">
        <f t="shared" si="91"/>
        <v>Other</v>
      </c>
      <c r="AH233" s="86" t="str">
        <f t="shared" si="92"/>
        <v>"%USERPROFILE%\Documents\GitHub\eaglep3\Utilities\RefineRTDCRunTimes.py" --tripid 55-07 --locoid 4007 --swversion DE.1.0.9.0 --startMP 204:347 --initTime 2017-03-07T18:30:32 --startdatetime 2017-03-07T18:40:01 --delay 1 --endMP 300:24252 --enddatetime 2017-03-07T18:53:35 --enforcementcount 2 &gt;&gt;C:\Users\stu\Documents\GitHub\eaglep3-reporting\EC\2017-03-07-refined-times.txt</v>
      </c>
      <c r="AI233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{"issue":{"subject":"","project_id":79,"tracker_id":40,"status_id":1,"priority_id":2,"assigned_to_id":23,"start_date":"2017-03-07","description":"","custom_fields":[{"id":1,"name":"Subdivision","value":"Other"},{"id":4,"name":"Milepost","value":"2.4252"},{"id":17,"name":"Train ID","value":"55-07"},{"id":16,"name":"Locomotive ID","value":"4007"},{"id":130,"name":"Impact","value":""},{"id":150,"name":"Time of Event (Mountain Time)","value":"18:53:35"},{"id":151,"name":"Denver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94"/>
        <v>start /low /b %USERPROFILE%\Documents\GitHub\eaglep3\Utilities\DownloadLogsFromS3.py --loco 4007 --day 2017-03-07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"%USERPROFILE%\AppData\Local\Temp\OnboardLogs"\RTDC4007\*4007*20170308* | grep -SE "(Enforcement Action)|(\[TIMEOUT)|(CHR.+\|PRM\|1\|D.+(SWITCH|SIGNAL).+UNKNOWN)" - &gt;&gt; 2017-03-07-UncaughtWiMAX.txt</v>
      </c>
    </row>
    <row r="234" spans="1:40" x14ac:dyDescent="0.25">
      <c r="A234" s="33" t="s">
        <v>472</v>
      </c>
      <c r="B234" s="7">
        <v>4066</v>
      </c>
      <c r="C234" s="21" t="s">
        <v>233</v>
      </c>
      <c r="D234" s="21" t="s">
        <v>214</v>
      </c>
      <c r="E234" s="13">
        <v>42801.081053240741</v>
      </c>
      <c r="F234" s="13">
        <v>42801.083240740743</v>
      </c>
      <c r="G234" s="7">
        <v>1</v>
      </c>
      <c r="H234" s="21" t="s">
        <v>516</v>
      </c>
      <c r="I234" s="13">
        <v>42801.091249999998</v>
      </c>
      <c r="J234" s="7">
        <v>2</v>
      </c>
      <c r="K234" s="98" t="str">
        <f t="shared" si="80"/>
        <v>4065/4066</v>
      </c>
      <c r="L234" s="21" t="str">
        <f>VLOOKUP(A234,'Trips&amp;Operators'!$C$1:$G$99999,5,FALSE)</f>
        <v>YANG JAN</v>
      </c>
      <c r="M234" s="6">
        <f t="shared" si="81"/>
        <v>8.0092592543223873E-3</v>
      </c>
      <c r="N234" s="7">
        <f t="shared" si="95"/>
        <v>11.533333326224238</v>
      </c>
      <c r="O234" s="7"/>
      <c r="P234" s="7"/>
      <c r="Q234" s="22"/>
      <c r="R234" s="22"/>
      <c r="S234" s="31">
        <f t="shared" si="82"/>
        <v>0</v>
      </c>
      <c r="T234" s="46" t="e">
        <f t="shared" si="83"/>
        <v>#VALUE!</v>
      </c>
      <c r="U234" s="18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6" t="str">
        <f t="shared" si="84"/>
        <v>https://d0f6bd738d7f1b3e5a7ca70fe4ff75f0.us-east-1.aws.found.io/app/kibana#/discover/Steve-Slow-Train-Analysis-(2080s-and-2083s)?_g=(refreshInterval:(display:Off,pause:!f,section:0,value:0),time:(from:'2017-03-07T00:56:43-0700',mode:absolute,to:'2017-03-07T03:11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4" s="187" t="str">
        <f t="shared" si="85"/>
        <v>Y</v>
      </c>
      <c r="X234" s="187" t="e">
        <f t="shared" ref="X234:X251" si="97">VALUE(LEFT(AD234,4))-VALUE(LEFT(AD233,4))</f>
        <v>#VALUE!</v>
      </c>
      <c r="Y234" s="62">
        <f t="shared" si="96"/>
        <v>4.53E-2</v>
      </c>
      <c r="Z234" s="62">
        <f t="shared" si="86"/>
        <v>2.331</v>
      </c>
      <c r="AA234" s="62">
        <f t="shared" si="87"/>
        <v>2.2856999999999998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88"/>
        <v>56-06</v>
      </c>
      <c r="AE234" s="85" t="str">
        <f t="shared" si="89"/>
        <v>aws s3 cp s3://rtdc.mdm.uploadarchive.raw/RTDC4066/ "%USERPROFILE%\AppData\Local\Temp\OnboardLogs"\RTDC4066\2017-03-07 --exclude "*" --recursive --include "*20170307*" &amp; "%USERPROFILE%\Documents\GitHub\mrs-test-scripts\Headless Mode &amp; Sideloading\WalkAndUnGZ.bat" "%USERPROFILE%\AppData\Local\Temp\OnboardLogs"\RTDC4066\2017-03-07 &amp; aws s3 cp s3://rtdc.mdm.uploadarchive.raw/RTDC4066/ "%USERPROFILE%\AppData\Local\Temp\OnboardLogs"\RTDC4066\2017-03-08 --exclude "*" --recursive --include "*20170308*" &amp; "%USERPROFILE%\Documents\GitHub\mrs-test-scripts\Headless Mode &amp; Sideloading\WalkAndUnGZ.bat" "%USERPROFILE%\AppData\Local\Temp\OnboardLogs"\RTDC4066\2017-03-08</v>
      </c>
      <c r="AF234" s="82" t="str">
        <f t="shared" si="90"/>
        <v>"C:\Program Files (x86)\AstroGrep\AstroGrep.exe" /spath="%USERPROFILE%\AppData\Local\Temp\OnboardLogs" /stypes="app*4066*20170307*" /stext=" 09:.+((SYSTEM_STATE.+slice.+state.+changed )|(ment ac)|(multiple cpu faults)|(system.+state.+changed )|(\[timeout)|(PRM\|1\|D)|(kpr)|(kdp)|(\|lc)|(penalty))" /e /r /s</v>
      </c>
      <c r="AG234" s="1" t="str">
        <f t="shared" si="91"/>
        <v>Other</v>
      </c>
      <c r="AH234" s="86" t="str">
        <f t="shared" si="92"/>
        <v>"%USERPROFILE%\Documents\GitHub\eaglep3\Utilities\RefineRTDCRunTimes.py" --tripid 56-06 --locoid 4066 --swversion DE.1.0.9.0 --startMP 204:453 --initTime 2017-03-07T01:56:43 --startdatetime 2017-03-07T01:59:52 --delay 1 --endMP 300:23310 --enddatetime 2017-03-07T02:11:24 --enforcementcount 2 &gt;&gt;C:\Users\stu\Documents\GitHub\eaglep3-reporting\EC\2017-03-07-refined-times.txt</v>
      </c>
      <c r="AI234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{"issue":{"subject":"","project_id":79,"tracker_id":40,"status_id":1,"priority_id":2,"assigned_to_id":23,"start_date":"2017-03-07","description":"","custom_fields":[{"id":1,"name":"Subdivision","value":"Other"},{"id":4,"name":"Milepost","value":"2.331"},{"id":17,"name":"Train ID","value":"56-06"},{"id":16,"name":"Locomotive ID","value":"4066"},{"id":130,"name":"Impact","value":""},{"id":150,"name":"Time of Event (Mountain Time)","value":"02:11:24"},{"id":151,"name":"Denver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94"/>
        <v>start /low /b %USERPROFILE%\Documents\GitHub\eaglep3\Utilities\DownloadLogsFromS3.py --loco 4066 --day 2017-03-07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"%USERPROFILE%\AppData\Local\Temp\OnboardLogs"\RTDC4066\*4066*20170307* | grep -SE "(Enforcement Action)|(\[TIMEOUT)|(CHR.+\|PRM\|1\|D.+(SWITCH|SIGNAL).+UNKNOWN)" - &gt;&gt; 2017-03-07-UncaughtWiMAX.txt</v>
      </c>
    </row>
    <row r="235" spans="1:40" x14ac:dyDescent="0.25">
      <c r="A235" s="33" t="s">
        <v>734</v>
      </c>
      <c r="B235" s="7">
        <v>4004</v>
      </c>
      <c r="C235" s="21" t="s">
        <v>233</v>
      </c>
      <c r="D235" s="21" t="s">
        <v>895</v>
      </c>
      <c r="E235" s="13">
        <v>42801.75209490741</v>
      </c>
      <c r="F235" s="13">
        <v>42801.77175925926</v>
      </c>
      <c r="G235" s="7">
        <v>28</v>
      </c>
      <c r="H235" s="21" t="s">
        <v>896</v>
      </c>
      <c r="I235" s="13">
        <v>42801.777824074074</v>
      </c>
      <c r="J235" s="7">
        <v>2</v>
      </c>
      <c r="K235" s="98" t="str">
        <f t="shared" si="80"/>
        <v>4003/4004</v>
      </c>
      <c r="L235" s="21" t="str">
        <f>VLOOKUP(A235,'Trips&amp;Operators'!$C$1:$G$99999,5,FALSE)</f>
        <v>MAGEE KENYA</v>
      </c>
      <c r="M235" s="6">
        <f t="shared" si="81"/>
        <v>6.064814813726116E-3</v>
      </c>
      <c r="N235" s="7">
        <f t="shared" si="95"/>
        <v>8.733333331765607</v>
      </c>
      <c r="O235" s="7"/>
      <c r="P235" s="7"/>
      <c r="Q235" s="22"/>
      <c r="R235" s="22"/>
      <c r="S235" s="31">
        <f t="shared" si="82"/>
        <v>0</v>
      </c>
      <c r="T235" s="46" t="e">
        <f t="shared" si="83"/>
        <v>#VALUE!</v>
      </c>
      <c r="U235" s="18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6" t="str">
        <f t="shared" si="84"/>
        <v>https://d0f6bd738d7f1b3e5a7ca70fe4ff75f0.us-east-1.aws.found.io/app/kibana#/discover/Steve-Slow-Train-Analysis-(2080s-and-2083s)?_g=(refreshInterval:(display:Off,pause:!f,section:0,value:0),time:(from:'2017-03-07T17:03:01-0700',mode:absolute,to:'2017-03-07T19:40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5" s="187" t="str">
        <f t="shared" si="85"/>
        <v>Y</v>
      </c>
      <c r="X235" s="187" t="e">
        <f t="shared" si="97"/>
        <v>#VALUE!</v>
      </c>
      <c r="Y235" s="62">
        <f t="shared" si="96"/>
        <v>2.2103999999999999</v>
      </c>
      <c r="Z235" s="62">
        <f t="shared" si="86"/>
        <v>0.18909999999999999</v>
      </c>
      <c r="AA235" s="62">
        <f t="shared" si="87"/>
        <v>2.0213000000000001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88"/>
        <v>56-07</v>
      </c>
      <c r="AE235" s="85" t="str">
        <f t="shared" si="89"/>
        <v>aws s3 cp s3://rtdc.mdm.uploadarchive.raw/RTDC4004/ "%USERPROFILE%\AppData\Local\Temp\OnboardLogs"\RTDC4004\2017-03-07 --exclude "*" --recursive --include "*20170307*" &amp; "%USERPROFILE%\Documents\GitHub\mrs-test-scripts\Headless Mode &amp; Sideloading\WalkAndUnGZ.bat" "%USERPROFILE%\AppData\Local\Temp\OnboardLogs"\RTDC4004\2017-03-07 &amp; aws s3 cp s3://rtdc.mdm.uploadarchive.raw/RTDC4004/ "%USERPROFILE%\AppData\Local\Temp\OnboardLogs"\RTDC4004\2017-03-08 --exclude "*" --recursive --include "*20170308*" &amp; "%USERPROFILE%\Documents\GitHub\mrs-test-scripts\Headless Mode &amp; Sideloading\WalkAndUnGZ.bat" "%USERPROFILE%\AppData\Local\Temp\OnboardLogs"\RTDC4004\2017-03-08</v>
      </c>
      <c r="AF235" s="82" t="str">
        <f t="shared" si="90"/>
        <v>"C:\Program Files (x86)\AstroGrep\AstroGrep.exe" /spath="%USERPROFILE%\AppData\Local\Temp\OnboardLogs" /stypes="app*4004*20170308*" /stext=" 01:.+((SYSTEM_STATE.+slice.+state.+changed )|(ment ac)|(multiple cpu faults)|(system.+state.+changed )|(\[timeout)|(PRM\|1\|D)|(kpr)|(kdp)|(\|lc)|(penalty))" /e /r /s</v>
      </c>
      <c r="AG235" s="1" t="str">
        <f t="shared" si="91"/>
        <v>Other</v>
      </c>
      <c r="AH235" s="86" t="str">
        <f t="shared" si="92"/>
        <v>"%USERPROFILE%\Documents\GitHub\eaglep3\Utilities\RefineRTDCRunTimes.py" --tripid 56-07 --locoid 4004 --swversion DE.1.0.9.0 --startMP 300:22104 --initTime 2017-03-07T18:03:01 --startdatetime 2017-03-07T18:31:20 --delay 28 --endMP 204:1891 --enddatetime 2017-03-07T18:40:04 --enforcementcount 2 &gt;&gt;C:\Users\stu\Documents\GitHub\eaglep3-reporting\EC\2017-03-07-refined-times.txt</v>
      </c>
      <c r="AI235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{"issue":{"subject":"","project_id":79,"tracker_id":40,"status_id":1,"priority_id":2,"assigned_to_id":23,"start_date":"2017-03-07","description":"","custom_fields":[{"id":1,"name":"Subdivision","value":"Other"},{"id":4,"name":"Milepost","value":"0.1891"},{"id":17,"name":"Train ID","value":"56-07"},{"id":16,"name":"Locomotive ID","value":"4004"},{"id":130,"name":"Impact","value":""},{"id":150,"name":"Time of Event (Mountain Time)","value":"18:40:04"},{"id":151,"name":"Denver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4" t="str">
        <f t="shared" si="94"/>
        <v>start /low /b %USERPROFILE%\Documents\GitHub\eaglep3\Utilities\DownloadLogsFromS3.py --loco 4004 --day 2017-03-07</v>
      </c>
      <c r="AN235" s="163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"%USERPROFILE%\AppData\Local\Temp\OnboardLogs"\RTDC4004\*4004*20170308* | grep -SE "(Enforcement Action)|(\[TIMEOUT)|(CHR.+\|PRM\|1\|D.+(SWITCH|SIGNAL).+UNKNOWN)" - &gt;&gt; 2017-03-07-UncaughtWiMAX.txt</v>
      </c>
    </row>
    <row r="236" spans="1:40" x14ac:dyDescent="0.25">
      <c r="A236" s="33" t="s">
        <v>591</v>
      </c>
      <c r="B236" s="7">
        <v>4006</v>
      </c>
      <c r="C236" s="21" t="s">
        <v>233</v>
      </c>
      <c r="D236" s="21" t="s">
        <v>897</v>
      </c>
      <c r="E236" s="13">
        <v>42801.728912037041</v>
      </c>
      <c r="F236" s="13">
        <v>42801.759641203702</v>
      </c>
      <c r="G236" s="7">
        <v>1</v>
      </c>
      <c r="H236" s="21" t="s">
        <v>898</v>
      </c>
      <c r="I236" s="13">
        <v>42801.759768518517</v>
      </c>
      <c r="J236" s="7">
        <v>2</v>
      </c>
      <c r="K236" s="98" t="str">
        <f t="shared" si="80"/>
        <v>4005/4006</v>
      </c>
      <c r="L236" s="21" t="str">
        <f>VLOOKUP(A236,'Trips&amp;Operators'!$C$1:$G$99999,5,FALSE)</f>
        <v>STRICKLAND EVAN</v>
      </c>
      <c r="M236" s="6">
        <f t="shared" si="81"/>
        <v>1.273148154723458E-4</v>
      </c>
      <c r="N236" s="7">
        <f t="shared" si="95"/>
        <v>0.18333333428017795</v>
      </c>
      <c r="O236" s="7"/>
      <c r="P236" s="7"/>
      <c r="Q236" s="22"/>
      <c r="R236" s="22"/>
      <c r="S236" s="31">
        <f t="shared" si="82"/>
        <v>0</v>
      </c>
      <c r="T236" s="46" t="e">
        <f t="shared" si="83"/>
        <v>#VALUE!</v>
      </c>
      <c r="U236" s="18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6" t="str">
        <f t="shared" si="84"/>
        <v>https://d0f6bd738d7f1b3e5a7ca70fe4ff75f0.us-east-1.aws.found.io/app/kibana#/discover/Steve-Slow-Train-Analysis-(2080s-and-2083s)?_g=(refreshInterval:(display:Off,pause:!f,section:0,value:0),time:(from:'2017-03-07T16:29:38-0700',mode:absolute,to:'2017-03-07T19:14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6" s="187" t="str">
        <f t="shared" si="85"/>
        <v>Y</v>
      </c>
      <c r="X236" s="187" t="e">
        <f t="shared" si="97"/>
        <v>#VALUE!</v>
      </c>
      <c r="Y236" s="62">
        <f t="shared" si="96"/>
        <v>0.1477</v>
      </c>
      <c r="Z236" s="62">
        <f t="shared" si="86"/>
        <v>0.1736</v>
      </c>
      <c r="AA236" s="62">
        <f t="shared" si="87"/>
        <v>2.5900000000000006E-2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88"/>
        <v>67-07</v>
      </c>
      <c r="AE236" s="85" t="str">
        <f t="shared" si="89"/>
        <v>aws s3 cp s3://rtdc.mdm.uploadarchive.raw/RTDC4006/ "%USERPROFILE%\AppData\Local\Temp\OnboardLogs"\RTDC4006\2017-03-07 --exclude "*" --recursive --include "*20170307*" &amp; "%USERPROFILE%\Documents\GitHub\mrs-test-scripts\Headless Mode &amp; Sideloading\WalkAndUnGZ.bat" "%USERPROFILE%\AppData\Local\Temp\OnboardLogs"\RTDC4006\2017-03-07 &amp; aws s3 cp s3://rtdc.mdm.uploadarchive.raw/RTDC4006/ "%USERPROFILE%\AppData\Local\Temp\OnboardLogs"\RTDC4006\2017-03-08 --exclude "*" --recursive --include "*20170308*" &amp; "%USERPROFILE%\Documents\GitHub\mrs-test-scripts\Headless Mode &amp; Sideloading\WalkAndUnGZ.bat" "%USERPROFILE%\AppData\Local\Temp\OnboardLogs"\RTDC4006\2017-03-08</v>
      </c>
      <c r="AF236" s="82" t="str">
        <f t="shared" si="90"/>
        <v>"C:\Program Files (x86)\AstroGrep\AstroGrep.exe" /spath="%USERPROFILE%\AppData\Local\Temp\OnboardLogs" /stypes="app*4006*20170308*" /stext=" 01:.+((SYSTEM_STATE.+slice.+state.+changed )|(ment ac)|(multiple cpu faults)|(system.+state.+changed )|(\[timeout)|(PRM\|1\|D)|(kpr)|(kdp)|(\|lc)|(penalty))" /e /r /s</v>
      </c>
      <c r="AG236" s="1" t="str">
        <f t="shared" si="91"/>
        <v>Other</v>
      </c>
      <c r="AH236" s="86" t="str">
        <f t="shared" si="92"/>
        <v>"%USERPROFILE%\Documents\GitHub\eaglep3\Utilities\RefineRTDCRunTimes.py" --tripid 67-07 --locoid 4006 --swversion DE.1.0.9.0 --startMP 204:1477 --initTime 2017-03-07T17:29:38 --startdatetime 2017-03-07T18:13:53 --delay 1 --endMP 204:1736 --enddatetime 2017-03-07T18:14:04 --enforcementcount 2 &gt;&gt;C:\Users\stu\Documents\GitHub\eaglep3-reporting\EC\2017-03-07-refined-times.txt</v>
      </c>
      <c r="AI236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{"issue":{"subject":"","project_id":79,"tracker_id":40,"status_id":1,"priority_id":2,"assigned_to_id":23,"start_date":"2017-03-07","description":"","custom_fields":[{"id":1,"name":"Subdivision","value":"Other"},{"id":4,"name":"Milepost","value":"0.1736"},{"id":17,"name":"Train ID","value":"67-07"},{"id":16,"name":"Locomotive ID","value":"4006"},{"id":130,"name":"Impact","value":""},{"id":150,"name":"Time of Event (Mountain Time)","value":"18:14:04"},{"id":151,"name":"Denver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48"/>
      <c r="AK236" s="48"/>
      <c r="AL236" s="48"/>
      <c r="AM236" s="154" t="str">
        <f t="shared" si="94"/>
        <v>start /low /b %USERPROFILE%\Documents\GitHub\eaglep3\Utilities\DownloadLogsFromS3.py --loco 4006 --day 2017-03-07</v>
      </c>
      <c r="AN236" s="163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"%USERPROFILE%\AppData\Local\Temp\OnboardLogs"\RTDC4006\*4006*20170308* | grep -SE "(Enforcement Action)|(\[TIMEOUT)|(CHR.+\|PRM\|1\|D.+(SWITCH|SIGNAL).+UNKNOWN)" - &gt;&gt; 2017-03-07-UncaughtWiMAX.txt</v>
      </c>
    </row>
    <row r="237" spans="1:40" x14ac:dyDescent="0.25">
      <c r="A237" s="33" t="s">
        <v>759</v>
      </c>
      <c r="B237" s="7">
        <v>4064</v>
      </c>
      <c r="C237" s="21" t="s">
        <v>233</v>
      </c>
      <c r="D237" s="21" t="s">
        <v>899</v>
      </c>
      <c r="E237" s="13">
        <v>42802.05574074074</v>
      </c>
      <c r="F237" s="13">
        <v>42802.094768518517</v>
      </c>
      <c r="G237" s="7">
        <v>1</v>
      </c>
      <c r="H237" s="21" t="s">
        <v>535</v>
      </c>
      <c r="I237" s="13">
        <v>42802.105486111112</v>
      </c>
      <c r="J237" s="7">
        <v>2</v>
      </c>
      <c r="K237" s="98" t="str">
        <f t="shared" si="80"/>
        <v>4063/4064</v>
      </c>
      <c r="L237" s="21" t="str">
        <f>VLOOKUP(A237,'Trips&amp;Operators'!$C$1:$G$99999,5,FALSE)</f>
        <v>YANG JAN</v>
      </c>
      <c r="M237" s="6">
        <f t="shared" si="81"/>
        <v>1.0717592595028691E-2</v>
      </c>
      <c r="N237" s="7">
        <f t="shared" si="95"/>
        <v>15.433333336841315</v>
      </c>
      <c r="O237" s="7"/>
      <c r="P237" s="7"/>
      <c r="Q237" s="22"/>
      <c r="R237" s="22"/>
      <c r="S237" s="31">
        <f t="shared" ref="S237:S251" si="98">SUM(U237:U237)/IF(AG237="EC",12,1)</f>
        <v>0</v>
      </c>
      <c r="T237" s="46" t="e">
        <f t="shared" si="83"/>
        <v>#VALUE!</v>
      </c>
      <c r="U237" s="18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6" t="str">
        <f t="shared" si="84"/>
        <v>https://d0f6bd738d7f1b3e5a7ca70fe4ff75f0.us-east-1.aws.found.io/app/kibana#/discover/Steve-Slow-Train-Analysis-(2080s-and-2083s)?_g=(refreshInterval:(display:Off,pause:!f,section:0,value:0),time:(from:'2017-03-08T00:20:16-0700',mode:absolute,to:'2017-03-08T03:31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7" s="187" t="str">
        <f t="shared" si="85"/>
        <v>N</v>
      </c>
      <c r="X237" s="187" t="e">
        <f t="shared" si="97"/>
        <v>#VALUE!</v>
      </c>
      <c r="Y237" s="62">
        <f t="shared" si="96"/>
        <v>12.8011</v>
      </c>
      <c r="Z237" s="62">
        <f t="shared" si="86"/>
        <v>9.3700000000000006E-2</v>
      </c>
      <c r="AA237" s="62">
        <f t="shared" si="87"/>
        <v>12.7074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88"/>
        <v>72-07</v>
      </c>
      <c r="AE237" s="85" t="str">
        <f t="shared" si="89"/>
        <v>aws s3 cp s3://rtdc.mdm.uploadarchive.raw/RTDC4064/ "%USERPROFILE%\AppData\Local\Temp\OnboardLogs"\RTDC4064\2017-03-08 --exclude "*" --recursive --include "*20170308*" &amp; "%USERPROFILE%\Documents\GitHub\mrs-test-scripts\Headless Mode &amp; Sideloading\WalkAndUnGZ.bat" "%USERPROFILE%\AppData\Local\Temp\OnboardLogs"\RTDC4064\2017-03-08 &amp; aws s3 cp s3://rtdc.mdm.uploadarchive.raw/RTDC4064/ "%USERPROFILE%\AppData\Local\Temp\OnboardLogs"\RTDC4064\2017-03-09 --exclude "*" --recursive --include "*20170309*" &amp; "%USERPROFILE%\Documents\GitHub\mrs-test-scripts\Headless Mode &amp; Sideloading\WalkAndUnGZ.bat" "%USERPROFILE%\AppData\Local\Temp\OnboardLogs"\RTDC4064\2017-03-09</v>
      </c>
      <c r="AF237" s="82" t="str">
        <f t="shared" si="90"/>
        <v>"C:\Program Files (x86)\AstroGrep\AstroGrep.exe" /spath="%USERPROFILE%\AppData\Local\Temp\OnboardLogs" /stypes="app*4064*20170308*" /stext=" 09:.+((SYSTEM_STATE.+slice.+state.+changed )|(ment ac)|(multiple cpu faults)|(system.+state.+changed )|(\[timeout)|(PRM\|1\|D)|(kpr)|(kdp)|(\|lc)|(penalty))" /e /r /s</v>
      </c>
      <c r="AG237" s="1" t="str">
        <f t="shared" si="91"/>
        <v>Other</v>
      </c>
      <c r="AH237" s="86" t="str">
        <f t="shared" si="92"/>
        <v>"%USERPROFILE%\Documents\GitHub\eaglep3\Utilities\RefineRTDCRunTimes.py" --tripid 72-07 --locoid 4064 --swversion DE.1.0.9.0 --startMP 204:128011 --initTime 2017-03-08T01:20:16 --startdatetime 2017-03-08T02:16:28 --delay 1 --endMP 204:937 --enddatetime 2017-03-08T02:31:54 --enforcementcount 2 &gt;&gt;C:\Users\stu\Documents\GitHub\eaglep3-reporting\EC\2017-03-07-refined-times.txt</v>
      </c>
      <c r="AI237" s="108" t="str">
        <f t="shared" si="93"/>
        <v>echo {"issue":{"subject":"","project_id":79,"tracker_id":40,"status_id":1,"priority_id":2,"assigned_to_id":23,"start_date":"2017-03-08","description":"","custom_fields":[{"id":1,"name":"Subdivision","value":"Other"},{"id":4,"name":"Milepost","value":"0.0937"},{"id":17,"name":"Train ID","value":"72-07"},{"id":16,"name":"Locomotive ID","value":"4064"},{"id":130,"name":"Impact","value":""},{"id":150,"name":"Time of Event (Mountain Time)","value":"02:31:54"},{"id":151,"name":"Denver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48"/>
      <c r="AK237" s="48"/>
      <c r="AL237" s="48"/>
      <c r="AM237" s="154" t="str">
        <f t="shared" si="94"/>
        <v>start /low /b %USERPROFILE%\Documents\GitHub\eaglep3\Utilities\DownloadLogsFromS3.py --loco 4064 --day 2017-03-08</v>
      </c>
      <c r="AN237" s="163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"%USERPROFILE%\AppData\Local\Temp\OnboardLogs"\RTDC4064\*4064*20170308* | grep -SE "(Enforcement Action)|(\[TIMEOUT)|(CHR.+\|PRM\|1\|D.+(SWITCH|SIGNAL).+UNKNOWN)" - &gt;&gt; 2017-03-07-UncaughtWiMAX.txt</v>
      </c>
    </row>
    <row r="238" spans="1:40" x14ac:dyDescent="0.25">
      <c r="A238" s="33" t="s">
        <v>759</v>
      </c>
      <c r="B238" s="7">
        <v>4064</v>
      </c>
      <c r="C238" s="21" t="s">
        <v>233</v>
      </c>
      <c r="D238" s="21" t="s">
        <v>848</v>
      </c>
      <c r="E238" s="13">
        <v>42802.000717592593</v>
      </c>
      <c r="F238" s="13">
        <v>42802.002395833333</v>
      </c>
      <c r="G238" s="7">
        <v>2</v>
      </c>
      <c r="H238" s="21" t="s">
        <v>226</v>
      </c>
      <c r="I238" s="13">
        <v>42802.030717592592</v>
      </c>
      <c r="J238" s="7">
        <v>2</v>
      </c>
      <c r="K238" s="98" t="str">
        <f t="shared" si="80"/>
        <v>4063/4064</v>
      </c>
      <c r="L238" s="21" t="str">
        <f>VLOOKUP(A238,'Trips&amp;Operators'!$C$1:$G$99999,5,FALSE)</f>
        <v>YANG JAN</v>
      </c>
      <c r="M238" s="6">
        <f t="shared" si="81"/>
        <v>2.8321759258687962E-2</v>
      </c>
      <c r="N238" s="7">
        <f t="shared" si="95"/>
        <v>40.783333332510665</v>
      </c>
      <c r="O238" s="7"/>
      <c r="P238" s="7"/>
      <c r="Q238" s="22"/>
      <c r="R238" s="22"/>
      <c r="S238" s="31">
        <f t="shared" si="98"/>
        <v>0</v>
      </c>
      <c r="T238" s="46" t="e">
        <f t="shared" si="83"/>
        <v>#VALUE!</v>
      </c>
      <c r="U238" s="18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6" t="str">
        <f t="shared" si="84"/>
        <v>https://d0f6bd738d7f1b3e5a7ca70fe4ff75f0.us-east-1.aws.found.io/app/kibana#/discover/Steve-Slow-Train-Analysis-(2080s-and-2083s)?_g=(refreshInterval:(display:Off,pause:!f,section:0,value:0),time:(from:'2017-03-07T23:01:02-0700',mode:absolute,to:'2017-03-08T01:44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8" s="187" t="str">
        <f t="shared" si="85"/>
        <v>N</v>
      </c>
      <c r="X238" s="187" t="e">
        <f t="shared" si="97"/>
        <v>#VALUE!</v>
      </c>
      <c r="Y238" s="62">
        <f t="shared" si="96"/>
        <v>23.2959</v>
      </c>
      <c r="Z238" s="62">
        <f t="shared" si="86"/>
        <v>1.47E-2</v>
      </c>
      <c r="AA238" s="62">
        <f t="shared" si="87"/>
        <v>23.281199999999998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 t="shared" si="88"/>
        <v>72-07</v>
      </c>
      <c r="AE238" s="85" t="str">
        <f t="shared" si="89"/>
        <v>aws s3 cp s3://rtdc.mdm.uploadarchive.raw/RTDC4064/ "%USERPROFILE%\AppData\Local\Temp\OnboardLogs"\RTDC4064\2017-03-08 --exclude "*" --recursive --include "*20170308*" &amp; "%USERPROFILE%\Documents\GitHub\mrs-test-scripts\Headless Mode &amp; Sideloading\WalkAndUnGZ.bat" "%USERPROFILE%\AppData\Local\Temp\OnboardLogs"\RTDC4064\2017-03-08 &amp; aws s3 cp s3://rtdc.mdm.uploadarchive.raw/RTDC4064/ "%USERPROFILE%\AppData\Local\Temp\OnboardLogs"\RTDC4064\2017-03-09 --exclude "*" --recursive --include "*20170309*" &amp; "%USERPROFILE%\Documents\GitHub\mrs-test-scripts\Headless Mode &amp; Sideloading\WalkAndUnGZ.bat" "%USERPROFILE%\AppData\Local\Temp\OnboardLogs"\RTDC4064\2017-03-09</v>
      </c>
      <c r="AF238" s="82" t="str">
        <f t="shared" si="90"/>
        <v>"C:\Program Files (x86)\AstroGrep\AstroGrep.exe" /spath="%USERPROFILE%\AppData\Local\Temp\OnboardLogs" /stypes="app*4064*20170308*" /stext=" 07:.+((SYSTEM_STATE.+slice.+state.+changed )|(ment ac)|(multiple cpu faults)|(system.+state.+changed )|(\[timeout)|(PRM\|1\|D)|(kpr)|(kdp)|(\|lc)|(penalty))" /e /r /s</v>
      </c>
      <c r="AG238" s="1" t="str">
        <f t="shared" si="91"/>
        <v>Other</v>
      </c>
      <c r="AH238" s="86" t="str">
        <f t="shared" si="92"/>
        <v>"%USERPROFILE%\Documents\GitHub\eaglep3\Utilities\RefineRTDCRunTimes.py" --tripid 72-07 --locoid 4064 --swversion DE.1.0.9.0 --startMP 204:232959 --initTime 2017-03-08T00:01:02 --startdatetime 2017-03-08T00:03:27 --delay 2 --endMP 204:147 --enddatetime 2017-03-08T00:44:14 --enforcementcount 2 &gt;&gt;C:\Users\stu\Documents\GitHub\eaglep3-reporting\EC\2017-03-07-refined-times.txt</v>
      </c>
      <c r="AI238" s="108" t="str">
        <f t="shared" si="93"/>
        <v>echo {"issue":{"subject":"","project_id":79,"tracker_id":40,"status_id":1,"priority_id":2,"assigned_to_id":23,"start_date":"2017-03-08","description":"","custom_fields":[{"id":1,"name":"Subdivision","value":"Other"},{"id":4,"name":"Milepost","value":"0.0147"},{"id":17,"name":"Train ID","value":"72-07"},{"id":16,"name":"Locomotive ID","value":"4064"},{"id":130,"name":"Impact","value":""},{"id":150,"name":"Time of Event (Mountain Time)","value":"00:44:14"},{"id":151,"name":"Denver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48"/>
      <c r="AK238" s="48"/>
      <c r="AL238" s="48"/>
      <c r="AM238" s="154" t="str">
        <f t="shared" si="94"/>
        <v>start /low /b %USERPROFILE%\Documents\GitHub\eaglep3\Utilities\DownloadLogsFromS3.py --loco 4064 --day 2017-03-08</v>
      </c>
      <c r="AN238" s="163" t="str">
        <f>"grep -SE -B400 ""CHR.+\|PRM\|1\|D.+(SWITCH|SIGNAL).+UNKNOWN"" "&amp;search_path&amp;"\RTDC"&amp;B238&amp;"\*"&amp;B238&amp;"*"&amp;TEXT(AVERAGE(F238,I238)-utc_offset/24,"YYYYMMDD")&amp;"*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"%USERPROFILE%\AppData\Local\Temp\OnboardLogs"\RTDC4064\*4064*20170308* | grep -SE "(Enforcement Action)|(\[TIMEOUT)|(CHR.+\|PRM\|1\|D.+(SWITCH|SIGNAL).+UNKNOWN)" - &gt;&gt; 2017-03-07-UncaughtWiMAX.txt</v>
      </c>
    </row>
    <row r="239" spans="1:40" x14ac:dyDescent="0.25">
      <c r="A239" s="33" t="s">
        <v>759</v>
      </c>
      <c r="B239" s="7">
        <v>4064</v>
      </c>
      <c r="C239" s="21" t="s">
        <v>233</v>
      </c>
      <c r="D239" s="21" t="s">
        <v>458</v>
      </c>
      <c r="E239" s="13">
        <v>42801.915949074071</v>
      </c>
      <c r="F239" s="13">
        <v>42801.920312499999</v>
      </c>
      <c r="G239" s="7">
        <v>1</v>
      </c>
      <c r="H239" s="21" t="s">
        <v>822</v>
      </c>
      <c r="I239" s="13">
        <v>42801.952870370369</v>
      </c>
      <c r="J239" s="7">
        <v>2</v>
      </c>
      <c r="K239" s="98" t="str">
        <f t="shared" si="80"/>
        <v>4063/4064</v>
      </c>
      <c r="L239" s="21" t="str">
        <f>VLOOKUP(A239,'Trips&amp;Operators'!$C$1:$G$99999,5,FALSE)</f>
        <v>YANG JAN</v>
      </c>
      <c r="M239" s="6">
        <f t="shared" si="81"/>
        <v>3.25578703705105E-2</v>
      </c>
      <c r="N239" s="7">
        <f t="shared" si="95"/>
        <v>46.88333333353512</v>
      </c>
      <c r="O239" s="7"/>
      <c r="P239" s="7"/>
      <c r="Q239" s="22"/>
      <c r="R239" s="22"/>
      <c r="S239" s="31">
        <f t="shared" si="98"/>
        <v>0</v>
      </c>
      <c r="T239" s="46" t="e">
        <f t="shared" si="83"/>
        <v>#VALUE!</v>
      </c>
      <c r="U239" s="18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6" t="str">
        <f t="shared" si="84"/>
        <v>https://d0f6bd738d7f1b3e5a7ca70fe4ff75f0.us-east-1.aws.found.io/app/kibana#/discover/Steve-Slow-Train-Analysis-(2080s-and-2083s)?_g=(refreshInterval:(display:Off,pause:!f,section:0,value:0),time:(from:'2017-03-07T20:58:58-0700',mode:absolute,to:'2017-03-07T23:52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9" s="187" t="str">
        <f t="shared" si="85"/>
        <v>N</v>
      </c>
      <c r="X239" s="187" t="e">
        <f t="shared" si="97"/>
        <v>#VALUE!</v>
      </c>
      <c r="Y239" s="62">
        <f t="shared" si="96"/>
        <v>23.297999999999998</v>
      </c>
      <c r="Z239" s="62">
        <f t="shared" si="86"/>
        <v>0.11650000000000001</v>
      </c>
      <c r="AA239" s="62">
        <f t="shared" si="87"/>
        <v>23.1815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 t="shared" si="88"/>
        <v>72-07</v>
      </c>
      <c r="AE239" s="85" t="str">
        <f t="shared" si="89"/>
        <v>aws s3 cp s3://rtdc.mdm.uploadarchive.raw/RTDC4064/ "%USERPROFILE%\AppData\Local\Temp\OnboardLogs"\RTDC4064\2017-03-07 --exclude "*" --recursive --include "*20170307*" &amp; "%USERPROFILE%\Documents\GitHub\mrs-test-scripts\Headless Mode &amp; Sideloading\WalkAndUnGZ.bat" "%USERPROFILE%\AppData\Local\Temp\OnboardLogs"\RTDC4064\2017-03-07 &amp; aws s3 cp s3://rtdc.mdm.uploadarchive.raw/RTDC4064/ "%USERPROFILE%\AppData\Local\Temp\OnboardLogs"\RTDC4064\2017-03-08 --exclude "*" --recursive --include "*20170308*" &amp; "%USERPROFILE%\Documents\GitHub\mrs-test-scripts\Headless Mode &amp; Sideloading\WalkAndUnGZ.bat" "%USERPROFILE%\AppData\Local\Temp\OnboardLogs"\RTDC4064\2017-03-08</v>
      </c>
      <c r="AF239" s="82" t="str">
        <f t="shared" si="90"/>
        <v>"C:\Program Files (x86)\AstroGrep\AstroGrep.exe" /spath="%USERPROFILE%\AppData\Local\Temp\OnboardLogs" /stypes="app*4064*20170308*" /stext=" 05:.+((SYSTEM_STATE.+slice.+state.+changed )|(ment ac)|(multiple cpu faults)|(system.+state.+changed )|(\[timeout)|(PRM\|1\|D)|(kpr)|(kdp)|(\|lc)|(penalty))" /e /r /s</v>
      </c>
      <c r="AG239" s="1" t="str">
        <f t="shared" si="91"/>
        <v>Other</v>
      </c>
      <c r="AH239" s="86" t="str">
        <f t="shared" si="92"/>
        <v>"%USERPROFILE%\Documents\GitHub\eaglep3\Utilities\RefineRTDCRunTimes.py" --tripid 72-07 --locoid 4064 --swversion DE.1.0.9.0 --startMP 204:232980 --initTime 2017-03-07T21:58:58 --startdatetime 2017-03-07T22:05:15 --delay 1 --endMP 204:1165 --enddatetime 2017-03-07T22:52:08 --enforcementcount 2 &gt;&gt;C:\Users\stu\Documents\GitHub\eaglep3-reporting\EC\2017-03-07-refined-times.txt</v>
      </c>
      <c r="AI239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{"issue":{"subject":"","project_id":79,"tracker_id":40,"status_id":1,"priority_id":2,"assigned_to_id":23,"start_date":"2017-03-07","description":"","custom_fields":[{"id":1,"name":"Subdivision","value":"Other"},{"id":4,"name":"Milepost","value":"0.1165"},{"id":17,"name":"Train ID","value":"72-07"},{"id":16,"name":"Locomotive ID","value":"4064"},{"id":130,"name":"Impact","value":""},{"id":150,"name":"Time of Event (Mountain Time)","value":"22:52:08"},{"id":151,"name":"Denver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48"/>
      <c r="AK239" s="48"/>
      <c r="AL239" s="48"/>
      <c r="AM239" s="154" t="str">
        <f t="shared" si="94"/>
        <v>start /low /b %USERPROFILE%\Documents\GitHub\eaglep3\Utilities\DownloadLogsFromS3.py --loco 4064 --day 2017-03-07</v>
      </c>
      <c r="AN239" s="163" t="str">
        <f>"grep -SE -B400 ""CHR.+\|PRM\|1\|D.+(SWITCH|SIGNAL).+UNKNOWN"" "&amp;search_path&amp;"\RTDC"&amp;B239&amp;"\*"&amp;B239&amp;"*"&amp;TEXT(AVERAGE(F239,I239)-utc_offset/24,"YYYYMMDD")&amp;"*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"%USERPROFILE%\AppData\Local\Temp\OnboardLogs"\RTDC4064\*4064*20170308* | grep -SE "(Enforcement Action)|(\[TIMEOUT)|(CHR.+\|PRM\|1\|D.+(SWITCH|SIGNAL).+UNKNOWN)" - &gt;&gt; 2017-03-07-UncaughtWiMAX.txt</v>
      </c>
    </row>
    <row r="240" spans="1:40" x14ac:dyDescent="0.25">
      <c r="A240" s="33" t="s">
        <v>759</v>
      </c>
      <c r="B240" s="7">
        <v>4064</v>
      </c>
      <c r="C240" s="21" t="s">
        <v>233</v>
      </c>
      <c r="D240" s="21" t="s">
        <v>900</v>
      </c>
      <c r="E240" s="13">
        <v>42801.858298611114</v>
      </c>
      <c r="F240" s="13">
        <v>42801.861087962963</v>
      </c>
      <c r="G240" s="7">
        <v>3</v>
      </c>
      <c r="H240" s="21" t="s">
        <v>901</v>
      </c>
      <c r="I240" s="13">
        <v>42801.867071759261</v>
      </c>
      <c r="J240" s="7">
        <v>2</v>
      </c>
      <c r="K240" s="98" t="str">
        <f t="shared" si="80"/>
        <v>4063/4064</v>
      </c>
      <c r="L240" s="21" t="str">
        <f>VLOOKUP(A240,'Trips&amp;Operators'!$C$1:$G$99999,5,FALSE)</f>
        <v>YANG JAN</v>
      </c>
      <c r="M240" s="6">
        <f t="shared" si="81"/>
        <v>5.9837962980964221E-3</v>
      </c>
      <c r="N240" s="7">
        <f t="shared" si="95"/>
        <v>8.6166666692588478</v>
      </c>
      <c r="O240" s="7"/>
      <c r="P240" s="7"/>
      <c r="Q240" s="22"/>
      <c r="R240" s="22"/>
      <c r="S240" s="31">
        <f t="shared" si="98"/>
        <v>0</v>
      </c>
      <c r="T240" s="46" t="e">
        <f t="shared" si="83"/>
        <v>#VALUE!</v>
      </c>
      <c r="U240" s="18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86" t="str">
        <f t="shared" si="84"/>
        <v>https://d0f6bd738d7f1b3e5a7ca70fe4ff75f0.us-east-1.aws.found.io/app/kibana#/discover/Steve-Slow-Train-Analysis-(2080s-and-2083s)?_g=(refreshInterval:(display:Off,pause:!f,section:0,value:0),time:(from:'2017-03-07T19:35:57-0700',mode:absolute,to:'2017-03-07T21:48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40" s="187" t="str">
        <f t="shared" si="85"/>
        <v>Y</v>
      </c>
      <c r="X240" s="187" t="e">
        <f t="shared" si="97"/>
        <v>#VALUE!</v>
      </c>
      <c r="Y240" s="62">
        <f t="shared" si="96"/>
        <v>2.3212999999999999</v>
      </c>
      <c r="Z240" s="62">
        <f t="shared" si="86"/>
        <v>1.37E-2</v>
      </c>
      <c r="AA240" s="62">
        <f t="shared" si="87"/>
        <v>2.3075999999999999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 t="shared" si="88"/>
        <v>72-07</v>
      </c>
      <c r="AE240" s="85" t="str">
        <f t="shared" si="89"/>
        <v>aws s3 cp s3://rtdc.mdm.uploadarchive.raw/RTDC4064/ "%USERPROFILE%\AppData\Local\Temp\OnboardLogs"\RTDC4064\2017-03-07 --exclude "*" --recursive --include "*20170307*" &amp; "%USERPROFILE%\Documents\GitHub\mrs-test-scripts\Headless Mode &amp; Sideloading\WalkAndUnGZ.bat" "%USERPROFILE%\AppData\Local\Temp\OnboardLogs"\RTDC4064\2017-03-07 &amp; aws s3 cp s3://rtdc.mdm.uploadarchive.raw/RTDC4064/ "%USERPROFILE%\AppData\Local\Temp\OnboardLogs"\RTDC4064\2017-03-08 --exclude "*" --recursive --include "*20170308*" &amp; "%USERPROFILE%\Documents\GitHub\mrs-test-scripts\Headless Mode &amp; Sideloading\WalkAndUnGZ.bat" "%USERPROFILE%\AppData\Local\Temp\OnboardLogs"\RTDC4064\2017-03-08</v>
      </c>
      <c r="AF240" s="82" t="str">
        <f t="shared" si="90"/>
        <v>"C:\Program Files (x86)\AstroGrep\AstroGrep.exe" /spath="%USERPROFILE%\AppData\Local\Temp\OnboardLogs" /stypes="app*4064*20170308*" /stext=" 03:.+((SYSTEM_STATE.+slice.+state.+changed )|(ment ac)|(multiple cpu faults)|(system.+state.+changed )|(\[timeout)|(PRM\|1\|D)|(kpr)|(kdp)|(\|lc)|(penalty))" /e /r /s</v>
      </c>
      <c r="AG240" s="1" t="str">
        <f t="shared" si="91"/>
        <v>Other</v>
      </c>
      <c r="AH240" s="86" t="str">
        <f t="shared" si="92"/>
        <v>"%USERPROFILE%\Documents\GitHub\eaglep3\Utilities\RefineRTDCRunTimes.py" --tripid 72-07 --locoid 4064 --swversion DE.1.0.9.0 --startMP 300:23213 --initTime 2017-03-07T20:35:57 --startdatetime 2017-03-07T20:39:58 --delay 3 --endMP 204:137 --enddatetime 2017-03-07T20:48:35 --enforcementcount 2 &gt;&gt;C:\Users\stu\Documents\GitHub\eaglep3-reporting\EC\2017-03-07-refined-times.txt</v>
      </c>
      <c r="AI240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{"issue":{"subject":"","project_id":79,"tracker_id":40,"status_id":1,"priority_id":2,"assigned_to_id":23,"start_date":"2017-03-07","description":"","custom_fields":[{"id":1,"name":"Subdivision","value":"Other"},{"id":4,"name":"Milepost","value":"0.0137"},{"id":17,"name":"Train ID","value":"72-07"},{"id":16,"name":"Locomotive ID","value":"4064"},{"id":130,"name":"Impact","value":""},{"id":150,"name":"Time of Event (Mountain Time)","value":"20:48:35"},{"id":151,"name":"Denver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48"/>
      <c r="AK240" s="48"/>
      <c r="AL240" s="48"/>
      <c r="AM240" s="154" t="str">
        <f t="shared" si="94"/>
        <v>start /low /b %USERPROFILE%\Documents\GitHub\eaglep3\Utilities\DownloadLogsFromS3.py --loco 4064 --day 2017-03-07</v>
      </c>
      <c r="AN240" s="163" t="str">
        <f>"grep -SE -B400 ""CHR.+\|PRM\|1\|D.+(SWITCH|SIGNAL).+UNKNOWN"" "&amp;search_path&amp;"\RTDC"&amp;B240&amp;"\*"&amp;B240&amp;"*"&amp;TEXT(AVERAGE(F240,I240)-utc_offset/24,"YYYYMMDD")&amp;"*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"%USERPROFILE%\AppData\Local\Temp\OnboardLogs"\RTDC4064\*4064*20170308* | grep -SE "(Enforcement Action)|(\[TIMEOUT)|(CHR.+\|PRM\|1\|D.+(SWITCH|SIGNAL).+UNKNOWN)" - &gt;&gt; 2017-03-07-UncaughtWiMAX.txt</v>
      </c>
    </row>
    <row r="241" spans="1:40" x14ac:dyDescent="0.25">
      <c r="A241" s="33" t="s">
        <v>759</v>
      </c>
      <c r="B241" s="7">
        <v>4064</v>
      </c>
      <c r="C241" s="21" t="s">
        <v>233</v>
      </c>
      <c r="D241" s="21" t="s">
        <v>533</v>
      </c>
      <c r="E241" s="13">
        <v>42802.092268518521</v>
      </c>
      <c r="F241" s="13">
        <v>42802.124791666669</v>
      </c>
      <c r="G241" s="7">
        <v>1</v>
      </c>
      <c r="H241" s="21" t="s">
        <v>902</v>
      </c>
      <c r="I241" s="13">
        <v>25568.708333333332</v>
      </c>
      <c r="J241" s="7">
        <v>2</v>
      </c>
      <c r="K241" s="98" t="str">
        <f t="shared" si="80"/>
        <v>4063/4064</v>
      </c>
      <c r="L241" s="21" t="str">
        <f>VLOOKUP(A241,'Trips&amp;Operators'!$C$1:$G$99999,5,FALSE)</f>
        <v>YANG JAN</v>
      </c>
      <c r="M241" s="6">
        <f t="shared" si="81"/>
        <v>-17233.416458333337</v>
      </c>
      <c r="N241" s="7">
        <f t="shared" si="95"/>
        <v>-24816119.700000007</v>
      </c>
      <c r="O241" s="7"/>
      <c r="P241" s="7"/>
      <c r="Q241" s="22"/>
      <c r="R241" s="22"/>
      <c r="S241" s="31">
        <f t="shared" si="98"/>
        <v>0</v>
      </c>
      <c r="T241" s="46" t="e">
        <f t="shared" si="83"/>
        <v>#VALUE!</v>
      </c>
      <c r="U241" s="18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86" t="str">
        <f t="shared" si="84"/>
        <v>https://d0f6bd738d7f1b3e5a7ca70fe4ff75f0.us-east-1.aws.found.io/app/kibana#/discover/Steve-Slow-Train-Analysis-(2080s-and-2083s)?_g=(refreshInterval:(display:Off,pause:!f,section:0,value:0),time:(from:'2017-03-08T01:12:52-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41" s="187" t="str">
        <f t="shared" si="85"/>
        <v>Y</v>
      </c>
      <c r="X241" s="187" t="e">
        <f t="shared" si="97"/>
        <v>#VALUE!</v>
      </c>
      <c r="Y241" s="62">
        <f t="shared" si="96"/>
        <v>5.8608000000000002</v>
      </c>
      <c r="Z241" s="62">
        <f t="shared" si="86"/>
        <v>0.53859999999999997</v>
      </c>
      <c r="AA241" s="62">
        <f t="shared" si="87"/>
        <v>5.3222000000000005</v>
      </c>
      <c r="AB241" s="59" t="e">
        <f>VLOOKUP(A241,Enforcements!$C$7:$K$13,8,0)</f>
        <v>#N/A</v>
      </c>
      <c r="AC241" s="55" t="e">
        <f>VLOOKUP(A241,Enforcements!$C$7:$E$13,3,0)</f>
        <v>#N/A</v>
      </c>
      <c r="AD241" s="56" t="str">
        <f t="shared" si="88"/>
        <v>72-07</v>
      </c>
      <c r="AE241" s="85" t="str">
        <f t="shared" si="89"/>
        <v>aws s3 cp s3://rtdc.mdm.uploadarchive.raw/RTDC4064/ "%USERPROFILE%\AppData\Local\Temp\OnboardLogs"\RTDC4064\2017-03-08 --exclude "*" --recursive --include "*20170308*" &amp; "%USERPROFILE%\Documents\GitHub\mrs-test-scripts\Headless Mode &amp; Sideloading\WalkAndUnGZ.bat" "%USERPROFILE%\AppData\Local\Temp\OnboardLogs"\RTDC4064\2017-03-08 &amp; aws s3 cp s3://rtdc.mdm.uploadarchive.raw/RTDC4064/ "%USERPROFILE%\AppData\Local\Temp\OnboardLogs"\RTDC4064\2017-03-09 --exclude "*" --recursive --include "*20170309*" &amp; "%USERPROFILE%\Documents\GitHub\mrs-test-scripts\Headless Mode &amp; Sideloading\WalkAndUnGZ.bat" "%USERPROFILE%\AppData\Local\Temp\OnboardLogs"\RTDC4064\2017-03-09</v>
      </c>
      <c r="AF241" s="82" t="str">
        <f t="shared" si="90"/>
        <v>"C:\Program Files (x86)\AstroGrep\AstroGrep.exe" /spath="%USERPROFILE%\AppData\Local\Temp\OnboardLogs" /stypes="app*4064*19700101*" /stext=" 00:.+((SYSTEM_STATE.+slice.+state.+changed )|(ment ac)|(multiple cpu faults)|(system.+state.+changed )|(\[timeout)|(PRM\|1\|D)|(kpr)|(kdp)|(\|lc)|(penalty))" /e /r /s</v>
      </c>
      <c r="AG241" s="1" t="str">
        <f t="shared" si="91"/>
        <v>Other</v>
      </c>
      <c r="AH241" s="86" t="str">
        <f t="shared" si="92"/>
        <v>"%USERPROFILE%\Documents\GitHub\eaglep3\Utilities\RefineRTDCRunTimes.py" --tripid 72-07 --locoid 4064 --swversion DE.1.0.9.0 --startMP 300:58608 --initTime 2017-03-08T02:12:52 --startdatetime 2017-03-08T02:59:42 --delay 1 --endMP 300:5386 --enddatetime 1969-12-31T17:00:00 --enforcementcount 2 &gt;&gt;C:\Users\stu\Documents\GitHub\eaglep3-reporting\EC\2017-03-07-refined-times.txt</v>
      </c>
      <c r="AI241" s="108" t="str">
        <f t="shared" si="93"/>
        <v>echo {"issue":{"subject":"","project_id":79,"tracker_id":40,"status_id":1,"priority_id":2,"assigned_to_id":23,"start_date":"1969-12-31","description":"","custom_fields":[{"id":1,"name":"Subdivision","value":"Other"},{"id":4,"name":"Milepost","value":"0.5386"},{"id":17,"name":"Train ID","value":"72-07"},{"id":16,"name":"Locomotive ID","value":"4064"},{"id":130,"name":"Impact","value":""},{"id":150,"name":"Time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48"/>
      <c r="AK241" s="48"/>
      <c r="AL241" s="48"/>
      <c r="AM241" s="154" t="str">
        <f t="shared" si="94"/>
        <v>start /low /b %USERPROFILE%\Documents\GitHub\eaglep3\Utilities\DownloadLogsFromS3.py --loco 4064 --day 2017-03-08</v>
      </c>
      <c r="AN241" s="163" t="str">
        <f>"grep -SE -B400 ""CHR.+\|PRM\|1\|D.+(SWITCH|SIGNAL).+UNKNOWN"" "&amp;search_path&amp;"\RTDC"&amp;B241&amp;"\*"&amp;B241&amp;"*"&amp;TEXT(AVERAGE(F241,I241)-utc_offset/24,"YYYYMMDD")&amp;"*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"%USERPROFILE%\AppData\Local\Temp\OnboardLogs"\RTDC4064\*4064*19930804* | grep -SE "(Enforcement Action)|(\[TIMEOUT)|(CHR.+\|PRM\|1\|D.+(SWITCH|SIGNAL).+UNKNOWN)" - &gt;&gt; 2017-03-07-UncaughtWiMAX.txt</v>
      </c>
    </row>
    <row r="242" spans="1:40" x14ac:dyDescent="0.25">
      <c r="A242" s="33" t="s">
        <v>598</v>
      </c>
      <c r="B242" s="7">
        <v>4063</v>
      </c>
      <c r="C242" s="21" t="s">
        <v>233</v>
      </c>
      <c r="D242" s="21" t="s">
        <v>903</v>
      </c>
      <c r="E242" s="13">
        <v>42802.076597222222</v>
      </c>
      <c r="F242" s="13">
        <v>42802.108703703707</v>
      </c>
      <c r="G242" s="7">
        <v>4</v>
      </c>
      <c r="H242" s="21" t="s">
        <v>904</v>
      </c>
      <c r="I242" s="13">
        <v>42802.122916666667</v>
      </c>
      <c r="J242" s="7">
        <v>2</v>
      </c>
      <c r="K242" s="98" t="str">
        <f t="shared" si="80"/>
        <v>4063/4064</v>
      </c>
      <c r="L242" s="21" t="str">
        <f>VLOOKUP(A242,'Trips&amp;Operators'!$C$1:$G$99999,5,FALSE)</f>
        <v>DUNCAN SHEILA</v>
      </c>
      <c r="M242" s="6">
        <f t="shared" si="81"/>
        <v>1.4212962960300501E-2</v>
      </c>
      <c r="N242" s="7">
        <f t="shared" si="95"/>
        <v>20.466666662832722</v>
      </c>
      <c r="O242" s="7"/>
      <c r="P242" s="7"/>
      <c r="Q242" s="22"/>
      <c r="R242" s="22"/>
      <c r="S242" s="31">
        <f t="shared" si="98"/>
        <v>0</v>
      </c>
      <c r="T242" s="46" t="e">
        <f t="shared" si="83"/>
        <v>#VALUE!</v>
      </c>
      <c r="U242" s="18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86" t="str">
        <f t="shared" si="84"/>
        <v>https://d0f6bd738d7f1b3e5a7ca70fe4ff75f0.us-east-1.aws.found.io/app/kibana#/discover/Steve-Slow-Train-Analysis-(2080s-and-2083s)?_g=(refreshInterval:(display:Off,pause:!f,section:0,value:0),time:(from:'2017-03-08T00:50:18-0700',mode:absolute,to:'2017-03-08T03:57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2" s="187" t="str">
        <f t="shared" si="85"/>
        <v>N</v>
      </c>
      <c r="X242" s="187" t="e">
        <f t="shared" si="97"/>
        <v>#VALUE!</v>
      </c>
      <c r="Y242" s="62">
        <f t="shared" si="96"/>
        <v>0.12529999999999999</v>
      </c>
      <c r="Z242" s="62">
        <f t="shared" si="86"/>
        <v>5.8921999999999999</v>
      </c>
      <c r="AA242" s="62">
        <f t="shared" si="87"/>
        <v>5.7668999999999997</v>
      </c>
      <c r="AB242" s="59" t="e">
        <f>VLOOKUP(A242,Enforcements!$C$7:$K$13,8,0)</f>
        <v>#N/A</v>
      </c>
      <c r="AC242" s="55" t="e">
        <f>VLOOKUP(A242,Enforcements!$C$7:$E$13,3,0)</f>
        <v>#N/A</v>
      </c>
      <c r="AD242" s="56" t="str">
        <f t="shared" si="88"/>
        <v>73-07</v>
      </c>
      <c r="AE242" s="85" t="str">
        <f t="shared" si="89"/>
        <v>aws s3 cp s3://rtdc.mdm.uploadarchive.raw/RTDC4063/ "%USERPROFILE%\AppData\Local\Temp\OnboardLogs"\RTDC4063\2017-03-08 --exclude "*" --recursive --include "*20170308*" &amp; "%USERPROFILE%\Documents\GitHub\mrs-test-scripts\Headless Mode &amp; Sideloading\WalkAndUnGZ.bat" "%USERPROFILE%\AppData\Local\Temp\OnboardLogs"\RTDC4063\2017-03-08 &amp; aws s3 cp s3://rtdc.mdm.uploadarchive.raw/RTDC4063/ "%USERPROFILE%\AppData\Local\Temp\OnboardLogs"\RTDC4063\2017-03-09 --exclude "*" --recursive --include "*20170309*" &amp; "%USERPROFILE%\Documents\GitHub\mrs-test-scripts\Headless Mode &amp; Sideloading\WalkAndUnGZ.bat" "%USERPROFILE%\AppData\Local\Temp\OnboardLogs"\RTDC4063\2017-03-09</v>
      </c>
      <c r="AF242" s="82" t="str">
        <f t="shared" si="90"/>
        <v>"C:\Program Files (x86)\AstroGrep\AstroGrep.exe" /spath="%USERPROFILE%\AppData\Local\Temp\OnboardLogs" /stypes="app*4063*20170308*" /stext=" 09:.+((SYSTEM_STATE.+slice.+state.+changed )|(ment ac)|(multiple cpu faults)|(system.+state.+changed )|(\[timeout)|(PRM\|1\|D)|(kpr)|(kdp)|(\|lc)|(penalty))" /e /r /s</v>
      </c>
      <c r="AG242" s="1" t="str">
        <f t="shared" si="91"/>
        <v>Other</v>
      </c>
      <c r="AH242" s="86" t="str">
        <f t="shared" si="92"/>
        <v>"%USERPROFILE%\Documents\GitHub\eaglep3\Utilities\RefineRTDCRunTimes.py" --tripid 73-07 --locoid 4063 --swversion DE.1.0.9.0 --startMP 204:1253 --initTime 2017-03-08T01:50:18 --startdatetime 2017-03-08T02:36:32 --delay 4 --endMP 300:58922 --enddatetime 2017-03-08T02:57:00 --enforcementcount 2 &gt;&gt;C:\Users\stu\Documents\GitHub\eaglep3-reporting\EC\2017-03-07-refined-times.txt</v>
      </c>
      <c r="AI242" s="108" t="str">
        <f t="shared" si="93"/>
        <v>echo {"issue":{"subject":"","project_id":79,"tracker_id":40,"status_id":1,"priority_id":2,"assigned_to_id":23,"start_date":"2017-03-08","description":"","custom_fields":[{"id":1,"name":"Subdivision","value":"Other"},{"id":4,"name":"Milepost","value":"5.8922"},{"id":17,"name":"Train ID","value":"73-07"},{"id":16,"name":"Locomotive ID","value":"4063"},{"id":130,"name":"Impact","value":""},{"id":150,"name":"Time of Event (Mountain Time)","value":"02:57:00"},{"id":151,"name":"Denver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48"/>
      <c r="AK242" s="48"/>
      <c r="AL242" s="48"/>
      <c r="AM242" s="154" t="str">
        <f t="shared" si="94"/>
        <v>start /low /b %USERPROFILE%\Documents\GitHub\eaglep3\Utilities\DownloadLogsFromS3.py --loco 4063 --day 2017-03-08</v>
      </c>
      <c r="AN242" s="163" t="str">
        <f>"grep -SE -B400 ""CHR.+\|PRM\|1\|D.+(SWITCH|SIGNAL).+UNKNOWN"" "&amp;search_path&amp;"\RTDC"&amp;B242&amp;"\*"&amp;B242&amp;"*"&amp;TEXT(AVERAGE(F242,I242)-utc_offset/24,"YYYYMMDD")&amp;"*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"%USERPROFILE%\AppData\Local\Temp\OnboardLogs"\RTDC4063\*4063*20170308* | grep -SE "(Enforcement Action)|(\[TIMEOUT)|(CHR.+\|PRM\|1\|D.+(SWITCH|SIGNAL).+UNKNOWN)" - &gt;&gt; 2017-03-07-UncaughtWiMAX.txt</v>
      </c>
    </row>
    <row r="243" spans="1:40" x14ac:dyDescent="0.25">
      <c r="A243" s="33" t="s">
        <v>598</v>
      </c>
      <c r="B243" s="7">
        <v>4063</v>
      </c>
      <c r="C243" s="21" t="s">
        <v>233</v>
      </c>
      <c r="D243" s="21" t="s">
        <v>905</v>
      </c>
      <c r="E243" s="13">
        <v>42801.959270833337</v>
      </c>
      <c r="F243" s="13">
        <v>42801.970405092594</v>
      </c>
      <c r="G243" s="7">
        <v>3</v>
      </c>
      <c r="H243" s="21" t="s">
        <v>906</v>
      </c>
      <c r="I243" s="13">
        <v>42801.993634259263</v>
      </c>
      <c r="J243" s="7">
        <v>2</v>
      </c>
      <c r="K243" s="98" t="str">
        <f t="shared" si="80"/>
        <v>4063/4064</v>
      </c>
      <c r="L243" s="21" t="str">
        <f>VLOOKUP(A243,'Trips&amp;Operators'!$C$1:$G$99999,5,FALSE)</f>
        <v>DUNCAN SHEILA</v>
      </c>
      <c r="M243" s="6">
        <f t="shared" si="81"/>
        <v>2.322916666889796E-2</v>
      </c>
      <c r="N243" s="7">
        <f t="shared" si="95"/>
        <v>33.450000003213063</v>
      </c>
      <c r="O243" s="7"/>
      <c r="P243" s="7"/>
      <c r="Q243" s="22"/>
      <c r="R243" s="22"/>
      <c r="S243" s="31">
        <f t="shared" si="98"/>
        <v>0</v>
      </c>
      <c r="T243" s="46" t="e">
        <f t="shared" si="83"/>
        <v>#VALUE!</v>
      </c>
      <c r="U243" s="18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86" t="str">
        <f t="shared" si="84"/>
        <v>https://d0f6bd738d7f1b3e5a7ca70fe4ff75f0.us-east-1.aws.found.io/app/kibana#/discover/Steve-Slow-Train-Analysis-(2080s-and-2083s)?_g=(refreshInterval:(display:Off,pause:!f,section:0,value:0),time:(from:'2017-03-07T22:01:21-0700',mode:absolute,to:'2017-03-08T00:50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3" s="187" t="str">
        <f t="shared" si="85"/>
        <v>Y</v>
      </c>
      <c r="X243" s="187" t="e">
        <f t="shared" si="97"/>
        <v>#VALUE!</v>
      </c>
      <c r="Y243" s="62">
        <f t="shared" si="96"/>
        <v>0.14879999999999999</v>
      </c>
      <c r="Z243" s="62">
        <f t="shared" si="86"/>
        <v>0.18029999999999999</v>
      </c>
      <c r="AA243" s="62">
        <f t="shared" si="87"/>
        <v>3.15E-2</v>
      </c>
      <c r="AB243" s="59" t="e">
        <f>VLOOKUP(A243,Enforcements!$C$7:$K$13,8,0)</f>
        <v>#N/A</v>
      </c>
      <c r="AC243" s="55" t="e">
        <f>VLOOKUP(A243,Enforcements!$C$7:$E$13,3,0)</f>
        <v>#N/A</v>
      </c>
      <c r="AD243" s="56" t="str">
        <f t="shared" si="88"/>
        <v>73-07</v>
      </c>
      <c r="AE243" s="85" t="str">
        <f t="shared" si="89"/>
        <v>aws s3 cp s3://rtdc.mdm.uploadarchive.raw/RTDC4063/ "%USERPROFILE%\AppData\Local\Temp\OnboardLogs"\RTDC4063\2017-03-07 --exclude "*" --recursive --include "*20170307*" &amp; "%USERPROFILE%\Documents\GitHub\mrs-test-scripts\Headless Mode &amp; Sideloading\WalkAndUnGZ.bat" "%USERPROFILE%\AppData\Local\Temp\OnboardLogs"\RTDC4063\2017-03-07 &amp; aws s3 cp s3://rtdc.mdm.uploadarchive.raw/RTDC4063/ "%USERPROFILE%\AppData\Local\Temp\OnboardLogs"\RTDC4063\2017-03-08 --exclude "*" --recursive --include "*20170308*" &amp; "%USERPROFILE%\Documents\GitHub\mrs-test-scripts\Headless Mode &amp; Sideloading\WalkAndUnGZ.bat" "%USERPROFILE%\AppData\Local\Temp\OnboardLogs"\RTDC4063\2017-03-08</v>
      </c>
      <c r="AF243" s="82" t="str">
        <f t="shared" si="90"/>
        <v>"C:\Program Files (x86)\AstroGrep\AstroGrep.exe" /spath="%USERPROFILE%\AppData\Local\Temp\OnboardLogs" /stypes="app*4063*20170308*" /stext=" 06:.+((SYSTEM_STATE.+slice.+state.+changed )|(ment ac)|(multiple cpu faults)|(system.+state.+changed )|(\[timeout)|(PRM\|1\|D)|(kpr)|(kdp)|(\|lc)|(penalty))" /e /r /s</v>
      </c>
      <c r="AG243" s="1" t="str">
        <f t="shared" si="91"/>
        <v>Other</v>
      </c>
      <c r="AH243" s="86" t="str">
        <f t="shared" si="92"/>
        <v>"%USERPROFILE%\Documents\GitHub\eaglep3\Utilities\RefineRTDCRunTimes.py" --tripid 73-07 --locoid 4063 --swversion DE.1.0.9.0 --startMP 204:1488 --initTime 2017-03-07T23:01:21 --startdatetime 2017-03-07T23:17:23 --delay 3 --endMP 204:1803 --enddatetime 2017-03-07T23:50:50 --enforcementcount 2 &gt;&gt;C:\Users\stu\Documents\GitHub\eaglep3-reporting\EC\2017-03-07-refined-times.txt</v>
      </c>
      <c r="AI243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{"issue":{"subject":"","project_id":79,"tracker_id":40,"status_id":1,"priority_id":2,"assigned_to_id":23,"start_date":"2017-03-07","description":"","custom_fields":[{"id":1,"name":"Subdivision","value":"Other"},{"id":4,"name":"Milepost","value":"0.1803"},{"id":17,"name":"Train ID","value":"73-07"},{"id":16,"name":"Locomotive ID","value":"4063"},{"id":130,"name":"Impact","value":""},{"id":150,"name":"Time of Event (Mountain Time)","value":"23:50:50"},{"id":151,"name":"Denver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48"/>
      <c r="AK243" s="48"/>
      <c r="AL243" s="48"/>
      <c r="AM243" s="154" t="str">
        <f t="shared" si="94"/>
        <v>start /low /b %USERPROFILE%\Documents\GitHub\eaglep3\Utilities\DownloadLogsFromS3.py --loco 4063 --day 2017-03-07</v>
      </c>
      <c r="AN243" s="163" t="str">
        <f>"grep -SE -B400 ""CHR.+\|PRM\|1\|D.+(SWITCH|SIGNAL).+UNKNOWN"" "&amp;search_path&amp;"\RTDC"&amp;B243&amp;"\*"&amp;B243&amp;"*"&amp;TEXT(AVERAGE(F243,I243)-utc_offset/24,"YYYYMMDD")&amp;"*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"%USERPROFILE%\AppData\Local\Temp\OnboardLogs"\RTDC4063\*4063*20170308* | grep -SE "(Enforcement Action)|(\[TIMEOUT)|(CHR.+\|PRM\|1\|D.+(SWITCH|SIGNAL).+UNKNOWN)" - &gt;&gt; 2017-03-07-UncaughtWiMAX.txt</v>
      </c>
    </row>
    <row r="244" spans="1:40" x14ac:dyDescent="0.25">
      <c r="A244" s="33" t="s">
        <v>598</v>
      </c>
      <c r="B244" s="7">
        <v>4063</v>
      </c>
      <c r="C244" s="21" t="s">
        <v>233</v>
      </c>
      <c r="D244" s="21" t="s">
        <v>907</v>
      </c>
      <c r="E244" s="13">
        <v>42801.968564814815</v>
      </c>
      <c r="F244" s="13">
        <v>42801.970405092594</v>
      </c>
      <c r="G244" s="7">
        <v>2</v>
      </c>
      <c r="H244" s="21" t="s">
        <v>266</v>
      </c>
      <c r="I244" s="13">
        <v>42801.993634259263</v>
      </c>
      <c r="J244" s="7">
        <v>2</v>
      </c>
      <c r="K244" s="98" t="str">
        <f t="shared" si="80"/>
        <v>4063/4064</v>
      </c>
      <c r="L244" s="21" t="str">
        <f>VLOOKUP(A244,'Trips&amp;Operators'!$C$1:$G$99999,5,FALSE)</f>
        <v>DUNCAN SHEILA</v>
      </c>
      <c r="M244" s="6">
        <f t="shared" si="81"/>
        <v>2.322916666889796E-2</v>
      </c>
      <c r="N244" s="7">
        <f t="shared" si="95"/>
        <v>33.450000003213063</v>
      </c>
      <c r="O244" s="7"/>
      <c r="P244" s="7"/>
      <c r="Q244" s="22"/>
      <c r="R244" s="22"/>
      <c r="S244" s="31">
        <f t="shared" si="98"/>
        <v>0</v>
      </c>
      <c r="T244" s="46" t="e">
        <f t="shared" si="83"/>
        <v>#VALUE!</v>
      </c>
      <c r="U244" s="18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86" t="str">
        <f t="shared" si="84"/>
        <v>https://d0f6bd738d7f1b3e5a7ca70fe4ff75f0.us-east-1.aws.found.io/app/kibana#/discover/Steve-Slow-Train-Analysis-(2080s-and-2083s)?_g=(refreshInterval:(display:Off,pause:!f,section:0,value:0),time:(from:'2017-03-07T22:14:44-0700',mode:absolute,to:'2017-03-08T00:50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4" s="187" t="str">
        <f t="shared" si="85"/>
        <v>N</v>
      </c>
      <c r="X244" s="187" t="e">
        <f t="shared" si="97"/>
        <v>#VALUE!</v>
      </c>
      <c r="Y244" s="62">
        <f t="shared" si="96"/>
        <v>1.9137</v>
      </c>
      <c r="Z244" s="62">
        <f t="shared" si="86"/>
        <v>23.329499999999999</v>
      </c>
      <c r="AA244" s="62">
        <f t="shared" si="87"/>
        <v>21.415800000000001</v>
      </c>
      <c r="AB244" s="59" t="e">
        <f>VLOOKUP(A244,Enforcements!$C$7:$K$13,8,0)</f>
        <v>#N/A</v>
      </c>
      <c r="AC244" s="55" t="e">
        <f>VLOOKUP(A244,Enforcements!$C$7:$E$13,3,0)</f>
        <v>#N/A</v>
      </c>
      <c r="AD244" s="56" t="str">
        <f t="shared" si="88"/>
        <v>73-07</v>
      </c>
      <c r="AE244" s="85" t="str">
        <f t="shared" si="89"/>
        <v>aws s3 cp s3://rtdc.mdm.uploadarchive.raw/RTDC4063/ "%USERPROFILE%\AppData\Local\Temp\OnboardLogs"\RTDC4063\2017-03-07 --exclude "*" --recursive --include "*20170307*" &amp; "%USERPROFILE%\Documents\GitHub\mrs-test-scripts\Headless Mode &amp; Sideloading\WalkAndUnGZ.bat" "%USERPROFILE%\AppData\Local\Temp\OnboardLogs"\RTDC4063\2017-03-07 &amp; aws s3 cp s3://rtdc.mdm.uploadarchive.raw/RTDC4063/ "%USERPROFILE%\AppData\Local\Temp\OnboardLogs"\RTDC4063\2017-03-08 --exclude "*" --recursive --include "*20170308*" &amp; "%USERPROFILE%\Documents\GitHub\mrs-test-scripts\Headless Mode &amp; Sideloading\WalkAndUnGZ.bat" "%USERPROFILE%\AppData\Local\Temp\OnboardLogs"\RTDC4063\2017-03-08</v>
      </c>
      <c r="AF244" s="82" t="str">
        <f t="shared" si="90"/>
        <v>"C:\Program Files (x86)\AstroGrep\AstroGrep.exe" /spath="%USERPROFILE%\AppData\Local\Temp\OnboardLogs" /stypes="app*4063*20170308*" /stext=" 06:.+((SYSTEM_STATE.+slice.+state.+changed )|(ment ac)|(multiple cpu faults)|(system.+state.+changed )|(\[timeout)|(PRM\|1\|D)|(kpr)|(kdp)|(\|lc)|(penalty))" /e /r /s</v>
      </c>
      <c r="AG244" s="1" t="str">
        <f t="shared" si="91"/>
        <v>Other</v>
      </c>
      <c r="AH244" s="86" t="str">
        <f t="shared" si="92"/>
        <v>"%USERPROFILE%\Documents\GitHub\eaglep3\Utilities\RefineRTDCRunTimes.py" --tripid 73-07 --locoid 4063 --swversion DE.1.0.9.0 --startMP 204:19137 --initTime 2017-03-07T23:14:44 --startdatetime 2017-03-07T23:17:23 --delay 2 --endMP 204:233295 --enddatetime 2017-03-07T23:50:50 --enforcementcount 2 &gt;&gt;C:\Users\stu\Documents\GitHub\eaglep3-reporting\EC\2017-03-07-refined-times.txt</v>
      </c>
      <c r="AI244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{"issue":{"subject":"","project_id":79,"tracker_id":40,"status_id":1,"priority_id":2,"assigned_to_id":23,"start_date":"2017-03-07","description":"","custom_fields":[{"id":1,"name":"Subdivision","value":"Other"},{"id":4,"name":"Milepost","value":"23.3295"},{"id":17,"name":"Train ID","value":"73-07"},{"id":16,"name":"Locomotive ID","value":"4063"},{"id":130,"name":"Impact","value":""},{"id":150,"name":"Time of Event (Mountain Time)","value":"23:50:50"},{"id":151,"name":"Denver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48"/>
      <c r="AK244" s="48"/>
      <c r="AL244" s="48"/>
      <c r="AM244" s="154" t="str">
        <f t="shared" si="94"/>
        <v>start /low /b %USERPROFILE%\Documents\GitHub\eaglep3\Utilities\DownloadLogsFromS3.py --loco 4063 --day 2017-03-07</v>
      </c>
      <c r="AN244" s="163" t="str">
        <f>"grep -SE -B400 ""CHR.+\|PRM\|1\|D.+(SWITCH|SIGNAL).+UNKNOWN"" "&amp;search_path&amp;"\RTDC"&amp;B244&amp;"\*"&amp;B244&amp;"*"&amp;TEXT(AVERAGE(F244,I244)-utc_offset/24,"YYYYMMDD")&amp;"*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"%USERPROFILE%\AppData\Local\Temp\OnboardLogs"\RTDC4063\*4063*20170308* | grep -SE "(Enforcement Action)|(\[TIMEOUT)|(CHR.+\|PRM\|1\|D.+(SWITCH|SIGNAL).+UNKNOWN)" - &gt;&gt; 2017-03-07-UncaughtWiMAX.txt</v>
      </c>
    </row>
    <row r="245" spans="1:40" x14ac:dyDescent="0.25">
      <c r="A245" s="33" t="s">
        <v>598</v>
      </c>
      <c r="B245" s="7">
        <v>4063</v>
      </c>
      <c r="C245" s="21" t="s">
        <v>233</v>
      </c>
      <c r="D245" s="21" t="s">
        <v>908</v>
      </c>
      <c r="E245" s="13">
        <v>42801.879548611112</v>
      </c>
      <c r="F245" s="13">
        <v>42801.885011574072</v>
      </c>
      <c r="G245" s="7">
        <v>2</v>
      </c>
      <c r="H245" s="21" t="s">
        <v>266</v>
      </c>
      <c r="I245" s="13">
        <v>42801.915150462963</v>
      </c>
      <c r="J245" s="7">
        <v>2</v>
      </c>
      <c r="K245" s="98" t="str">
        <f t="shared" si="80"/>
        <v>4063/4064</v>
      </c>
      <c r="L245" s="21" t="str">
        <f>VLOOKUP(A245,'Trips&amp;Operators'!$C$1:$G$99999,5,FALSE)</f>
        <v>DUNCAN SHEILA</v>
      </c>
      <c r="M245" s="6">
        <f t="shared" si="81"/>
        <v>3.0138888891087845E-2</v>
      </c>
      <c r="N245" s="7">
        <f t="shared" si="95"/>
        <v>43.400000003166497</v>
      </c>
      <c r="O245" s="7"/>
      <c r="P245" s="7"/>
      <c r="Q245" s="22"/>
      <c r="R245" s="22"/>
      <c r="S245" s="31">
        <f t="shared" si="98"/>
        <v>0</v>
      </c>
      <c r="T245" s="46" t="e">
        <f t="shared" si="83"/>
        <v>#VALUE!</v>
      </c>
      <c r="U245" s="18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86" t="str">
        <f t="shared" si="84"/>
        <v>https://d0f6bd738d7f1b3e5a7ca70fe4ff75f0.us-east-1.aws.found.io/app/kibana#/discover/Steve-Slow-Train-Analysis-(2080s-and-2083s)?_g=(refreshInterval:(display:Off,pause:!f,section:0,value:0),time:(from:'2017-03-07T20:06:33-0700',mode:absolute,to:'2017-03-07T22:57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5" s="187" t="str">
        <f t="shared" si="85"/>
        <v>N</v>
      </c>
      <c r="X245" s="187" t="e">
        <f t="shared" si="97"/>
        <v>#VALUE!</v>
      </c>
      <c r="Y245" s="62">
        <f t="shared" si="96"/>
        <v>4.4999999999999998E-2</v>
      </c>
      <c r="Z245" s="62">
        <f t="shared" si="86"/>
        <v>23.329499999999999</v>
      </c>
      <c r="AA245" s="62">
        <f t="shared" si="87"/>
        <v>23.284499999999998</v>
      </c>
      <c r="AB245" s="59" t="e">
        <f>VLOOKUP(A245,Enforcements!$C$7:$K$13,8,0)</f>
        <v>#N/A</v>
      </c>
      <c r="AC245" s="55" t="e">
        <f>VLOOKUP(A245,Enforcements!$C$7:$E$13,3,0)</f>
        <v>#N/A</v>
      </c>
      <c r="AD245" s="56" t="str">
        <f t="shared" si="88"/>
        <v>73-07</v>
      </c>
      <c r="AE245" s="85" t="str">
        <f t="shared" si="89"/>
        <v>aws s3 cp s3://rtdc.mdm.uploadarchive.raw/RTDC4063/ "%USERPROFILE%\AppData\Local\Temp\OnboardLogs"\RTDC4063\2017-03-07 --exclude "*" --recursive --include "*20170307*" &amp; "%USERPROFILE%\Documents\GitHub\mrs-test-scripts\Headless Mode &amp; Sideloading\WalkAndUnGZ.bat" "%USERPROFILE%\AppData\Local\Temp\OnboardLogs"\RTDC4063\2017-03-07 &amp; aws s3 cp s3://rtdc.mdm.uploadarchive.raw/RTDC4063/ "%USERPROFILE%\AppData\Local\Temp\OnboardLogs"\RTDC4063\2017-03-08 --exclude "*" --recursive --include "*20170308*" &amp; "%USERPROFILE%\Documents\GitHub\mrs-test-scripts\Headless Mode &amp; Sideloading\WalkAndUnGZ.bat" "%USERPROFILE%\AppData\Local\Temp\OnboardLogs"\RTDC4063\2017-03-08</v>
      </c>
      <c r="AF245" s="82" t="str">
        <f t="shared" si="90"/>
        <v>"C:\Program Files (x86)\AstroGrep\AstroGrep.exe" /spath="%USERPROFILE%\AppData\Local\Temp\OnboardLogs" /stypes="app*4063*20170308*" /stext=" 04:.+((SYSTEM_STATE.+slice.+state.+changed )|(ment ac)|(multiple cpu faults)|(system.+state.+changed )|(\[timeout)|(PRM\|1\|D)|(kpr)|(kdp)|(\|lc)|(penalty))" /e /r /s</v>
      </c>
      <c r="AG245" s="1" t="str">
        <f t="shared" si="91"/>
        <v>Other</v>
      </c>
      <c r="AH245" s="86" t="str">
        <f t="shared" si="92"/>
        <v>"%USERPROFILE%\Documents\GitHub\eaglep3\Utilities\RefineRTDCRunTimes.py" --tripid 73-07 --locoid 4063 --swversion DE.1.0.9.0 --startMP 204:450 --initTime 2017-03-07T21:06:33 --startdatetime 2017-03-07T21:14:25 --delay 2 --endMP 204:233295 --enddatetime 2017-03-07T21:57:49 --enforcementcount 2 &gt;&gt;C:\Users\stu\Documents\GitHub\eaglep3-reporting\EC\2017-03-07-refined-times.txt</v>
      </c>
      <c r="AI245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{"issue":{"subject":"","project_id":79,"tracker_id":40,"status_id":1,"priority_id":2,"assigned_to_id":23,"start_date":"2017-03-07","description":"","custom_fields":[{"id":1,"name":"Subdivision","value":"Other"},{"id":4,"name":"Milepost","value":"23.3295"},{"id":17,"name":"Train ID","value":"73-07"},{"id":16,"name":"Locomotive ID","value":"4063"},{"id":130,"name":"Impact","value":""},{"id":150,"name":"Time of Event (Mountain Time)","value":"21:57:49"},{"id":151,"name":"Denver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48"/>
      <c r="AK245" s="48"/>
      <c r="AL245" s="48"/>
      <c r="AM245" s="154" t="str">
        <f t="shared" si="94"/>
        <v>start /low /b %USERPROFILE%\Documents\GitHub\eaglep3\Utilities\DownloadLogsFromS3.py --loco 4063 --day 2017-03-07</v>
      </c>
      <c r="AN245" s="163" t="str">
        <f>"grep -SE -B400 ""CHR.+\|PRM\|1\|D.+(SWITCH|SIGNAL).+UNKNOWN"" "&amp;search_path&amp;"\RTDC"&amp;B245&amp;"\*"&amp;B245&amp;"*"&amp;TEXT(AVERAGE(F245,I245)-utc_offset/24,"YYYYMMDD")&amp;"*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"%USERPROFILE%\AppData\Local\Temp\OnboardLogs"\RTDC4063\*4063*20170308* | grep -SE "(Enforcement Action)|(\[TIMEOUT)|(CHR.+\|PRM\|1\|D.+(SWITCH|SIGNAL).+UNKNOWN)" - &gt;&gt; 2017-03-07-UncaughtWiMAX.txt</v>
      </c>
    </row>
    <row r="246" spans="1:40" x14ac:dyDescent="0.25">
      <c r="A246" s="33" t="s">
        <v>598</v>
      </c>
      <c r="B246" s="7">
        <v>4063</v>
      </c>
      <c r="C246" s="21" t="s">
        <v>233</v>
      </c>
      <c r="D246" s="21" t="s">
        <v>228</v>
      </c>
      <c r="E246" s="13">
        <v>42802.032002314816</v>
      </c>
      <c r="F246" s="13">
        <v>42802.034814814811</v>
      </c>
      <c r="G246" s="7">
        <v>3</v>
      </c>
      <c r="H246" s="21" t="s">
        <v>909</v>
      </c>
      <c r="I246" s="13">
        <v>42802.054907407408</v>
      </c>
      <c r="J246" s="7">
        <v>2</v>
      </c>
      <c r="K246" s="98" t="str">
        <f t="shared" si="80"/>
        <v>4063/4064</v>
      </c>
      <c r="L246" s="21" t="str">
        <f>VLOOKUP(A246,'Trips&amp;Operators'!$C$1:$G$99999,5,FALSE)</f>
        <v>DUNCAN SHEILA</v>
      </c>
      <c r="M246" s="6">
        <f t="shared" si="81"/>
        <v>2.0092592596483883E-2</v>
      </c>
      <c r="N246" s="7">
        <f t="shared" si="95"/>
        <v>28.933333338936791</v>
      </c>
      <c r="O246" s="7"/>
      <c r="P246" s="7"/>
      <c r="Q246" s="22"/>
      <c r="R246" s="22"/>
      <c r="S246" s="31">
        <f t="shared" si="98"/>
        <v>0</v>
      </c>
      <c r="T246" s="46" t="e">
        <f t="shared" si="83"/>
        <v>#VALUE!</v>
      </c>
      <c r="U246" s="18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86" t="str">
        <f t="shared" si="84"/>
        <v>https://d0f6bd738d7f1b3e5a7ca70fe4ff75f0.us-east-1.aws.found.io/app/kibana#/discover/Steve-Slow-Train-Analysis-(2080s-and-2083s)?_g=(refreshInterval:(display:Off,pause:!f,section:0,value:0),time:(from:'2017-03-07T23:46:05-0700',mode:absolute,to:'2017-03-08T02:19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6" s="187" t="str">
        <f t="shared" si="85"/>
        <v>N</v>
      </c>
      <c r="X246" s="187" t="e">
        <f t="shared" si="97"/>
        <v>#VALUE!</v>
      </c>
      <c r="Y246" s="62">
        <f t="shared" si="96"/>
        <v>4.6600000000000003E-2</v>
      </c>
      <c r="Z246" s="62">
        <f t="shared" si="86"/>
        <v>12.8268</v>
      </c>
      <c r="AA246" s="62">
        <f t="shared" si="87"/>
        <v>12.780200000000001</v>
      </c>
      <c r="AB246" s="59" t="e">
        <f>VLOOKUP(A246,Enforcements!$C$7:$K$13,8,0)</f>
        <v>#N/A</v>
      </c>
      <c r="AC246" s="55" t="e">
        <f>VLOOKUP(A246,Enforcements!$C$7:$E$13,3,0)</f>
        <v>#N/A</v>
      </c>
      <c r="AD246" s="56" t="str">
        <f t="shared" si="88"/>
        <v>73-07</v>
      </c>
      <c r="AE246" s="85" t="str">
        <f t="shared" si="89"/>
        <v>aws s3 cp s3://rtdc.mdm.uploadarchive.raw/RTDC4063/ "%USERPROFILE%\AppData\Local\Temp\OnboardLogs"\RTDC4063\2017-03-08 --exclude "*" --recursive --include "*20170308*" &amp; "%USERPROFILE%\Documents\GitHub\mrs-test-scripts\Headless Mode &amp; Sideloading\WalkAndUnGZ.bat" "%USERPROFILE%\AppData\Local\Temp\OnboardLogs"\RTDC4063\2017-03-08 &amp; aws s3 cp s3://rtdc.mdm.uploadarchive.raw/RTDC4063/ "%USERPROFILE%\AppData\Local\Temp\OnboardLogs"\RTDC4063\2017-03-09 --exclude "*" --recursive --include "*20170309*" &amp; "%USERPROFILE%\Documents\GitHub\mrs-test-scripts\Headless Mode &amp; Sideloading\WalkAndUnGZ.bat" "%USERPROFILE%\AppData\Local\Temp\OnboardLogs"\RTDC4063\2017-03-09</v>
      </c>
      <c r="AF246" s="82" t="str">
        <f t="shared" si="90"/>
        <v>"C:\Program Files (x86)\AstroGrep\AstroGrep.exe" /spath="%USERPROFILE%\AppData\Local\Temp\OnboardLogs" /stypes="app*4063*20170308*" /stext=" 08:.+((SYSTEM_STATE.+slice.+state.+changed )|(ment ac)|(multiple cpu faults)|(system.+state.+changed )|(\[timeout)|(PRM\|1\|D)|(kpr)|(kdp)|(\|lc)|(penalty))" /e /r /s</v>
      </c>
      <c r="AG246" s="1" t="str">
        <f t="shared" si="91"/>
        <v>Other</v>
      </c>
      <c r="AH246" s="86" t="str">
        <f t="shared" si="92"/>
        <v>"%USERPROFILE%\Documents\GitHub\eaglep3\Utilities\RefineRTDCRunTimes.py" --tripid 73-07 --locoid 4063 --swversion DE.1.0.9.0 --startMP 204:466 --initTime 2017-03-08T00:46:05 --startdatetime 2017-03-08T00:50:08 --delay 3 --endMP 204:128268 --enddatetime 2017-03-08T01:19:04 --enforcementcount 2 &gt;&gt;C:\Users\stu\Documents\GitHub\eaglep3-reporting\EC\2017-03-07-refined-times.txt</v>
      </c>
      <c r="AI246" s="108" t="str">
        <f t="shared" si="93"/>
        <v>echo {"issue":{"subject":"","project_id":79,"tracker_id":40,"status_id":1,"priority_id":2,"assigned_to_id":23,"start_date":"2017-03-08","description":"","custom_fields":[{"id":1,"name":"Subdivision","value":"Other"},{"id":4,"name":"Milepost","value":"12.8268"},{"id":17,"name":"Train ID","value":"73-07"},{"id":16,"name":"Locomotive ID","value":"4063"},{"id":130,"name":"Impact","value":""},{"id":150,"name":"Time of Event (Mountain Time)","value":"01:19:04"},{"id":151,"name":"Denver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48"/>
      <c r="AK246" s="48"/>
      <c r="AL246" s="48"/>
      <c r="AM246" s="154" t="str">
        <f t="shared" si="94"/>
        <v>start /low /b %USERPROFILE%\Documents\GitHub\eaglep3\Utilities\DownloadLogsFromS3.py --loco 4063 --day 2017-03-08</v>
      </c>
      <c r="AN246" s="163" t="str">
        <f>"grep -SE -B400 ""CHR.+\|PRM\|1\|D.+(SWITCH|SIGNAL).+UNKNOWN"" "&amp;search_path&amp;"\RTDC"&amp;B246&amp;"\*"&amp;B246&amp;"*"&amp;TEXT(AVERAGE(F246,I246)-utc_offset/24,"YYYYMMDD")&amp;"*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"%USERPROFILE%\AppData\Local\Temp\OnboardLogs"\RTDC4063\*4063*20170308* | grep -SE "(Enforcement Action)|(\[TIMEOUT)|(CHR.+\|PRM\|1\|D.+(SWITCH|SIGNAL).+UNKNOWN)" - &gt;&gt; 2017-03-07-UncaughtWiMAX.txt</v>
      </c>
    </row>
    <row r="247" spans="1:40" x14ac:dyDescent="0.25">
      <c r="A247" s="33" t="s">
        <v>598</v>
      </c>
      <c r="B247" s="7">
        <v>4063</v>
      </c>
      <c r="C247" s="21" t="s">
        <v>233</v>
      </c>
      <c r="D247" s="21" t="s">
        <v>910</v>
      </c>
      <c r="E247" s="13">
        <v>42802.106504629628</v>
      </c>
      <c r="F247" s="13">
        <v>42802.108703703707</v>
      </c>
      <c r="G247" s="7">
        <v>2</v>
      </c>
      <c r="H247" s="21" t="s">
        <v>524</v>
      </c>
      <c r="I247" s="13">
        <v>42802.122916666667</v>
      </c>
      <c r="J247" s="7">
        <v>2</v>
      </c>
      <c r="K247" s="98" t="str">
        <f t="shared" si="80"/>
        <v>4063/4064</v>
      </c>
      <c r="L247" s="21" t="str">
        <f>VLOOKUP(A247,'Trips&amp;Operators'!$C$1:$G$99999,5,FALSE)</f>
        <v>DUNCAN SHEILA</v>
      </c>
      <c r="M247" s="6">
        <f t="shared" si="81"/>
        <v>1.4212962960300501E-2</v>
      </c>
      <c r="N247" s="7">
        <f t="shared" si="95"/>
        <v>20.466666662832722</v>
      </c>
      <c r="O247" s="7"/>
      <c r="P247" s="7"/>
      <c r="Q247" s="22"/>
      <c r="R247" s="22"/>
      <c r="S247" s="31">
        <f t="shared" si="98"/>
        <v>0</v>
      </c>
      <c r="T247" s="46" t="e">
        <f t="shared" si="83"/>
        <v>#VALUE!</v>
      </c>
      <c r="U247" s="18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86" t="str">
        <f t="shared" si="84"/>
        <v>https://d0f6bd738d7f1b3e5a7ca70fe4ff75f0.us-east-1.aws.found.io/app/kibana#/discover/Steve-Slow-Train-Analysis-(2080s-and-2083s)?_g=(refreshInterval:(display:Off,pause:!f,section:0,value:0),time:(from:'2017-03-08T01:33:22-0700',mode:absolute,to:'2017-03-08T03:57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7" s="187" t="str">
        <f t="shared" si="85"/>
        <v>Y</v>
      </c>
      <c r="X247" s="187" t="e">
        <f t="shared" si="97"/>
        <v>#VALUE!</v>
      </c>
      <c r="Y247" s="62">
        <f t="shared" si="96"/>
        <v>0.56979999999999997</v>
      </c>
      <c r="Z247" s="62">
        <f t="shared" si="86"/>
        <v>5.8920000000000003</v>
      </c>
      <c r="AA247" s="62">
        <f t="shared" si="87"/>
        <v>5.3222000000000005</v>
      </c>
      <c r="AB247" s="59" t="e">
        <f>VLOOKUP(A247,Enforcements!$C$7:$K$13,8,0)</f>
        <v>#N/A</v>
      </c>
      <c r="AC247" s="55" t="e">
        <f>VLOOKUP(A247,Enforcements!$C$7:$E$13,3,0)</f>
        <v>#N/A</v>
      </c>
      <c r="AD247" s="56" t="str">
        <f t="shared" si="88"/>
        <v>73-07</v>
      </c>
      <c r="AE247" s="85" t="str">
        <f t="shared" si="89"/>
        <v>aws s3 cp s3://rtdc.mdm.uploadarchive.raw/RTDC4063/ "%USERPROFILE%\AppData\Local\Temp\OnboardLogs"\RTDC4063\2017-03-08 --exclude "*" --recursive --include "*20170308*" &amp; "%USERPROFILE%\Documents\GitHub\mrs-test-scripts\Headless Mode &amp; Sideloading\WalkAndUnGZ.bat" "%USERPROFILE%\AppData\Local\Temp\OnboardLogs"\RTDC4063\2017-03-08 &amp; aws s3 cp s3://rtdc.mdm.uploadarchive.raw/RTDC4063/ "%USERPROFILE%\AppData\Local\Temp\OnboardLogs"\RTDC4063\2017-03-09 --exclude "*" --recursive --include "*20170309*" &amp; "%USERPROFILE%\Documents\GitHub\mrs-test-scripts\Headless Mode &amp; Sideloading\WalkAndUnGZ.bat" "%USERPROFILE%\AppData\Local\Temp\OnboardLogs"\RTDC4063\2017-03-09</v>
      </c>
      <c r="AF247" s="82" t="str">
        <f t="shared" si="90"/>
        <v>"C:\Program Files (x86)\AstroGrep\AstroGrep.exe" /spath="%USERPROFILE%\AppData\Local\Temp\OnboardLogs" /stypes="app*4063*20170308*" /stext=" 09:.+((SYSTEM_STATE.+slice.+state.+changed )|(ment ac)|(multiple cpu faults)|(system.+state.+changed )|(\[timeout)|(PRM\|1\|D)|(kpr)|(kdp)|(\|lc)|(penalty))" /e /r /s</v>
      </c>
      <c r="AG247" s="1" t="str">
        <f t="shared" si="91"/>
        <v>Other</v>
      </c>
      <c r="AH247" s="86" t="str">
        <f t="shared" si="92"/>
        <v>"%USERPROFILE%\Documents\GitHub\eaglep3\Utilities\RefineRTDCRunTimes.py" --tripid 73-07 --locoid 4063 --swversion DE.1.0.9.0 --startMP 300:5698 --initTime 2017-03-08T02:33:22 --startdatetime 2017-03-08T02:36:32 --delay 2 --endMP 300:58920 --enddatetime 2017-03-08T02:57:00 --enforcementcount 2 &gt;&gt;C:\Users\stu\Documents\GitHub\eaglep3-reporting\EC\2017-03-07-refined-times.txt</v>
      </c>
      <c r="AI247" s="108" t="str">
        <f t="shared" si="93"/>
        <v>echo {"issue":{"subject":"","project_id":79,"tracker_id":40,"status_id":1,"priority_id":2,"assigned_to_id":23,"start_date":"2017-03-08","description":"","custom_fields":[{"id":1,"name":"Subdivision","value":"Other"},{"id":4,"name":"Milepost","value":"5.892"},{"id":17,"name":"Train ID","value":"73-07"},{"id":16,"name":"Locomotive ID","value":"4063"},{"id":130,"name":"Impact","value":""},{"id":150,"name":"Time of Event (Mountain Time)","value":"02:57:00"},{"id":151,"name":"Denver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48"/>
      <c r="AK247" s="48"/>
      <c r="AL247" s="48"/>
      <c r="AM247" s="154" t="str">
        <f t="shared" si="94"/>
        <v>start /low /b %USERPROFILE%\Documents\GitHub\eaglep3\Utilities\DownloadLogsFromS3.py --loco 4063 --day 2017-03-08</v>
      </c>
      <c r="AN247" s="163" t="str">
        <f>"grep -SE -B400 ""CHR.+\|PRM\|1\|D.+(SWITCH|SIGNAL).+UNKNOWN"" "&amp;search_path&amp;"\RTDC"&amp;B247&amp;"\*"&amp;B247&amp;"*"&amp;TEXT(AVERAGE(F247,I247)-utc_offset/24,"YYYYMMDD")&amp;"*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"%USERPROFILE%\AppData\Local\Temp\OnboardLogs"\RTDC4063\*4063*20170308* | grep -SE "(Enforcement Action)|(\[TIMEOUT)|(CHR.+\|PRM\|1\|D.+(SWITCH|SIGNAL).+UNKNOWN)" - &gt;&gt; 2017-03-07-UncaughtWiMAX.txt</v>
      </c>
    </row>
    <row r="248" spans="1:40" x14ac:dyDescent="0.25">
      <c r="A248" s="33" t="s">
        <v>690</v>
      </c>
      <c r="B248" s="7">
        <v>4014</v>
      </c>
      <c r="C248" s="21" t="s">
        <v>233</v>
      </c>
      <c r="D248" s="21" t="s">
        <v>244</v>
      </c>
      <c r="E248" s="13">
        <v>42801.553935185184</v>
      </c>
      <c r="F248" s="13">
        <v>42801.555520833332</v>
      </c>
      <c r="G248" s="7">
        <v>1</v>
      </c>
      <c r="H248" s="21" t="s">
        <v>493</v>
      </c>
      <c r="I248" s="13">
        <v>42801.585300925923</v>
      </c>
      <c r="J248" s="7">
        <v>2</v>
      </c>
      <c r="K248" s="98" t="str">
        <f t="shared" si="80"/>
        <v>4013/4014</v>
      </c>
      <c r="L248" s="21" t="str">
        <f>VLOOKUP(A248,'Trips&amp;Operators'!$C$1:$G$99999,5,FALSE)</f>
        <v>MOSES BRADLEY</v>
      </c>
      <c r="M248" s="6">
        <f t="shared" si="81"/>
        <v>2.9780092590954155E-2</v>
      </c>
      <c r="N248" s="7">
        <f t="shared" si="95"/>
        <v>42.883333330973983</v>
      </c>
      <c r="O248" s="7"/>
      <c r="P248" s="7"/>
      <c r="Q248" s="22"/>
      <c r="R248" s="22"/>
      <c r="S248" s="31">
        <f t="shared" si="98"/>
        <v>0</v>
      </c>
      <c r="T248" s="46" t="e">
        <f t="shared" si="83"/>
        <v>#VALUE!</v>
      </c>
      <c r="U248" s="185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86" t="str">
        <f t="shared" si="84"/>
        <v>https://d0f6bd738d7f1b3e5a7ca70fe4ff75f0.us-east-1.aws.found.io/app/kibana#/discover/Steve-Slow-Train-Analysis-(2080s-and-2083s)?_g=(refreshInterval:(display:Off,pause:!f,section:0,value:0),time:(from:'2017-03-07T12:17:40-0700',mode:absolute,to:'2017-03-07T15:02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48" s="187" t="str">
        <f t="shared" si="85"/>
        <v>N</v>
      </c>
      <c r="X248" s="187" t="e">
        <f t="shared" si="97"/>
        <v>#VALUE!</v>
      </c>
      <c r="Y248" s="62">
        <f t="shared" si="96"/>
        <v>4.6699999999999998E-2</v>
      </c>
      <c r="Z248" s="62">
        <f t="shared" si="86"/>
        <v>23.329799999999999</v>
      </c>
      <c r="AA248" s="62">
        <f t="shared" si="87"/>
        <v>23.283099999999997</v>
      </c>
      <c r="AB248" s="59" t="e">
        <f>VLOOKUP(A248,Enforcements!$C$7:$K$13,8,0)</f>
        <v>#N/A</v>
      </c>
      <c r="AC248" s="55" t="e">
        <f>VLOOKUP(A248,Enforcements!$C$7:$E$13,3,0)</f>
        <v>#N/A</v>
      </c>
      <c r="AD248" s="56" t="str">
        <f t="shared" si="88"/>
        <v>80-07</v>
      </c>
      <c r="AE248" s="85" t="str">
        <f t="shared" si="89"/>
        <v>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 &amp; aws s3 cp s3://rtdc.mdm.uploadarchive.raw/RTDC4014/ "%USERPROFILE%\AppData\Local\Temp\OnboardLogs"\RTDC4014\2017-03-08 --exclude "*" --recursive --include "*20170308*" &amp; "%USERPROFILE%\Documents\GitHub\mrs-test-scripts\Headless Mode &amp; Sideloading\WalkAndUnGZ.bat" "%USERPROFILE%\AppData\Local\Temp\OnboardLogs"\RTDC4014\2017-03-08</v>
      </c>
      <c r="AF248" s="82" t="str">
        <f t="shared" si="90"/>
        <v>"C:\Program Files (x86)\AstroGrep\AstroGrep.exe" /spath="%USERPROFILE%\AppData\Local\Temp\OnboardLogs" /stypes="app*4014*20170307*" /stext=" 21:.+((SYSTEM_STATE.+slice.+state.+changed )|(ment ac)|(multiple cpu faults)|(system.+state.+changed )|(\[timeout)|(PRM\|1\|D)|(kpr)|(kdp)|(\|lc)|(penalty))" /e /r /s</v>
      </c>
      <c r="AG248" s="1" t="str">
        <f t="shared" si="91"/>
        <v>Other</v>
      </c>
      <c r="AH248" s="86" t="str">
        <f t="shared" si="92"/>
        <v>"%USERPROFILE%\Documents\GitHub\eaglep3\Utilities\RefineRTDCRunTimes.py" --tripid 80-07 --locoid 4014 --swversion DE.1.0.9.0 --startMP 204:467 --initTime 2017-03-07T13:17:40 --startdatetime 2017-03-07T13:19:57 --delay 1 --endMP 204:233298 --enddatetime 2017-03-07T14:02:50 --enforcementcount 2 &gt;&gt;C:\Users\stu\Documents\GitHub\eaglep3-reporting\EC\2017-03-07-refined-times.txt</v>
      </c>
      <c r="AI248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{"issue":{"subject":"","project_id":79,"tracker_id":40,"status_id":1,"priority_id":2,"assigned_to_id":23,"start_date":"2017-03-07","description":"","custom_fields":[{"id":1,"name":"Subdivision","value":"Other"},{"id":4,"name":"Milepost","value":"23.3298"},{"id":17,"name":"Train ID","value":"80-07"},{"id":16,"name":"Locomotive ID","value":"4014"},{"id":130,"name":"Impact","value":""},{"id":150,"name":"Time of Event (Mountain Time)","value":"14:02:50"},{"id":151,"name":"Denver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48"/>
      <c r="AK248" s="48"/>
      <c r="AL248" s="48"/>
      <c r="AM248" s="154" t="str">
        <f t="shared" si="94"/>
        <v>start /low /b %USERPROFILE%\Documents\GitHub\eaglep3\Utilities\DownloadLogsFromS3.py --loco 4014 --day 2017-03-07</v>
      </c>
      <c r="AN248" s="163" t="str">
        <f>"grep -SE -B400 ""CHR.+\|PRM\|1\|D.+(SWITCH|SIGNAL).+UNKNOWN"" "&amp;search_path&amp;"\RTDC"&amp;B248&amp;"\*"&amp;B248&amp;"*"&amp;TEXT(AVERAGE(F248,I248)-utc_offset/24,"YYYYMMDD")&amp;"*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"%USERPROFILE%\AppData\Local\Temp\OnboardLogs"\RTDC4014\*4014*20170307* | grep -SE "(Enforcement Action)|(\[TIMEOUT)|(CHR.+\|PRM\|1\|D.+(SWITCH|SIGNAL).+UNKNOWN)" - &gt;&gt; 2017-03-07-UncaughtWiMAX.txt</v>
      </c>
    </row>
    <row r="249" spans="1:40" x14ac:dyDescent="0.25">
      <c r="A249" s="33" t="s">
        <v>775</v>
      </c>
      <c r="B249" s="7">
        <v>4031</v>
      </c>
      <c r="C249" s="21" t="s">
        <v>233</v>
      </c>
      <c r="D249" s="21" t="s">
        <v>939</v>
      </c>
      <c r="E249" s="13">
        <v>42801.955706018518</v>
      </c>
      <c r="F249" s="13">
        <v>42801.958831018521</v>
      </c>
      <c r="G249" s="7">
        <v>2</v>
      </c>
      <c r="H249" s="21" t="s">
        <v>518</v>
      </c>
      <c r="I249" s="13">
        <v>42801.964745370373</v>
      </c>
      <c r="J249" s="7">
        <v>2</v>
      </c>
      <c r="K249" s="98" t="str">
        <f t="shared" si="80"/>
        <v>4031/4032</v>
      </c>
      <c r="L249" s="21" t="str">
        <f>VLOOKUP(A249,'Trips&amp;Operators'!$C$1:$G$99999,5,FALSE)</f>
        <v>SAFIEF AEIMEN</v>
      </c>
      <c r="M249" s="6">
        <f t="shared" si="81"/>
        <v>5.914351851970423E-3</v>
      </c>
      <c r="N249" s="7">
        <f t="shared" si="95"/>
        <v>8.5166666668374091</v>
      </c>
      <c r="O249" s="7"/>
      <c r="P249" s="7"/>
      <c r="Q249" s="22"/>
      <c r="R249" s="22"/>
      <c r="S249" s="31">
        <f t="shared" si="98"/>
        <v>0</v>
      </c>
      <c r="T249" s="46" t="e">
        <f t="shared" si="83"/>
        <v>#VALUE!</v>
      </c>
      <c r="U249" s="185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86" t="str">
        <f t="shared" si="84"/>
        <v>https://d0f6bd738d7f1b3e5a7ca70fe4ff75f0.us-east-1.aws.found.io/app/kibana#/discover/Steve-Slow-Train-Analysis-(2080s-and-2083s)?_g=(refreshInterval:(display:Off,pause:!f,section:0,value:0),time:(from:'2017-03-07T21:56:13-0700',mode:absolute,to:'2017-03-08T00:09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49" s="187" t="str">
        <f t="shared" si="85"/>
        <v>Y</v>
      </c>
      <c r="X249" s="187" t="e">
        <f t="shared" si="97"/>
        <v>#VALUE!</v>
      </c>
      <c r="Y249" s="62">
        <f t="shared" si="96"/>
        <v>2.6943999999999999</v>
      </c>
      <c r="Z249" s="62">
        <f t="shared" si="86"/>
        <v>5.8925999999999998</v>
      </c>
      <c r="AA249" s="62">
        <f t="shared" si="87"/>
        <v>3.1981999999999999</v>
      </c>
      <c r="AB249" s="59" t="e">
        <f>VLOOKUP(A249,Enforcements!$C$7:$K$13,8,0)</f>
        <v>#N/A</v>
      </c>
      <c r="AC249" s="55" t="e">
        <f>VLOOKUP(A249,Enforcements!$C$7:$E$13,3,0)</f>
        <v>#N/A</v>
      </c>
      <c r="AD249" s="56" t="str">
        <f t="shared" si="88"/>
        <v>83-07</v>
      </c>
      <c r="AE249" s="85" t="str">
        <f t="shared" si="89"/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249" s="82" t="str">
        <f t="shared" si="90"/>
        <v>"C:\Program Files (x86)\AstroGrep\AstroGrep.exe" /spath="%USERPROFILE%\AppData\Local\Temp\OnboardLogs" /stypes="app*4031*20170308*" /stext=" 06:.+((SYSTEM_STATE.+slice.+state.+changed )|(ment ac)|(multiple cpu faults)|(system.+state.+changed )|(\[timeout)|(PRM\|1\|D)|(kpr)|(kdp)|(\|lc)|(penalty))" /e /r /s</v>
      </c>
      <c r="AG249" s="1" t="str">
        <f t="shared" si="91"/>
        <v>Other</v>
      </c>
      <c r="AH249" s="86" t="str">
        <f t="shared" si="92"/>
        <v>"%USERPROFILE%\Documents\GitHub\eaglep3\Utilities\RefineRTDCRunTimes.py" --tripid 83-07 --locoid 4031 --swversion DE.1.0.9.0 --startMP 300:26944 --initTime 2017-03-07T22:56:13 --startdatetime 2017-03-07T23:00:43 --delay 2 --endMP 300:58926 --enddatetime 2017-03-07T23:09:14 --enforcementcount 2 &gt;&gt;C:\Users\stu\Documents\GitHub\eaglep3-reporting\EC\2017-03-07-refined-times.txt</v>
      </c>
      <c r="AI249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{"issue":{"subject":"","project_id":79,"tracker_id":40,"status_id":1,"priority_id":2,"assigned_to_id":23,"start_date":"2017-03-07","description":"","custom_fields":[{"id":1,"name":"Subdivision","value":"Other"},{"id":4,"name":"Milepost","value":"5.8926"},{"id":17,"name":"Train ID","value":"83-07"},{"id":16,"name":"Locomotive ID","value":"4031"},{"id":130,"name":"Impact","value":""},{"id":150,"name":"Time of Event (Mountain Time)","value":"23:09:14"},{"id":151,"name":"Denver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48"/>
      <c r="AK249" s="48"/>
      <c r="AL249" s="48"/>
      <c r="AM249" s="154" t="str">
        <f t="shared" si="94"/>
        <v>start /low /b %USERPROFILE%\Documents\GitHub\eaglep3\Utilities\DownloadLogsFromS3.py --loco 4031 --day 2017-03-07</v>
      </c>
      <c r="AN249" s="163" t="str">
        <f>"grep -SE -B400 ""CHR.+\|PRM\|1\|D.+(SWITCH|SIGNAL).+UNKNOWN"" "&amp;search_path&amp;"\RTDC"&amp;B249&amp;"\*"&amp;B249&amp;"*"&amp;TEXT(AVERAGE(F249,I249)-utc_offset/24,"YYYYMMDD")&amp;"*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"%USERPROFILE%\AppData\Local\Temp\OnboardLogs"\RTDC4031\*4031*20170308* | grep -SE "(Enforcement Action)|(\[TIMEOUT)|(CHR.+\|PRM\|1\|D.+(SWITCH|SIGNAL).+UNKNOWN)" - &gt;&gt; 2017-03-07-UncaughtWiMAX.txt</v>
      </c>
    </row>
    <row r="250" spans="1:40" x14ac:dyDescent="0.25">
      <c r="A250" s="33" t="s">
        <v>596</v>
      </c>
      <c r="B250" s="7">
        <v>4032</v>
      </c>
      <c r="C250" s="21" t="s">
        <v>233</v>
      </c>
      <c r="D250" s="21" t="s">
        <v>954</v>
      </c>
      <c r="E250" s="13">
        <v>42801.942754629628</v>
      </c>
      <c r="F250" s="13">
        <v>42801.968680555554</v>
      </c>
      <c r="G250" s="7">
        <v>2</v>
      </c>
      <c r="H250" s="21" t="s">
        <v>955</v>
      </c>
      <c r="I250" s="13">
        <v>42801.973449074074</v>
      </c>
      <c r="J250" s="7">
        <v>2</v>
      </c>
      <c r="K250" s="98" t="str">
        <f t="shared" si="80"/>
        <v>4031/4032</v>
      </c>
      <c r="L250" s="21" t="str">
        <f>VLOOKUP(A250,'Trips&amp;Operators'!$C$1:$G$99999,5,FALSE)</f>
        <v>SAFIEF AEIMEN</v>
      </c>
      <c r="M250" s="6">
        <f t="shared" si="81"/>
        <v>4.7685185199952684E-3</v>
      </c>
      <c r="N250" s="7">
        <f t="shared" si="95"/>
        <v>6.8666666687931865</v>
      </c>
      <c r="O250" s="7"/>
      <c r="P250" s="7"/>
      <c r="Q250" s="22"/>
      <c r="R250" s="22"/>
      <c r="S250" s="31">
        <f t="shared" si="98"/>
        <v>0</v>
      </c>
      <c r="T250" s="46" t="e">
        <f t="shared" si="83"/>
        <v>#VALUE!</v>
      </c>
      <c r="U250" s="185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86" t="str">
        <f t="shared" si="84"/>
        <v>https://d0f6bd738d7f1b3e5a7ca70fe4ff75f0.us-east-1.aws.found.io/app/kibana#/discover/Steve-Slow-Train-Analysis-(2080s-and-2083s)?_g=(refreshInterval:(display:Off,pause:!f,section:0,value:0),time:(from:'2017-03-07T21:37:34-0700',mode:absolute,to:'2017-03-08T00:21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50" s="187" t="str">
        <f t="shared" si="85"/>
        <v>Y</v>
      </c>
      <c r="X250" s="187" t="e">
        <f t="shared" si="97"/>
        <v>#VALUE!</v>
      </c>
      <c r="Y250" s="62">
        <f t="shared" si="96"/>
        <v>5.8604000000000003</v>
      </c>
      <c r="Z250" s="62">
        <f t="shared" si="86"/>
        <v>2.6617999999999999</v>
      </c>
      <c r="AA250" s="62">
        <f t="shared" si="87"/>
        <v>3.1986000000000003</v>
      </c>
      <c r="AB250" s="59" t="e">
        <f>VLOOKUP(A250,Enforcements!$C$7:$K$13,8,0)</f>
        <v>#N/A</v>
      </c>
      <c r="AC250" s="55" t="e">
        <f>VLOOKUP(A250,Enforcements!$C$7:$E$13,3,0)</f>
        <v>#N/A</v>
      </c>
      <c r="AD250" s="56" t="str">
        <f t="shared" si="88"/>
        <v>88-07</v>
      </c>
      <c r="AE250" s="85" t="str">
        <f t="shared" si="89"/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250" s="82" t="str">
        <f t="shared" si="90"/>
        <v>"C:\Program Files (x86)\AstroGrep\AstroGrep.exe" /spath="%USERPROFILE%\AppData\Local\Temp\OnboardLogs" /stypes="app*4032*20170308*" /stext=" 06:.+((SYSTEM_STATE.+slice.+state.+changed )|(ment ac)|(multiple cpu faults)|(system.+state.+changed )|(\[timeout)|(PRM\|1\|D)|(kpr)|(kdp)|(\|lc)|(penalty))" /e /r /s</v>
      </c>
      <c r="AG250" s="1" t="str">
        <f t="shared" si="91"/>
        <v>Other</v>
      </c>
      <c r="AH250" s="86" t="str">
        <f t="shared" si="92"/>
        <v>"%USERPROFILE%\Documents\GitHub\eaglep3\Utilities\RefineRTDCRunTimes.py" --tripid 88-07 --locoid 4032 --swversion DE.1.0.9.0 --startMP 300:58604 --initTime 2017-03-07T22:37:34 --startdatetime 2017-03-07T23:14:54 --delay 2 --endMP 300:26618 --enddatetime 2017-03-07T23:21:46 --enforcementcount 2 &gt;&gt;C:\Users\stu\Documents\GitHub\eaglep3-reporting\EC\2017-03-07-refined-times.txt</v>
      </c>
      <c r="AI250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{"issue":{"subject":"","project_id":79,"tracker_id":40,"status_id":1,"priority_id":2,"assigned_to_id":23,"start_date":"2017-03-07","description":"","custom_fields":[{"id":1,"name":"Subdivision","value":"Other"},{"id":4,"name":"Milepost","value":"2.6618"},{"id":17,"name":"Train ID","value":"88-07"},{"id":16,"name":"Locomotive ID","value":"4032"},{"id":130,"name":"Impact","value":""},{"id":150,"name":"Time of Event (Mountain Time)","value":"23:21:46"},{"id":151,"name":"Denver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48"/>
      <c r="AK250" s="48"/>
      <c r="AL250" s="48"/>
      <c r="AM250" s="154" t="str">
        <f t="shared" si="94"/>
        <v>start /low /b %USERPROFILE%\Documents\GitHub\eaglep3\Utilities\DownloadLogsFromS3.py --loco 4032 --day 2017-03-07</v>
      </c>
      <c r="AN250" s="163" t="str">
        <f>"grep -SE -B400 ""CHR.+\|PRM\|1\|D.+(SWITCH|SIGNAL).+UNKNOWN"" "&amp;search_path&amp;"\RTDC"&amp;B250&amp;"\*"&amp;B250&amp;"*"&amp;TEXT(AVERAGE(F250,I250)-utc_offset/24,"YYYYMMDD")&amp;"*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"%USERPROFILE%\AppData\Local\Temp\OnboardLogs"\RTDC4032\*4032*20170308* | grep -SE "(Enforcement Action)|(\[TIMEOUT)|(CHR.+\|PRM\|1\|D.+(SWITCH|SIGNAL).+UNKNOWN)" - &gt;&gt; 2017-03-07-UncaughtWiMAX.txt</v>
      </c>
    </row>
    <row r="251" spans="1:40" x14ac:dyDescent="0.25">
      <c r="A251" s="33" t="s">
        <v>596</v>
      </c>
      <c r="B251" s="7">
        <v>4032</v>
      </c>
      <c r="C251" s="21" t="s">
        <v>233</v>
      </c>
      <c r="D251" s="21" t="s">
        <v>530</v>
      </c>
      <c r="E251" s="13">
        <v>42801.965717592589</v>
      </c>
      <c r="F251" s="13">
        <v>42801.968680555554</v>
      </c>
      <c r="G251" s="7">
        <v>1</v>
      </c>
      <c r="H251" s="21" t="s">
        <v>956</v>
      </c>
      <c r="I251" s="13">
        <v>42801.973449074074</v>
      </c>
      <c r="J251" s="7">
        <v>2</v>
      </c>
      <c r="K251" s="98" t="str">
        <f t="shared" si="80"/>
        <v>4031/4032</v>
      </c>
      <c r="L251" s="21" t="str">
        <f>VLOOKUP(A251,'Trips&amp;Operators'!$C$1:$G$99999,5,FALSE)</f>
        <v>SAFIEF AEIMEN</v>
      </c>
      <c r="M251" s="6">
        <f t="shared" si="81"/>
        <v>4.7685185199952684E-3</v>
      </c>
      <c r="N251" s="7">
        <f t="shared" si="95"/>
        <v>6.8666666687931865</v>
      </c>
      <c r="O251" s="7"/>
      <c r="P251" s="7"/>
      <c r="Q251" s="22"/>
      <c r="R251" s="22"/>
      <c r="S251" s="31">
        <f t="shared" si="98"/>
        <v>0</v>
      </c>
      <c r="T251" s="46" t="e">
        <f t="shared" si="83"/>
        <v>#VALUE!</v>
      </c>
      <c r="U251" s="185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86" t="str">
        <f t="shared" si="84"/>
        <v>https://d0f6bd738d7f1b3e5a7ca70fe4ff75f0.us-east-1.aws.found.io/app/kibana#/discover/Steve-Slow-Train-Analysis-(2080s-and-2083s)?_g=(refreshInterval:(display:Off,pause:!f,section:0,value:0),time:(from:'2017-03-07T22:10:38-0700',mode:absolute,to:'2017-03-08T00:21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51" s="187" t="str">
        <f t="shared" si="85"/>
        <v>Y</v>
      </c>
      <c r="X251" s="187" t="e">
        <f t="shared" si="97"/>
        <v>#VALUE!</v>
      </c>
      <c r="Y251" s="62">
        <f t="shared" si="96"/>
        <v>5.8611000000000004</v>
      </c>
      <c r="Z251" s="62">
        <f t="shared" si="86"/>
        <v>2.1583000000000001</v>
      </c>
      <c r="AA251" s="62">
        <f t="shared" si="87"/>
        <v>3.7028000000000003</v>
      </c>
      <c r="AB251" s="59" t="e">
        <f>VLOOKUP(A251,Enforcements!$C$7:$K$13,8,0)</f>
        <v>#N/A</v>
      </c>
      <c r="AC251" s="55" t="e">
        <f>VLOOKUP(A251,Enforcements!$C$7:$E$13,3,0)</f>
        <v>#N/A</v>
      </c>
      <c r="AD251" s="56" t="str">
        <f t="shared" si="88"/>
        <v>88-07</v>
      </c>
      <c r="AE251" s="85" t="str">
        <f t="shared" si="89"/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251" s="82" t="str">
        <f t="shared" si="90"/>
        <v>"C:\Program Files (x86)\AstroGrep\AstroGrep.exe" /spath="%USERPROFILE%\AppData\Local\Temp\OnboardLogs" /stypes="app*4032*20170308*" /stext=" 06:.+((SYSTEM_STATE.+slice.+state.+changed )|(ment ac)|(multiple cpu faults)|(system.+state.+changed )|(\[timeout)|(PRM\|1\|D)|(kpr)|(kdp)|(\|lc)|(penalty))" /e /r /s</v>
      </c>
      <c r="AG251" s="1" t="str">
        <f t="shared" si="91"/>
        <v>Other</v>
      </c>
      <c r="AH251" s="86" t="str">
        <f t="shared" si="92"/>
        <v>"%USERPROFILE%\Documents\GitHub\eaglep3\Utilities\RefineRTDCRunTimes.py" --tripid 88-07 --locoid 4032 --swversion DE.1.0.9.0 --startMP 300:58611 --initTime 2017-03-07T23:10:38 --startdatetime 2017-03-07T23:14:54 --delay 1 --endMP 300:21583 --enddatetime 2017-03-07T23:21:46 --enforcementcount 2 &gt;&gt;C:\Users\stu\Documents\GitHub\eaglep3-reporting\EC\2017-03-07-refined-times.txt</v>
      </c>
      <c r="AI251" s="108" t="str">
        <f t="shared" si="93"/>
        <v>echo {"issue":{"subject":"","project_id":79,"tracker_id":40,"status_id":1,"priority_id":2,"assigned_to_id":23,"start_date":"2017-03-07","description":"","custom_fields":[{"id":1,"name":"Subdivision","value":"Other"},{"id":4,"name":"Milepost","value":"2.1583"},{"id":17,"name":"Train ID","value":"88-07"},{"id":16,"name":"Locomotive ID","value":"4032"},{"id":130,"name":"Impact","value":""},{"id":150,"name":"Time of Event (Mountain Time)","value":"23:21:46"},{"id":151,"name":"Denver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48"/>
      <c r="AK251" s="48"/>
      <c r="AL251" s="48"/>
      <c r="AM251" s="154" t="str">
        <f t="shared" si="94"/>
        <v>start /low /b %USERPROFILE%\Documents\GitHub\eaglep3\Utilities\DownloadLogsFromS3.py --loco 4032 --day 2017-03-07</v>
      </c>
      <c r="AN251" s="163" t="str">
        <f>"grep -SE -B400 ""CHR.+\|PRM\|1\|D.+(SWITCH|SIGNAL).+UNKNOWN"" "&amp;search_path&amp;"\RTDC"&amp;B251&amp;"\*"&amp;B251&amp;"*"&amp;TEXT(AVERAGE(F251,I251)-utc_offset/24,"YYYYMMDD")&amp;"*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"%USERPROFILE%\AppData\Local\Temp\OnboardLogs"\RTDC4032\*4032*20170308* | grep -SE "(Enforcement Action)|(\[TIMEOUT)|(CHR.+\|PRM\|1\|D.+(SWITCH|SIGNAL).+UNKNOWN)" - &gt;&gt; 2017-03-07-UncaughtWiMAX.txt</v>
      </c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</sheetData>
  <autoFilter ref="A12:AG257">
    <sortState ref="A13:AG258">
      <sortCondition ref="AG13:AG252"/>
      <sortCondition ref="AD13:AD252"/>
    </sortState>
  </autoFilter>
  <sortState ref="A13:AH200">
    <sortCondition ref="AG13:AG200"/>
    <sortCondition ref="AD13:AD200"/>
  </sortState>
  <mergeCells count="1">
    <mergeCell ref="A11:P11"/>
  </mergeCells>
  <conditionalFormatting sqref="W11:W12 W276:X1048576 W13:X251">
    <cfRule type="cellIs" dxfId="10" priority="363" operator="equal">
      <formula>"Y"</formula>
    </cfRule>
  </conditionalFormatting>
  <conditionalFormatting sqref="X276:X1048576 X13:X251">
    <cfRule type="cellIs" dxfId="9" priority="346" operator="greaterThan">
      <formula>1</formula>
    </cfRule>
  </conditionalFormatting>
  <conditionalFormatting sqref="X276:X1048576 X12:X251">
    <cfRule type="cellIs" dxfId="8" priority="343" operator="equal">
      <formula>0</formula>
    </cfRule>
  </conditionalFormatting>
  <conditionalFormatting sqref="A13:S251">
    <cfRule type="expression" dxfId="7" priority="337" stopIfTrue="1">
      <formula>$P13&gt;0</formula>
    </cfRule>
    <cfRule type="expression" dxfId="6" priority="338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9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A13:S251</xm:sqref>
        </x14:conditionalFormatting>
        <x14:conditionalFormatting xmlns:xm="http://schemas.microsoft.com/office/excel/2006/main">
          <x14:cfRule type="expression" priority="22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AK13:AK251</xm:sqref>
        </x14:dataValidation>
        <x14:dataValidation type="list" allowBlank="1" showInputMessage="1" showErrorMessage="1">
          <x14:formula1>
            <xm:f>'Redmine List Values'!$C$2:$C$15</xm:f>
          </x14:formula1>
          <xm:sqref>AL13:AL251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2" zoomScaleNormal="100" workbookViewId="0">
      <selection activeCell="P12" sqref="P12:P24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COUNTIF($O$7:$O$313,"=Y")</f>
        <v>1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COUNTA($O$7:$O$313)-O2</f>
        <v>56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96" t="str">
        <f>"Eagle P3 Braking Events - "&amp;TEXT(Variables!$A$2,"YYYY-mm-dd")</f>
        <v>Eagle P3 Braking Events - 2017-03-07</v>
      </c>
      <c r="B5" s="196"/>
      <c r="C5" s="196"/>
      <c r="D5" s="196"/>
      <c r="E5" s="196"/>
      <c r="F5" s="196"/>
      <c r="G5" s="196"/>
      <c r="H5" s="196"/>
      <c r="I5" s="196"/>
      <c r="J5" s="196"/>
      <c r="K5" s="196"/>
      <c r="L5" s="196"/>
      <c r="M5" s="196"/>
      <c r="N5" s="196"/>
      <c r="O5" s="196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193</v>
      </c>
      <c r="AE6" s="155" t="s">
        <v>204</v>
      </c>
    </row>
    <row r="7" spans="1:32" s="1" customFormat="1" x14ac:dyDescent="0.25">
      <c r="A7" s="32">
        <v>42801.255914351852</v>
      </c>
      <c r="B7" s="30" t="s">
        <v>262</v>
      </c>
      <c r="C7" s="30" t="s">
        <v>552</v>
      </c>
      <c r="D7" s="30" t="s">
        <v>49</v>
      </c>
      <c r="E7" s="30" t="s">
        <v>195</v>
      </c>
      <c r="F7" s="43">
        <v>0</v>
      </c>
      <c r="G7" s="43">
        <v>171</v>
      </c>
      <c r="H7" s="43">
        <v>26968</v>
      </c>
      <c r="I7" s="43">
        <v>27216</v>
      </c>
      <c r="J7" s="30" t="s">
        <v>196</v>
      </c>
      <c r="K7" s="43">
        <v>27053</v>
      </c>
      <c r="L7" s="143" t="s">
        <v>50</v>
      </c>
      <c r="M7" s="144">
        <f t="shared" ref="M7:M38" si="0">CONVERT((I7-K7)/10000,"mi","ft")*IF(L7="Increasing Mileposts (1)",-1,1)</f>
        <v>-86.063999999999993</v>
      </c>
      <c r="N7" s="145" t="str">
        <f>VLOOKUP(C7,'Trips&amp;Operators'!$C$1:$G$99999,5,FALSE)</f>
        <v>STARKS ANGELINA</v>
      </c>
      <c r="O7" s="194" t="s">
        <v>185</v>
      </c>
      <c r="P7" s="146" t="s">
        <v>542</v>
      </c>
      <c r="Q7" s="30"/>
      <c r="R7" s="89" t="str">
        <f>VLOOKUP(C7,'Train Runs'!$A$13:$AE$9945,31,0)</f>
        <v>aws s3 cp s3://rtdc.mdm.uploadarchive.raw/RTDC4016/ "%USERPROFILE%\AppData\Local\Temp\OnboardLogs"\RTDC4016\2017-03-07 --exclude "*" --recursive --include "*20170307*" &amp; "%USERPROFILE%\Documents\GitHub\mrs-test-scripts\Headless Mode &amp; Sideloading\WalkAndUnGZ.bat" "%USERPROFILE%\AppData\Local\Temp\OnboardLogs"\RTDC4016\2017-03-07 &amp; aws s3 cp s3://rtdc.mdm.uploadarchive.raw/RTDC4016/ "%USERPROFILE%\AppData\Local\Temp\OnboardLogs"\RTDC4016\2017-03-08 --exclude "*" --recursive --include "*20170308*" &amp; "%USERPROFILE%\Documents\GitHub\mrs-test-scripts\Headless Mode &amp; Sideloading\WalkAndUnGZ.bat" "%USERPROFILE%\AppData\Local\Temp\OnboardLogs"\RTDC4016\2017-03-08</v>
      </c>
      <c r="S7" s="92" t="str">
        <f>VLOOKUP(C7,'Train Runs'!$A$13:$AE$9945,22,0)</f>
        <v>https://d0f6bd738d7f1b3e5a7ca70fe4ff75f0.us-east-1.aws.found.io/app/kibana#/discover/Steve-Slow-Train-Analysis-(2080s-and-2083s)?_g=(refreshInterval:(display:Off,pause:!f,section:0,value:0),time:(from:'2017-03-07T05:00:20-0700',mode:absolute,to:'2017-03-07T07:40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7" s="94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/stypes="*4016*201703071*" /stext=" 13:.+((SYSTEM_STATE.+slice.+state.+changed )|(ment ac)|(multiple cpu faults)|(system.+state.+changed )|(\[timeout)|(PRM\|1\|D)|(kpr)|(kdp)|(\|lc)|(penalty))" /e /r /s</v>
      </c>
      <c r="U7" s="9" t="str">
        <f t="shared" ref="U7:U38" si="2">MID(B7,13,4)</f>
        <v>4016</v>
      </c>
      <c r="V7" s="32">
        <f t="shared" ref="V7:V38" si="3">A7-utc_offset/24</f>
        <v>42801.547581018516</v>
      </c>
      <c r="W7" s="46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8" si="5">IF(AND(E7="TRACK WARRANT AUTHORITY",G7&lt;10),"OMIT","KEEP")</f>
        <v>KEEP</v>
      </c>
      <c r="Y7" s="108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C","project_id":79,"tracker_id":40,"status_id":1,"priority_id":2,"assigned_to_id":23,"start_date":"2017-03-07","description":"","custom_fields":[{"id":1,"name":"Subdivision","value":"EC"},{"id":4,"name":"Milepost","value":"2.7053"},{"id":17,"name":"Train ID","value":"119-07"},{"id":16,"name":"Locomotive ID","value":"4016"},{"id":130,"name":"Impact","value":""},{"id":150,"name":"Time of Event (Mountain Time)","value":"06:08:31"},{"id":151,"name":"Denver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38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"%USERPROFILE%\AppData\Local\Temp\OnboardLogs"\RTDC4016\*4016*201703071*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"%USERPROFILE%\AppData\Local\Temp\OnboardLogs"\RTDC4016\*4016*201703071* &gt;&gt; 2017-03-07-SliceDisagreementCheck.txt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4016 --day 2017-03-07</v>
      </c>
    </row>
    <row r="8" spans="1:32" s="1" customFormat="1" x14ac:dyDescent="0.25">
      <c r="A8" s="32">
        <v>42801.477754629632</v>
      </c>
      <c r="B8" s="30" t="s">
        <v>270</v>
      </c>
      <c r="C8" s="30" t="s">
        <v>566</v>
      </c>
      <c r="D8" s="30" t="s">
        <v>49</v>
      </c>
      <c r="E8" s="30" t="s">
        <v>195</v>
      </c>
      <c r="F8" s="43">
        <v>0</v>
      </c>
      <c r="G8" s="43">
        <v>157</v>
      </c>
      <c r="H8" s="43">
        <v>31533</v>
      </c>
      <c r="I8" s="43">
        <v>31330</v>
      </c>
      <c r="J8" s="30" t="s">
        <v>196</v>
      </c>
      <c r="K8" s="43">
        <v>30970</v>
      </c>
      <c r="L8" s="143" t="s">
        <v>51</v>
      </c>
      <c r="M8" s="144">
        <f t="shared" si="0"/>
        <v>190.08</v>
      </c>
      <c r="N8" s="145" t="str">
        <f>VLOOKUP(C8,'Trips&amp;Operators'!$C$1:$G$99999,5,FALSE)</f>
        <v>BONDS REYNALDO</v>
      </c>
      <c r="O8" s="194" t="s">
        <v>185</v>
      </c>
      <c r="P8" s="146" t="s">
        <v>542</v>
      </c>
      <c r="Q8" s="30"/>
      <c r="R8" s="89" t="str">
        <f>VLOOKUP(C8,'Train Runs'!$A$13:$AE$9945,31,0)</f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S8" s="92" t="str">
        <f>VLOOKUP(C8,'Train Runs'!$A$13:$AE$9945,22,0)</f>
        <v>https://d0f6bd738d7f1b3e5a7ca70fe4ff75f0.us-east-1.aws.found.io/app/kibana#/discover/Steve-Slow-Train-Analysis-(2080s-and-2083s)?_g=(refreshInterval:(display:Off,pause:!f,section:0,value:0),time:(from:'2017-03-07T09:52:47-0700',mode:absolute,to:'2017-03-07T12:38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8" s="94" t="str">
        <f t="shared" si="1"/>
        <v>"C:\Program Files (x86)\AstroGrep\AstroGrep.exe" /spath="%USERPROFILE%\AppData\Local\Temp\OnboardLogs" /stypes="*4021*201703071*" /stext=" 18:.+((SYSTEM_STATE.+slice.+state.+changed )|(ment ac)|(multiple cpu faults)|(system.+state.+changed )|(\[timeout)|(PRM\|1\|D)|(kpr)|(kdp)|(\|lc)|(penalty))" /e /r /s</v>
      </c>
      <c r="U8" s="9" t="str">
        <f t="shared" si="2"/>
        <v>4021</v>
      </c>
      <c r="V8" s="32">
        <f t="shared" si="3"/>
        <v>42801.769421296296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{"issue":{"subject":"Form C","project_id":79,"tracker_id":40,"status_id":1,"priority_id":2,"assigned_to_id":23,"start_date":"2017-03-07","description":"","custom_fields":[{"id":1,"name":"Subdivision","value":"EC"},{"id":4,"name":"Milepost","value":"3.097"},{"id":17,"name":"Train ID","value":"152-07"},{"id":16,"name":"Locomotive ID","value":"4021"},{"id":130,"name":"Impact","value":""},{"id":150,"name":"Time of Event (Mountain Time)","value":"11:27:58"},{"id":151,"name":"Denver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"%USERPROFILE%\AppData\Local\Temp\OnboardLogs"\RTDC4021\*4021*201703071*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"%USERPROFILE%\AppData\Local\Temp\OnboardLogs"\RTDC4021\*4021*201703071* &gt;&gt; 2017-03-07-SliceDisagreementCheck.txt</v>
      </c>
      <c r="AE8" s="157" t="str">
        <f t="shared" ref="AE8:AE63" si="9">"start /low /b "&amp;dls3logs&amp;" --loco "&amp;U8&amp;" --day "&amp;TEXT(V8,"YYYY-MM-DD")</f>
        <v>start /low /b %USERPROFILE%\Documents\GitHub\eaglep3\Utilities\DownloadLogsFromS3.py --loco 4021 --day 2017-03-07</v>
      </c>
    </row>
    <row r="9" spans="1:32" s="1" customFormat="1" x14ac:dyDescent="0.25">
      <c r="A9" s="32">
        <v>42801.915011574078</v>
      </c>
      <c r="B9" s="30" t="s">
        <v>240</v>
      </c>
      <c r="C9" s="30" t="s">
        <v>594</v>
      </c>
      <c r="D9" s="30" t="s">
        <v>49</v>
      </c>
      <c r="E9" s="30" t="s">
        <v>195</v>
      </c>
      <c r="F9" s="43">
        <v>0</v>
      </c>
      <c r="G9" s="43">
        <v>161</v>
      </c>
      <c r="H9" s="43">
        <v>31584</v>
      </c>
      <c r="I9" s="43">
        <v>31330</v>
      </c>
      <c r="J9" s="30" t="s">
        <v>196</v>
      </c>
      <c r="K9" s="43">
        <v>30970</v>
      </c>
      <c r="L9" s="143" t="s">
        <v>51</v>
      </c>
      <c r="M9" s="144">
        <f t="shared" si="0"/>
        <v>190.08</v>
      </c>
      <c r="N9" s="145" t="str">
        <f>VLOOKUP(C9,'Trips&amp;Operators'!$C$1:$G$99999,5,FALSE)</f>
        <v>STAMBAUGH JAMES</v>
      </c>
      <c r="O9" s="194" t="s">
        <v>185</v>
      </c>
      <c r="P9" s="146" t="s">
        <v>542</v>
      </c>
      <c r="Q9" s="30"/>
      <c r="R9" s="89" t="str">
        <f>VLOOKUP(C9,'Train Runs'!$A$13:$AE$9945,31,0)</f>
        <v>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 &amp; aws s3 cp s3://rtdc.mdm.uploadarchive.raw/RTDC4013/ "%USERPROFILE%\AppData\Local\Temp\OnboardLogs"\RTDC4013\2017-03-08 --exclude "*" --recursive --include "*20170308*" &amp; "%USERPROFILE%\Documents\GitHub\mrs-test-scripts\Headless Mode &amp; Sideloading\WalkAndUnGZ.bat" "%USERPROFILE%\AppData\Local\Temp\OnboardLogs"\RTDC4013\2017-03-08</v>
      </c>
      <c r="S9" s="92" t="str">
        <f>VLOOKUP(C9,'Train Runs'!$A$13:$AE$9945,22,0)</f>
        <v>https://d0f6bd738d7f1b3e5a7ca70fe4ff75f0.us-east-1.aws.found.io/app/kibana#/discover/Steve-Slow-Train-Analysis-(2080s-and-2083s)?_g=(refreshInterval:(display:Off,pause:!f,section:0,value:0),time:(from:'2017-03-07T20:09:37-0700',mode:absolute,to:'2017-03-07T23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9" s="94" t="str">
        <f t="shared" si="1"/>
        <v>"C:\Program Files (x86)\AstroGrep\AstroGrep.exe" /spath="%USERPROFILE%\AppData\Local\Temp\OnboardLogs" /stypes="*4013*201703080*" /stext=" 04:.+((SYSTEM_STATE.+slice.+state.+changed )|(ment ac)|(multiple cpu faults)|(system.+state.+changed )|(\[timeout)|(PRM\|1\|D)|(kpr)|(kdp)|(\|lc)|(penalty))" /e /r /s</v>
      </c>
      <c r="U9" s="9" t="str">
        <f t="shared" si="2"/>
        <v>4013</v>
      </c>
      <c r="V9" s="32">
        <f t="shared" si="3"/>
        <v>42802.206678240742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{"issue":{"subject":"Form C","project_id":79,"tracker_id":40,"status_id":1,"priority_id":2,"assigned_to_id":23,"start_date":"2017-03-07","description":"","custom_fields":[{"id":1,"name":"Subdivision","value":"EC"},{"id":4,"name":"Milepost","value":"3.097"},{"id":17,"name":"Train ID","value":"228-07"},{"id":16,"name":"Locomotive ID","value":"4013"},{"id":130,"name":"Impact","value":""},{"id":150,"name":"Time of Event (Mountain Time)","value":"21:57:37"},{"id":151,"name":"Denver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"%USERPROFILE%\AppData\Local\Temp\OnboardLogs"\RTDC4013\*4013*201703080*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"%USERPROFILE%\AppData\Local\Temp\OnboardLogs"\RTDC4013\*4013*201703080* &gt;&gt; 2017-03-07-SliceDisagreementCheck.txt</v>
      </c>
      <c r="AE9" s="157" t="str">
        <f t="shared" si="9"/>
        <v>start /low /b %USERPROFILE%\Documents\GitHub\eaglep3\Utilities\DownloadLogsFromS3.py --loco 4013 --day 2017-03-08</v>
      </c>
    </row>
    <row r="10" spans="1:32" s="1" customFormat="1" x14ac:dyDescent="0.25">
      <c r="A10" s="32">
        <v>42802.018645833334</v>
      </c>
      <c r="B10" s="30" t="s">
        <v>270</v>
      </c>
      <c r="C10" s="30" t="s">
        <v>599</v>
      </c>
      <c r="D10" s="30" t="s">
        <v>49</v>
      </c>
      <c r="E10" s="30" t="s">
        <v>195</v>
      </c>
      <c r="F10" s="43">
        <v>0</v>
      </c>
      <c r="G10" s="43">
        <v>162</v>
      </c>
      <c r="H10" s="43">
        <v>31902</v>
      </c>
      <c r="I10" s="43">
        <v>31572</v>
      </c>
      <c r="J10" s="30" t="s">
        <v>196</v>
      </c>
      <c r="K10" s="43">
        <v>30970</v>
      </c>
      <c r="L10" s="143" t="s">
        <v>51</v>
      </c>
      <c r="M10" s="144">
        <f t="shared" si="0"/>
        <v>317.85599999999999</v>
      </c>
      <c r="N10" s="145" t="str">
        <f>VLOOKUP(C10,'Trips&amp;Operators'!$C$1:$G$99999,5,FALSE)</f>
        <v>CHANDLER KELVIN</v>
      </c>
      <c r="O10" s="194" t="s">
        <v>185</v>
      </c>
      <c r="P10" s="146" t="s">
        <v>542</v>
      </c>
      <c r="Q10" s="30"/>
      <c r="R10" s="89" t="str">
        <f>VLOOKUP(C10,'Train Runs'!$A$13:$AE$9945,31,0)</f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S10" s="92" t="str">
        <f>VLOOKUP(C10,'Train Runs'!$A$13:$AE$9945,22,0)</f>
        <v>https://d0f6bd738d7f1b3e5a7ca70fe4ff75f0.us-east-1.aws.found.io/app/kibana#/discover/Steve-Slow-Train-Analysis-(2080s-and-2083s)?_g=(refreshInterval:(display:Off,pause:!f,section:0,value:0),time:(from:'2017-03-07T22:51:09-0700',mode:absolute,to:'2017-03-08T01:37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0" s="94" t="str">
        <f t="shared" si="1"/>
        <v>"C:\Program Files (x86)\AstroGrep\AstroGrep.exe" /spath="%USERPROFILE%\AppData\Local\Temp\OnboardLogs" /stypes="*4021*201703080*" /stext=" 07:.+((SYSTEM_STATE.+slice.+state.+changed )|(ment ac)|(multiple cpu faults)|(system.+state.+changed )|(\[timeout)|(PRM\|1\|D)|(kpr)|(kdp)|(\|lc)|(penalty))" /e /r /s</v>
      </c>
      <c r="U10" s="9" t="str">
        <f t="shared" si="2"/>
        <v>4021</v>
      </c>
      <c r="V10" s="32">
        <f t="shared" si="3"/>
        <v>42802.310312499998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{"issue":{"subject":"Form C","project_id":79,"tracker_id":40,"status_id":1,"priority_id":2,"assigned_to_id":23,"start_date":"2017-03-08","description":"","custom_fields":[{"id":1,"name":"Subdivision","value":"EC"},{"id":4,"name":"Milepost","value":"3.097"},{"id":17,"name":"Train ID","value":"238-07"},{"id":16,"name":"Locomotive ID","value":"4021"},{"id":130,"name":"Impact","value":""},{"id":150,"name":"Time of Event (Mountain Time)","value":"00:26:51"},{"id":151,"name":"Denver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"%USERPROFILE%\AppData\Local\Temp\OnboardLogs"\RTDC4021\*4021*201703080*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"%USERPROFILE%\AppData\Local\Temp\OnboardLogs"\RTDC4021\*4021*201703080* &gt;&gt; 2017-03-07-SliceDisagreementCheck.txt</v>
      </c>
      <c r="AE10" s="157" t="str">
        <f t="shared" si="9"/>
        <v>start /low /b %USERPROFILE%\Documents\GitHub\eaglep3\Utilities\DownloadLogsFromS3.py --loco 4021 --day 2017-03-08</v>
      </c>
    </row>
    <row r="11" spans="1:32" s="1" customFormat="1" x14ac:dyDescent="0.25">
      <c r="A11" s="32">
        <v>42802.039398148147</v>
      </c>
      <c r="B11" s="30" t="s">
        <v>581</v>
      </c>
      <c r="C11" s="30" t="s">
        <v>600</v>
      </c>
      <c r="D11" s="30" t="s">
        <v>49</v>
      </c>
      <c r="E11" s="30" t="s">
        <v>195</v>
      </c>
      <c r="F11" s="43">
        <v>0</v>
      </c>
      <c r="G11" s="43">
        <v>169</v>
      </c>
      <c r="H11" s="43">
        <v>31621</v>
      </c>
      <c r="I11" s="43">
        <v>31396</v>
      </c>
      <c r="J11" s="30" t="s">
        <v>196</v>
      </c>
      <c r="K11" s="43">
        <v>30970</v>
      </c>
      <c r="L11" s="143" t="s">
        <v>51</v>
      </c>
      <c r="M11" s="144">
        <f t="shared" si="0"/>
        <v>224.928</v>
      </c>
      <c r="N11" s="145" t="str">
        <f>VLOOKUP(C11,'Trips&amp;Operators'!$C$1:$G$99999,5,FALSE)</f>
        <v>NEWELL JAMES</v>
      </c>
      <c r="O11" s="194" t="s">
        <v>185</v>
      </c>
      <c r="P11" s="146" t="s">
        <v>542</v>
      </c>
      <c r="Q11" s="30"/>
      <c r="R11" s="89" t="str">
        <f>VLOOKUP(C11,'Train Runs'!$A$13:$AE$9945,31,0)</f>
        <v>aws s3 cp s3://rtdc.mdm.uploadarchive.raw/RTDC4043/ "%USERPROFILE%\AppData\Local\Temp\OnboardLogs"\RTDC4043\2017-03-08 --exclude "*" --recursive --include "*20170308*" &amp; "%USERPROFILE%\Documents\GitHub\mrs-test-scripts\Headless Mode &amp; Sideloading\WalkAndUnGZ.bat" "%USERPROFILE%\AppData\Local\Temp\OnboardLogs"\RTDC4043\2017-03-08 &amp; aws s3 cp s3://rtdc.mdm.uploadarchive.raw/RTDC4043/ "%USERPROFILE%\AppData\Local\Temp\OnboardLogs"\RTDC4043\2017-03-09 --exclude "*" --recursive --include "*20170309*" &amp; "%USERPROFILE%\Documents\GitHub\mrs-test-scripts\Headless Mode &amp; Sideloading\WalkAndUnGZ.bat" "%USERPROFILE%\AppData\Local\Temp\OnboardLogs"\RTDC4043\2017-03-09</v>
      </c>
      <c r="S11" s="92" t="str">
        <f>VLOOKUP(C11,'Train Runs'!$A$13:$AE$9945,22,0)</f>
        <v>https://d0f6bd738d7f1b3e5a7ca70fe4ff75f0.us-east-1.aws.found.io/app/kibana#/discover/Steve-Slow-Train-Analysis-(2080s-and-2083s)?_g=(refreshInterval:(display:Off,pause:!f,section:0,value:0),time:(from:'2017-03-07T23:19:56-0700',mode:absolute,to:'2017-03-08T01:56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1" s="94" t="str">
        <f t="shared" si="1"/>
        <v>"C:\Program Files (x86)\AstroGrep\AstroGrep.exe" /spath="%USERPROFILE%\AppData\Local\Temp\OnboardLogs" /stypes="*4043*201703080*" /stext=" 07:.+((SYSTEM_STATE.+slice.+state.+changed )|(ment ac)|(multiple cpu faults)|(system.+state.+changed )|(\[timeout)|(PRM\|1\|D)|(kpr)|(kdp)|(\|lc)|(penalty))" /e /r /s</v>
      </c>
      <c r="U11" s="9" t="str">
        <f t="shared" si="2"/>
        <v>4043</v>
      </c>
      <c r="V11" s="32">
        <f t="shared" si="3"/>
        <v>42802.331064814811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{"issue":{"subject":"Form C","project_id":79,"tracker_id":40,"status_id":1,"priority_id":2,"assigned_to_id":23,"start_date":"2017-03-08","description":"","custom_fields":[{"id":1,"name":"Subdivision","value":"EC"},{"id":4,"name":"Milepost","value":"3.097"},{"id":17,"name":"Train ID","value":"240-07"},{"id":16,"name":"Locomotive ID","value":"4043"},{"id":130,"name":"Impact","value":""},{"id":150,"name":"Time of Event (Mountain Time)","value":"00:56:44"},{"id":151,"name":"Denver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"%USERPROFILE%\AppData\Local\Temp\OnboardLogs"\RTDC4043\*4043*201703080*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"%USERPROFILE%\AppData\Local\Temp\OnboardLogs"\RTDC4043\*4043*201703080* &gt;&gt; 2017-03-07-SliceDisagreementCheck.txt</v>
      </c>
      <c r="AE11" s="157" t="str">
        <f t="shared" si="9"/>
        <v>start /low /b %USERPROFILE%\Documents\GitHub\eaglep3\Utilities\DownloadLogsFromS3.py --loco 4043 --day 2017-03-08</v>
      </c>
    </row>
    <row r="12" spans="1:32" s="1" customFormat="1" x14ac:dyDescent="0.25">
      <c r="A12" s="32">
        <v>42801.162499999999</v>
      </c>
      <c r="B12" s="30" t="s">
        <v>241</v>
      </c>
      <c r="C12" s="30" t="s">
        <v>547</v>
      </c>
      <c r="D12" s="30" t="s">
        <v>49</v>
      </c>
      <c r="E12" s="30" t="s">
        <v>195</v>
      </c>
      <c r="F12" s="43">
        <v>350</v>
      </c>
      <c r="G12" s="43">
        <v>401</v>
      </c>
      <c r="H12" s="43">
        <v>32514</v>
      </c>
      <c r="I12" s="43">
        <v>33457</v>
      </c>
      <c r="J12" s="30" t="s">
        <v>196</v>
      </c>
      <c r="K12" s="43">
        <v>33137</v>
      </c>
      <c r="L12" s="143" t="s">
        <v>50</v>
      </c>
      <c r="M12" s="144">
        <f t="shared" si="0"/>
        <v>-168.96</v>
      </c>
      <c r="N12" s="145" t="str">
        <f>VLOOKUP(C12,'Trips&amp;Operators'!$C$1:$G$99999,5,FALSE)</f>
        <v>MAELZER KURT</v>
      </c>
      <c r="O12" s="194" t="s">
        <v>185</v>
      </c>
      <c r="P12" s="146" t="s">
        <v>251</v>
      </c>
      <c r="Q12" s="30"/>
      <c r="R12" s="89" t="str">
        <f>VLOOKUP(C12,'Train Runs'!$A$13:$AE$9945,31,0)</f>
        <v>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 &amp; aws s3 cp s3://rtdc.mdm.uploadarchive.raw/RTDC4014/ "%USERPROFILE%\AppData\Local\Temp\OnboardLogs"\RTDC4014\2017-03-08 --exclude "*" --recursive --include "*20170308*" &amp; "%USERPROFILE%\Documents\GitHub\mrs-test-scripts\Headless Mode &amp; Sideloading\WalkAndUnGZ.bat" "%USERPROFILE%\AppData\Local\Temp\OnboardLogs"\RTDC4014\2017-03-08</v>
      </c>
      <c r="S12" s="92" t="str">
        <f>VLOOKUP(C12,'Train Runs'!$A$13:$AE$9945,22,0)</f>
        <v>https://d0f6bd738d7f1b3e5a7ca70fe4ff75f0.us-east-1.aws.found.io/app/kibana#/discover/Steve-Slow-Train-Analysis-(2080s-and-2083s)?_g=(refreshInterval:(display:Off,pause:!f,section:0,value:0),time:(from:'2017-03-07T02:41:27-0700',mode:absolute,to:'2017-03-07T05:24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2" s="94" t="str">
        <f t="shared" si="1"/>
        <v>"C:\Program Files (x86)\AstroGrep\AstroGrep.exe" /spath="%USERPROFILE%\AppData\Local\Temp\OnboardLogs" /stypes="*4014*201703071*" /stext=" 10:.+((SYSTEM_STATE.+slice.+state.+changed )|(ment ac)|(multiple cpu faults)|(system.+state.+changed )|(\[timeout)|(PRM\|1\|D)|(kpr)|(kdp)|(\|lc)|(penalty))" /e /r /s</v>
      </c>
      <c r="U12" s="9" t="str">
        <f t="shared" si="2"/>
        <v>4014</v>
      </c>
      <c r="V12" s="32">
        <f t="shared" si="3"/>
        <v>42801.454166666663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arrival","project_id":79,"tracker_id":40,"status_id":1,"priority_id":2,"assigned_to_id":23,"start_date":"2017-03-07","description":"","custom_fields":[{"id":1,"name":"Subdivision","value":"EC"},{"id":4,"name":"Milepost","value":"3.3137"},{"id":17,"name":"Train ID","value":"103-07"},{"id":16,"name":"Locomotive ID","value":"4014"},{"id":130,"name":"Impact","value":""},{"id":150,"name":"Time of Event (Mountain Time)","value":"03:54:00"},{"id":151,"name":"Denver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"%USERPROFILE%\AppData\Local\Temp\OnboardLogs"\RTDC4014\*4014*201703071*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"%USERPROFILE%\AppData\Local\Temp\OnboardLogs"\RTDC4014\*4014*201703071* &gt;&gt; 2017-03-07-SliceDisagreementCheck.txt</v>
      </c>
      <c r="AE12" s="157" t="str">
        <f t="shared" si="9"/>
        <v>start /low /b %USERPROFILE%\Documents\GitHub\eaglep3\Utilities\DownloadLogsFromS3.py --loco 4014 --day 2017-03-07</v>
      </c>
    </row>
    <row r="13" spans="1:32" s="1" customFormat="1" x14ac:dyDescent="0.25">
      <c r="A13" s="32">
        <v>42801.287731481483</v>
      </c>
      <c r="B13" s="30" t="s">
        <v>220</v>
      </c>
      <c r="C13" s="30" t="s">
        <v>555</v>
      </c>
      <c r="D13" s="30" t="s">
        <v>98</v>
      </c>
      <c r="E13" s="30" t="s">
        <v>195</v>
      </c>
      <c r="F13" s="43">
        <v>350</v>
      </c>
      <c r="G13" s="43">
        <v>400</v>
      </c>
      <c r="H13" s="43">
        <v>33202</v>
      </c>
      <c r="I13" s="43">
        <v>34095</v>
      </c>
      <c r="J13" s="30" t="s">
        <v>196</v>
      </c>
      <c r="K13" s="43">
        <v>33137</v>
      </c>
      <c r="L13" s="143" t="s">
        <v>50</v>
      </c>
      <c r="M13" s="144">
        <f t="shared" si="0"/>
        <v>-505.82400000000001</v>
      </c>
      <c r="N13" s="145" t="str">
        <f>VLOOKUP(C13,'Trips&amp;Operators'!$C$1:$G$99999,5,FALSE)</f>
        <v>LOZA FIDEL</v>
      </c>
      <c r="O13" s="194" t="s">
        <v>185</v>
      </c>
      <c r="P13" s="146" t="s">
        <v>251</v>
      </c>
      <c r="Q13" s="30"/>
      <c r="R13" s="89" t="str">
        <f>VLOOKUP(C13,'Train Runs'!$A$13:$AE$9945,31,0)</f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S13" s="92" t="str">
        <f>VLOOKUP(C13,'Train Runs'!$A$13:$AE$9945,22,0)</f>
        <v>https://d0f6bd738d7f1b3e5a7ca70fe4ff75f0.us-east-1.aws.found.io/app/kibana#/discover/Steve-Slow-Train-Analysis-(2080s-and-2083s)?_g=(refreshInterval:(display:Off,pause:!f,section:0,value:0),time:(from:'2017-03-07T05:40:55-0700',mode:absolute,to:'2017-03-07T08:27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3" s="94" t="str">
        <f t="shared" si="1"/>
        <v>"C:\Program Files (x86)\AstroGrep\AstroGrep.exe" /spath="%USERPROFILE%\AppData\Local\Temp\OnboardLogs" /stypes="*4044*201703071*" /stext=" 13:.+((SYSTEM_STATE.+slice.+state.+changed )|(ment ac)|(multiple cpu faults)|(system.+state.+changed )|(\[timeout)|(PRM\|1\|D)|(kpr)|(kdp)|(\|lc)|(penalty))" /e /r /s</v>
      </c>
      <c r="U13" s="9" t="str">
        <f t="shared" si="2"/>
        <v>4044</v>
      </c>
      <c r="V13" s="32">
        <f t="shared" si="3"/>
        <v>42801.579398148147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arrival","project_id":79,"tracker_id":40,"status_id":1,"priority_id":2,"assigned_to_id":23,"start_date":"2017-03-07","description":"","custom_fields":[{"id":1,"name":"Subdivision","value":"EC"},{"id":4,"name":"Milepost","value":"3.3137"},{"id":17,"name":"Train ID","value":"125-07"},{"id":16,"name":"Locomotive ID","value":"4044"},{"id":130,"name":"Impact","value":""},{"id":150,"name":"Time of Event (Mountain Time)","value":"06:54:20"},{"id":151,"name":"Denver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"%USERPROFILE%\AppData\Local\Temp\OnboardLogs"\RTDC4044\*4044*201703071*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"%USERPROFILE%\AppData\Local\Temp\OnboardLogs"\RTDC4044\*4044*201703071* &gt;&gt; 2017-03-07-SliceDisagreementCheck.txt</v>
      </c>
      <c r="AE13" s="157" t="str">
        <f t="shared" si="9"/>
        <v>start /low /b %USERPROFILE%\Documents\GitHub\eaglep3\Utilities\DownloadLogsFromS3.py --loco 4044 --day 2017-03-07</v>
      </c>
    </row>
    <row r="14" spans="1:32" x14ac:dyDescent="0.25">
      <c r="A14" s="32">
        <v>42801.142060185186</v>
      </c>
      <c r="B14" s="30" t="s">
        <v>220</v>
      </c>
      <c r="C14" s="30" t="s">
        <v>546</v>
      </c>
      <c r="D14" s="30" t="s">
        <v>98</v>
      </c>
      <c r="E14" s="30" t="s">
        <v>195</v>
      </c>
      <c r="F14" s="43">
        <v>360</v>
      </c>
      <c r="G14" s="43">
        <v>410</v>
      </c>
      <c r="H14" s="43">
        <v>33196</v>
      </c>
      <c r="I14" s="43">
        <v>34333</v>
      </c>
      <c r="J14" s="30" t="s">
        <v>196</v>
      </c>
      <c r="K14" s="43">
        <v>33137</v>
      </c>
      <c r="L14" s="143" t="s">
        <v>50</v>
      </c>
      <c r="M14" s="144">
        <f t="shared" si="0"/>
        <v>-631.48800000000006</v>
      </c>
      <c r="N14" s="145" t="str">
        <f>VLOOKUP(C14,'Trips&amp;Operators'!$C$1:$G$99999,5,FALSE)</f>
        <v>SANTIZO D. EDY</v>
      </c>
      <c r="O14" s="194" t="s">
        <v>185</v>
      </c>
      <c r="P14" s="146" t="s">
        <v>251</v>
      </c>
      <c r="Q14" s="30"/>
      <c r="R14" s="89" t="str">
        <f>VLOOKUP(C14,'Train Runs'!$A$13:$AE$9945,31,0)</f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S14" s="92" t="str">
        <f>VLOOKUP(C14,'Train Runs'!$A$13:$AE$9945,22,0)</f>
        <v>https://d0f6bd738d7f1b3e5a7ca70fe4ff75f0.us-east-1.aws.found.io/app/kibana#/discover/Steve-Slow-Train-Analysis-(2080s-and-2083s)?_g=(refreshInterval:(display:Off,pause:!f,section:0,value:0),time:(from:'2017-03-07T02:08:41-0700',mode:absolute,to:'2017-03-07T04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4" s="94" t="str">
        <f t="shared" si="1"/>
        <v>"C:\Program Files (x86)\AstroGrep\AstroGrep.exe" /spath="%USERPROFILE%\AppData\Local\Temp\OnboardLogs" /stypes="*4044*201703071*" /stext=" 10:.+((SYSTEM_STATE.+slice.+state.+changed )|(ment ac)|(multiple cpu faults)|(system.+state.+changed )|(\[timeout)|(PRM\|1\|D)|(kpr)|(kdp)|(\|lc)|(penalty))" /e /r /s</v>
      </c>
      <c r="U14" s="9" t="str">
        <f t="shared" si="2"/>
        <v>4044</v>
      </c>
      <c r="V14" s="32">
        <f t="shared" si="3"/>
        <v>42801.43372685185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arrival","project_id":79,"tracker_id":40,"status_id":1,"priority_id":2,"assigned_to_id":23,"start_date":"2017-03-07","description":"","custom_fields":[{"id":1,"name":"Subdivision","value":"EC"},{"id":4,"name":"Milepost","value":"3.3137"},{"id":17,"name":"Train ID","value":"101-07"},{"id":16,"name":"Locomotive ID","value":"4044"},{"id":130,"name":"Impact","value":""},{"id":150,"name":"Time of Event (Mountain Time)","value":"03:24:34"},{"id":151,"name":"Denver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"%USERPROFILE%\AppData\Local\Temp\OnboardLogs"\RTDC4044\*4044*201703071*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"%USERPROFILE%\AppData\Local\Temp\OnboardLogs"\RTDC4044\*4044*201703071* &gt;&gt; 2017-03-07-SliceDisagreementCheck.txt</v>
      </c>
      <c r="AE14" s="157" t="str">
        <f t="shared" si="9"/>
        <v>start /low /b %USERPROFILE%\Documents\GitHub\eaglep3\Utilities\DownloadLogsFromS3.py --loco 4044 --day 2017-03-07</v>
      </c>
      <c r="AF14" s="1"/>
    </row>
    <row r="15" spans="1:32" x14ac:dyDescent="0.25">
      <c r="A15" s="32">
        <v>42801.533379629633</v>
      </c>
      <c r="B15" s="30" t="s">
        <v>220</v>
      </c>
      <c r="C15" s="30" t="s">
        <v>569</v>
      </c>
      <c r="D15" s="30" t="s">
        <v>49</v>
      </c>
      <c r="E15" s="30" t="s">
        <v>195</v>
      </c>
      <c r="F15" s="43">
        <v>360</v>
      </c>
      <c r="G15" s="43">
        <v>416</v>
      </c>
      <c r="H15" s="43">
        <v>32790</v>
      </c>
      <c r="I15" s="43">
        <v>33697</v>
      </c>
      <c r="J15" s="30" t="s">
        <v>196</v>
      </c>
      <c r="K15" s="43">
        <v>33137</v>
      </c>
      <c r="L15" s="143" t="s">
        <v>50</v>
      </c>
      <c r="M15" s="144">
        <f t="shared" si="0"/>
        <v>-295.68</v>
      </c>
      <c r="N15" s="145" t="str">
        <f>VLOOKUP(C15,'Trips&amp;Operators'!$C$1:$G$99999,5,FALSE)</f>
        <v>BRANNON JEFFREY</v>
      </c>
      <c r="O15" s="194" t="s">
        <v>185</v>
      </c>
      <c r="P15" s="146" t="s">
        <v>251</v>
      </c>
      <c r="Q15" s="30"/>
      <c r="R15" s="89" t="str">
        <f>VLOOKUP(C15,'Train Runs'!$A$13:$AE$9945,31,0)</f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S15" s="92" t="str">
        <f>VLOOKUP(C15,'Train Runs'!$A$13:$AE$9945,22,0)</f>
        <v>https://d0f6bd738d7f1b3e5a7ca70fe4ff75f0.us-east-1.aws.found.io/app/kibana#/discover/Steve-Slow-Train-Analysis-(2080s-and-2083s)?_g=(refreshInterval:(display:Off,pause:!f,section:0,value:0),time:(from:'2017-03-07T11:40:25-0700',mode:absolute,to:'2017-03-07T14:18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5" s="94" t="str">
        <f t="shared" si="1"/>
        <v>"C:\Program Files (x86)\AstroGrep\AstroGrep.exe" /spath="%USERPROFILE%\AppData\Local\Temp\OnboardLogs" /stypes="*4044*201703071*" /stext=" 19:.+((SYSTEM_STATE.+slice.+state.+changed )|(ment ac)|(multiple cpu faults)|(system.+state.+changed )|(\[timeout)|(PRM\|1\|D)|(kpr)|(kdp)|(\|lc)|(penalty))" /e /r /s</v>
      </c>
      <c r="U15" s="9" t="str">
        <f t="shared" si="2"/>
        <v>4044</v>
      </c>
      <c r="V15" s="32">
        <f t="shared" si="3"/>
        <v>42801.825046296297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arrival","project_id":79,"tracker_id":40,"status_id":1,"priority_id":2,"assigned_to_id":23,"start_date":"2017-03-07","description":"","custom_fields":[{"id":1,"name":"Subdivision","value":"EC"},{"id":4,"name":"Milepost","value":"3.3137"},{"id":17,"name":"Train ID","value":"171-07"},{"id":16,"name":"Locomotive ID","value":"4044"},{"id":130,"name":"Impact","value":""},{"id":150,"name":"Time of Event (Mountain Time)","value":"12:48:04"},{"id":151,"name":"Denver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"%USERPROFILE%\AppData\Local\Temp\OnboardLogs"\RTDC4044\*4044*201703071*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"%USERPROFILE%\AppData\Local\Temp\OnboardLogs"\RTDC4044\*4044*201703071* &gt;&gt; 2017-03-07-SliceDisagreementCheck.txt</v>
      </c>
      <c r="AE15" s="157" t="str">
        <f t="shared" si="9"/>
        <v>start /low /b %USERPROFILE%\Documents\GitHub\eaglep3\Utilities\DownloadLogsFromS3.py --loco 4044 --day 2017-03-07</v>
      </c>
      <c r="AF15" s="1"/>
    </row>
    <row r="16" spans="1:32" x14ac:dyDescent="0.25">
      <c r="A16" s="32">
        <v>42801.632962962962</v>
      </c>
      <c r="B16" s="30" t="s">
        <v>270</v>
      </c>
      <c r="C16" s="30" t="s">
        <v>576</v>
      </c>
      <c r="D16" s="30" t="s">
        <v>98</v>
      </c>
      <c r="E16" s="30" t="s">
        <v>195</v>
      </c>
      <c r="F16" s="43">
        <v>0</v>
      </c>
      <c r="G16" s="43">
        <v>214</v>
      </c>
      <c r="H16" s="43">
        <v>33255</v>
      </c>
      <c r="I16" s="43">
        <v>33015</v>
      </c>
      <c r="J16" s="30" t="s">
        <v>196</v>
      </c>
      <c r="K16" s="43">
        <v>33257</v>
      </c>
      <c r="L16" s="143" t="s">
        <v>51</v>
      </c>
      <c r="M16" s="144">
        <f t="shared" si="0"/>
        <v>-127.776</v>
      </c>
      <c r="N16" s="145" t="str">
        <f>VLOOKUP(C16,'Trips&amp;Operators'!$C$1:$G$99999,5,FALSE)</f>
        <v>LOCKLEAR TRAVIS</v>
      </c>
      <c r="O16" s="194" t="s">
        <v>185</v>
      </c>
      <c r="P16" s="146" t="s">
        <v>251</v>
      </c>
      <c r="Q16" s="30"/>
      <c r="R16" s="89" t="str">
        <f>VLOOKUP(C16,'Train Runs'!$A$13:$AE$9945,31,0)</f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S16" s="92" t="str">
        <f>VLOOKUP(C16,'Train Runs'!$A$13:$AE$9945,22,0)</f>
        <v>https://d0f6bd738d7f1b3e5a7ca70fe4ff75f0.us-east-1.aws.found.io/app/kibana#/discover/Steve-Slow-Train-Analysis-(2080s-and-2083s)?_g=(refreshInterval:(display:Off,pause:!f,section:0,value:0),time:(from:'2017-03-07T13:36:59-0700',mode:absolute,to:'2017-03-07T16:22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6" s="94" t="str">
        <f t="shared" si="1"/>
        <v>"C:\Program Files (x86)\AstroGrep\AstroGrep.exe" /spath="%USERPROFILE%\AppData\Local\Temp\OnboardLogs" /stypes="*4021*201703072*" /stext=" 22:.+((SYSTEM_STATE.+slice.+state.+changed )|(ment ac)|(multiple cpu faults)|(system.+state.+changed )|(\[timeout)|(PRM\|1\|D)|(kpr)|(kdp)|(\|lc)|(penalty))" /e /r /s</v>
      </c>
      <c r="U16" s="9" t="str">
        <f t="shared" si="2"/>
        <v>4021</v>
      </c>
      <c r="V16" s="32">
        <f t="shared" si="3"/>
        <v>42801.924629629626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arrival","project_id":79,"tracker_id":40,"status_id":1,"priority_id":2,"assigned_to_id":23,"start_date":"2017-03-07","description":"","custom_fields":[{"id":1,"name":"Subdivision","value":"EC"},{"id":4,"name":"Milepost","value":"3.3257"},{"id":17,"name":"Train ID","value":"182-07"},{"id":16,"name":"Locomotive ID","value":"4021"},{"id":130,"name":"Impact","value":""},{"id":150,"name":"Time of Event (Mountain Time)","value":"15:11:28"},{"id":151,"name":"Denver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"%USERPROFILE%\AppData\Local\Temp\OnboardLogs"\RTDC4021\*4021*201703072*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"%USERPROFILE%\AppData\Local\Temp\OnboardLogs"\RTDC4021\*4021*201703072* &gt;&gt; 2017-03-07-SliceDisagreementCheck.txt</v>
      </c>
      <c r="AE16" s="157" t="str">
        <f t="shared" si="9"/>
        <v>start /low /b %USERPROFILE%\Documents\GitHub\eaglep3\Utilities\DownloadLogsFromS3.py --loco 4021 --day 2017-03-07</v>
      </c>
      <c r="AF16" s="1"/>
    </row>
    <row r="17" spans="1:32" x14ac:dyDescent="0.25">
      <c r="A17" s="32">
        <v>42801.464641203704</v>
      </c>
      <c r="B17" s="30" t="s">
        <v>263</v>
      </c>
      <c r="C17" s="30" t="s">
        <v>565</v>
      </c>
      <c r="D17" s="30" t="s">
        <v>49</v>
      </c>
      <c r="E17" s="30" t="s">
        <v>195</v>
      </c>
      <c r="F17" s="43">
        <v>330</v>
      </c>
      <c r="G17" s="43">
        <v>578</v>
      </c>
      <c r="H17" s="43">
        <v>50062</v>
      </c>
      <c r="I17" s="43">
        <v>47898</v>
      </c>
      <c r="J17" s="30" t="s">
        <v>196</v>
      </c>
      <c r="K17" s="43">
        <v>48048</v>
      </c>
      <c r="L17" s="143" t="s">
        <v>51</v>
      </c>
      <c r="M17" s="144">
        <f t="shared" si="0"/>
        <v>-79.2</v>
      </c>
      <c r="N17" s="145" t="str">
        <f>VLOOKUP(C17,'Trips&amp;Operators'!$C$1:$G$99999,5,FALSE)</f>
        <v>STARKS ANGELINA</v>
      </c>
      <c r="O17" s="194" t="s">
        <v>185</v>
      </c>
      <c r="P17" s="146" t="s">
        <v>251</v>
      </c>
      <c r="Q17" s="30"/>
      <c r="R17" s="89" t="str">
        <f>VLOOKUP(C17,'Train Runs'!$A$13:$AE$9945,31,0)</f>
        <v>aws s3 cp s3://rtdc.mdm.uploadarchive.raw/RTDC4015/ "%USERPROFILE%\AppData\Local\Temp\OnboardLogs"\RTDC4015\2017-03-07 --exclude "*" --recursive --include "*20170307*" &amp; "%USERPROFILE%\Documents\GitHub\mrs-test-scripts\Headless Mode &amp; Sideloading\WalkAndUnGZ.bat" "%USERPROFILE%\AppData\Local\Temp\OnboardLogs"\RTDC4015\2017-03-07 &amp; aws s3 cp s3://rtdc.mdm.uploadarchive.raw/RTDC4015/ "%USERPROFILE%\AppData\Local\Temp\OnboardLogs"\RTDC4015\2017-03-08 --exclude "*" --recursive --include "*20170308*" &amp; "%USERPROFILE%\Documents\GitHub\mrs-test-scripts\Headless Mode &amp; Sideloading\WalkAndUnGZ.bat" "%USERPROFILE%\AppData\Local\Temp\OnboardLogs"\RTDC4015\2017-03-08</v>
      </c>
      <c r="S17" s="92" t="str">
        <f>VLOOKUP(C17,'Train Runs'!$A$13:$AE$9945,22,0)</f>
        <v>https://d0f6bd738d7f1b3e5a7ca70fe4ff75f0.us-east-1.aws.found.io/app/kibana#/discover/Steve-Slow-Train-Analysis-(2080s-and-2083s)?_g=(refreshInterval:(display:Off,pause:!f,section:0,value:0),time:(from:'2017-03-07T09:39:38-0700',mode:absolute,to:'2017-03-07T12:23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7" s="94" t="str">
        <f t="shared" si="1"/>
        <v>"C:\Program Files (x86)\AstroGrep\AstroGrep.exe" /spath="%USERPROFILE%\AppData\Local\Temp\OnboardLogs" /stypes="*4015*201703071*" /stext=" 18:.+((SYSTEM_STATE.+slice.+state.+changed )|(ment ac)|(multiple cpu faults)|(system.+state.+changed )|(\[timeout)|(PRM\|1\|D)|(kpr)|(kdp)|(\|lc)|(penalty))" /e /r /s</v>
      </c>
      <c r="U17" s="9" t="str">
        <f t="shared" si="2"/>
        <v>4015</v>
      </c>
      <c r="V17" s="32">
        <f t="shared" si="3"/>
        <v>42801.756307870368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arrival","project_id":79,"tracker_id":40,"status_id":1,"priority_id":2,"assigned_to_id":23,"start_date":"2017-03-07","description":"","custom_fields":[{"id":1,"name":"Subdivision","value":"EC"},{"id":4,"name":"Milepost","value":"4.8048"},{"id":17,"name":"Train ID","value":"150-07"},{"id":16,"name":"Locomotive ID","value":"4015"},{"id":130,"name":"Impact","value":""},{"id":150,"name":"Time of Event (Mountain Time)","value":"11:09:05"},{"id":151,"name":"Denver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"%USERPROFILE%\AppData\Local\Temp\OnboardLogs"\RTDC4015\*4015*201703071*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"%USERPROFILE%\AppData\Local\Temp\OnboardLogs"\RTDC4015\*4015*201703071* &gt;&gt; 2017-03-07-SliceDisagreementCheck.txt</v>
      </c>
      <c r="AE17" s="157" t="str">
        <f t="shared" si="9"/>
        <v>start /low /b %USERPROFILE%\Documents\GitHub\eaglep3\Utilities\DownloadLogsFromS3.py --loco 4015 --day 2017-03-07</v>
      </c>
      <c r="AF17" s="1"/>
    </row>
    <row r="18" spans="1:32" ht="15" customHeight="1" x14ac:dyDescent="0.25">
      <c r="A18" s="32">
        <v>42801.511979166666</v>
      </c>
      <c r="B18" s="30" t="s">
        <v>272</v>
      </c>
      <c r="C18" s="30" t="s">
        <v>567</v>
      </c>
      <c r="D18" s="30" t="s">
        <v>49</v>
      </c>
      <c r="E18" s="30" t="s">
        <v>195</v>
      </c>
      <c r="F18" s="43">
        <v>0</v>
      </c>
      <c r="G18" s="43">
        <v>48</v>
      </c>
      <c r="H18" s="43">
        <v>62972</v>
      </c>
      <c r="I18" s="43">
        <v>63085</v>
      </c>
      <c r="J18" s="30" t="s">
        <v>196</v>
      </c>
      <c r="K18" s="43">
        <v>63069</v>
      </c>
      <c r="L18" s="143" t="s">
        <v>50</v>
      </c>
      <c r="M18" s="144">
        <f t="shared" si="0"/>
        <v>-8.4480000000000004</v>
      </c>
      <c r="N18" s="145" t="str">
        <f>VLOOKUP(C18,'Trips&amp;Operators'!$C$1:$G$99999,5,FALSE)</f>
        <v>LOCKLEAR TRAVIS</v>
      </c>
      <c r="O18" s="194" t="s">
        <v>185</v>
      </c>
      <c r="P18" s="146" t="s">
        <v>251</v>
      </c>
      <c r="Q18" s="30"/>
      <c r="R18" s="89" t="str">
        <f>VLOOKUP(C18,'Train Runs'!$A$13:$AE$9945,31,0)</f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S18" s="92" t="str">
        <f>VLOOKUP(C18,'Train Runs'!$A$13:$AE$9945,22,0)</f>
        <v>https://d0f6bd738d7f1b3e5a7ca70fe4ff75f0.us-east-1.aws.found.io/app/kibana#/discover/Steve-Slow-Train-Analysis-(2080s-and-2083s)?_g=(refreshInterval:(display:Off,pause:!f,section:0,value:0),time:(from:'2017-03-07T10:51:12-0700',mode:absolute,to:'2017-03-07T13:48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8" s="94" t="str">
        <f t="shared" si="1"/>
        <v>"C:\Program Files (x86)\AstroGrep\AstroGrep.exe" /spath="%USERPROFILE%\AppData\Local\Temp\OnboardLogs" /stypes="*4022*201703071*" /stext=" 19:.+((SYSTEM_STATE.+slice.+state.+changed )|(ment ac)|(multiple cpu faults)|(system.+state.+changed )|(\[timeout)|(PRM\|1\|D)|(kpr)|(kdp)|(\|lc)|(penalty))" /e /r /s</v>
      </c>
      <c r="U18" s="9" t="str">
        <f t="shared" si="2"/>
        <v>4022</v>
      </c>
      <c r="V18" s="32">
        <f t="shared" si="3"/>
        <v>42801.80364583333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{"issue":{"subject":"Early arrival","project_id":79,"tracker_id":40,"status_id":1,"priority_id":2,"assigned_to_id":23,"start_date":"2017-03-07","description":"","custom_fields":[{"id":1,"name":"Subdivision","value":"EC"},{"id":4,"name":"Milepost","value":"6.3069"},{"id":17,"name":"Train ID","value":"167-07"},{"id":16,"name":"Locomotive ID","value":"4022"},{"id":130,"name":"Impact","value":""},{"id":150,"name":"Time of Event (Mountain Time)","value":"12:17:15"},{"id":151,"name":"Denver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"%USERPROFILE%\AppData\Local\Temp\OnboardLogs"\RTDC4022\*4022*201703071*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"%USERPROFILE%\AppData\Local\Temp\OnboardLogs"\RTDC4022\*4022*201703071* &gt;&gt; 2017-03-07-SliceDisagreementCheck.txt</v>
      </c>
      <c r="AE18" s="157" t="str">
        <f t="shared" si="9"/>
        <v>start /low /b %USERPROFILE%\Documents\GitHub\eaglep3\Utilities\DownloadLogsFromS3.py --loco 4022 --day 2017-03-07</v>
      </c>
      <c r="AF18" s="1"/>
    </row>
    <row r="19" spans="1:32" x14ac:dyDescent="0.25">
      <c r="A19" s="32">
        <v>42801.511574074073</v>
      </c>
      <c r="B19" s="30" t="s">
        <v>272</v>
      </c>
      <c r="C19" s="30" t="s">
        <v>567</v>
      </c>
      <c r="D19" s="30" t="s">
        <v>49</v>
      </c>
      <c r="E19" s="30" t="s">
        <v>195</v>
      </c>
      <c r="F19" s="43">
        <v>240</v>
      </c>
      <c r="G19" s="43">
        <v>395</v>
      </c>
      <c r="H19" s="43">
        <v>61895</v>
      </c>
      <c r="I19" s="43">
        <v>62950</v>
      </c>
      <c r="J19" s="30" t="s">
        <v>196</v>
      </c>
      <c r="K19" s="43">
        <v>63069</v>
      </c>
      <c r="L19" s="143" t="s">
        <v>50</v>
      </c>
      <c r="M19" s="144">
        <f t="shared" si="0"/>
        <v>62.832000000000001</v>
      </c>
      <c r="N19" s="145" t="str">
        <f>VLOOKUP(C19,'Trips&amp;Operators'!$C$1:$G$99999,5,FALSE)</f>
        <v>LOCKLEAR TRAVIS</v>
      </c>
      <c r="O19" s="194" t="s">
        <v>185</v>
      </c>
      <c r="P19" s="146" t="s">
        <v>251</v>
      </c>
      <c r="Q19" s="30"/>
      <c r="R19" s="89" t="str">
        <f>VLOOKUP(C19,'Train Runs'!$A$13:$AE$9945,31,0)</f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S19" s="92" t="str">
        <f>VLOOKUP(C19,'Train Runs'!$A$13:$AE$9945,22,0)</f>
        <v>https://d0f6bd738d7f1b3e5a7ca70fe4ff75f0.us-east-1.aws.found.io/app/kibana#/discover/Steve-Slow-Train-Analysis-(2080s-and-2083s)?_g=(refreshInterval:(display:Off,pause:!f,section:0,value:0),time:(from:'2017-03-07T10:51:12-0700',mode:absolute,to:'2017-03-07T13:48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9" s="94" t="str">
        <f t="shared" si="1"/>
        <v>"C:\Program Files (x86)\AstroGrep\AstroGrep.exe" /spath="%USERPROFILE%\AppData\Local\Temp\OnboardLogs" /stypes="*4022*201703071*" /stext=" 19:.+((SYSTEM_STATE.+slice.+state.+changed )|(ment ac)|(multiple cpu faults)|(system.+state.+changed )|(\[timeout)|(PRM\|1\|D)|(kpr)|(kdp)|(\|lc)|(penalty))" /e /r /s</v>
      </c>
      <c r="U19" s="9" t="str">
        <f t="shared" si="2"/>
        <v>4022</v>
      </c>
      <c r="V19" s="32">
        <f t="shared" si="3"/>
        <v>42801.803240740737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{"issue":{"subject":"Early arrival","project_id":79,"tracker_id":40,"status_id":1,"priority_id":2,"assigned_to_id":23,"start_date":"2017-03-07","description":"","custom_fields":[{"id":1,"name":"Subdivision","value":"EC"},{"id":4,"name":"Milepost","value":"6.3069"},{"id":17,"name":"Train ID","value":"167-07"},{"id":16,"name":"Locomotive ID","value":"4022"},{"id":130,"name":"Impact","value":""},{"id":150,"name":"Time of Event (Mountain Time)","value":"12:16:40"},{"id":151,"name":"Denver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"%USERPROFILE%\AppData\Local\Temp\OnboardLogs"\RTDC4022\*4022*201703071*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"%USERPROFILE%\AppData\Local\Temp\OnboardLogs"\RTDC4022\*4022*201703071* &gt;&gt; 2017-03-07-SliceDisagreementCheck.txt</v>
      </c>
      <c r="AE19" s="157" t="str">
        <f t="shared" si="9"/>
        <v>start /low /b %USERPROFILE%\Documents\GitHub\eaglep3\Utilities\DownloadLogsFromS3.py --loco 4022 --day 2017-03-07</v>
      </c>
      <c r="AF19" s="1"/>
    </row>
    <row r="20" spans="1:32" x14ac:dyDescent="0.25">
      <c r="A20" s="32">
        <v>42801.520150462966</v>
      </c>
      <c r="B20" s="30" t="s">
        <v>190</v>
      </c>
      <c r="C20" s="30" t="s">
        <v>568</v>
      </c>
      <c r="D20" s="30" t="s">
        <v>49</v>
      </c>
      <c r="E20" s="30" t="s">
        <v>195</v>
      </c>
      <c r="F20" s="43">
        <v>380</v>
      </c>
      <c r="G20" s="43">
        <v>443</v>
      </c>
      <c r="H20" s="43">
        <v>62302</v>
      </c>
      <c r="I20" s="43">
        <v>63522</v>
      </c>
      <c r="J20" s="30" t="s">
        <v>196</v>
      </c>
      <c r="K20" s="43">
        <v>63069</v>
      </c>
      <c r="L20" s="143" t="s">
        <v>50</v>
      </c>
      <c r="M20" s="144">
        <f t="shared" si="0"/>
        <v>-239.184</v>
      </c>
      <c r="N20" s="145" t="str">
        <f>VLOOKUP(C20,'Trips&amp;Operators'!$C$1:$G$99999,5,FALSE)</f>
        <v>ROMERO CHAD</v>
      </c>
      <c r="O20" s="194" t="s">
        <v>185</v>
      </c>
      <c r="P20" s="146" t="s">
        <v>251</v>
      </c>
      <c r="Q20" s="30"/>
      <c r="R20" s="89" t="str">
        <f>VLOOKUP(C20,'Train Runs'!$A$13:$AE$9945,31,0)</f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S20" s="92" t="str">
        <f>VLOOKUP(C20,'Train Runs'!$A$13:$AE$9945,22,0)</f>
        <v>https://d0f6bd738d7f1b3e5a7ca70fe4ff75f0.us-east-1.aws.found.io/app/kibana#/discover/Steve-Slow-Train-Analysis-(2080s-and-2083s)?_g=(refreshInterval:(display:Off,pause:!f,section:0,value:0),time:(from:'2017-03-07T11:10:29-0700',mode:absolute,to:'2017-03-07T13:52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0" s="94" t="str">
        <f t="shared" si="1"/>
        <v>"C:\Program Files (x86)\AstroGrep\AstroGrep.exe" /spath="%USERPROFILE%\AppData\Local\Temp\OnboardLogs" /stypes="*4011*201703071*" /stext=" 19:.+((SYSTEM_STATE.+slice.+state.+changed )|(ment ac)|(multiple cpu faults)|(system.+state.+changed )|(\[timeout)|(PRM\|1\|D)|(kpr)|(kdp)|(\|lc)|(penalty))" /e /r /s</v>
      </c>
      <c r="U20" s="9" t="str">
        <f t="shared" si="2"/>
        <v>4011</v>
      </c>
      <c r="V20" s="32">
        <f t="shared" si="3"/>
        <v>42801.81181712963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{"issue":{"subject":"Early arrival","project_id":79,"tracker_id":40,"status_id":1,"priority_id":2,"assigned_to_id":23,"start_date":"2017-03-07","description":"","custom_fields":[{"id":1,"name":"Subdivision","value":"EC"},{"id":4,"name":"Milepost","value":"6.3069"},{"id":17,"name":"Train ID","value":"169-07"},{"id":16,"name":"Locomotive ID","value":"4011"},{"id":130,"name":"Impact","value":""},{"id":150,"name":"Time of Event (Mountain Time)","value":"12:29:01"},{"id":151,"name":"Denver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"%USERPROFILE%\AppData\Local\Temp\OnboardLogs"\RTDC4011\*4011*201703071*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"%USERPROFILE%\AppData\Local\Temp\OnboardLogs"\RTDC4011\*4011*201703071* &gt;&gt; 2017-03-07-SliceDisagreementCheck.txt</v>
      </c>
      <c r="AE20" s="157" t="str">
        <f t="shared" si="9"/>
        <v>start /low /b %USERPROFILE%\Documents\GitHub\eaglep3\Utilities\DownloadLogsFromS3.py --loco 4011 --day 2017-03-07</v>
      </c>
      <c r="AF20" s="1"/>
    </row>
    <row r="21" spans="1:32" x14ac:dyDescent="0.25">
      <c r="A21" s="32">
        <v>42801.351145833331</v>
      </c>
      <c r="B21" s="30" t="s">
        <v>418</v>
      </c>
      <c r="C21" s="30" t="s">
        <v>560</v>
      </c>
      <c r="D21" s="30" t="s">
        <v>49</v>
      </c>
      <c r="E21" s="30" t="s">
        <v>195</v>
      </c>
      <c r="F21" s="43">
        <v>100</v>
      </c>
      <c r="G21" s="43">
        <v>157</v>
      </c>
      <c r="H21" s="43">
        <v>63904</v>
      </c>
      <c r="I21" s="43">
        <v>63731</v>
      </c>
      <c r="J21" s="30" t="s">
        <v>196</v>
      </c>
      <c r="K21" s="43">
        <v>63309</v>
      </c>
      <c r="L21" s="143" t="s">
        <v>51</v>
      </c>
      <c r="M21" s="144">
        <f t="shared" si="0"/>
        <v>222.816</v>
      </c>
      <c r="N21" s="145" t="str">
        <f>VLOOKUP(C21,'Trips&amp;Operators'!$C$1:$G$99999,5,FALSE)</f>
        <v>SANTIZO D. EDY</v>
      </c>
      <c r="O21" s="194" t="s">
        <v>185</v>
      </c>
      <c r="P21" s="146" t="s">
        <v>251</v>
      </c>
      <c r="Q21" s="30"/>
      <c r="R21" s="89" t="str">
        <f>VLOOKUP(C21,'Train Runs'!$A$13:$AE$9945,31,0)</f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S21" s="92" t="str">
        <f>VLOOKUP(C21,'Train Runs'!$A$13:$AE$9945,22,0)</f>
        <v>https://d0f6bd738d7f1b3e5a7ca70fe4ff75f0.us-east-1.aws.found.io/app/kibana#/discover/Steve-Slow-Train-Analysis-(2080s-and-2083s)?_g=(refreshInterval:(display:Off,pause:!f,section:0,value:0),time:(from:'2017-03-07T06:40:39-0700',mode:absolute,to:'2017-03-07T09:39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1" s="94" t="str">
        <f t="shared" si="1"/>
        <v>"C:\Program Files (x86)\AstroGrep\AstroGrep.exe" /spath="%USERPROFILE%\AppData\Local\Temp\OnboardLogs" /stypes="*4019*201703071*" /stext=" 15:.+((SYSTEM_STATE.+slice.+state.+changed )|(ment ac)|(multiple cpu faults)|(system.+state.+changed )|(\[timeout)|(PRM\|1\|D)|(kpr)|(kdp)|(\|lc)|(penalty))" /e /r /s</v>
      </c>
      <c r="U21" s="9" t="str">
        <f t="shared" si="2"/>
        <v>4019</v>
      </c>
      <c r="V21" s="32">
        <f t="shared" si="3"/>
        <v>42801.642812499995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{"issue":{"subject":"Early arrival","project_id":79,"tracker_id":40,"status_id":1,"priority_id":2,"assigned_to_id":23,"start_date":"2017-03-07","description":"","custom_fields":[{"id":1,"name":"Subdivision","value":"EC"},{"id":4,"name":"Milepost","value":"6.3309"},{"id":17,"name":"Train ID","value":"128-07"},{"id":16,"name":"Locomotive ID","value":"4019"},{"id":130,"name":"Impact","value":""},{"id":150,"name":"Time of Event (Mountain Time)","value":"08:25:39"},{"id":151,"name":"Denver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"%USERPROFILE%\AppData\Local\Temp\OnboardLogs"\RTDC4019\*4019*201703071*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"%USERPROFILE%\AppData\Local\Temp\OnboardLogs"\RTDC4019\*4019*201703071* &gt;&gt; 2017-03-07-SliceDisagreementCheck.txt</v>
      </c>
      <c r="AE21" s="157" t="str">
        <f t="shared" si="9"/>
        <v>start /low /b %USERPROFILE%\Documents\GitHub\eaglep3\Utilities\DownloadLogsFromS3.py --loco 4019 --day 2017-03-07</v>
      </c>
      <c r="AF21" s="1"/>
    </row>
    <row r="22" spans="1:32" x14ac:dyDescent="0.25">
      <c r="A22" s="32">
        <v>42801.609363425923</v>
      </c>
      <c r="B22" s="30" t="s">
        <v>240</v>
      </c>
      <c r="C22" s="30" t="s">
        <v>574</v>
      </c>
      <c r="D22" s="30" t="s">
        <v>49</v>
      </c>
      <c r="E22" s="30" t="s">
        <v>195</v>
      </c>
      <c r="F22" s="43">
        <v>110</v>
      </c>
      <c r="G22" s="43">
        <v>167</v>
      </c>
      <c r="H22" s="43">
        <v>63921</v>
      </c>
      <c r="I22" s="43">
        <v>63663</v>
      </c>
      <c r="J22" s="30" t="s">
        <v>196</v>
      </c>
      <c r="K22" s="43">
        <v>63309</v>
      </c>
      <c r="L22" s="143" t="s">
        <v>51</v>
      </c>
      <c r="M22" s="144">
        <f t="shared" si="0"/>
        <v>186.91200000000001</v>
      </c>
      <c r="N22" s="145" t="str">
        <f>VLOOKUP(C22,'Trips&amp;Operators'!$C$1:$G$99999,5,FALSE)</f>
        <v>MOSES BRADLEY</v>
      </c>
      <c r="O22" s="194" t="s">
        <v>185</v>
      </c>
      <c r="P22" s="146" t="s">
        <v>251</v>
      </c>
      <c r="Q22" s="30"/>
      <c r="R22" s="89" t="str">
        <f>VLOOKUP(C22,'Train Runs'!$A$13:$AE$9945,31,0)</f>
        <v>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 &amp; aws s3 cp s3://rtdc.mdm.uploadarchive.raw/RTDC4013/ "%USERPROFILE%\AppData\Local\Temp\OnboardLogs"\RTDC4013\2017-03-08 --exclude "*" --recursive --include "*20170308*" &amp; "%USERPROFILE%\Documents\GitHub\mrs-test-scripts\Headless Mode &amp; Sideloading\WalkAndUnGZ.bat" "%USERPROFILE%\AppData\Local\Temp\OnboardLogs"\RTDC4013\2017-03-08</v>
      </c>
      <c r="S22" s="92" t="str">
        <f>VLOOKUP(C22,'Train Runs'!$A$13:$AE$9945,22,0)</f>
        <v>https://d0f6bd738d7f1b3e5a7ca70fe4ff75f0.us-east-1.aws.found.io/app/kibana#/discover/Steve-Slow-Train-Analysis-(2080s-and-2083s)?_g=(refreshInterval:(display:Off,pause:!f,section:0,value:0),time:(from:'2017-03-07T13:10:34-0700',mode:absolute,to:'2017-03-07T15:53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2" s="94" t="str">
        <f t="shared" si="1"/>
        <v>"C:\Program Files (x86)\AstroGrep\AstroGrep.exe" /spath="%USERPROFILE%\AppData\Local\Temp\OnboardLogs" /stypes="*4013*201703072*" /stext=" 21:.+((SYSTEM_STATE.+slice.+state.+changed )|(ment ac)|(multiple cpu faults)|(system.+state.+changed )|(\[timeout)|(PRM\|1\|D)|(kpr)|(kdp)|(\|lc)|(penalty))" /e /r /s</v>
      </c>
      <c r="U22" s="9" t="str">
        <f t="shared" si="2"/>
        <v>4013</v>
      </c>
      <c r="V22" s="32">
        <f t="shared" si="3"/>
        <v>42801.901030092587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{"issue":{"subject":"Early arrival","project_id":79,"tracker_id":40,"status_id":1,"priority_id":2,"assigned_to_id":23,"start_date":"2017-03-07","description":"","custom_fields":[{"id":1,"name":"Subdivision","value":"EC"},{"id":4,"name":"Milepost","value":"6.3309"},{"id":17,"name":"Train ID","value":"178-07"},{"id":16,"name":"Locomotive ID","value":"4013"},{"id":130,"name":"Impact","value":""},{"id":150,"name":"Time of Event (Mountain Time)","value":"14:37:29"},{"id":151,"name":"Denver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"%USERPROFILE%\AppData\Local\Temp\OnboardLogs"\RTDC4013\*4013*201703072*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"%USERPROFILE%\AppData\Local\Temp\OnboardLogs"\RTDC4013\*4013*201703072* &gt;&gt; 2017-03-07-SliceDisagreementCheck.txt</v>
      </c>
      <c r="AE22" s="157" t="str">
        <f t="shared" si="9"/>
        <v>start /low /b %USERPROFILE%\Documents\GitHub\eaglep3\Utilities\DownloadLogsFromS3.py --loco 4013 --day 2017-03-07</v>
      </c>
      <c r="AF22" s="1"/>
    </row>
    <row r="23" spans="1:32" x14ac:dyDescent="0.25">
      <c r="A23" s="32">
        <v>42801.67291666667</v>
      </c>
      <c r="B23" s="30" t="s">
        <v>418</v>
      </c>
      <c r="C23" s="30" t="s">
        <v>584</v>
      </c>
      <c r="D23" s="30" t="s">
        <v>98</v>
      </c>
      <c r="E23" s="30" t="s">
        <v>195</v>
      </c>
      <c r="F23" s="43">
        <v>120</v>
      </c>
      <c r="G23" s="43">
        <v>176</v>
      </c>
      <c r="H23" s="43">
        <v>63070</v>
      </c>
      <c r="I23" s="43">
        <v>62788</v>
      </c>
      <c r="J23" s="30" t="s">
        <v>196</v>
      </c>
      <c r="K23" s="43">
        <v>63309</v>
      </c>
      <c r="L23" s="143" t="s">
        <v>51</v>
      </c>
      <c r="M23" s="144">
        <f t="shared" si="0"/>
        <v>-275.08800000000002</v>
      </c>
      <c r="N23" s="145" t="str">
        <f>VLOOKUP(C23,'Trips&amp;Operators'!$C$1:$G$99999,5,FALSE)</f>
        <v>STEWART MICHAEL</v>
      </c>
      <c r="O23" s="194" t="s">
        <v>185</v>
      </c>
      <c r="P23" s="146" t="s">
        <v>251</v>
      </c>
      <c r="Q23" s="30"/>
      <c r="R23" s="89" t="str">
        <f>VLOOKUP(C23,'Train Runs'!$A$13:$AE$9945,31,0)</f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S23" s="92" t="str">
        <f>VLOOKUP(C23,'Train Runs'!$A$13:$AE$9945,22,0)</f>
        <v>https://d0f6bd738d7f1b3e5a7ca70fe4ff75f0.us-east-1.aws.found.io/app/kibana#/discover/Steve-Slow-Train-Analysis-(2080s-and-2083s)?_g=(refreshInterval:(display:Off,pause:!f,section:0,value:0),time:(from:'2017-03-07T14:38:23-0700',mode:absolute,to:'2017-03-07T17:25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3" s="94" t="str">
        <f t="shared" si="1"/>
        <v>"C:\Program Files (x86)\AstroGrep\AstroGrep.exe" /spath="%USERPROFILE%\AppData\Local\Temp\OnboardLogs" /stypes="*4019*201703072*" /stext=" 23:.+((SYSTEM_STATE.+slice.+state.+changed )|(ment ac)|(multiple cpu faults)|(system.+state.+changed )|(\[timeout)|(PRM\|1\|D)|(kpr)|(kdp)|(\|lc)|(penalty))" /e /r /s</v>
      </c>
      <c r="U23" s="9" t="str">
        <f t="shared" si="2"/>
        <v>4019</v>
      </c>
      <c r="V23" s="32">
        <f t="shared" si="3"/>
        <v>42801.964583333334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{"issue":{"subject":"Early arrival","project_id":79,"tracker_id":40,"status_id":1,"priority_id":2,"assigned_to_id":23,"start_date":"2017-03-07","description":"","custom_fields":[{"id":1,"name":"Subdivision","value":"EC"},{"id":4,"name":"Milepost","value":"6.3309"},{"id":17,"name":"Train ID","value":"190-07"},{"id":16,"name":"Locomotive ID","value":"4019"},{"id":130,"name":"Impact","value":""},{"id":150,"name":"Time of Event (Mountain Time)","value":"16:09:00"},{"id":151,"name":"Denver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"%USERPROFILE%\AppData\Local\Temp\OnboardLogs"\RTDC4019\*4019*201703072*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"%USERPROFILE%\AppData\Local\Temp\OnboardLogs"\RTDC4019\*4019*201703072* &gt;&gt; 2017-03-07-SliceDisagreementCheck.txt</v>
      </c>
      <c r="AE23" s="157" t="str">
        <f t="shared" si="9"/>
        <v>start /low /b %USERPROFILE%\Documents\GitHub\eaglep3\Utilities\DownloadLogsFromS3.py --loco 4019 --day 2017-03-07</v>
      </c>
      <c r="AF23" s="1"/>
    </row>
    <row r="24" spans="1:32" x14ac:dyDescent="0.25">
      <c r="A24" s="32">
        <v>42801.702824074076</v>
      </c>
      <c r="B24" s="30" t="s">
        <v>270</v>
      </c>
      <c r="C24" s="30" t="s">
        <v>585</v>
      </c>
      <c r="D24" s="30" t="s">
        <v>98</v>
      </c>
      <c r="E24" s="30" t="s">
        <v>195</v>
      </c>
      <c r="F24" s="43">
        <v>120</v>
      </c>
      <c r="G24" s="43">
        <v>170</v>
      </c>
      <c r="H24" s="43">
        <v>63111</v>
      </c>
      <c r="I24" s="43">
        <v>62855</v>
      </c>
      <c r="J24" s="30" t="s">
        <v>196</v>
      </c>
      <c r="K24" s="43">
        <v>63309</v>
      </c>
      <c r="L24" s="143" t="s">
        <v>51</v>
      </c>
      <c r="M24" s="144">
        <f t="shared" si="0"/>
        <v>-239.71199999999999</v>
      </c>
      <c r="N24" s="145" t="str">
        <f>VLOOKUP(C24,'Trips&amp;Operators'!$C$1:$G$99999,5,FALSE)</f>
        <v>LOCKLEAR TRAVIS</v>
      </c>
      <c r="O24" s="194" t="s">
        <v>185</v>
      </c>
      <c r="P24" s="146" t="s">
        <v>251</v>
      </c>
      <c r="Q24" s="30"/>
      <c r="R24" s="89" t="str">
        <f>VLOOKUP(C24,'Train Runs'!$A$13:$AE$9945,31,0)</f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S24" s="92" t="str">
        <f>VLOOKUP(C24,'Train Runs'!$A$13:$AE$9945,22,0)</f>
        <v>https://d0f6bd738d7f1b3e5a7ca70fe4ff75f0.us-east-1.aws.found.io/app/kibana#/discover/Steve-Slow-Train-Analysis-(2080s-and-2083s)?_g=(refreshInterval:(display:Off,pause:!f,section:0,value:0),time:(from:'2017-03-07T15:21:28-0700',mode:absolute,to:'2017-03-07T18:07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4" s="94" t="str">
        <f t="shared" si="1"/>
        <v>"C:\Program Files (x86)\AstroGrep\AstroGrep.exe" /spath="%USERPROFILE%\AppData\Local\Temp\OnboardLogs" /stypes="*4021*201703072*" /stext=" 23:.+((SYSTEM_STATE.+slice.+state.+changed )|(ment ac)|(multiple cpu faults)|(system.+state.+changed )|(\[timeout)|(PRM\|1\|D)|(kpr)|(kdp)|(\|lc)|(penalty))" /e /r /s</v>
      </c>
      <c r="U24" s="9" t="str">
        <f t="shared" si="2"/>
        <v>4021</v>
      </c>
      <c r="V24" s="32">
        <f t="shared" si="3"/>
        <v>42801.994490740741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{"issue":{"subject":"Early arrival","project_id":79,"tracker_id":40,"status_id":1,"priority_id":2,"assigned_to_id":23,"start_date":"2017-03-07","description":"","custom_fields":[{"id":1,"name":"Subdivision","value":"EC"},{"id":4,"name":"Milepost","value":"6.3309"},{"id":17,"name":"Train ID","value":"196-07"},{"id":16,"name":"Locomotive ID","value":"4021"},{"id":130,"name":"Impact","value":""},{"id":150,"name":"Time of Event (Mountain Time)","value":"16:52:04"},{"id":151,"name":"Denver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"%USERPROFILE%\AppData\Local\Temp\OnboardLogs"\RTDC4021\*4021*201703072*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"%USERPROFILE%\AppData\Local\Temp\OnboardLogs"\RTDC4021\*4021*201703072* &gt;&gt; 2017-03-07-SliceDisagreementCheck.txt</v>
      </c>
      <c r="AE24" s="157" t="str">
        <f t="shared" si="9"/>
        <v>start /low /b %USERPROFILE%\Documents\GitHub\eaglep3\Utilities\DownloadLogsFromS3.py --loco 4021 --day 2017-03-07</v>
      </c>
      <c r="AF24" s="1"/>
    </row>
    <row r="25" spans="1:32" x14ac:dyDescent="0.25">
      <c r="A25" s="32">
        <v>42801.549189814818</v>
      </c>
      <c r="B25" s="30" t="s">
        <v>430</v>
      </c>
      <c r="C25" s="30" t="s">
        <v>570</v>
      </c>
      <c r="D25" s="30" t="s">
        <v>98</v>
      </c>
      <c r="E25" s="30" t="s">
        <v>229</v>
      </c>
      <c r="F25" s="43">
        <v>400</v>
      </c>
      <c r="G25" s="43">
        <v>452</v>
      </c>
      <c r="H25" s="43">
        <v>118952</v>
      </c>
      <c r="I25" s="43">
        <v>120180</v>
      </c>
      <c r="J25" s="30" t="s">
        <v>230</v>
      </c>
      <c r="K25" s="43">
        <v>116838</v>
      </c>
      <c r="L25" s="143" t="s">
        <v>50</v>
      </c>
      <c r="M25" s="144">
        <f t="shared" si="0"/>
        <v>-1764.576</v>
      </c>
      <c r="N25" s="145" t="str">
        <f>VLOOKUP(C25,'Trips&amp;Operators'!$C$1:$G$99999,5,FALSE)</f>
        <v>STRICKLAND EVAN</v>
      </c>
      <c r="O25" s="194" t="s">
        <v>185</v>
      </c>
      <c r="P25" s="146"/>
      <c r="Q25" s="30"/>
      <c r="R25" s="89" t="str">
        <f>VLOOKUP(C25,'Train Runs'!$A$13:$AE$9945,31,0)</f>
        <v>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 &amp; aws s3 cp s3://rtdc.mdm.uploadarchive.raw/RTDC4018/ "%USERPROFILE%\AppData\Local\Temp\OnboardLogs"\RTDC4018\2017-03-08 --exclude "*" --recursive --include "*20170308*" &amp; "%USERPROFILE%\Documents\GitHub\mrs-test-scripts\Headless Mode &amp; Sideloading\WalkAndUnGZ.bat" "%USERPROFILE%\AppData\Local\Temp\OnboardLogs"\RTDC4018\2017-03-08</v>
      </c>
      <c r="S25" s="92" t="str">
        <f>VLOOKUP(C25,'Train Runs'!$A$13:$AE$9945,22,0)</f>
        <v>https://d0f6bd738d7f1b3e5a7ca70fe4ff75f0.us-east-1.aws.found.io/app/kibana#/discover/Steve-Slow-Train-Analysis-(2080s-and-2083s)?_g=(refreshInterval:(display:Off,pause:!f,section:0,value:0),time:(from:'2017-03-07T11:44:10-0700',mode:absolute,to:'2017-03-07T14:32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5" s="94" t="str">
        <f t="shared" si="1"/>
        <v>"C:\Program Files (x86)\AstroGrep\AstroGrep.exe" /spath="%USERPROFILE%\AppData\Local\Temp\OnboardLogs" /stypes="*4018*201703072*" /stext=" 20:.+((SYSTEM_STATE.+slice.+state.+changed )|(ment ac)|(multiple cpu faults)|(system.+state.+changed )|(\[timeout)|(PRM\|1\|D)|(kpr)|(kdp)|(\|lc)|(penalty))" /e /r /s</v>
      </c>
      <c r="U25" s="9" t="str">
        <f t="shared" si="2"/>
        <v>4018</v>
      </c>
      <c r="V25" s="32">
        <f t="shared" si="3"/>
        <v>42801.840856481482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{"issue":{"subject":"","project_id":79,"tracker_id":40,"status_id":1,"priority_id":2,"assigned_to_id":23,"start_date":"2017-03-07","description":"","custom_fields":[{"id":1,"name":"Subdivision","value":"EC"},{"id":4,"name":"Milepost","value":"11.6838"},{"id":17,"name":"Train ID","value":"173-07"},{"id":16,"name":"Locomotive ID","value":"4018"},{"id":130,"name":"Impact","value":""},{"id":150,"name":"Time of Event (Mountain Time)","value":"13:10:50"},{"id":151,"name":"Denver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"%USERPROFILE%\AppData\Local\Temp\OnboardLogs"\RTDC4018\*4018*201703072*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"%USERPROFILE%\AppData\Local\Temp\OnboardLogs"\RTDC4018\*4018*201703072* &gt;&gt; 2017-03-07-SliceDisagreementCheck.txt</v>
      </c>
      <c r="AE25" s="157" t="str">
        <f t="shared" si="9"/>
        <v>start /low /b %USERPROFILE%\Documents\GitHub\eaglep3\Utilities\DownloadLogsFromS3.py --loco 4018 --day 2017-03-07</v>
      </c>
      <c r="AF25" s="1"/>
    </row>
    <row r="26" spans="1:32" x14ac:dyDescent="0.25">
      <c r="A26" s="32">
        <v>42801.592222222222</v>
      </c>
      <c r="B26" s="30" t="s">
        <v>418</v>
      </c>
      <c r="C26" s="30" t="s">
        <v>573</v>
      </c>
      <c r="D26" s="30" t="s">
        <v>49</v>
      </c>
      <c r="E26" s="30" t="s">
        <v>229</v>
      </c>
      <c r="F26" s="43">
        <v>400</v>
      </c>
      <c r="G26" s="43">
        <v>555</v>
      </c>
      <c r="H26" s="43">
        <v>122126</v>
      </c>
      <c r="I26" s="43">
        <v>120221</v>
      </c>
      <c r="J26" s="30" t="s">
        <v>230</v>
      </c>
      <c r="K26" s="43">
        <v>119716</v>
      </c>
      <c r="L26" s="143" t="s">
        <v>51</v>
      </c>
      <c r="M26" s="144">
        <f t="shared" si="0"/>
        <v>266.64</v>
      </c>
      <c r="N26" s="145" t="str">
        <f>VLOOKUP(C26,'Trips&amp;Operators'!$C$1:$G$99999,5,FALSE)</f>
        <v>DAVIS MICHAEL</v>
      </c>
      <c r="O26" s="194" t="s">
        <v>185</v>
      </c>
      <c r="P26" s="146"/>
      <c r="Q26" s="30"/>
      <c r="R26" s="89" t="str">
        <f>VLOOKUP(C26,'Train Runs'!$A$13:$AE$9945,31,0)</f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S26" s="92" t="str">
        <f>VLOOKUP(C26,'Train Runs'!$A$13:$AE$9945,22,0)</f>
        <v>https://d0f6bd738d7f1b3e5a7ca70fe4ff75f0.us-east-1.aws.found.io/app/kibana#/discover/Steve-Slow-Train-Analysis-(2080s-and-2083s)?_g=(refreshInterval:(display:Off,pause:!f,section:0,value:0),time:(from:'2017-03-07T12:53:30-0700',mode:absolute,to:'2017-03-07T15:42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6" s="94" t="str">
        <f t="shared" si="1"/>
        <v>"C:\Program Files (x86)\AstroGrep\AstroGrep.exe" /spath="%USERPROFILE%\AppData\Local\Temp\OnboardLogs" /stypes="*4019*201703072*" /stext=" 21:.+((SYSTEM_STATE.+slice.+state.+changed )|(ment ac)|(multiple cpu faults)|(system.+state.+changed )|(\[timeout)|(PRM\|1\|D)|(kpr)|(kdp)|(\|lc)|(penalty))" /e /r /s</v>
      </c>
      <c r="U26" s="9" t="str">
        <f t="shared" si="2"/>
        <v>4019</v>
      </c>
      <c r="V26" s="32">
        <f t="shared" si="3"/>
        <v>42801.883888888886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{"issue":{"subject":"","project_id":79,"tracker_id":40,"status_id":1,"priority_id":2,"assigned_to_id":23,"start_date":"2017-03-07","description":"","custom_fields":[{"id":1,"name":"Subdivision","value":"EC"},{"id":4,"name":"Milepost","value":"11.9716"},{"id":17,"name":"Train ID","value":"176-07"},{"id":16,"name":"Locomotive ID","value":"4019"},{"id":130,"name":"Impact","value":""},{"id":150,"name":"Time of Event (Mountain Time)","value":"14:12:48"},{"id":151,"name":"Denver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"%USERPROFILE%\AppData\Local\Temp\OnboardLogs"\RTDC4019\*4019*201703072*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"%USERPROFILE%\AppData\Local\Temp\OnboardLogs"\RTDC4019\*4019*201703072* &gt;&gt; 2017-03-07-SliceDisagreementCheck.txt</v>
      </c>
      <c r="AE26" s="157" t="str">
        <f t="shared" si="9"/>
        <v>start /low /b %USERPROFILE%\Documents\GitHub\eaglep3\Utilities\DownloadLogsFromS3.py --loco 4019 --day 2017-03-07</v>
      </c>
      <c r="AF26" s="1"/>
    </row>
    <row r="27" spans="1:32" x14ac:dyDescent="0.25">
      <c r="A27" s="32">
        <v>42801.388981481483</v>
      </c>
      <c r="B27" s="30" t="s">
        <v>263</v>
      </c>
      <c r="C27" s="30" t="s">
        <v>562</v>
      </c>
      <c r="D27" s="30" t="s">
        <v>49</v>
      </c>
      <c r="E27" s="30" t="s">
        <v>468</v>
      </c>
      <c r="F27" s="43">
        <v>0</v>
      </c>
      <c r="G27" s="43">
        <v>75</v>
      </c>
      <c r="H27" s="43">
        <v>20951</v>
      </c>
      <c r="I27" s="43">
        <v>20899</v>
      </c>
      <c r="J27" s="30" t="s">
        <v>469</v>
      </c>
      <c r="K27" s="43">
        <v>20632</v>
      </c>
      <c r="L27" s="143" t="s">
        <v>51</v>
      </c>
      <c r="M27" s="144">
        <f t="shared" si="0"/>
        <v>140.976</v>
      </c>
      <c r="N27" s="145" t="str">
        <f>VLOOKUP(C27,'Trips&amp;Operators'!$C$1:$G$99999,5,FALSE)</f>
        <v>STARKS ANGELINA</v>
      </c>
      <c r="O27" s="194" t="s">
        <v>473</v>
      </c>
      <c r="P27" s="146" t="s">
        <v>992</v>
      </c>
      <c r="Q27" s="30"/>
      <c r="R27" s="89" t="str">
        <f>VLOOKUP(C27,'Train Runs'!$A$13:$AE$9945,31,0)</f>
        <v>aws s3 cp s3://rtdc.mdm.uploadarchive.raw/RTDC4015/ "%USERPROFILE%\AppData\Local\Temp\OnboardLogs"\RTDC4015\2017-03-07 --exclude "*" --recursive --include "*20170307*" &amp; "%USERPROFILE%\Documents\GitHub\mrs-test-scripts\Headless Mode &amp; Sideloading\WalkAndUnGZ.bat" "%USERPROFILE%\AppData\Local\Temp\OnboardLogs"\RTDC4015\2017-03-07 &amp; aws s3 cp s3://rtdc.mdm.uploadarchive.raw/RTDC4015/ "%USERPROFILE%\AppData\Local\Temp\OnboardLogs"\RTDC4015\2017-03-08 --exclude "*" --recursive --include "*20170308*" &amp; "%USERPROFILE%\Documents\GitHub\mrs-test-scripts\Headless Mode &amp; Sideloading\WalkAndUnGZ.bat" "%USERPROFILE%\AppData\Local\Temp\OnboardLogs"\RTDC4015\2017-03-08</v>
      </c>
      <c r="S27" s="92" t="str">
        <f>VLOOKUP(C27,'Train Runs'!$A$13:$AE$9945,22,0)</f>
        <v>https://d0f6bd738d7f1b3e5a7ca70fe4ff75f0.us-east-1.aws.found.io/app/kibana#/discover/Steve-Slow-Train-Analysis-(2080s-and-2083s)?_g=(refreshInterval:(display:Off,pause:!f,section:0,value:0),time:(from:'2017-03-07T07:37:47-0700',mode:absolute,to:'2017-03-07T10:33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7" s="94" t="str">
        <f t="shared" si="1"/>
        <v>"C:\Program Files (x86)\AstroGrep\AstroGrep.exe" /spath="%USERPROFILE%\AppData\Local\Temp\OnboardLogs" /stypes="*4015*201703071*" /stext=" 16:.+((SYSTEM_STATE.+slice.+state.+changed )|(ment ac)|(multiple cpu faults)|(system.+state.+changed )|(\[timeout)|(PRM\|1\|D)|(kpr)|(kdp)|(\|lc)|(penalty))" /e /r /s</v>
      </c>
      <c r="U27" s="9" t="str">
        <f t="shared" si="2"/>
        <v>4015</v>
      </c>
      <c r="V27" s="32">
        <f t="shared" si="3"/>
        <v>42801.680648148147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{"issue":{"subject":"DUS SW 1 failure","project_id":79,"tracker_id":40,"status_id":1,"priority_id":2,"assigned_to_id":23,"start_date":"2017-03-07","description":"","custom_fields":[{"id":1,"name":"Subdivision","value":"EC"},{"id":4,"name":"Milepost","value":"2.0632"},{"id":17,"name":"Train ID","value":"134-07"},{"id":16,"name":"Locomotive ID","value":"4015"},{"id":130,"name":"Impact","value":""},{"id":150,"name":"Time of Event (Mountain Time)","value":"09:20:08"},{"id":151,"name":"Denver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"%USERPROFILE%\AppData\Local\Temp\OnboardLogs"\RTDC4015\*4015*201703071*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"%USERPROFILE%\AppData\Local\Temp\OnboardLogs"\RTDC4015\*4015*201703071* &gt;&gt; 2017-03-07-SliceDisagreementCheck.txt</v>
      </c>
      <c r="AE27" s="157" t="str">
        <f t="shared" si="9"/>
        <v>start /low /b %USERPROFILE%\Documents\GitHub\eaglep3\Utilities\DownloadLogsFromS3.py --loco 4015 --day 2017-03-07</v>
      </c>
      <c r="AF27" s="1"/>
    </row>
    <row r="28" spans="1:32" x14ac:dyDescent="0.25">
      <c r="A28" s="32">
        <v>42801.207592592589</v>
      </c>
      <c r="B28" s="30" t="s">
        <v>548</v>
      </c>
      <c r="C28" s="30" t="s">
        <v>549</v>
      </c>
      <c r="D28" s="30" t="s">
        <v>49</v>
      </c>
      <c r="E28" s="30" t="s">
        <v>468</v>
      </c>
      <c r="F28" s="43">
        <v>0</v>
      </c>
      <c r="G28" s="43">
        <v>144</v>
      </c>
      <c r="H28" s="43">
        <v>128090</v>
      </c>
      <c r="I28" s="43">
        <v>127950</v>
      </c>
      <c r="J28" s="30" t="s">
        <v>469</v>
      </c>
      <c r="K28" s="43">
        <v>127587</v>
      </c>
      <c r="L28" s="143" t="s">
        <v>51</v>
      </c>
      <c r="M28" s="144">
        <f t="shared" si="0"/>
        <v>191.66399999999999</v>
      </c>
      <c r="N28" s="145" t="str">
        <f>VLOOKUP(C28,'Trips&amp;Operators'!$C$1:$G$99999,5,FALSE)</f>
        <v>MAELZER KURT</v>
      </c>
      <c r="O28" s="194" t="s">
        <v>185</v>
      </c>
      <c r="P28" s="146" t="s">
        <v>543</v>
      </c>
      <c r="Q28" s="30"/>
      <c r="R28" s="89" t="str">
        <f>VLOOKUP(C28,'Train Runs'!$A$13:$AE$9945,31,0)</f>
        <v>aws s3 cp s3://rtdc.mdm.uploadarchive.raw/RTDC4005/ "%USERPROFILE%\AppData\Local\Temp\OnboardLogs"\RTDC4005\2017-03-07 --exclude "*" --recursive --include "*20170307*" &amp; "%USERPROFILE%\Documents\GitHub\mrs-test-scripts\Headless Mode &amp; Sideloading\WalkAndUnGZ.bat" "%USERPROFILE%\AppData\Local\Temp\OnboardLogs"\RTDC4005\2017-03-07 &amp; aws s3 cp s3://rtdc.mdm.uploadarchive.raw/RTDC4005/ "%USERPROFILE%\AppData\Local\Temp\OnboardLogs"\RTDC4005\2017-03-08 --exclude "*" --recursive --include "*20170308*" &amp; "%USERPROFILE%\Documents\GitHub\mrs-test-scripts\Headless Mode &amp; Sideloading\WalkAndUnGZ.bat" "%USERPROFILE%\AppData\Local\Temp\OnboardLogs"\RTDC4005\2017-03-08</v>
      </c>
      <c r="S28" s="92" t="str">
        <f>VLOOKUP(C28,'Train Runs'!$A$13:$AE$9945,22,0)</f>
        <v>https://d0f6bd738d7f1b3e5a7ca70fe4ff75f0.us-east-1.aws.found.io/app/kibana#/discover/Steve-Slow-Train-Analysis-(2080s-and-2083s)?_g=(refreshInterval:(display:Off,pause:!f,section:0,value:0),time:(from:'2017-03-07T03:36:15-0700',mode:absolute,to:'2017-03-07T06:26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8" s="94" t="str">
        <f t="shared" si="1"/>
        <v>"C:\Program Files (x86)\AstroGrep\AstroGrep.exe" /spath="%USERPROFILE%\AppData\Local\Temp\OnboardLogs" /stypes="*4005*201703071*" /stext=" 11:.+((SYSTEM_STATE.+slice.+state.+changed )|(ment ac)|(multiple cpu faults)|(system.+state.+changed )|(\[timeout)|(PRM\|1\|D)|(kpr)|(kdp)|(\|lc)|(penalty))" /e /r /s</v>
      </c>
      <c r="U28" s="9" t="str">
        <f t="shared" si="2"/>
        <v>4005</v>
      </c>
      <c r="V28" s="32">
        <f t="shared" si="3"/>
        <v>42801.499259259253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{"issue":{"subject":"40th 4S STOP","project_id":79,"tracker_id":40,"status_id":1,"priority_id":2,"assigned_to_id":23,"start_date":"2017-03-07","description":"","custom_fields":[{"id":1,"name":"Subdivision","value":"EC"},{"id":4,"name":"Milepost","value":"12.7587"},{"id":17,"name":"Train ID","value":"104-07"},{"id":16,"name":"Locomotive ID","value":"4005"},{"id":130,"name":"Impact","value":""},{"id":150,"name":"Time of Event (Mountain Time)","value":"04:58:56"},{"id":151,"name":"Denver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"%USERPROFILE%\AppData\Local\Temp\OnboardLogs"\RTDC4005\*4005*201703071*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"%USERPROFILE%\AppData\Local\Temp\OnboardLogs"\RTDC4005\*4005*201703071* &gt;&gt; 2017-03-07-SliceDisagreementCheck.txt</v>
      </c>
      <c r="AE28" s="157" t="str">
        <f t="shared" si="9"/>
        <v>start /low /b %USERPROFILE%\Documents\GitHub\eaglep3\Utilities\DownloadLogsFromS3.py --loco 4005 --day 2017-03-07</v>
      </c>
      <c r="AF28" s="1"/>
    </row>
    <row r="29" spans="1:32" x14ac:dyDescent="0.25">
      <c r="A29" s="32">
        <v>42801.258506944447</v>
      </c>
      <c r="B29" s="30" t="s">
        <v>270</v>
      </c>
      <c r="C29" s="30" t="s">
        <v>553</v>
      </c>
      <c r="D29" s="30" t="s">
        <v>49</v>
      </c>
      <c r="E29" s="30" t="s">
        <v>186</v>
      </c>
      <c r="F29" s="43">
        <v>0</v>
      </c>
      <c r="G29" s="43">
        <v>48</v>
      </c>
      <c r="H29" s="43">
        <v>169</v>
      </c>
      <c r="I29" s="43">
        <v>116</v>
      </c>
      <c r="J29" s="30" t="s">
        <v>187</v>
      </c>
      <c r="K29" s="43">
        <v>1</v>
      </c>
      <c r="L29" s="143" t="s">
        <v>51</v>
      </c>
      <c r="M29" s="144">
        <f t="shared" si="0"/>
        <v>60.72</v>
      </c>
      <c r="N29" s="145" t="str">
        <f>VLOOKUP(C29,'Trips&amp;Operators'!$C$1:$G$99999,5,FALSE)</f>
        <v>BONDS REYNALDO</v>
      </c>
      <c r="O29" s="194" t="s">
        <v>185</v>
      </c>
      <c r="P29" s="146"/>
      <c r="Q29" s="30"/>
      <c r="R29" s="89" t="str">
        <f>VLOOKUP(C29,'Train Runs'!$A$13:$AE$9945,31,0)</f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S29" s="92" t="str">
        <f>VLOOKUP(C29,'Train Runs'!$A$13:$AE$9945,22,0)</f>
        <v>https://d0f6bd738d7f1b3e5a7ca70fe4ff75f0.us-east-1.aws.found.io/app/kibana#/discover/Steve-Slow-Train-Analysis-(2080s-and-2083s)?_g=(refreshInterval:(display:Off,pause:!f,section:0,value:0),time:(from:'2017-03-07T04:20:20-0700',mode:absolute,to:'2017-03-07T07:12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9" s="94" t="str">
        <f t="shared" si="1"/>
        <v>"C:\Program Files (x86)\AstroGrep\AstroGrep.exe" /spath="%USERPROFILE%\AppData\Local\Temp\OnboardLogs" /stypes="*4021*201703071*" /stext=" 13:.+((SYSTEM_STATE.+slice.+state.+changed )|(ment ac)|(multiple cpu faults)|(system.+state.+changed )|(\[timeout)|(PRM\|1\|D)|(kpr)|(kdp)|(\|lc)|(penalty))" /e /r /s</v>
      </c>
      <c r="U29" s="9" t="str">
        <f t="shared" si="2"/>
        <v>4021</v>
      </c>
      <c r="V29" s="32">
        <f t="shared" si="3"/>
        <v>42801.550173611111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{"issue":{"subject":"","project_id":79,"tracker_id":40,"status_id":1,"priority_id":2,"assigned_to_id":23,"start_date":"2017-03-07","description":"","custom_fields":[{"id":1,"name":"Subdivision","value":"EC"},{"id":4,"name":"Milepost","value":"0.0001"},{"id":17,"name":"Train ID","value":"108-07"},{"id":16,"name":"Locomotive ID","value":"4021"},{"id":130,"name":"Impact","value":""},{"id":150,"name":"Time of Event (Mountain Time)","value":"06:12:15"},{"id":151,"name":"Denver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"%USERPROFILE%\AppData\Local\Temp\OnboardLogs"\RTDC4021\*4021*201703071*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"%USERPROFILE%\AppData\Local\Temp\OnboardLogs"\RTDC4021\*4021*201703071* &gt;&gt; 2017-03-07-SliceDisagreementCheck.txt</v>
      </c>
      <c r="AE29" s="157" t="str">
        <f t="shared" si="9"/>
        <v>start /low /b %USERPROFILE%\Documents\GitHub\eaglep3\Utilities\DownloadLogsFromS3.py --loco 4021 --day 2017-03-07</v>
      </c>
      <c r="AF29" s="1"/>
    </row>
    <row r="30" spans="1:32" x14ac:dyDescent="0.25">
      <c r="A30" s="32">
        <v>42801.448564814818</v>
      </c>
      <c r="B30" s="30" t="s">
        <v>418</v>
      </c>
      <c r="C30" s="30" t="s">
        <v>563</v>
      </c>
      <c r="D30" s="30" t="s">
        <v>49</v>
      </c>
      <c r="E30" s="30" t="s">
        <v>186</v>
      </c>
      <c r="F30" s="43">
        <v>0</v>
      </c>
      <c r="G30" s="43">
        <v>43</v>
      </c>
      <c r="H30" s="43">
        <v>165</v>
      </c>
      <c r="I30" s="43">
        <v>118</v>
      </c>
      <c r="J30" s="30" t="s">
        <v>187</v>
      </c>
      <c r="K30" s="43">
        <v>1</v>
      </c>
      <c r="L30" s="143" t="s">
        <v>51</v>
      </c>
      <c r="M30" s="144">
        <f t="shared" si="0"/>
        <v>61.776000000000003</v>
      </c>
      <c r="N30" s="145" t="str">
        <f>VLOOKUP(C30,'Trips&amp;Operators'!$C$1:$G$99999,5,FALSE)</f>
        <v>SANTIZO D. EDY</v>
      </c>
      <c r="O30" s="194" t="s">
        <v>185</v>
      </c>
      <c r="P30" s="146"/>
      <c r="Q30" s="30"/>
      <c r="R30" s="89" t="str">
        <f>VLOOKUP(C30,'Train Runs'!$A$13:$AE$9945,31,0)</f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S30" s="92" t="str">
        <f>VLOOKUP(C30,'Train Runs'!$A$13:$AE$9945,22,0)</f>
        <v>https://d0f6bd738d7f1b3e5a7ca70fe4ff75f0.us-east-1.aws.found.io/app/kibana#/discover/Steve-Slow-Train-Analysis-(2080s-and-2083s)?_g=(refreshInterval:(display:Off,pause:!f,section:0,value:0),time:(from:'2017-03-07T09:12:25-0700',mode:absolute,to:'2017-03-07T11:45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0" s="94" t="str">
        <f t="shared" si="1"/>
        <v>"C:\Program Files (x86)\AstroGrep\AstroGrep.exe" /spath="%USERPROFILE%\AppData\Local\Temp\OnboardLogs" /stypes="*4019*201703071*" /stext=" 17:.+((SYSTEM_STATE.+slice.+state.+changed )|(ment ac)|(multiple cpu faults)|(system.+state.+changed )|(\[timeout)|(PRM\|1\|D)|(kpr)|(kdp)|(\|lc)|(penalty))" /e /r /s</v>
      </c>
      <c r="U30" s="9" t="str">
        <f t="shared" si="2"/>
        <v>4019</v>
      </c>
      <c r="V30" s="32">
        <f t="shared" si="3"/>
        <v>42801.740231481483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{"issue":{"subject":"","project_id":79,"tracker_id":40,"status_id":1,"priority_id":2,"assigned_to_id":23,"start_date":"2017-03-07","description":"","custom_fields":[{"id":1,"name":"Subdivision","value":"EC"},{"id":4,"name":"Milepost","value":"0.0001"},{"id":17,"name":"Train ID","value":"144-07"},{"id":16,"name":"Locomotive ID","value":"4019"},{"id":130,"name":"Impact","value":""},{"id":150,"name":"Time of Event (Mountain Time)","value":"10:45:56"},{"id":151,"name":"Denver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"%USERPROFILE%\AppData\Local\Temp\OnboardLogs"\RTDC4019\*4019*201703071* | grep -SE "((Enforcement Ac)|(PRM.+XING))"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"%USERPROFILE%\AppData\Local\Temp\OnboardLogs"\RTDC4019\*4019*201703071* &gt;&gt; 2017-03-07-SliceDisagreementCheck.txt</v>
      </c>
      <c r="AE30" s="157" t="str">
        <f t="shared" si="9"/>
        <v>start /low /b %USERPROFILE%\Documents\GitHub\eaglep3\Utilities\DownloadLogsFromS3.py --loco 4019 --day 2017-03-07</v>
      </c>
      <c r="AF30" s="1"/>
    </row>
    <row r="31" spans="1:32" x14ac:dyDescent="0.25">
      <c r="A31" s="32">
        <v>42801.663229166668</v>
      </c>
      <c r="B31" s="30" t="s">
        <v>581</v>
      </c>
      <c r="C31" s="30" t="s">
        <v>582</v>
      </c>
      <c r="D31" s="30" t="s">
        <v>49</v>
      </c>
      <c r="E31" s="30" t="s">
        <v>186</v>
      </c>
      <c r="F31" s="43">
        <v>0</v>
      </c>
      <c r="G31" s="43">
        <v>60</v>
      </c>
      <c r="H31" s="43">
        <v>227</v>
      </c>
      <c r="I31" s="43">
        <v>160</v>
      </c>
      <c r="J31" s="30" t="s">
        <v>187</v>
      </c>
      <c r="K31" s="43">
        <v>1</v>
      </c>
      <c r="L31" s="143" t="s">
        <v>51</v>
      </c>
      <c r="M31" s="144">
        <f t="shared" si="0"/>
        <v>83.951999999999998</v>
      </c>
      <c r="N31" s="145" t="str">
        <f>VLOOKUP(C31,'Trips&amp;Operators'!$C$1:$G$99999,5,FALSE)</f>
        <v>BRANNON JEFFREY</v>
      </c>
      <c r="O31" s="194" t="s">
        <v>185</v>
      </c>
      <c r="P31" s="146"/>
      <c r="Q31" s="30"/>
      <c r="R31" s="89" t="str">
        <f>VLOOKUP(C31,'Train Runs'!$A$13:$AE$9945,31,0)</f>
        <v>aws s3 cp s3://rtdc.mdm.uploadarchive.raw/RTDC4043/ "%USERPROFILE%\AppData\Local\Temp\OnboardLogs"\RTDC4043\2017-03-07 --exclude "*" --recursive --include "*20170307*" &amp; "%USERPROFILE%\Documents\GitHub\mrs-test-scripts\Headless Mode &amp; Sideloading\WalkAndUnGZ.bat" "%USERPROFILE%\AppData\Local\Temp\OnboardLogs"\RTDC4043\2017-03-07 &amp; aws s3 cp s3://rtdc.mdm.uploadarchive.raw/RTDC4043/ "%USERPROFILE%\AppData\Local\Temp\OnboardLogs"\RTDC4043\2017-03-08 --exclude "*" --recursive --include "*20170308*" &amp; "%USERPROFILE%\Documents\GitHub\mrs-test-scripts\Headless Mode &amp; Sideloading\WalkAndUnGZ.bat" "%USERPROFILE%\AppData\Local\Temp\OnboardLogs"\RTDC4043\2017-03-08</v>
      </c>
      <c r="S31" s="92" t="str">
        <f>VLOOKUP(C31,'Train Runs'!$A$13:$AE$9945,22,0)</f>
        <v>https://d0f6bd738d7f1b3e5a7ca70fe4ff75f0.us-east-1.aws.found.io/app/kibana#/discover/Steve-Slow-Train-Analysis-(2080s-and-2083s)?_g=(refreshInterval:(display:Off,pause:!f,section:0,value:0),time:(from:'2017-03-07T14:07:56-0700',mode:absolute,to:'2017-03-07T16:55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1" s="94" t="str">
        <f t="shared" si="1"/>
        <v>"C:\Program Files (x86)\AstroGrep\AstroGrep.exe" /spath="%USERPROFILE%\AppData\Local\Temp\OnboardLogs" /stypes="*4043*201703072*" /stext=" 22:.+((SYSTEM_STATE.+slice.+state.+changed )|(ment ac)|(multiple cpu faults)|(system.+state.+changed )|(\[timeout)|(PRM\|1\|D)|(kpr)|(kdp)|(\|lc)|(penalty))" /e /r /s</v>
      </c>
      <c r="U31" s="9" t="str">
        <f t="shared" si="2"/>
        <v>4043</v>
      </c>
      <c r="V31" s="32">
        <f t="shared" si="3"/>
        <v>42801.954895833333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{"issue":{"subject":"","project_id":79,"tracker_id":40,"status_id":1,"priority_id":2,"assigned_to_id":23,"start_date":"2017-03-07","description":"","custom_fields":[{"id":1,"name":"Subdivision","value":"EC"},{"id":4,"name":"Milepost","value":"0.0001"},{"id":17,"name":"Train ID","value":"186-07"},{"id":16,"name":"Locomotive ID","value":"4043"},{"id":130,"name":"Impact","value":""},{"id":150,"name":"Time of Event (Mountain Time)","value":"15:55:03"},{"id":151,"name":"Denver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"%USERPROFILE%\AppData\Local\Temp\OnboardLogs"\RTDC4043\*4043*201703072* | grep -SE "((Enforcement Ac)|(PRM.+XING))"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"%USERPROFILE%\AppData\Local\Temp\OnboardLogs"\RTDC4043\*4043*201703072* &gt;&gt; 2017-03-07-SliceDisagreementCheck.txt</v>
      </c>
      <c r="AE31" s="157" t="str">
        <f t="shared" si="9"/>
        <v>start /low /b %USERPROFILE%\Documents\GitHub\eaglep3\Utilities\DownloadLogsFromS3.py --loco 4043 --day 2017-03-07</v>
      </c>
      <c r="AF31" s="1"/>
    </row>
    <row r="32" spans="1:32" x14ac:dyDescent="0.25">
      <c r="A32" s="32">
        <v>42801.755671296298</v>
      </c>
      <c r="B32" s="30" t="s">
        <v>418</v>
      </c>
      <c r="C32" s="30" t="s">
        <v>589</v>
      </c>
      <c r="D32" s="30" t="s">
        <v>49</v>
      </c>
      <c r="E32" s="30" t="s">
        <v>186</v>
      </c>
      <c r="F32" s="43">
        <v>0</v>
      </c>
      <c r="G32" s="43">
        <v>62</v>
      </c>
      <c r="H32" s="43">
        <v>231</v>
      </c>
      <c r="I32" s="43">
        <v>130</v>
      </c>
      <c r="J32" s="30" t="s">
        <v>187</v>
      </c>
      <c r="K32" s="43">
        <v>1</v>
      </c>
      <c r="L32" s="143" t="s">
        <v>51</v>
      </c>
      <c r="M32" s="144">
        <f t="shared" si="0"/>
        <v>68.111999999999995</v>
      </c>
      <c r="N32" s="145" t="str">
        <f>VLOOKUP(C32,'Trips&amp;Operators'!$C$1:$G$99999,5,FALSE)</f>
        <v>STEWART MICHAEL</v>
      </c>
      <c r="O32" s="194" t="s">
        <v>185</v>
      </c>
      <c r="P32" s="146"/>
      <c r="Q32" s="30"/>
      <c r="R32" s="89" t="str">
        <f>VLOOKUP(C32,'Train Runs'!$A$13:$AE$9945,31,0)</f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S32" s="92" t="str">
        <f>VLOOKUP(C32,'Train Runs'!$A$13:$AE$9945,22,0)</f>
        <v>https://d0f6bd738d7f1b3e5a7ca70fe4ff75f0.us-east-1.aws.found.io/app/kibana#/discover/Steve-Slow-Train-Analysis-(2080s-and-2083s)?_g=(refreshInterval:(display:Off,pause:!f,section:0,value:0),time:(from:'2017-03-07T16:22:52-0700',mode:absolute,to:'2017-03-07T19:08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2" s="94" t="str">
        <f t="shared" si="1"/>
        <v>"C:\Program Files (x86)\AstroGrep\AstroGrep.exe" /spath="%USERPROFILE%\AppData\Local\Temp\OnboardLogs" /stypes="*4019*201703080*" /stext=" 01:.+((SYSTEM_STATE.+slice.+state.+changed )|(ment ac)|(multiple cpu faults)|(system.+state.+changed )|(\[timeout)|(PRM\|1\|D)|(kpr)|(kdp)|(\|lc)|(penalty))" /e /r /s</v>
      </c>
      <c r="U32" s="9" t="str">
        <f t="shared" si="2"/>
        <v>4019</v>
      </c>
      <c r="V32" s="32">
        <f t="shared" si="3"/>
        <v>42802.047337962962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{"issue":{"subject":"","project_id":79,"tracker_id":40,"status_id":1,"priority_id":2,"assigned_to_id":23,"start_date":"2017-03-07","description":"","custom_fields":[{"id":1,"name":"Subdivision","value":"EC"},{"id":4,"name":"Milepost","value":"0.0001"},{"id":17,"name":"Train ID","value":"204-07"},{"id":16,"name":"Locomotive ID","value":"4019"},{"id":130,"name":"Impact","value":""},{"id":150,"name":"Time of Event (Mountain Time)","value":"18:08:10"},{"id":151,"name":"Denver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"%USERPROFILE%\AppData\Local\Temp\OnboardLogs"\RTDC4019\*4019*201703080* | grep -SE "((Enforcement Ac)|(PRM.+XING))"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"%USERPROFILE%\AppData\Local\Temp\OnboardLogs"\RTDC4019\*4019*201703080* &gt;&gt; 2017-03-07-SliceDisagreementCheck.txt</v>
      </c>
      <c r="AE32" s="157" t="str">
        <f t="shared" si="9"/>
        <v>start /low /b %USERPROFILE%\Documents\GitHub\eaglep3\Utilities\DownloadLogsFromS3.py --loco 4019 --day 2017-03-08</v>
      </c>
      <c r="AF32" s="1"/>
    </row>
    <row r="33" spans="1:32" x14ac:dyDescent="0.25">
      <c r="A33" s="32">
        <v>42801.786516203705</v>
      </c>
      <c r="B33" s="30" t="s">
        <v>270</v>
      </c>
      <c r="C33" s="30" t="s">
        <v>592</v>
      </c>
      <c r="D33" s="30" t="s">
        <v>49</v>
      </c>
      <c r="E33" s="30" t="s">
        <v>186</v>
      </c>
      <c r="F33" s="43">
        <v>0</v>
      </c>
      <c r="G33" s="43">
        <v>88</v>
      </c>
      <c r="H33" s="43">
        <v>316</v>
      </c>
      <c r="I33" s="43">
        <v>265</v>
      </c>
      <c r="J33" s="30" t="s">
        <v>187</v>
      </c>
      <c r="K33" s="43">
        <v>1</v>
      </c>
      <c r="L33" s="143" t="s">
        <v>51</v>
      </c>
      <c r="M33" s="144">
        <f t="shared" si="0"/>
        <v>139.392</v>
      </c>
      <c r="N33" s="145" t="str">
        <f>VLOOKUP(C33,'Trips&amp;Operators'!$C$1:$G$99999,5,FALSE)</f>
        <v>CHANDLER KELVIN</v>
      </c>
      <c r="O33" s="194" t="s">
        <v>185</v>
      </c>
      <c r="P33" s="146"/>
      <c r="Q33" s="30"/>
      <c r="R33" s="89" t="str">
        <f>VLOOKUP(C33,'Train Runs'!$A$13:$AE$9945,31,0)</f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S33" s="92" t="str">
        <f>VLOOKUP(C33,'Train Runs'!$A$13:$AE$9945,22,0)</f>
        <v>https://d0f6bd738d7f1b3e5a7ca70fe4ff75f0.us-east-1.aws.found.io/app/kibana#/discover/Steve-Slow-Train-Analysis-(2080s-and-2083s)?_g=(refreshInterval:(display:Off,pause:!f,section:0,value:0),time:(from:'2017-03-07T17:06:13-0700',mode:absolute,to:'2017-03-07T19:52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3" s="94" t="str">
        <f t="shared" si="1"/>
        <v>"C:\Program Files (x86)\AstroGrep\AstroGrep.exe" /spath="%USERPROFILE%\AppData\Local\Temp\OnboardLogs" /stypes="*4021*201703080*" /stext=" 01:.+((SYSTEM_STATE.+slice.+state.+changed )|(ment ac)|(multiple cpu faults)|(system.+state.+changed )|(\[timeout)|(PRM\|1\|D)|(kpr)|(kdp)|(\|lc)|(penalty))" /e /r /s</v>
      </c>
      <c r="U33" s="9" t="str">
        <f t="shared" si="2"/>
        <v>4021</v>
      </c>
      <c r="V33" s="32">
        <f t="shared" si="3"/>
        <v>42802.078182870369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{"issue":{"subject":"","project_id":79,"tracker_id":40,"status_id":1,"priority_id":2,"assigned_to_id":23,"start_date":"2017-03-07","description":"","custom_fields":[{"id":1,"name":"Subdivision","value":"EC"},{"id":4,"name":"Milepost","value":"0.0001"},{"id":17,"name":"Train ID","value":"210-07"},{"id":16,"name":"Locomotive ID","value":"4021"},{"id":130,"name":"Impact","value":""},{"id":150,"name":"Time of Event (Mountain Time)","value":"18:52:35"},{"id":151,"name":"Denver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"%USERPROFILE%\AppData\Local\Temp\OnboardLogs"\RTDC4021\*4021*201703080* | grep -SE "((Enforcement Ac)|(PRM.+XING))"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"%USERPROFILE%\AppData\Local\Temp\OnboardLogs"\RTDC4021\*4021*201703080* &gt;&gt; 2017-03-07-SliceDisagreementCheck.txt</v>
      </c>
      <c r="AE33" s="157" t="str">
        <f t="shared" si="9"/>
        <v>start /low /b %USERPROFILE%\Documents\GitHub\eaglep3\Utilities\DownloadLogsFromS3.py --loco 4021 --day 2017-03-08</v>
      </c>
      <c r="AF33" s="1"/>
    </row>
    <row r="34" spans="1:32" x14ac:dyDescent="0.25">
      <c r="A34" s="32">
        <v>42801.163391203707</v>
      </c>
      <c r="B34" s="30" t="s">
        <v>220</v>
      </c>
      <c r="C34" s="30" t="s">
        <v>546</v>
      </c>
      <c r="D34" s="30" t="s">
        <v>49</v>
      </c>
      <c r="E34" s="30" t="s">
        <v>186</v>
      </c>
      <c r="F34" s="43">
        <v>0</v>
      </c>
      <c r="G34" s="43">
        <v>134</v>
      </c>
      <c r="H34" s="43">
        <v>232832</v>
      </c>
      <c r="I34" s="43">
        <v>233068</v>
      </c>
      <c r="J34" s="30" t="s">
        <v>187</v>
      </c>
      <c r="K34" s="43">
        <v>233491</v>
      </c>
      <c r="L34" s="143" t="s">
        <v>50</v>
      </c>
      <c r="M34" s="144">
        <f t="shared" si="0"/>
        <v>223.34399999999999</v>
      </c>
      <c r="N34" s="145" t="str">
        <f>VLOOKUP(C34,'Trips&amp;Operators'!$C$1:$G$99999,5,FALSE)</f>
        <v>SANTIZO D. EDY</v>
      </c>
      <c r="O34" s="194" t="s">
        <v>185</v>
      </c>
      <c r="P34" s="146"/>
      <c r="Q34" s="30"/>
      <c r="R34" s="89" t="str">
        <f>VLOOKUP(C34,'Train Runs'!$A$13:$AE$9945,31,0)</f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S34" s="92" t="str">
        <f>VLOOKUP(C34,'Train Runs'!$A$13:$AE$9945,22,0)</f>
        <v>https://d0f6bd738d7f1b3e5a7ca70fe4ff75f0.us-east-1.aws.found.io/app/kibana#/discover/Steve-Slow-Train-Analysis-(2080s-and-2083s)?_g=(refreshInterval:(display:Off,pause:!f,section:0,value:0),time:(from:'2017-03-07T02:08:41-0700',mode:absolute,to:'2017-03-07T04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4" s="94" t="str">
        <f t="shared" si="1"/>
        <v>"C:\Program Files (x86)\AstroGrep\AstroGrep.exe" /spath="%USERPROFILE%\AppData\Local\Temp\OnboardLogs" /stypes="*4044*201703071*" /stext=" 10:.+((SYSTEM_STATE.+slice.+state.+changed )|(ment ac)|(multiple cpu faults)|(system.+state.+changed )|(\[timeout)|(PRM\|1\|D)|(kpr)|(kdp)|(\|lc)|(penalty))" /e /r /s</v>
      </c>
      <c r="U34" s="9" t="str">
        <f t="shared" si="2"/>
        <v>4044</v>
      </c>
      <c r="V34" s="32">
        <f t="shared" si="3"/>
        <v>42801.455057870371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{"issue":{"subject":"","project_id":79,"tracker_id":40,"status_id":1,"priority_id":2,"assigned_to_id":23,"start_date":"2017-03-07","description":"","custom_fields":[{"id":1,"name":"Subdivision","value":"EC"},{"id":4,"name":"Milepost","value":"23.3491"},{"id":17,"name":"Train ID","value":"101-07"},{"id":16,"name":"Locomotive ID","value":"4044"},{"id":130,"name":"Impact","value":""},{"id":150,"name":"Time of Event (Mountain Time)","value":"03:55:17"},{"id":151,"name":"Denver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"%USERPROFILE%\AppData\Local\Temp\OnboardLogs"\RTDC4044\*4044*201703071* | grep -SE "((Enforcement Ac)|(PRM.+XING))"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"%USERPROFILE%\AppData\Local\Temp\OnboardLogs"\RTDC4044\*4044*201703071* &gt;&gt; 2017-03-07-SliceDisagreementCheck.txt</v>
      </c>
      <c r="AE34" s="157" t="str">
        <f t="shared" si="9"/>
        <v>start /low /b %USERPROFILE%\Documents\GitHub\eaglep3\Utilities\DownloadLogsFromS3.py --loco 4044 --day 2017-03-07</v>
      </c>
      <c r="AF34" s="1"/>
    </row>
    <row r="35" spans="1:32" x14ac:dyDescent="0.25">
      <c r="A35" s="32">
        <v>42801.288773148146</v>
      </c>
      <c r="B35" s="30" t="s">
        <v>272</v>
      </c>
      <c r="C35" s="30" t="s">
        <v>557</v>
      </c>
      <c r="D35" s="30" t="s">
        <v>49</v>
      </c>
      <c r="E35" s="30" t="s">
        <v>186</v>
      </c>
      <c r="F35" s="43">
        <v>0</v>
      </c>
      <c r="G35" s="43">
        <v>51</v>
      </c>
      <c r="H35" s="43">
        <v>233278</v>
      </c>
      <c r="I35" s="43">
        <v>233321</v>
      </c>
      <c r="J35" s="30" t="s">
        <v>187</v>
      </c>
      <c r="K35" s="43">
        <v>233491</v>
      </c>
      <c r="L35" s="143" t="s">
        <v>50</v>
      </c>
      <c r="M35" s="144">
        <f t="shared" si="0"/>
        <v>89.76</v>
      </c>
      <c r="N35" s="145" t="str">
        <f>VLOOKUP(C35,'Trips&amp;Operators'!$C$1:$G$99999,5,FALSE)</f>
        <v>BONDS REYNALDO</v>
      </c>
      <c r="O35" s="194" t="s">
        <v>185</v>
      </c>
      <c r="P35" s="146"/>
      <c r="Q35" s="30"/>
      <c r="R35" s="89" t="str">
        <f>VLOOKUP(C35,'Train Runs'!$A$13:$AE$9945,31,0)</f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S35" s="92" t="str">
        <f>VLOOKUP(C35,'Train Runs'!$A$13:$AE$9945,22,0)</f>
        <v>https://d0f6bd738d7f1b3e5a7ca70fe4ff75f0.us-east-1.aws.found.io/app/kibana#/discover/Steve-Slow-Train-Analysis-(2080s-and-2083s)?_g=(refreshInterval:(display:Off,pause:!f,section:0,value:0),time:(from:'2017-03-07T05:13:58-0700',mode:absolute,to:'2017-03-07T07:55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35" s="94" t="str">
        <f t="shared" si="1"/>
        <v>"C:\Program Files (x86)\AstroGrep\AstroGrep.exe" /spath="%USERPROFILE%\AppData\Local\Temp\OnboardLogs" /stypes="*4022*201703071*" /stext=" 13:.+((SYSTEM_STATE.+slice.+state.+changed )|(ment ac)|(multiple cpu faults)|(system.+state.+changed )|(\[timeout)|(PRM\|1\|D)|(kpr)|(kdp)|(\|lc)|(penalty))" /e /r /s</v>
      </c>
      <c r="U35" s="9" t="str">
        <f t="shared" si="2"/>
        <v>4022</v>
      </c>
      <c r="V35" s="32">
        <f t="shared" si="3"/>
        <v>42801.58043981481</v>
      </c>
      <c r="W35" s="46" t="str">
        <f t="shared" si="4"/>
        <v>EC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{"issue":{"subject":"","project_id":79,"tracker_id":40,"status_id":1,"priority_id":2,"assigned_to_id":23,"start_date":"2017-03-07","description":"","custom_fields":[{"id":1,"name":"Subdivision","value":"EC"},{"id":4,"name":"Milepost","value":"23.3491"},{"id":17,"name":"Train ID","value":"121-07"},{"id":16,"name":"Locomotive ID","value":"4022"},{"id":130,"name":"Impact","value":""},{"id":150,"name":"Time of Event (Mountain Time)","value":"06:55:50"},{"id":151,"name":"Denver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"%USERPROFILE%\AppData\Local\Temp\OnboardLogs"\RTDC4022\*4022*201703071*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"%USERPROFILE%\AppData\Local\Temp\OnboardLogs"\RTDC4022\*4022*201703071* &gt;&gt; 2017-03-07-SliceDisagreementCheck.txt</v>
      </c>
      <c r="AE35" s="157" t="str">
        <f t="shared" si="9"/>
        <v>start /low /b %USERPROFILE%\Documents\GitHub\eaglep3\Utilities\DownloadLogsFromS3.py --loco 4022 --day 2017-03-07</v>
      </c>
      <c r="AF35" s="1"/>
    </row>
    <row r="36" spans="1:32" x14ac:dyDescent="0.25">
      <c r="A36" s="32">
        <v>42801.610381944447</v>
      </c>
      <c r="B36" s="30" t="s">
        <v>190</v>
      </c>
      <c r="C36" s="30" t="s">
        <v>575</v>
      </c>
      <c r="D36" s="30" t="s">
        <v>49</v>
      </c>
      <c r="E36" s="30" t="s">
        <v>186</v>
      </c>
      <c r="F36" s="43">
        <v>0</v>
      </c>
      <c r="G36" s="43">
        <v>153</v>
      </c>
      <c r="H36" s="43">
        <v>232800</v>
      </c>
      <c r="I36" s="43">
        <v>233019</v>
      </c>
      <c r="J36" s="30" t="s">
        <v>187</v>
      </c>
      <c r="K36" s="43">
        <v>233491</v>
      </c>
      <c r="L36" s="143" t="s">
        <v>50</v>
      </c>
      <c r="M36" s="144">
        <f t="shared" si="0"/>
        <v>249.21600000000001</v>
      </c>
      <c r="N36" s="145" t="str">
        <f>VLOOKUP(C36,'Trips&amp;Operators'!$C$1:$G$99999,5,FALSE)</f>
        <v>ROMERO CHAD</v>
      </c>
      <c r="O36" s="194" t="s">
        <v>185</v>
      </c>
      <c r="P36" s="146"/>
      <c r="Q36" s="30"/>
      <c r="R36" s="89" t="str">
        <f>VLOOKUP(C36,'Train Runs'!$A$13:$AE$9945,31,0)</f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S36" s="92" t="str">
        <f>VLOOKUP(C36,'Train Runs'!$A$13:$AE$9945,22,0)</f>
        <v>https://d0f6bd738d7f1b3e5a7ca70fe4ff75f0.us-east-1.aws.found.io/app/kibana#/discover/Steve-Slow-Train-Analysis-(2080s-and-2083s)?_g=(refreshInterval:(display:Off,pause:!f,section:0,value:0),time:(from:'2017-03-07T12:52:38-0700',mode:absolute,to:'2017-03-07T15:38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6" s="94" t="str">
        <f t="shared" si="1"/>
        <v>"C:\Program Files (x86)\AstroGrep\AstroGrep.exe" /spath="%USERPROFILE%\AppData\Local\Temp\OnboardLogs" /stypes="*4011*201703072*" /stext=" 21:.+((SYSTEM_STATE.+slice.+state.+changed )|(ment ac)|(multiple cpu faults)|(system.+state.+changed )|(\[timeout)|(PRM\|1\|D)|(kpr)|(kdp)|(\|lc)|(penalty))" /e /r /s</v>
      </c>
      <c r="U36" s="9" t="str">
        <f t="shared" si="2"/>
        <v>4011</v>
      </c>
      <c r="V36" s="32">
        <f t="shared" si="3"/>
        <v>42801.902048611111</v>
      </c>
      <c r="W36" s="46" t="str">
        <f t="shared" si="4"/>
        <v>EC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{"issue":{"subject":"","project_id":79,"tracker_id":40,"status_id":1,"priority_id":2,"assigned_to_id":23,"start_date":"2017-03-07","description":"","custom_fields":[{"id":1,"name":"Subdivision","value":"EC"},{"id":4,"name":"Milepost","value":"23.3491"},{"id":17,"name":"Train ID","value":"183-07"},{"id":16,"name":"Locomotive ID","value":"4011"},{"id":130,"name":"Impact","value":""},{"id":150,"name":"Time of Event (Mountain Time)","value":"14:38:57"},{"id":151,"name":"Denver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"%USERPROFILE%\AppData\Local\Temp\OnboardLogs"\RTDC4011\*4011*201703072* | grep -SE "((Enforcement Ac)|(PRM.+XING))"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"%USERPROFILE%\AppData\Local\Temp\OnboardLogs"\RTDC4011\*4011*201703072* &gt;&gt; 2017-03-07-SliceDisagreementCheck.txt</v>
      </c>
      <c r="AE36" s="157" t="str">
        <f t="shared" si="9"/>
        <v>start /low /b %USERPROFILE%\Documents\GitHub\eaglep3\Utilities\DownloadLogsFromS3.py --loco 4011 --day 2017-03-07</v>
      </c>
      <c r="AF36" s="1"/>
    </row>
    <row r="37" spans="1:32" x14ac:dyDescent="0.25">
      <c r="A37" s="32">
        <v>42801.611585648148</v>
      </c>
      <c r="B37" s="30" t="s">
        <v>190</v>
      </c>
      <c r="C37" s="30" t="s">
        <v>575</v>
      </c>
      <c r="D37" s="30" t="s">
        <v>49</v>
      </c>
      <c r="E37" s="30" t="s">
        <v>186</v>
      </c>
      <c r="F37" s="43">
        <v>0</v>
      </c>
      <c r="G37" s="43">
        <v>63</v>
      </c>
      <c r="H37" s="43">
        <v>233088</v>
      </c>
      <c r="I37" s="43">
        <v>233145</v>
      </c>
      <c r="J37" s="30" t="s">
        <v>187</v>
      </c>
      <c r="K37" s="43">
        <v>233491</v>
      </c>
      <c r="L37" s="143" t="s">
        <v>50</v>
      </c>
      <c r="M37" s="144">
        <f t="shared" si="0"/>
        <v>182.68799999999999</v>
      </c>
      <c r="N37" s="145" t="str">
        <f>VLOOKUP(C37,'Trips&amp;Operators'!$C$1:$G$99999,5,FALSE)</f>
        <v>ROMERO CHAD</v>
      </c>
      <c r="O37" s="194" t="s">
        <v>185</v>
      </c>
      <c r="P37" s="146"/>
      <c r="Q37" s="30"/>
      <c r="R37" s="89" t="str">
        <f>VLOOKUP(C37,'Train Runs'!$A$13:$AE$9945,31,0)</f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S37" s="92" t="str">
        <f>VLOOKUP(C37,'Train Runs'!$A$13:$AE$9945,22,0)</f>
        <v>https://d0f6bd738d7f1b3e5a7ca70fe4ff75f0.us-east-1.aws.found.io/app/kibana#/discover/Steve-Slow-Train-Analysis-(2080s-and-2083s)?_g=(refreshInterval:(display:Off,pause:!f,section:0,value:0),time:(from:'2017-03-07T12:52:38-0700',mode:absolute,to:'2017-03-07T15:38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7" s="94" t="str">
        <f t="shared" si="1"/>
        <v>"C:\Program Files (x86)\AstroGrep\AstroGrep.exe" /spath="%USERPROFILE%\AppData\Local\Temp\OnboardLogs" /stypes="*4011*201703072*" /stext=" 21:.+((SYSTEM_STATE.+slice.+state.+changed )|(ment ac)|(multiple cpu faults)|(system.+state.+changed )|(\[timeout)|(PRM\|1\|D)|(kpr)|(kdp)|(\|lc)|(penalty))" /e /r /s</v>
      </c>
      <c r="U37" s="9" t="str">
        <f t="shared" si="2"/>
        <v>4011</v>
      </c>
      <c r="V37" s="32">
        <f t="shared" si="3"/>
        <v>42801.903252314813</v>
      </c>
      <c r="W37" s="46" t="str">
        <f t="shared" si="4"/>
        <v>EC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{"issue":{"subject":"","project_id":79,"tracker_id":40,"status_id":1,"priority_id":2,"assigned_to_id":23,"start_date":"2017-03-07","description":"","custom_fields":[{"id":1,"name":"Subdivision","value":"EC"},{"id":4,"name":"Milepost","value":"23.3491"},{"id":17,"name":"Train ID","value":"183-07"},{"id":16,"name":"Locomotive ID","value":"4011"},{"id":130,"name":"Impact","value":""},{"id":150,"name":"Time of Event (Mountain Time)","value":"14:40:41"},{"id":151,"name":"Denver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"%USERPROFILE%\AppData\Local\Temp\OnboardLogs"\RTDC4011\*4011*201703072* | grep -SE "((Enforcement Ac)|(PRM.+XING))"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"%USERPROFILE%\AppData\Local\Temp\OnboardLogs"\RTDC4011\*4011*201703072* &gt;&gt; 2017-03-07-SliceDisagreementCheck.txt</v>
      </c>
      <c r="AE37" s="157" t="str">
        <f t="shared" si="9"/>
        <v>start /low /b %USERPROFILE%\Documents\GitHub\eaglep3\Utilities\DownloadLogsFromS3.py --loco 4011 --day 2017-03-07</v>
      </c>
      <c r="AF37" s="1"/>
    </row>
    <row r="38" spans="1:32" x14ac:dyDescent="0.25">
      <c r="A38" s="32">
        <v>42801.61215277778</v>
      </c>
      <c r="B38" s="30" t="s">
        <v>190</v>
      </c>
      <c r="C38" s="30" t="s">
        <v>575</v>
      </c>
      <c r="D38" s="30" t="s">
        <v>49</v>
      </c>
      <c r="E38" s="30" t="s">
        <v>186</v>
      </c>
      <c r="F38" s="43">
        <v>0</v>
      </c>
      <c r="G38" s="43">
        <v>37</v>
      </c>
      <c r="H38" s="43">
        <v>233349</v>
      </c>
      <c r="I38" s="43">
        <v>233382</v>
      </c>
      <c r="J38" s="30" t="s">
        <v>187</v>
      </c>
      <c r="K38" s="43">
        <v>233491</v>
      </c>
      <c r="L38" s="143" t="s">
        <v>50</v>
      </c>
      <c r="M38" s="144">
        <f t="shared" si="0"/>
        <v>57.552</v>
      </c>
      <c r="N38" s="145" t="str">
        <f>VLOOKUP(C38,'Trips&amp;Operators'!$C$1:$G$99999,5,FALSE)</f>
        <v>ROMERO CHAD</v>
      </c>
      <c r="O38" s="194" t="s">
        <v>185</v>
      </c>
      <c r="P38" s="146"/>
      <c r="Q38" s="30"/>
      <c r="R38" s="89" t="str">
        <f>VLOOKUP(C38,'Train Runs'!$A$13:$AE$9945,31,0)</f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S38" s="92" t="str">
        <f>VLOOKUP(C38,'Train Runs'!$A$13:$AE$9945,22,0)</f>
        <v>https://d0f6bd738d7f1b3e5a7ca70fe4ff75f0.us-east-1.aws.found.io/app/kibana#/discover/Steve-Slow-Train-Analysis-(2080s-and-2083s)?_g=(refreshInterval:(display:Off,pause:!f,section:0,value:0),time:(from:'2017-03-07T12:52:38-0700',mode:absolute,to:'2017-03-07T15:38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8" s="94" t="str">
        <f t="shared" si="1"/>
        <v>"C:\Program Files (x86)\AstroGrep\AstroGrep.exe" /spath="%USERPROFILE%\AppData\Local\Temp\OnboardLogs" /stypes="*4011*201703072*" /stext=" 21:.+((SYSTEM_STATE.+slice.+state.+changed )|(ment ac)|(multiple cpu faults)|(system.+state.+changed )|(\[timeout)|(PRM\|1\|D)|(kpr)|(kdp)|(\|lc)|(penalty))" /e /r /s</v>
      </c>
      <c r="U38" s="9" t="str">
        <f t="shared" si="2"/>
        <v>4011</v>
      </c>
      <c r="V38" s="32">
        <f t="shared" si="3"/>
        <v>42801.903819444444</v>
      </c>
      <c r="W38" s="46" t="str">
        <f t="shared" si="4"/>
        <v>EC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{"issue":{"subject":"","project_id":79,"tracker_id":40,"status_id":1,"priority_id":2,"assigned_to_id":23,"start_date":"2017-03-07","description":"","custom_fields":[{"id":1,"name":"Subdivision","value":"EC"},{"id":4,"name":"Milepost","value":"23.3491"},{"id":17,"name":"Train ID","value":"183-07"},{"id":16,"name":"Locomotive ID","value":"4011"},{"id":130,"name":"Impact","value":""},{"id":150,"name":"Time of Event (Mountain Time)","value":"14:41:30"},{"id":151,"name":"Denver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7"/>
        <v>grep -hSE -A400 "Enforcement Action" "%USERPROFILE%\AppData\Local\Temp\OnboardLogs"\RTDC4011\*4011*201703072* | grep -SE "((Enforcement Ac)|(PRM.+XING))"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"%USERPROFILE%\AppData\Local\Temp\OnboardLogs"\RTDC4011\*4011*201703072* &gt;&gt; 2017-03-07-SliceDisagreementCheck.txt</v>
      </c>
      <c r="AE38" s="157" t="str">
        <f t="shared" si="9"/>
        <v>start /low /b %USERPROFILE%\Documents\GitHub\eaglep3\Utilities\DownloadLogsFromS3.py --loco 4011 --day 2017-03-07</v>
      </c>
      <c r="AF38" s="1"/>
    </row>
    <row r="39" spans="1:32" x14ac:dyDescent="0.25">
      <c r="A39" s="32">
        <v>42801.672800925924</v>
      </c>
      <c r="B39" s="30" t="s">
        <v>272</v>
      </c>
      <c r="C39" s="30" t="s">
        <v>583</v>
      </c>
      <c r="D39" s="30" t="s">
        <v>49</v>
      </c>
      <c r="E39" s="30" t="s">
        <v>186</v>
      </c>
      <c r="F39" s="43">
        <v>0</v>
      </c>
      <c r="G39" s="43">
        <v>46</v>
      </c>
      <c r="H39" s="43">
        <v>233324</v>
      </c>
      <c r="I39" s="43">
        <v>233353</v>
      </c>
      <c r="J39" s="30" t="s">
        <v>187</v>
      </c>
      <c r="K39" s="43">
        <v>233491</v>
      </c>
      <c r="L39" s="143" t="s">
        <v>50</v>
      </c>
      <c r="M39" s="144">
        <f t="shared" ref="M39:M63" si="10">CONVERT((I39-K39)/10000,"mi","ft")*IF(L39="Increasing Mileposts (1)",-1,1)</f>
        <v>72.864000000000004</v>
      </c>
      <c r="N39" s="145" t="str">
        <f>VLOOKUP(C39,'Trips&amp;Operators'!$C$1:$G$99999,5,FALSE)</f>
        <v>LOCKLEAR TRAVIS</v>
      </c>
      <c r="O39" s="194" t="s">
        <v>185</v>
      </c>
      <c r="P39" s="146"/>
      <c r="Q39" s="30"/>
      <c r="R39" s="89" t="str">
        <f>VLOOKUP(C39,'Train Runs'!$A$13:$AE$9945,31,0)</f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S39" s="92" t="str">
        <f>VLOOKUP(C39,'Train Runs'!$A$13:$AE$9945,22,0)</f>
        <v>https://d0f6bd738d7f1b3e5a7ca70fe4ff75f0.us-east-1.aws.found.io/app/kibana#/discover/Steve-Slow-Train-Analysis-(2080s-and-2083s)?_g=(refreshInterval:(display:Off,pause:!f,section:0,value:0),time:(from:'2017-03-07T14:26:58-0700',mode:absolute,to:'2017-03-07T17:08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39" s="94" t="str">
        <f t="shared" ref="T39:T63" si="11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/stypes="*4022*201703072*" /stext=" 23:.+((SYSTEM_STATE.+slice.+state.+changed )|(ment ac)|(multiple cpu faults)|(system.+state.+changed )|(\[timeout)|(PRM\|1\|D)|(kpr)|(kdp)|(\|lc)|(penalty))" /e /r /s</v>
      </c>
      <c r="U39" s="9" t="str">
        <f t="shared" ref="U39:U63" si="12">MID(B39,13,4)</f>
        <v>4022</v>
      </c>
      <c r="V39" s="32">
        <f t="shared" ref="V39:V63" si="13">A39-utc_offset/24</f>
        <v>42801.964467592588</v>
      </c>
      <c r="W39" s="46" t="str">
        <f t="shared" ref="W39:W63" si="14">IFERROR(IF(VALUE(LEFT(IF(LEN(C39)=6,"0"&amp;C39,C39),2))&lt;=2,"EC",IF(OR(VALUE(LEFT(IF(LEN(C39)=6,"0"&amp;C39,C39),2))=8,VALUE(LEFT(IF(LEN(C39)=6,"0"&amp;C39,C39),2))=18),"NW","Other")),"Other")</f>
        <v>EC</v>
      </c>
      <c r="X39" s="46" t="str">
        <f t="shared" ref="X39:X63" si="15">IF(AND(E39="TRACK WARRANT AUTHORITY",G39&lt;10),"OMIT","KEEP")</f>
        <v>KEEP</v>
      </c>
      <c r="Y39" s="108" t="str">
        <f t="shared" ref="Y39:Y63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{"issue":{"subject":"","project_id":79,"tracker_id":40,"status_id":1,"priority_id":2,"assigned_to_id":23,"start_date":"2017-03-07","description":"","custom_fields":[{"id":1,"name":"Subdivision","value":"EC"},{"id":4,"name":"Milepost","value":"23.3491"},{"id":17,"name":"Train ID","value":"195-07"},{"id":16,"name":"Locomotive ID","value":"4022"},{"id":130,"name":"Impact","value":""},{"id":150,"name":"Time of Event (Mountain Time)","value":"16:08:50"},{"id":151,"name":"Denver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ref="AC39:AC63" si="17">"grep -hSE -A400 ""Enforcement Action"" "&amp;search_path&amp;"\RTDC"&amp;U39&amp;"\*"&amp;U39&amp;"*"&amp;TEXT(A39-utc_offset/24,"YYYYMMDD")&amp;LEFT(TEXT(A39-utc_offset/24,"HH"),1)&amp;"* | grep -SE ""((Enforcement Ac)|(PRM.+XING))"" -"</f>
        <v>grep -hSE -A400 "Enforcement Action" "%USERPROFILE%\AppData\Local\Temp\OnboardLogs"\RTDC4022\*4022*201703072* | grep -SE "((Enforcement Ac)|(PRM.+XING))"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"%USERPROFILE%\AppData\Local\Temp\OnboardLogs"\RTDC4022\*4022*201703072* &gt;&gt; 2017-03-07-SliceDisagreementCheck.txt</v>
      </c>
      <c r="AE39" s="157" t="str">
        <f t="shared" si="9"/>
        <v>start /low /b %USERPROFILE%\Documents\GitHub\eaglep3\Utilities\DownloadLogsFromS3.py --loco 4022 --day 2017-03-07</v>
      </c>
      <c r="AF39" s="1"/>
    </row>
    <row r="40" spans="1:32" x14ac:dyDescent="0.25">
      <c r="A40" s="32">
        <v>42801.755543981482</v>
      </c>
      <c r="B40" s="30" t="s">
        <v>190</v>
      </c>
      <c r="C40" s="30" t="s">
        <v>588</v>
      </c>
      <c r="D40" s="30" t="s">
        <v>49</v>
      </c>
      <c r="E40" s="30" t="s">
        <v>186</v>
      </c>
      <c r="F40" s="43">
        <v>0</v>
      </c>
      <c r="G40" s="43">
        <v>53</v>
      </c>
      <c r="H40" s="43">
        <v>233280</v>
      </c>
      <c r="I40" s="43">
        <v>233324</v>
      </c>
      <c r="J40" s="30" t="s">
        <v>187</v>
      </c>
      <c r="K40" s="43">
        <v>233491</v>
      </c>
      <c r="L40" s="143" t="s">
        <v>50</v>
      </c>
      <c r="M40" s="144">
        <f t="shared" si="10"/>
        <v>88.176000000000002</v>
      </c>
      <c r="N40" s="145" t="str">
        <f>VLOOKUP(C40,'Trips&amp;Operators'!$C$1:$G$99999,5,FALSE)</f>
        <v>LOCKLEAR TRAVIS</v>
      </c>
      <c r="O40" s="194" t="s">
        <v>185</v>
      </c>
      <c r="P40" s="146"/>
      <c r="Q40" s="30"/>
      <c r="R40" s="89" t="str">
        <f>VLOOKUP(C40,'Train Runs'!$A$13:$AE$9945,31,0)</f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S40" s="92" t="str">
        <f>VLOOKUP(C40,'Train Runs'!$A$13:$AE$9945,22,0)</f>
        <v>https://d0f6bd738d7f1b3e5a7ca70fe4ff75f0.us-east-1.aws.found.io/app/kibana#/discover/Steve-Slow-Train-Analysis-(2080s-and-2083s)?_g=(refreshInterval:(display:Off,pause:!f,section:0,value:0),time:(from:'2017-03-07T16:24:17-0700',mode:absolute,to:'2017-03-07T19:07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0" s="94" t="str">
        <f t="shared" si="11"/>
        <v>"C:\Program Files (x86)\AstroGrep\AstroGrep.exe" /spath="%USERPROFILE%\AppData\Local\Temp\OnboardLogs" /stypes="*4011*201703080*" /stext=" 01:.+((SYSTEM_STATE.+slice.+state.+changed )|(ment ac)|(multiple cpu faults)|(system.+state.+changed )|(\[timeout)|(PRM\|1\|D)|(kpr)|(kdp)|(\|lc)|(penalty))" /e /r /s</v>
      </c>
      <c r="U40" s="9" t="str">
        <f t="shared" si="12"/>
        <v>4011</v>
      </c>
      <c r="V40" s="32">
        <f t="shared" si="13"/>
        <v>42802.047210648147</v>
      </c>
      <c r="W40" s="46" t="str">
        <f t="shared" si="14"/>
        <v>EC</v>
      </c>
      <c r="X40" s="46" t="str">
        <f t="shared" si="15"/>
        <v>KEEP</v>
      </c>
      <c r="Y40" s="108" t="str">
        <f t="shared" si="16"/>
        <v>echo {"issue":{"subject":"","project_id":79,"tracker_id":40,"status_id":1,"priority_id":2,"assigned_to_id":23,"start_date":"2017-03-07","description":"","custom_fields":[{"id":1,"name":"Subdivision","value":"EC"},{"id":4,"name":"Milepost","value":"23.3491"},{"id":17,"name":"Train ID","value":"211-07"},{"id":16,"name":"Locomotive ID","value":"4011"},{"id":130,"name":"Impact","value":""},{"id":150,"name":"Time of Event (Mountain Time)","value":"18:07:59"},{"id":151,"name":"Denver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 t="shared" si="17"/>
        <v>grep -hSE -A400 "Enforcement Action" "%USERPROFILE%\AppData\Local\Temp\OnboardLogs"\RTDC4011\*4011*201703080* | grep -SE "((Enforcement Ac)|(PRM.+XING))"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"%USERPROFILE%\AppData\Local\Temp\OnboardLogs"\RTDC4011\*4011*201703080* &gt;&gt; 2017-03-07-SliceDisagreementCheck.txt</v>
      </c>
      <c r="AE40" s="157" t="str">
        <f t="shared" si="9"/>
        <v>start /low /b %USERPROFILE%\Documents\GitHub\eaglep3\Utilities\DownloadLogsFromS3.py --loco 4011 --day 2017-03-08</v>
      </c>
      <c r="AF40" s="1"/>
    </row>
    <row r="41" spans="1:32" x14ac:dyDescent="0.25">
      <c r="A41" s="32">
        <v>42801.943113425928</v>
      </c>
      <c r="B41" s="30" t="s">
        <v>271</v>
      </c>
      <c r="C41" s="30" t="s">
        <v>595</v>
      </c>
      <c r="D41" s="30" t="s">
        <v>49</v>
      </c>
      <c r="E41" s="30" t="s">
        <v>186</v>
      </c>
      <c r="F41" s="43">
        <v>0</v>
      </c>
      <c r="G41" s="43">
        <v>44</v>
      </c>
      <c r="H41" s="43">
        <v>233347</v>
      </c>
      <c r="I41" s="43">
        <v>233383</v>
      </c>
      <c r="J41" s="30" t="s">
        <v>187</v>
      </c>
      <c r="K41" s="43">
        <v>233491</v>
      </c>
      <c r="L41" s="143" t="s">
        <v>50</v>
      </c>
      <c r="M41" s="144">
        <f t="shared" si="10"/>
        <v>57.024000000000001</v>
      </c>
      <c r="N41" s="145" t="str">
        <f>VLOOKUP(C41,'Trips&amp;Operators'!$C$1:$G$99999,5,FALSE)</f>
        <v>STORY SAMANTHA</v>
      </c>
      <c r="O41" s="194" t="s">
        <v>185</v>
      </c>
      <c r="P41" s="146"/>
      <c r="Q41" s="30"/>
      <c r="R41" s="89" t="str">
        <f>VLOOKUP(C41,'Train Runs'!$A$13:$AE$9945,31,0)</f>
        <v>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 &amp; aws s3 cp s3://rtdc.mdm.uploadarchive.raw/RTDC4020/ "%USERPROFILE%\AppData\Local\Temp\OnboardLogs"\RTDC4020\2017-03-08 --exclude "*" --recursive --include "*20170308*" &amp; "%USERPROFILE%\Documents\GitHub\mrs-test-scripts\Headless Mode &amp; Sideloading\WalkAndUnGZ.bat" "%USERPROFILE%\AppData\Local\Temp\OnboardLogs"\RTDC4020\2017-03-08</v>
      </c>
      <c r="S41" s="92" t="str">
        <f>VLOOKUP(C41,'Train Runs'!$A$13:$AE$9945,22,0)</f>
        <v>https://d0f6bd738d7f1b3e5a7ca70fe4ff75f0.us-east-1.aws.found.io/app/kibana#/discover/Steve-Slow-Train-Analysis-(2080s-and-2083s)?_g=(refreshInterval:(display:Off,pause:!f,section:0,value:0),time:(from:'2017-03-07T20:46:43-0700',mode:absolute,to:'2017-03-07T23:38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1" s="94" t="str">
        <f t="shared" si="11"/>
        <v>"C:\Program Files (x86)\AstroGrep\AstroGrep.exe" /spath="%USERPROFILE%\AppData\Local\Temp\OnboardLogs" /stypes="*4020*201703080*" /stext=" 05:.+((SYSTEM_STATE.+slice.+state.+changed )|(ment ac)|(multiple cpu faults)|(system.+state.+changed )|(\[timeout)|(PRM\|1\|D)|(kpr)|(kdp)|(\|lc)|(penalty))" /e /r /s</v>
      </c>
      <c r="U41" s="9" t="str">
        <f t="shared" si="12"/>
        <v>4020</v>
      </c>
      <c r="V41" s="32">
        <f t="shared" si="13"/>
        <v>42802.234780092593</v>
      </c>
      <c r="W41" s="46" t="str">
        <f t="shared" si="14"/>
        <v>EC</v>
      </c>
      <c r="X41" s="46" t="str">
        <f t="shared" si="15"/>
        <v>KEEP</v>
      </c>
      <c r="Y41" s="108" t="str">
        <f t="shared" si="16"/>
        <v>echo {"issue":{"subject":"","project_id":79,"tracker_id":40,"status_id":1,"priority_id":2,"assigned_to_id":23,"start_date":"2017-03-07","description":"","custom_fields":[{"id":1,"name":"Subdivision","value":"EC"},{"id":4,"name":"Milepost","value":"23.3491"},{"id":17,"name":"Train ID","value":"233-07"},{"id":16,"name":"Locomotive ID","value":"4020"},{"id":130,"name":"Impact","value":""},{"id":150,"name":"Time of Event (Mountain Time)","value":"22:38:05"},{"id":151,"name":"Denver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 t="shared" si="17"/>
        <v>grep -hSE -A400 "Enforcement Action" "%USERPROFILE%\AppData\Local\Temp\OnboardLogs"\RTDC4020\*4020*201703080* | grep -SE "((Enforcement Ac)|(PRM.+XING))"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"%USERPROFILE%\AppData\Local\Temp\OnboardLogs"\RTDC4020\*4020*201703080* &gt;&gt; 2017-03-07-SliceDisagreementCheck.txt</v>
      </c>
      <c r="AE41" s="157" t="str">
        <f t="shared" si="9"/>
        <v>start /low /b %USERPROFILE%\Documents\GitHub\eaglep3\Utilities\DownloadLogsFromS3.py --loco 4020 --day 2017-03-08</v>
      </c>
      <c r="AF41" s="1"/>
    </row>
    <row r="42" spans="1:32" x14ac:dyDescent="0.25">
      <c r="A42" s="32">
        <v>42802.045798611114</v>
      </c>
      <c r="B42" s="30" t="s">
        <v>241</v>
      </c>
      <c r="C42" s="30" t="s">
        <v>601</v>
      </c>
      <c r="D42" s="30" t="s">
        <v>49</v>
      </c>
      <c r="E42" s="30" t="s">
        <v>186</v>
      </c>
      <c r="F42" s="43">
        <v>0</v>
      </c>
      <c r="G42" s="43">
        <v>33</v>
      </c>
      <c r="H42" s="43">
        <v>233421</v>
      </c>
      <c r="I42" s="43">
        <v>233442</v>
      </c>
      <c r="J42" s="30" t="s">
        <v>187</v>
      </c>
      <c r="K42" s="43">
        <v>233491</v>
      </c>
      <c r="L42" s="143" t="s">
        <v>50</v>
      </c>
      <c r="M42" s="144">
        <f t="shared" si="10"/>
        <v>25.872</v>
      </c>
      <c r="N42" s="145" t="str">
        <f>VLOOKUP(C42,'Trips&amp;Operators'!$C$1:$G$99999,5,FALSE)</f>
        <v>STAMBAUGH JAMES</v>
      </c>
      <c r="O42" s="194" t="s">
        <v>185</v>
      </c>
      <c r="P42" s="146"/>
      <c r="Q42" s="30"/>
      <c r="R42" s="89" t="str">
        <f>VLOOKUP(C42,'Train Runs'!$A$13:$AE$9945,31,0)</f>
        <v>aws s3 cp s3://rtdc.mdm.uploadarchive.raw/RTDC4014/ "%USERPROFILE%\AppData\Local\Temp\OnboardLogs"\RTDC4014\2017-03-08 --exclude "*" --recursive --include "*20170308*" &amp; "%USERPROFILE%\Documents\GitHub\mrs-test-scripts\Headless Mode &amp; Sideloading\WalkAndUnGZ.bat" "%USERPROFILE%\AppData\Local\Temp\OnboardLogs"\RTDC4014\2017-03-08 &amp; aws s3 cp s3://rtdc.mdm.uploadarchive.raw/RTDC4014/ "%USERPROFILE%\AppData\Local\Temp\OnboardLogs"\RTDC4014\2017-03-09 --exclude "*" --recursive --include "*20170309*" &amp; "%USERPROFILE%\Documents\GitHub\mrs-test-scripts\Headless Mode &amp; Sideloading\WalkAndUnGZ.bat" "%USERPROFILE%\AppData\Local\Temp\OnboardLogs"\RTDC4014\2017-03-09</v>
      </c>
      <c r="S42" s="92" t="str">
        <f>VLOOKUP(C42,'Train Runs'!$A$13:$AE$9945,22,0)</f>
        <v>https://d0f6bd738d7f1b3e5a7ca70fe4ff75f0.us-east-1.aws.found.io/app/kibana#/discover/Steve-Slow-Train-Analysis-(2080s-and-2083s)?_g=(refreshInterval:(display:Off,pause:!f,section:0,value:0),time:(from:'2017-03-07T23:06:40-0700',mode:absolute,to:'2017-03-08T02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2" s="94" t="str">
        <f t="shared" si="11"/>
        <v>"C:\Program Files (x86)\AstroGrep\AstroGrep.exe" /spath="%USERPROFILE%\AppData\Local\Temp\OnboardLogs" /stypes="*4014*201703080*" /stext=" 08:.+((SYSTEM_STATE.+slice.+state.+changed )|(ment ac)|(multiple cpu faults)|(system.+state.+changed )|(\[timeout)|(PRM\|1\|D)|(kpr)|(kdp)|(\|lc)|(penalty))" /e /r /s</v>
      </c>
      <c r="U42" s="9" t="str">
        <f t="shared" si="12"/>
        <v>4014</v>
      </c>
      <c r="V42" s="32">
        <f t="shared" si="13"/>
        <v>42802.337465277778</v>
      </c>
      <c r="W42" s="46" t="str">
        <f t="shared" si="14"/>
        <v>EC</v>
      </c>
      <c r="X42" s="46" t="str">
        <f t="shared" si="15"/>
        <v>KEEP</v>
      </c>
      <c r="Y42" s="108" t="str">
        <f t="shared" si="16"/>
        <v>echo {"issue":{"subject":"","project_id":79,"tracker_id":40,"status_id":1,"priority_id":2,"assigned_to_id":23,"start_date":"2017-03-08","description":"","custom_fields":[{"id":1,"name":"Subdivision","value":"EC"},{"id":4,"name":"Milepost","value":"23.3491"},{"id":17,"name":"Train ID","value":"243-07"},{"id":16,"name":"Locomotive ID","value":"4014"},{"id":130,"name":"Impact","value":""},{"id":150,"name":"Time of Event (Mountain Time)","value":"01:05:57"},{"id":151,"name":"Denver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 t="shared" si="17"/>
        <v>grep -hSE -A400 "Enforcement Action" "%USERPROFILE%\AppData\Local\Temp\OnboardLogs"\RTDC4014\*4014*201703080* | grep -SE "((Enforcement Ac)|(PRM.+XING))"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"%USERPROFILE%\AppData\Local\Temp\OnboardLogs"\RTDC4014\*4014*201703080* &gt;&gt; 2017-03-07-SliceDisagreementCheck.txt</v>
      </c>
      <c r="AE42" s="157" t="str">
        <f t="shared" si="9"/>
        <v>start /low /b %USERPROFILE%\Documents\GitHub\eaglep3\Utilities\DownloadLogsFromS3.py --loco 4014 --day 2017-03-08</v>
      </c>
      <c r="AF42" s="1"/>
    </row>
    <row r="43" spans="1:32" x14ac:dyDescent="0.25">
      <c r="A43" s="32">
        <v>42801.329085648147</v>
      </c>
      <c r="B43" s="30" t="s">
        <v>558</v>
      </c>
      <c r="C43" s="30" t="s">
        <v>559</v>
      </c>
      <c r="D43" s="30" t="s">
        <v>49</v>
      </c>
      <c r="E43" s="30" t="s">
        <v>195</v>
      </c>
      <c r="F43" s="43">
        <v>360</v>
      </c>
      <c r="G43" s="43">
        <v>423</v>
      </c>
      <c r="H43" s="43">
        <v>8228</v>
      </c>
      <c r="I43" s="43">
        <v>9535</v>
      </c>
      <c r="J43" s="30" t="s">
        <v>196</v>
      </c>
      <c r="K43" s="43">
        <v>10714</v>
      </c>
      <c r="L43" s="143" t="s">
        <v>50</v>
      </c>
      <c r="M43" s="144">
        <f t="shared" si="10"/>
        <v>622.51199999999994</v>
      </c>
      <c r="N43" s="145" t="str">
        <f>VLOOKUP(C43,'Trips&amp;Operators'!$C$1:$G$99999,5,FALSE)</f>
        <v>YANAI IAN</v>
      </c>
      <c r="O43" s="194" t="s">
        <v>185</v>
      </c>
      <c r="P43" s="146" t="s">
        <v>251</v>
      </c>
      <c r="Q43" s="30"/>
      <c r="R43" s="89" t="str">
        <f>VLOOKUP(C43,'Train Runs'!$A$13:$AE$9945,31,0)</f>
        <v>aws s3 cp s3://rtdc.mdm.uploadarchive.raw/RTDC4025/ "%USERPROFILE%\AppData\Local\Temp\OnboardLogs"\RTDC4025\2017-03-07 --exclude "*" --recursive --include "*20170307*" &amp; "%USERPROFILE%\Documents\GitHub\mrs-test-scripts\Headless Mode &amp; Sideloading\WalkAndUnGZ.bat" "%USERPROFILE%\AppData\Local\Temp\OnboardLogs"\RTDC4025\2017-03-07 &amp; aws s3 cp s3://rtdc.mdm.uploadarchive.raw/RTDC4025/ "%USERPROFILE%\AppData\Local\Temp\OnboardLogs"\RTDC4025\2017-03-08 --exclude "*" --recursive --include "*20170308*" &amp; "%USERPROFILE%\Documents\GitHub\mrs-test-scripts\Headless Mode &amp; Sideloading\WalkAndUnGZ.bat" "%USERPROFILE%\AppData\Local\Temp\OnboardLogs"\RTDC4025\2017-03-08</v>
      </c>
      <c r="S43" s="92" t="str">
        <f>VLOOKUP(C43,'Train Runs'!$A$13:$AE$9945,22,0)</f>
        <v>https://d0f6bd738d7f1b3e5a7ca70fe4ff75f0.us-east-1.aws.found.io/app/kibana#/discover/Steve-Slow-Train-Analysis-(2080s-and-2083s)?_g=(refreshInterval:(display:Off,pause:!f,section:0,value:0),time:(from:'2017-03-07T06:33:55-0700',mode:absolute,to:'2017-03-07T09:04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3" s="94" t="str">
        <f t="shared" si="11"/>
        <v>"C:\Program Files (x86)\AstroGrep\AstroGrep.exe" /spath="%USERPROFILE%\AppData\Local\Temp\OnboardLogs" /stypes="*4025*201703071*" /stext=" 14:.+((SYSTEM_STATE.+slice.+state.+changed )|(ment ac)|(multiple cpu faults)|(system.+state.+changed )|(\[timeout)|(PRM\|1\|D)|(kpr)|(kdp)|(\|lc)|(penalty))" /e /r /s</v>
      </c>
      <c r="U43" s="9" t="str">
        <f t="shared" si="12"/>
        <v>4025</v>
      </c>
      <c r="V43" s="32">
        <f t="shared" si="13"/>
        <v>42801.620752314811</v>
      </c>
      <c r="W43" s="46" t="str">
        <f t="shared" si="14"/>
        <v>NW</v>
      </c>
      <c r="X43" s="46" t="str">
        <f t="shared" si="15"/>
        <v>KEEP</v>
      </c>
      <c r="Y43" s="108" t="str">
        <f t="shared" si="16"/>
        <v>echo {"issue":{"subject":"Early arrival","project_id":79,"tracker_id":40,"status_id":1,"priority_id":2,"assigned_to_id":23,"start_date":"2017-03-07","description":"","custom_fields":[{"id":1,"name":"Subdivision","value":"NW"},{"id":4,"name":"Milepost","value":"1.0714"},{"id":17,"name":"Train ID","value":"809-07"},{"id":16,"name":"Locomotive ID","value":"4025"},{"id":130,"name":"Impact","value":""},{"id":150,"name":"Time of Event (Mountain Time)","value":"07:53:53"},{"id":151,"name":"Denver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48"/>
      <c r="AA43" s="48"/>
      <c r="AB43" s="48"/>
      <c r="AC43" s="127" t="str">
        <f t="shared" si="17"/>
        <v>grep -hSE -A400 "Enforcement Action" "%USERPROFILE%\AppData\Local\Temp\OnboardLogs"\RTDC4025\*4025*201703071* | grep -SE "((Enforcement Ac)|(PRM.+XING))"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"%USERPROFILE%\AppData\Local\Temp\OnboardLogs"\RTDC4025\*4025*201703071* &gt;&gt; 2017-03-07-SliceDisagreementCheck.txt</v>
      </c>
      <c r="AE43" s="157" t="str">
        <f t="shared" si="9"/>
        <v>start /low /b %USERPROFILE%\Documents\GitHub\eaglep3\Utilities\DownloadLogsFromS3.py --loco 4025 --day 2017-03-07</v>
      </c>
      <c r="AF43" s="1"/>
    </row>
    <row r="44" spans="1:32" x14ac:dyDescent="0.25">
      <c r="A44" s="32">
        <v>42801.367106481484</v>
      </c>
      <c r="B44" s="30" t="s">
        <v>273</v>
      </c>
      <c r="C44" s="30" t="s">
        <v>561</v>
      </c>
      <c r="D44" s="30" t="s">
        <v>49</v>
      </c>
      <c r="E44" s="30" t="s">
        <v>229</v>
      </c>
      <c r="F44" s="43">
        <v>300</v>
      </c>
      <c r="G44" s="43">
        <v>426</v>
      </c>
      <c r="H44" s="43">
        <v>24514</v>
      </c>
      <c r="I44" s="43">
        <v>23328</v>
      </c>
      <c r="J44" s="30" t="s">
        <v>230</v>
      </c>
      <c r="K44" s="43">
        <v>23561</v>
      </c>
      <c r="L44" s="143" t="s">
        <v>51</v>
      </c>
      <c r="M44" s="144">
        <f t="shared" si="10"/>
        <v>-123.024</v>
      </c>
      <c r="N44" s="145" t="str">
        <f>VLOOKUP(C44,'Trips&amp;Operators'!$C$1:$G$99999,5,FALSE)</f>
        <v>BROWN JACOB</v>
      </c>
      <c r="O44" s="194" t="s">
        <v>185</v>
      </c>
      <c r="P44" s="146"/>
      <c r="Q44" s="30"/>
      <c r="R44" s="89" t="str">
        <f>VLOOKUP(C44,'Train Runs'!$A$13:$AE$9945,31,0)</f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S44" s="92" t="str">
        <f>VLOOKUP(C44,'Train Runs'!$A$13:$AE$9945,22,0)</f>
        <v>https://d0f6bd738d7f1b3e5a7ca70fe4ff75f0.us-east-1.aws.found.io/app/kibana#/discover/Steve-Slow-Train-Analysis-(2080s-and-2083s)?_g=(refreshInterval:(display:Off,pause:!f,section:0,value:0),time:(from:'2017-03-07T07:35:35-0700',mode:absolute,to:'2017-03-07T09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4" s="94" t="str">
        <f t="shared" si="11"/>
        <v>"C:\Program Files (x86)\AstroGrep\AstroGrep.exe" /spath="%USERPROFILE%\AppData\Local\Temp\OnboardLogs" /stypes="*4032*201703071*" /stext=" 15:.+((SYSTEM_STATE.+slice.+state.+changed )|(ment ac)|(multiple cpu faults)|(system.+state.+changed )|(\[timeout)|(PRM\|1\|D)|(kpr)|(kdp)|(\|lc)|(penalty))" /e /r /s</v>
      </c>
      <c r="U44" s="9" t="str">
        <f t="shared" si="12"/>
        <v>4032</v>
      </c>
      <c r="V44" s="32">
        <f t="shared" si="13"/>
        <v>42801.658773148149</v>
      </c>
      <c r="W44" s="46" t="str">
        <f t="shared" si="14"/>
        <v>NW</v>
      </c>
      <c r="X44" s="46" t="str">
        <f t="shared" si="15"/>
        <v>KEEP</v>
      </c>
      <c r="Y44" s="108" t="str">
        <f t="shared" si="16"/>
        <v>echo {"issue":{"subject":"","project_id":79,"tracker_id":40,"status_id":1,"priority_id":2,"assigned_to_id":23,"start_date":"2017-03-07","description":"","custom_fields":[{"id":1,"name":"Subdivision","value":"NW"},{"id":4,"name":"Milepost","value":"2.3561"},{"id":17,"name":"Train ID","value":"812-07"},{"id":16,"name":"Locomotive ID","value":"4032"},{"id":130,"name":"Impact","value":""},{"id":150,"name":"Time of Event (Mountain Time)","value":"08:48:38"},{"id":151,"name":"Denver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48"/>
      <c r="AA44" s="48"/>
      <c r="AB44" s="48"/>
      <c r="AC44" s="127" t="str">
        <f t="shared" si="17"/>
        <v>grep -hSE -A400 "Enforcement Action" "%USERPROFILE%\AppData\Local\Temp\OnboardLogs"\RTDC4032\*4032*201703071* | grep -SE "((Enforcement Ac)|(PRM.+XING))"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"%USERPROFILE%\AppData\Local\Temp\OnboardLogs"\RTDC4032\*4032*201703071* &gt;&gt; 2017-03-07-SliceDisagreementCheck.txt</v>
      </c>
      <c r="AE44" s="157" t="str">
        <f t="shared" si="9"/>
        <v>start /low /b %USERPROFILE%\Documents\GitHub\eaglep3\Utilities\DownloadLogsFromS3.py --loco 4032 --day 2017-03-07</v>
      </c>
      <c r="AF44" s="1"/>
    </row>
    <row r="45" spans="1:32" x14ac:dyDescent="0.25">
      <c r="A45" s="32">
        <v>42801.562361111108</v>
      </c>
      <c r="B45" s="30" t="s">
        <v>429</v>
      </c>
      <c r="C45" s="30" t="s">
        <v>571</v>
      </c>
      <c r="D45" s="30" t="s">
        <v>49</v>
      </c>
      <c r="E45" s="30" t="s">
        <v>229</v>
      </c>
      <c r="F45" s="43">
        <v>400</v>
      </c>
      <c r="G45" s="43">
        <v>468</v>
      </c>
      <c r="H45" s="43">
        <v>46740</v>
      </c>
      <c r="I45" s="43">
        <v>48041</v>
      </c>
      <c r="J45" s="30" t="s">
        <v>230</v>
      </c>
      <c r="K45" s="43">
        <v>47810</v>
      </c>
      <c r="L45" s="143" t="s">
        <v>50</v>
      </c>
      <c r="M45" s="144">
        <f t="shared" si="10"/>
        <v>-121.968</v>
      </c>
      <c r="N45" s="145" t="str">
        <f>VLOOKUP(C45,'Trips&amp;Operators'!$C$1:$G$99999,5,FALSE)</f>
        <v>LEVIN SCOTT</v>
      </c>
      <c r="O45" s="194" t="s">
        <v>185</v>
      </c>
      <c r="P45" s="146"/>
      <c r="Q45" s="30"/>
      <c r="R45" s="89" t="str">
        <f>VLOOKUP(C45,'Train Runs'!$A$13:$AE$9945,31,0)</f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S45" s="92" t="str">
        <f>VLOOKUP(C45,'Train Runs'!$A$13:$AE$9945,22,0)</f>
        <v>https://d0f6bd738d7f1b3e5a7ca70fe4ff75f0.us-east-1.aws.found.io/app/kibana#/discover/Steve-Slow-Train-Analysis-(2080s-and-2083s)?_g=(refreshInterval:(display:Off,pause:!f,section:0,value:0),time:(from:'2017-03-07T12:11:13-0700',mode:absolute,to:'2017-03-07T14:34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5" s="94" t="str">
        <f t="shared" si="11"/>
        <v>"C:\Program Files (x86)\AstroGrep\AstroGrep.exe" /spath="%USERPROFILE%\AppData\Local\Temp\OnboardLogs" /stypes="*4031*201703072*" /stext=" 20:.+((SYSTEM_STATE.+slice.+state.+changed )|(ment ac)|(multiple cpu faults)|(system.+state.+changed )|(\[timeout)|(PRM\|1\|D)|(kpr)|(kdp)|(\|lc)|(penalty))" /e /r /s</v>
      </c>
      <c r="U45" s="9" t="str">
        <f t="shared" si="12"/>
        <v>4031</v>
      </c>
      <c r="V45" s="32">
        <f t="shared" si="13"/>
        <v>42801.854027777772</v>
      </c>
      <c r="W45" s="46" t="str">
        <f t="shared" si="14"/>
        <v>NW</v>
      </c>
      <c r="X45" s="46" t="str">
        <f t="shared" si="15"/>
        <v>KEEP</v>
      </c>
      <c r="Y45" s="108" t="str">
        <f t="shared" si="16"/>
        <v>echo {"issue":{"subject":"","project_id":79,"tracker_id":40,"status_id":1,"priority_id":2,"assigned_to_id":23,"start_date":"2017-03-07","description":"","custom_fields":[{"id":1,"name":"Subdivision","value":"NW"},{"id":4,"name":"Milepost","value":"4.781"},{"id":17,"name":"Train ID","value":"821-07"},{"id":16,"name":"Locomotive ID","value":"4031"},{"id":130,"name":"Impact","value":""},{"id":150,"name":"Time of Event (Mountain Time)","value":"13:29:48"},{"id":151,"name":"Denver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48"/>
      <c r="AA45" s="48"/>
      <c r="AB45" s="48"/>
      <c r="AC45" s="127" t="str">
        <f t="shared" si="17"/>
        <v>grep -hSE -A400 "Enforcement Action" "%USERPROFILE%\AppData\Local\Temp\OnboardLogs"\RTDC4031\*4031*201703072* | grep -SE "((Enforcement Ac)|(PRM.+XING))"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"%USERPROFILE%\AppData\Local\Temp\OnboardLogs"\RTDC4031\*4031*201703072* &gt;&gt; 2017-03-07-SliceDisagreementCheck.txt</v>
      </c>
      <c r="AE45" s="157" t="str">
        <f t="shared" si="9"/>
        <v>start /low /b %USERPROFILE%\Documents\GitHub\eaglep3\Utilities\DownloadLogsFromS3.py --loco 4031 --day 2017-03-07</v>
      </c>
      <c r="AF45" s="1"/>
    </row>
    <row r="46" spans="1:32" x14ac:dyDescent="0.25">
      <c r="A46" s="32">
        <v>42801.225682870368</v>
      </c>
      <c r="B46" s="30" t="s">
        <v>550</v>
      </c>
      <c r="C46" s="30" t="s">
        <v>551</v>
      </c>
      <c r="D46" s="30" t="s">
        <v>49</v>
      </c>
      <c r="E46" s="30" t="s">
        <v>186</v>
      </c>
      <c r="F46" s="43">
        <v>0</v>
      </c>
      <c r="G46" s="43">
        <v>21</v>
      </c>
      <c r="H46" s="43">
        <v>652</v>
      </c>
      <c r="I46" s="43">
        <v>640</v>
      </c>
      <c r="J46" s="30" t="s">
        <v>187</v>
      </c>
      <c r="K46" s="43">
        <v>575</v>
      </c>
      <c r="L46" s="143" t="s">
        <v>51</v>
      </c>
      <c r="M46" s="144">
        <f t="shared" si="10"/>
        <v>34.32</v>
      </c>
      <c r="N46" s="145" t="str">
        <f>VLOOKUP(C46,'Trips&amp;Operators'!$C$1:$G$99999,5,FALSE)</f>
        <v>YANAI IAN</v>
      </c>
      <c r="O46" s="194" t="s">
        <v>185</v>
      </c>
      <c r="P46" s="146"/>
      <c r="Q46" s="30"/>
      <c r="R46" s="89" t="str">
        <f>VLOOKUP(C46,'Train Runs'!$A$13:$AE$9945,31,0)</f>
        <v>aws s3 cp s3://rtdc.mdm.uploadarchive.raw/RTDC4026/ "%USERPROFILE%\AppData\Local\Temp\OnboardLogs"\RTDC4026\2017-03-07 --exclude "*" --recursive --include "*20170307*" &amp; "%USERPROFILE%\Documents\GitHub\mrs-test-scripts\Headless Mode &amp; Sideloading\WalkAndUnGZ.bat" "%USERPROFILE%\AppData\Local\Temp\OnboardLogs"\RTDC4026\2017-03-07 &amp; aws s3 cp s3://rtdc.mdm.uploadarchive.raw/RTDC4026/ "%USERPROFILE%\AppData\Local\Temp\OnboardLogs"\RTDC4026\2017-03-08 --exclude "*" --recursive --include "*20170308*" &amp; "%USERPROFILE%\Documents\GitHub\mrs-test-scripts\Headless Mode &amp; Sideloading\WalkAndUnGZ.bat" "%USERPROFILE%\AppData\Local\Temp\OnboardLogs"\RTDC4026\2017-03-08</v>
      </c>
      <c r="S46" s="92" t="str">
        <f>VLOOKUP(C46,'Train Runs'!$A$13:$AE$9945,22,0)</f>
        <v>https://d0f6bd738d7f1b3e5a7ca70fe4ff75f0.us-east-1.aws.found.io/app/kibana#/discover/Steve-Slow-Train-Analysis-(2080s-and-2083s)?_g=(refreshInterval:(display:Off,pause:!f,section:0,value:0),time:(from:'2017-03-07T03:54:22-0700',mode:absolute,to:'2017-03-07T06:24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6" s="94" t="str">
        <f t="shared" si="11"/>
        <v>"C:\Program Files (x86)\AstroGrep\AstroGrep.exe" /spath="%USERPROFILE%\AppData\Local\Temp\OnboardLogs" /stypes="*4026*201703071*" /stext=" 12:.+((SYSTEM_STATE.+slice.+state.+changed )|(ment ac)|(multiple cpu faults)|(system.+state.+changed )|(\[timeout)|(PRM\|1\|D)|(kpr)|(kdp)|(\|lc)|(penalty))" /e /r /s</v>
      </c>
      <c r="U46" s="9" t="str">
        <f t="shared" si="12"/>
        <v>4026</v>
      </c>
      <c r="V46" s="32">
        <f t="shared" si="13"/>
        <v>42801.517349537033</v>
      </c>
      <c r="W46" s="46" t="str">
        <f t="shared" si="14"/>
        <v>NW</v>
      </c>
      <c r="X46" s="46" t="str">
        <f t="shared" si="15"/>
        <v>KEEP</v>
      </c>
      <c r="Y46" s="108" t="str">
        <f t="shared" si="16"/>
        <v>echo {"issue":{"subject":"","project_id":79,"tracker_id":40,"status_id":1,"priority_id":2,"assigned_to_id":23,"start_date":"2017-03-07","description":"","custom_fields":[{"id":1,"name":"Subdivision","value":"NW"},{"id":4,"name":"Milepost","value":"0.0575"},{"id":17,"name":"Train ID","value":"800-07"},{"id":16,"name":"Locomotive ID","value":"4026"},{"id":130,"name":"Impact","value":""},{"id":150,"name":"Time of Event (Mountain Time)","value":"05:24:59"},{"id":151,"name":"Denver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48"/>
      <c r="AA46" s="48"/>
      <c r="AB46" s="48"/>
      <c r="AC46" s="127" t="str">
        <f t="shared" si="17"/>
        <v>grep -hSE -A400 "Enforcement Action" "%USERPROFILE%\AppData\Local\Temp\OnboardLogs"\RTDC4026\*4026*201703071* | grep -SE "((Enforcement Ac)|(PRM.+XING))"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"%USERPROFILE%\AppData\Local\Temp\OnboardLogs"\RTDC4026\*4026*201703071* &gt;&gt; 2017-03-07-SliceDisagreementCheck.txt</v>
      </c>
      <c r="AE46" s="157" t="str">
        <f t="shared" si="9"/>
        <v>start /low /b %USERPROFILE%\Documents\GitHub\eaglep3\Utilities\DownloadLogsFromS3.py --loco 4026 --day 2017-03-07</v>
      </c>
      <c r="AF46" s="1"/>
    </row>
    <row r="47" spans="1:32" x14ac:dyDescent="0.25">
      <c r="A47" s="32">
        <v>42801.28800925926</v>
      </c>
      <c r="B47" s="30" t="s">
        <v>273</v>
      </c>
      <c r="C47" s="30" t="s">
        <v>556</v>
      </c>
      <c r="D47" s="30" t="s">
        <v>49</v>
      </c>
      <c r="E47" s="30" t="s">
        <v>186</v>
      </c>
      <c r="F47" s="43">
        <v>0</v>
      </c>
      <c r="G47" s="43">
        <v>165</v>
      </c>
      <c r="H47" s="43">
        <v>1427</v>
      </c>
      <c r="I47" s="43">
        <v>1212</v>
      </c>
      <c r="J47" s="30" t="s">
        <v>187</v>
      </c>
      <c r="K47" s="43">
        <v>575</v>
      </c>
      <c r="L47" s="143" t="s">
        <v>51</v>
      </c>
      <c r="M47" s="144">
        <f t="shared" si="10"/>
        <v>336.33600000000001</v>
      </c>
      <c r="N47" s="145" t="str">
        <f>VLOOKUP(C47,'Trips&amp;Operators'!$C$1:$G$99999,5,FALSE)</f>
        <v>BROWN JACOB</v>
      </c>
      <c r="O47" s="194" t="s">
        <v>185</v>
      </c>
      <c r="P47" s="146"/>
      <c r="Q47" s="30"/>
      <c r="R47" s="89" t="str">
        <f>VLOOKUP(C47,'Train Runs'!$A$13:$AE$9945,31,0)</f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S47" s="92" t="str">
        <f>VLOOKUP(C47,'Train Runs'!$A$13:$AE$9945,22,0)</f>
        <v>https://d0f6bd738d7f1b3e5a7ca70fe4ff75f0.us-east-1.aws.found.io/app/kibana#/discover/Steve-Slow-Train-Analysis-(2080s-and-2083s)?_g=(refreshInterval:(display:Off,pause:!f,section:0,value:0),time:(from:'2017-03-07T05:36:38-0700',mode:absolute,to:'2017-03-07T07:54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7" s="94" t="str">
        <f t="shared" si="11"/>
        <v>"C:\Program Files (x86)\AstroGrep\AstroGrep.exe" /spath="%USERPROFILE%\AppData\Local\Temp\OnboardLogs" /stypes="*4032*201703071*" /stext=" 13:.+((SYSTEM_STATE.+slice.+state.+changed )|(ment ac)|(multiple cpu faults)|(system.+state.+changed )|(\[timeout)|(PRM\|1\|D)|(kpr)|(kdp)|(\|lc)|(penalty))" /e /r /s</v>
      </c>
      <c r="U47" s="9" t="str">
        <f t="shared" si="12"/>
        <v>4032</v>
      </c>
      <c r="V47" s="32">
        <f t="shared" si="13"/>
        <v>42801.579675925925</v>
      </c>
      <c r="W47" s="46" t="str">
        <f t="shared" si="14"/>
        <v>NW</v>
      </c>
      <c r="X47" s="46" t="str">
        <f t="shared" si="15"/>
        <v>KEEP</v>
      </c>
      <c r="Y47" s="108" t="str">
        <f t="shared" si="16"/>
        <v>echo {"issue":{"subject":"","project_id":79,"tracker_id":40,"status_id":1,"priority_id":2,"assigned_to_id":23,"start_date":"2017-03-07","description":"","custom_fields":[{"id":1,"name":"Subdivision","value":"NW"},{"id":4,"name":"Milepost","value":"0.0575"},{"id":17,"name":"Train ID","value":"804-07"},{"id":16,"name":"Locomotive ID","value":"4032"},{"id":130,"name":"Impact","value":""},{"id":150,"name":"Time of Event (Mountain Time)","value":"06:54:44"},{"id":151,"name":"Denver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48"/>
      <c r="AA47" s="48"/>
      <c r="AB47" s="48"/>
      <c r="AC47" s="127" t="str">
        <f t="shared" si="17"/>
        <v>grep -hSE -A400 "Enforcement Action" "%USERPROFILE%\AppData\Local\Temp\OnboardLogs"\RTDC4032\*4032*201703071* | grep -SE "((Enforcement Ac)|(PRM.+XING))"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"%USERPROFILE%\AppData\Local\Temp\OnboardLogs"\RTDC4032\*4032*201703071* &gt;&gt; 2017-03-07-SliceDisagreementCheck.txt</v>
      </c>
      <c r="AE47" s="157" t="str">
        <f t="shared" si="9"/>
        <v>start /low /b %USERPROFILE%\Documents\GitHub\eaglep3\Utilities\DownloadLogsFromS3.py --loco 4032 --day 2017-03-07</v>
      </c>
      <c r="AF47" s="1"/>
    </row>
    <row r="48" spans="1:32" x14ac:dyDescent="0.25">
      <c r="A48" s="32">
        <v>42801.579629629632</v>
      </c>
      <c r="B48" s="30" t="s">
        <v>273</v>
      </c>
      <c r="C48" s="30" t="s">
        <v>572</v>
      </c>
      <c r="D48" s="30" t="s">
        <v>49</v>
      </c>
      <c r="E48" s="30" t="s">
        <v>186</v>
      </c>
      <c r="F48" s="43">
        <v>0</v>
      </c>
      <c r="G48" s="43">
        <v>37</v>
      </c>
      <c r="H48" s="43">
        <v>671</v>
      </c>
      <c r="I48" s="43">
        <v>638</v>
      </c>
      <c r="J48" s="30" t="s">
        <v>187</v>
      </c>
      <c r="K48" s="43">
        <v>575</v>
      </c>
      <c r="L48" s="143" t="s">
        <v>51</v>
      </c>
      <c r="M48" s="144">
        <f t="shared" si="10"/>
        <v>33.264000000000003</v>
      </c>
      <c r="N48" s="145" t="str">
        <f>VLOOKUP(C48,'Trips&amp;Operators'!$C$1:$G$99999,5,FALSE)</f>
        <v>LEVIN SCOTT</v>
      </c>
      <c r="O48" s="194" t="s">
        <v>185</v>
      </c>
      <c r="P48" s="146"/>
      <c r="Q48" s="30"/>
      <c r="R48" s="89" t="str">
        <f>VLOOKUP(C48,'Train Runs'!$A$13:$AE$9945,31,0)</f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S48" s="92" t="str">
        <f>VLOOKUP(C48,'Train Runs'!$A$13:$AE$9945,22,0)</f>
        <v>https://d0f6bd738d7f1b3e5a7ca70fe4ff75f0.us-east-1.aws.found.io/app/kibana#/discover/Steve-Slow-Train-Analysis-(2080s-and-2083s)?_g=(refreshInterval:(display:Off,pause:!f,section:0,value:0),time:(from:'2017-03-07T12:36:17-0700',mode:absolute,to:'2017-03-07T14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8" s="94" t="str">
        <f t="shared" si="11"/>
        <v>"C:\Program Files (x86)\AstroGrep\AstroGrep.exe" /spath="%USERPROFILE%\AppData\Local\Temp\OnboardLogs" /stypes="*4032*201703072*" /stext=" 20:.+((SYSTEM_STATE.+slice.+state.+changed )|(ment ac)|(multiple cpu faults)|(system.+state.+changed )|(\[timeout)|(PRM\|1\|D)|(kpr)|(kdp)|(\|lc)|(penalty))" /e /r /s</v>
      </c>
      <c r="U48" s="9" t="str">
        <f t="shared" si="12"/>
        <v>4032</v>
      </c>
      <c r="V48" s="32">
        <f t="shared" si="13"/>
        <v>42801.871296296296</v>
      </c>
      <c r="W48" s="46" t="str">
        <f t="shared" si="14"/>
        <v>NW</v>
      </c>
      <c r="X48" s="46" t="str">
        <f t="shared" si="15"/>
        <v>KEEP</v>
      </c>
      <c r="Y48" s="108" t="str">
        <f t="shared" si="16"/>
        <v>echo {"issue":{"subject":"","project_id":79,"tracker_id":40,"status_id":1,"priority_id":2,"assigned_to_id":23,"start_date":"2017-03-07","description":"","custom_fields":[{"id":1,"name":"Subdivision","value":"NW"},{"id":4,"name":"Milepost","value":"0.0575"},{"id":17,"name":"Train ID","value":"822-07"},{"id":16,"name":"Locomotive ID","value":"4032"},{"id":130,"name":"Impact","value":""},{"id":150,"name":"Time of Event (Mountain Time)","value":"13:54:40"},{"id":151,"name":"Denver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48"/>
      <c r="AA48" s="48"/>
      <c r="AB48" s="48"/>
      <c r="AC48" s="127" t="str">
        <f t="shared" si="17"/>
        <v>grep -hSE -A400 "Enforcement Action" "%USERPROFILE%\AppData\Local\Temp\OnboardLogs"\RTDC4032\*4032*201703072* | grep -SE "((Enforcement Ac)|(PRM.+XING))"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"%USERPROFILE%\AppData\Local\Temp\OnboardLogs"\RTDC4032\*4032*201703072* &gt;&gt; 2017-03-07-SliceDisagreementCheck.txt</v>
      </c>
      <c r="AE48" s="157" t="str">
        <f t="shared" si="9"/>
        <v>start /low /b %USERPROFILE%\Documents\GitHub\eaglep3\Utilities\DownloadLogsFromS3.py --loco 4032 --day 2017-03-07</v>
      </c>
      <c r="AF48" s="1"/>
    </row>
    <row r="49" spans="1:32" x14ac:dyDescent="0.25">
      <c r="A49" s="32">
        <v>42801.704814814817</v>
      </c>
      <c r="B49" s="30" t="s">
        <v>273</v>
      </c>
      <c r="C49" s="30" t="s">
        <v>586</v>
      </c>
      <c r="D49" s="30" t="s">
        <v>49</v>
      </c>
      <c r="E49" s="30" t="s">
        <v>186</v>
      </c>
      <c r="F49" s="43">
        <v>0</v>
      </c>
      <c r="G49" s="43">
        <v>38</v>
      </c>
      <c r="H49" s="43">
        <v>685</v>
      </c>
      <c r="I49" s="43">
        <v>657</v>
      </c>
      <c r="J49" s="30" t="s">
        <v>187</v>
      </c>
      <c r="K49" s="43">
        <v>575</v>
      </c>
      <c r="L49" s="143" t="s">
        <v>51</v>
      </c>
      <c r="M49" s="144">
        <f t="shared" si="10"/>
        <v>43.296000000000006</v>
      </c>
      <c r="N49" s="145" t="str">
        <f>VLOOKUP(C49,'Trips&amp;Operators'!$C$1:$G$99999,5,FALSE)</f>
        <v>LEVIN SCOTT</v>
      </c>
      <c r="O49" s="194" t="s">
        <v>185</v>
      </c>
      <c r="P49" s="146"/>
      <c r="Q49" s="30"/>
      <c r="R49" s="89" t="str">
        <f>VLOOKUP(C49,'Train Runs'!$A$13:$AE$9945,31,0)</f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S49" s="92" t="str">
        <f>VLOOKUP(C49,'Train Runs'!$A$13:$AE$9945,22,0)</f>
        <v>https://d0f6bd738d7f1b3e5a7ca70fe4ff75f0.us-east-1.aws.found.io/app/kibana#/discover/Steve-Slow-Train-Analysis-(2080s-and-2083s)?_g=(refreshInterval:(display:Off,pause:!f,section:0,value:0),time:(from:'2017-03-07T15:37:49-0700',mode:absolute,to:'2017-03-07T17:54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9" s="94" t="str">
        <f t="shared" si="11"/>
        <v>"C:\Program Files (x86)\AstroGrep\AstroGrep.exe" /spath="%USERPROFILE%\AppData\Local\Temp\OnboardLogs" /stypes="*4032*201703072*" /stext=" 23:.+((SYSTEM_STATE.+slice.+state.+changed )|(ment ac)|(multiple cpu faults)|(system.+state.+changed )|(\[timeout)|(PRM\|1\|D)|(kpr)|(kdp)|(\|lc)|(penalty))" /e /r /s</v>
      </c>
      <c r="U49" s="9" t="str">
        <f t="shared" si="12"/>
        <v>4032</v>
      </c>
      <c r="V49" s="32">
        <f t="shared" si="13"/>
        <v>42801.996481481481</v>
      </c>
      <c r="W49" s="46" t="str">
        <f t="shared" si="14"/>
        <v>NW</v>
      </c>
      <c r="X49" s="46" t="str">
        <f t="shared" si="15"/>
        <v>KEEP</v>
      </c>
      <c r="Y49" s="108" t="str">
        <f t="shared" si="16"/>
        <v>echo {"issue":{"subject":"","project_id":79,"tracker_id":40,"status_id":1,"priority_id":2,"assigned_to_id":23,"start_date":"2017-03-07","description":"","custom_fields":[{"id":1,"name":"Subdivision","value":"NW"},{"id":4,"name":"Milepost","value":"0.0575"},{"id":17,"name":"Train ID","value":"830-07"},{"id":16,"name":"Locomotive ID","value":"4032"},{"id":130,"name":"Impact","value":""},{"id":150,"name":"Time of Event (Mountain Time)","value":"16:54:56"},{"id":151,"name":"Denver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48"/>
      <c r="AA49" s="48"/>
      <c r="AB49" s="48"/>
      <c r="AC49" s="127" t="str">
        <f t="shared" si="17"/>
        <v>grep -hSE -A400 "Enforcement Action" "%USERPROFILE%\AppData\Local\Temp\OnboardLogs"\RTDC4032\*4032*201703072* | grep -SE "((Enforcement Ac)|(PRM.+XING))"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"%USERPROFILE%\AppData\Local\Temp\OnboardLogs"\RTDC4032\*4032*201703072* &gt;&gt; 2017-03-07-SliceDisagreementCheck.txt</v>
      </c>
      <c r="AE49" s="157" t="str">
        <f t="shared" si="9"/>
        <v>start /low /b %USERPROFILE%\Documents\GitHub\eaglep3\Utilities\DownloadLogsFromS3.py --loco 4032 --day 2017-03-07</v>
      </c>
      <c r="AF49" s="1"/>
    </row>
    <row r="50" spans="1:32" x14ac:dyDescent="0.25">
      <c r="A50" s="32">
        <v>42801.273831018516</v>
      </c>
      <c r="B50" s="30" t="s">
        <v>429</v>
      </c>
      <c r="C50" s="30" t="s">
        <v>554</v>
      </c>
      <c r="D50" s="30" t="s">
        <v>49</v>
      </c>
      <c r="E50" s="30" t="s">
        <v>186</v>
      </c>
      <c r="F50" s="43">
        <v>0</v>
      </c>
      <c r="G50" s="43">
        <v>84</v>
      </c>
      <c r="H50" s="43">
        <v>58775</v>
      </c>
      <c r="I50" s="43">
        <v>58852</v>
      </c>
      <c r="J50" s="30" t="s">
        <v>187</v>
      </c>
      <c r="K50" s="43">
        <v>59048</v>
      </c>
      <c r="L50" s="143" t="s">
        <v>50</v>
      </c>
      <c r="M50" s="144">
        <f t="shared" si="10"/>
        <v>103.488</v>
      </c>
      <c r="N50" s="145" t="str">
        <f>VLOOKUP(C50,'Trips&amp;Operators'!$C$1:$G$99999,5,FALSE)</f>
        <v>BROWN JACOB</v>
      </c>
      <c r="O50" s="194" t="s">
        <v>185</v>
      </c>
      <c r="P50" s="146"/>
      <c r="Q50" s="30"/>
      <c r="R50" s="89" t="str">
        <f>VLOOKUP(C50,'Train Runs'!$A$13:$AE$9945,31,0)</f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S50" s="92" t="str">
        <f>VLOOKUP(C50,'Train Runs'!$A$13:$AE$9945,22,0)</f>
        <v>https://d0f6bd738d7f1b3e5a7ca70fe4ff75f0.us-east-1.aws.found.io/app/kibana#/discover/Steve-Slow-Train-Analysis-(2080s-and-2083s)?_g=(refreshInterval:(display:Off,pause:!f,section:0,value:0),time:(from:'2017-03-07T05:11:38-0700',mode:absolute,to:'2017-03-07T07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50" s="94" t="str">
        <f t="shared" si="11"/>
        <v>"C:\Program Files (x86)\AstroGrep\AstroGrep.exe" /spath="%USERPROFILE%\AppData\Local\Temp\OnboardLogs" /stypes="*4031*201703071*" /stext=" 13:.+((SYSTEM_STATE.+slice.+state.+changed )|(ment ac)|(multiple cpu faults)|(system.+state.+changed )|(\[timeout)|(PRM\|1\|D)|(kpr)|(kdp)|(\|lc)|(penalty))" /e /r /s</v>
      </c>
      <c r="U50" s="9" t="str">
        <f t="shared" si="12"/>
        <v>4031</v>
      </c>
      <c r="V50" s="32">
        <f t="shared" si="13"/>
        <v>42801.56549768518</v>
      </c>
      <c r="W50" s="46" t="str">
        <f t="shared" si="14"/>
        <v>NW</v>
      </c>
      <c r="X50" s="46" t="str">
        <f t="shared" si="15"/>
        <v>KEEP</v>
      </c>
      <c r="Y50" s="108" t="str">
        <f t="shared" si="16"/>
        <v>echo {"issue":{"subject":"","project_id":79,"tracker_id":40,"status_id":1,"priority_id":2,"assigned_to_id":23,"start_date":"2017-03-07","description":"","custom_fields":[{"id":1,"name":"Subdivision","value":"NW"},{"id":4,"name":"Milepost","value":"5.9048"},{"id":17,"name":"Train ID","value":"803-07"},{"id":16,"name":"Locomotive ID","value":"4031"},{"id":130,"name":"Impact","value":""},{"id":150,"name":"Time of Event (Mountain Time)","value":"06:34:19"},{"id":151,"name":"Denver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48"/>
      <c r="AA50" s="48"/>
      <c r="AB50" s="48"/>
      <c r="AC50" s="127" t="str">
        <f t="shared" si="17"/>
        <v>grep -hSE -A400 "Enforcement Action" "%USERPROFILE%\AppData\Local\Temp\OnboardLogs"\RTDC4031\*4031*201703071* | grep -SE "((Enforcement Ac)|(PRM.+XING))"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"%USERPROFILE%\AppData\Local\Temp\OnboardLogs"\RTDC4031\*4031*201703071* &gt;&gt; 2017-03-07-SliceDisagreementCheck.txt</v>
      </c>
      <c r="AE50" s="157" t="str">
        <f t="shared" si="9"/>
        <v>start /low /b %USERPROFILE%\Documents\GitHub\eaglep3\Utilities\DownloadLogsFromS3.py --loco 4031 --day 2017-03-07</v>
      </c>
      <c r="AF50" s="1"/>
    </row>
    <row r="51" spans="1:32" x14ac:dyDescent="0.25">
      <c r="A51" s="32">
        <v>42801.274224537039</v>
      </c>
      <c r="B51" s="30" t="s">
        <v>429</v>
      </c>
      <c r="C51" s="30" t="s">
        <v>554</v>
      </c>
      <c r="D51" s="30" t="s">
        <v>49</v>
      </c>
      <c r="E51" s="30" t="s">
        <v>186</v>
      </c>
      <c r="F51" s="43">
        <v>0</v>
      </c>
      <c r="G51" s="43">
        <v>39</v>
      </c>
      <c r="H51" s="43">
        <v>58888</v>
      </c>
      <c r="I51" s="43">
        <v>58931</v>
      </c>
      <c r="J51" s="30" t="s">
        <v>187</v>
      </c>
      <c r="K51" s="43">
        <v>59048</v>
      </c>
      <c r="L51" s="143" t="s">
        <v>50</v>
      </c>
      <c r="M51" s="144">
        <f t="shared" si="10"/>
        <v>61.776000000000003</v>
      </c>
      <c r="N51" s="145" t="str">
        <f>VLOOKUP(C51,'Trips&amp;Operators'!$C$1:$G$99999,5,FALSE)</f>
        <v>BROWN JACOB</v>
      </c>
      <c r="O51" s="194" t="s">
        <v>185</v>
      </c>
      <c r="P51" s="146"/>
      <c r="Q51" s="30"/>
      <c r="R51" s="89" t="str">
        <f>VLOOKUP(C51,'Train Runs'!$A$13:$AE$9945,31,0)</f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S51" s="92" t="str">
        <f>VLOOKUP(C51,'Train Runs'!$A$13:$AE$9945,22,0)</f>
        <v>https://d0f6bd738d7f1b3e5a7ca70fe4ff75f0.us-east-1.aws.found.io/app/kibana#/discover/Steve-Slow-Train-Analysis-(2080s-and-2083s)?_g=(refreshInterval:(display:Off,pause:!f,section:0,value:0),time:(from:'2017-03-07T05:11:38-0700',mode:absolute,to:'2017-03-07T07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51" s="94" t="str">
        <f t="shared" si="11"/>
        <v>"C:\Program Files (x86)\AstroGrep\AstroGrep.exe" /spath="%USERPROFILE%\AppData\Local\Temp\OnboardLogs" /stypes="*4031*201703071*" /stext=" 13:.+((SYSTEM_STATE.+slice.+state.+changed )|(ment ac)|(multiple cpu faults)|(system.+state.+changed )|(\[timeout)|(PRM\|1\|D)|(kpr)|(kdp)|(\|lc)|(penalty))" /e /r /s</v>
      </c>
      <c r="U51" s="9" t="str">
        <f t="shared" si="12"/>
        <v>4031</v>
      </c>
      <c r="V51" s="32">
        <f t="shared" si="13"/>
        <v>42801.565891203703</v>
      </c>
      <c r="W51" s="46" t="str">
        <f t="shared" si="14"/>
        <v>NW</v>
      </c>
      <c r="X51" s="46" t="str">
        <f t="shared" si="15"/>
        <v>KEEP</v>
      </c>
      <c r="Y51" s="108" t="str">
        <f t="shared" si="16"/>
        <v>echo {"issue":{"subject":"","project_id":79,"tracker_id":40,"status_id":1,"priority_id":2,"assigned_to_id":23,"start_date":"2017-03-07","description":"","custom_fields":[{"id":1,"name":"Subdivision","value":"NW"},{"id":4,"name":"Milepost","value":"5.9048"},{"id":17,"name":"Train ID","value":"803-07"},{"id":16,"name":"Locomotive ID","value":"4031"},{"id":130,"name":"Impact","value":""},{"id":150,"name":"Time of Event (Mountain Time)","value":"06:34:53"},{"id":151,"name":"Denver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48"/>
      <c r="AA51" s="48"/>
      <c r="AB51" s="48"/>
      <c r="AC51" s="127" t="str">
        <f t="shared" si="17"/>
        <v>grep -hSE -A400 "Enforcement Action" "%USERPROFILE%\AppData\Local\Temp\OnboardLogs"\RTDC4031\*4031*201703071* | grep -SE "((Enforcement Ac)|(PRM.+XING))"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"%USERPROFILE%\AppData\Local\Temp\OnboardLogs"\RTDC4031\*4031*201703071* &gt;&gt; 2017-03-07-SliceDisagreementCheck.txt</v>
      </c>
      <c r="AE51" s="157" t="str">
        <f t="shared" si="9"/>
        <v>start /low /b %USERPROFILE%\Documents\GitHub\eaglep3\Utilities\DownloadLogsFromS3.py --loco 4031 --day 2017-03-07</v>
      </c>
      <c r="AF51" s="1"/>
    </row>
    <row r="52" spans="1:32" x14ac:dyDescent="0.25">
      <c r="A52" s="32">
        <v>42801.274606481478</v>
      </c>
      <c r="B52" s="30" t="s">
        <v>429</v>
      </c>
      <c r="C52" s="30" t="s">
        <v>554</v>
      </c>
      <c r="D52" s="30" t="s">
        <v>49</v>
      </c>
      <c r="E52" s="30" t="s">
        <v>186</v>
      </c>
      <c r="F52" s="43">
        <v>0</v>
      </c>
      <c r="G52" s="43">
        <v>21</v>
      </c>
      <c r="H52" s="43">
        <v>58954</v>
      </c>
      <c r="I52" s="43">
        <v>58975</v>
      </c>
      <c r="J52" s="30" t="s">
        <v>187</v>
      </c>
      <c r="K52" s="43">
        <v>59048</v>
      </c>
      <c r="L52" s="143" t="s">
        <v>50</v>
      </c>
      <c r="M52" s="144">
        <f t="shared" si="10"/>
        <v>38.543999999999997</v>
      </c>
      <c r="N52" s="145" t="str">
        <f>VLOOKUP(C52,'Trips&amp;Operators'!$C$1:$G$99999,5,FALSE)</f>
        <v>BROWN JACOB</v>
      </c>
      <c r="O52" s="194" t="s">
        <v>185</v>
      </c>
      <c r="P52" s="146"/>
      <c r="Q52" s="30"/>
      <c r="R52" s="89" t="str">
        <f>VLOOKUP(C52,'Train Runs'!$A$13:$AE$9945,31,0)</f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S52" s="92" t="str">
        <f>VLOOKUP(C52,'Train Runs'!$A$13:$AE$9945,22,0)</f>
        <v>https://d0f6bd738d7f1b3e5a7ca70fe4ff75f0.us-east-1.aws.found.io/app/kibana#/discover/Steve-Slow-Train-Analysis-(2080s-and-2083s)?_g=(refreshInterval:(display:Off,pause:!f,section:0,value:0),time:(from:'2017-03-07T05:11:38-0700',mode:absolute,to:'2017-03-07T07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52" s="94" t="str">
        <f t="shared" si="11"/>
        <v>"C:\Program Files (x86)\AstroGrep\AstroGrep.exe" /spath="%USERPROFILE%\AppData\Local\Temp\OnboardLogs" /stypes="*4031*201703071*" /stext=" 13:.+((SYSTEM_STATE.+slice.+state.+changed )|(ment ac)|(multiple cpu faults)|(system.+state.+changed )|(\[timeout)|(PRM\|1\|D)|(kpr)|(kdp)|(\|lc)|(penalty))" /e /r /s</v>
      </c>
      <c r="U52" s="9" t="str">
        <f t="shared" si="12"/>
        <v>4031</v>
      </c>
      <c r="V52" s="32">
        <f t="shared" si="13"/>
        <v>42801.566273148142</v>
      </c>
      <c r="W52" s="46" t="str">
        <f t="shared" si="14"/>
        <v>NW</v>
      </c>
      <c r="X52" s="46" t="str">
        <f t="shared" si="15"/>
        <v>KEEP</v>
      </c>
      <c r="Y52" s="108" t="str">
        <f t="shared" si="16"/>
        <v>echo {"issue":{"subject":"","project_id":79,"tracker_id":40,"status_id":1,"priority_id":2,"assigned_to_id":23,"start_date":"2017-03-07","description":"","custom_fields":[{"id":1,"name":"Subdivision","value":"NW"},{"id":4,"name":"Milepost","value":"5.9048"},{"id":17,"name":"Train ID","value":"803-07"},{"id":16,"name":"Locomotive ID","value":"4031"},{"id":130,"name":"Impact","value":""},{"id":150,"name":"Time of Event (Mountain Time)","value":"06:35:26"},{"id":151,"name":"Denver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48"/>
      <c r="AA52" s="48"/>
      <c r="AB52" s="48"/>
      <c r="AC52" s="127" t="str">
        <f t="shared" si="17"/>
        <v>grep -hSE -A400 "Enforcement Action" "%USERPROFILE%\AppData\Local\Temp\OnboardLogs"\RTDC4031\*4031*201703071* | grep -SE "((Enforcement Ac)|(PRM.+XING))"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"%USERPROFILE%\AppData\Local\Temp\OnboardLogs"\RTDC4031\*4031*201703071* &gt;&gt; 2017-03-07-SliceDisagreementCheck.txt</v>
      </c>
      <c r="AE52" s="157" t="str">
        <f t="shared" si="9"/>
        <v>start /low /b %USERPROFILE%\Documents\GitHub\eaglep3\Utilities\DownloadLogsFromS3.py --loco 4031 --day 2017-03-07</v>
      </c>
      <c r="AF52" s="1"/>
    </row>
    <row r="53" spans="1:32" x14ac:dyDescent="0.25">
      <c r="A53" s="32">
        <v>42801.650150462963</v>
      </c>
      <c r="B53" s="30" t="s">
        <v>429</v>
      </c>
      <c r="C53" s="30" t="s">
        <v>578</v>
      </c>
      <c r="D53" s="30" t="s">
        <v>49</v>
      </c>
      <c r="E53" s="30" t="s">
        <v>186</v>
      </c>
      <c r="F53" s="43">
        <v>0</v>
      </c>
      <c r="G53" s="43">
        <v>49</v>
      </c>
      <c r="H53" s="43">
        <v>58928</v>
      </c>
      <c r="I53" s="43">
        <v>58963</v>
      </c>
      <c r="J53" s="30" t="s">
        <v>187</v>
      </c>
      <c r="K53" s="43">
        <v>59048</v>
      </c>
      <c r="L53" s="143" t="s">
        <v>50</v>
      </c>
      <c r="M53" s="144">
        <f t="shared" si="10"/>
        <v>44.88</v>
      </c>
      <c r="N53" s="145" t="str">
        <f>VLOOKUP(C53,'Trips&amp;Operators'!$C$1:$G$99999,5,FALSE)</f>
        <v>LEVIN SCOTT</v>
      </c>
      <c r="O53" s="194" t="s">
        <v>185</v>
      </c>
      <c r="P53" s="146"/>
      <c r="Q53" s="30"/>
      <c r="R53" s="89" t="str">
        <f>VLOOKUP(C53,'Train Runs'!$A$13:$AE$9945,31,0)</f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S53" s="92" t="str">
        <f>VLOOKUP(C53,'Train Runs'!$A$13:$AE$9945,22,0)</f>
        <v>https://d0f6bd738d7f1b3e5a7ca70fe4ff75f0.us-east-1.aws.found.io/app/kibana#/discover/Steve-Slow-Train-Analysis-(2080s-and-2083s)?_g=(refreshInterval:(display:Off,pause:!f,section:0,value:0),time:(from:'2017-03-07T14:17:56-0700',mode:absolute,to:'2017-03-07T16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53" s="94" t="str">
        <f t="shared" si="11"/>
        <v>"C:\Program Files (x86)\AstroGrep\AstroGrep.exe" /spath="%USERPROFILE%\AppData\Local\Temp\OnboardLogs" /stypes="*4031*201703072*" /stext=" 22:.+((SYSTEM_STATE.+slice.+state.+changed )|(ment ac)|(multiple cpu faults)|(system.+state.+changed )|(\[timeout)|(PRM\|1\|D)|(kpr)|(kdp)|(\|lc)|(penalty))" /e /r /s</v>
      </c>
      <c r="U53" s="9" t="str">
        <f t="shared" si="12"/>
        <v>4031</v>
      </c>
      <c r="V53" s="32">
        <f t="shared" si="13"/>
        <v>42801.941817129627</v>
      </c>
      <c r="W53" s="46" t="str">
        <f t="shared" si="14"/>
        <v>NW</v>
      </c>
      <c r="X53" s="46" t="str">
        <f t="shared" si="15"/>
        <v>KEEP</v>
      </c>
      <c r="Y53" s="108" t="str">
        <f t="shared" si="16"/>
        <v>echo {"issue":{"subject":"","project_id":79,"tracker_id":40,"status_id":1,"priority_id":2,"assigned_to_id":23,"start_date":"2017-03-07","description":"","custom_fields":[{"id":1,"name":"Subdivision","value":"NW"},{"id":4,"name":"Milepost","value":"5.9048"},{"id":17,"name":"Train ID","value":"825-07"},{"id":16,"name":"Locomotive ID","value":"4031"},{"id":130,"name":"Impact","value":""},{"id":150,"name":"Time of Event (Mountain Time)","value":"15:36:13"},{"id":151,"name":"Denver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48"/>
      <c r="AA53" s="48"/>
      <c r="AB53" s="48"/>
      <c r="AC53" s="127" t="str">
        <f t="shared" si="17"/>
        <v>grep -hSE -A400 "Enforcement Action" "%USERPROFILE%\AppData\Local\Temp\OnboardLogs"\RTDC4031\*4031*201703072* | grep -SE "((Enforcement Ac)|(PRM.+XING))"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"%USERPROFILE%\AppData\Local\Temp\OnboardLogs"\RTDC4031\*4031*201703072* &gt;&gt; 2017-03-07-SliceDisagreementCheck.txt</v>
      </c>
      <c r="AE53" s="157" t="str">
        <f t="shared" si="9"/>
        <v>start /low /b %USERPROFILE%\Documents\GitHub\eaglep3\Utilities\DownloadLogsFromS3.py --loco 4031 --day 2017-03-07</v>
      </c>
      <c r="AF53" s="1"/>
    </row>
    <row r="54" spans="1:32" x14ac:dyDescent="0.25">
      <c r="A54" s="32">
        <v>42801.804050925923</v>
      </c>
      <c r="B54" s="30" t="s">
        <v>190</v>
      </c>
      <c r="C54" s="30" t="s">
        <v>593</v>
      </c>
      <c r="D54" s="30" t="s">
        <v>49</v>
      </c>
      <c r="E54" s="30" t="s">
        <v>195</v>
      </c>
      <c r="F54" s="43">
        <v>350</v>
      </c>
      <c r="G54" s="43">
        <v>421</v>
      </c>
      <c r="H54" s="43">
        <v>8086</v>
      </c>
      <c r="I54" s="43">
        <v>9506</v>
      </c>
      <c r="J54" s="30" t="s">
        <v>196</v>
      </c>
      <c r="K54" s="43">
        <v>10716</v>
      </c>
      <c r="L54" s="143" t="s">
        <v>50</v>
      </c>
      <c r="M54" s="144">
        <f t="shared" si="10"/>
        <v>638.88</v>
      </c>
      <c r="N54" s="145" t="str">
        <f>VLOOKUP(C54,'Trips&amp;Operators'!$C$1:$G$99999,5,FALSE)</f>
        <v>LOCKLEAR TRAVIS</v>
      </c>
      <c r="O54" s="194" t="s">
        <v>185</v>
      </c>
      <c r="P54" s="146"/>
      <c r="Q54" s="30"/>
      <c r="R54" s="89" t="str">
        <f>VLOOKUP(C54,'Train Runs'!$A$13:$AE$9945,31,0)</f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S54" s="92" t="str">
        <f>VLOOKUP(C54,'Train Runs'!$A$13:$AE$9945,22,0)</f>
        <v>https://d0f6bd738d7f1b3e5a7ca70fe4ff75f0.us-east-1.aws.found.io/app/kibana#/discover/Steve-Slow-Train-Analysis-(2080s-and-2083s)?_g=(refreshInterval:(display:Off,pause:!f,section:0,value:0),time:(from:'2017-03-07T18:11:46-0700',mode:absolute,to:'2017-03-07T20:24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54" s="94" t="str">
        <f t="shared" si="11"/>
        <v>"C:\Program Files (x86)\AstroGrep\AstroGrep.exe" /spath="%USERPROFILE%\AppData\Local\Temp\OnboardLogs" /stypes="*4011*201703080*" /stext=" 02:.+((SYSTEM_STATE.+slice.+state.+changed )|(ment ac)|(multiple cpu faults)|(system.+state.+changed )|(\[timeout)|(PRM\|1\|D)|(kpr)|(kdp)|(\|lc)|(penalty))" /e /r /s</v>
      </c>
      <c r="U54" s="9" t="str">
        <f t="shared" si="12"/>
        <v>4011</v>
      </c>
      <c r="V54" s="32">
        <f t="shared" si="13"/>
        <v>42802.095717592587</v>
      </c>
      <c r="W54" s="46" t="str">
        <f t="shared" si="14"/>
        <v>Other</v>
      </c>
      <c r="X54" s="46" t="str">
        <f t="shared" si="15"/>
        <v>KEEP</v>
      </c>
      <c r="Y54" s="108" t="str">
        <f t="shared" si="16"/>
        <v>echo {"issue":{"subject":"","project_id":79,"tracker_id":40,"status_id":1,"priority_id":2,"assigned_to_id":23,"start_date":"2017-03-07","description":"","custom_fields":[{"id":1,"name":"Subdivision","value":"Other"},{"id":4,"name":"Milepost","value":"1.0716"},{"id":17,"name":"Train ID","value":"305-07"},{"id":16,"name":"Locomotive ID","value":"4011"},{"id":130,"name":"Impact","value":""},{"id":150,"name":"Time of Event (Mountain Time)","value":"19:17:50"},{"id":151,"name":"Denver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48"/>
      <c r="AA54" s="48"/>
      <c r="AB54" s="48"/>
      <c r="AC54" s="127" t="str">
        <f t="shared" si="17"/>
        <v>grep -hSE -A400 "Enforcement Action" "%USERPROFILE%\AppData\Local\Temp\OnboardLogs"\RTDC4011\*4011*201703080* | grep -SE "((Enforcement Ac)|(PRM.+XING))"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"%USERPROFILE%\AppData\Local\Temp\OnboardLogs"\RTDC4011\*4011*201703080* &gt;&gt; 2017-03-07-SliceDisagreementCheck.txt</v>
      </c>
      <c r="AE54" s="157" t="str">
        <f t="shared" si="9"/>
        <v>start /low /b %USERPROFILE%\Documents\GitHub\eaglep3\Utilities\DownloadLogsFromS3.py --loco 4011 --day 2017-03-08</v>
      </c>
      <c r="AF54" s="1"/>
    </row>
    <row r="55" spans="1:32" x14ac:dyDescent="0.25">
      <c r="A55" s="32">
        <v>42801.948877314811</v>
      </c>
      <c r="B55" s="30" t="s">
        <v>273</v>
      </c>
      <c r="C55" s="30" t="s">
        <v>596</v>
      </c>
      <c r="D55" s="30" t="s">
        <v>98</v>
      </c>
      <c r="E55" s="30" t="s">
        <v>229</v>
      </c>
      <c r="F55" s="43">
        <v>400</v>
      </c>
      <c r="G55" s="43">
        <v>450</v>
      </c>
      <c r="H55" s="43">
        <v>38386</v>
      </c>
      <c r="I55" s="43">
        <v>37180</v>
      </c>
      <c r="J55" s="30" t="s">
        <v>230</v>
      </c>
      <c r="K55" s="43">
        <v>40977</v>
      </c>
      <c r="L55" s="143" t="s">
        <v>51</v>
      </c>
      <c r="M55" s="144">
        <f t="shared" si="10"/>
        <v>-2004.816</v>
      </c>
      <c r="N55" s="145" t="str">
        <f>VLOOKUP(C55,'Trips&amp;Operators'!$C$1:$G$99999,5,FALSE)</f>
        <v>SAFIEF AEIMEN</v>
      </c>
      <c r="O55" s="194" t="s">
        <v>185</v>
      </c>
      <c r="P55" s="146"/>
      <c r="Q55" s="30"/>
      <c r="R55" s="89" t="str">
        <f>VLOOKUP(C55,'Train Runs'!$A$13:$AE$9945,31,0)</f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S55" s="92" t="str">
        <f>VLOOKUP(C55,'Train Runs'!$A$13:$AE$9945,22,0)</f>
        <v>https://d0f6bd738d7f1b3e5a7ca70fe4ff75f0.us-east-1.aws.found.io/app/kibana#/discover/Steve-Slow-Train-Analysis-(2080s-and-2083s)?_g=(refreshInterval:(display:Off,pause:!f,section:0,value:0),time:(from:'2017-03-07T21:37:34-0700',mode:absolute,to:'2017-03-08T00:21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55" s="94" t="str">
        <f t="shared" si="11"/>
        <v>"C:\Program Files (x86)\AstroGrep\AstroGrep.exe" /spath="%USERPROFILE%\AppData\Local\Temp\OnboardLogs" /stypes="*4032*201703080*" /stext=" 05:.+((SYSTEM_STATE.+slice.+state.+changed )|(ment ac)|(multiple cpu faults)|(system.+state.+changed )|(\[timeout)|(PRM\|1\|D)|(kpr)|(kdp)|(\|lc)|(penalty))" /e /r /s</v>
      </c>
      <c r="U55" s="9" t="str">
        <f t="shared" si="12"/>
        <v>4032</v>
      </c>
      <c r="V55" s="32">
        <f t="shared" si="13"/>
        <v>42802.240543981476</v>
      </c>
      <c r="W55" s="46" t="str">
        <f t="shared" si="14"/>
        <v>Other</v>
      </c>
      <c r="X55" s="46" t="str">
        <f t="shared" si="15"/>
        <v>KEEP</v>
      </c>
      <c r="Y55" s="108" t="str">
        <f t="shared" si="16"/>
        <v>echo {"issue":{"subject":"","project_id":79,"tracker_id":40,"status_id":1,"priority_id":2,"assigned_to_id":23,"start_date":"2017-03-07","description":"","custom_fields":[{"id":1,"name":"Subdivision","value":"Other"},{"id":4,"name":"Milepost","value":"4.0977"},{"id":17,"name":"Train ID","value":"88-07"},{"id":16,"name":"Locomotive ID","value":"4032"},{"id":130,"name":"Impact","value":""},{"id":150,"name":"Time of Event (Mountain Time)","value":"22:46:23"},{"id":151,"name":"Denver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48"/>
      <c r="AA55" s="48"/>
      <c r="AB55" s="48"/>
      <c r="AC55" s="127" t="str">
        <f t="shared" si="17"/>
        <v>grep -hSE -A400 "Enforcement Action" "%USERPROFILE%\AppData\Local\Temp\OnboardLogs"\RTDC4032\*4032*201703080* | grep -SE "((Enforcement Ac)|(PRM.+XING))"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"%USERPROFILE%\AppData\Local\Temp\OnboardLogs"\RTDC4032\*4032*201703080* &gt;&gt; 2017-03-07-SliceDisagreementCheck.txt</v>
      </c>
      <c r="AE55" s="157" t="str">
        <f t="shared" si="9"/>
        <v>start /low /b %USERPROFILE%\Documents\GitHub\eaglep3\Utilities\DownloadLogsFromS3.py --loco 4032 --day 2017-03-08</v>
      </c>
      <c r="AF55" s="1"/>
    </row>
    <row r="56" spans="1:32" x14ac:dyDescent="0.25">
      <c r="A56" s="32">
        <v>42801.759768518517</v>
      </c>
      <c r="B56" s="30" t="s">
        <v>590</v>
      </c>
      <c r="C56" s="30" t="s">
        <v>591</v>
      </c>
      <c r="D56" s="30" t="s">
        <v>98</v>
      </c>
      <c r="E56" s="30" t="s">
        <v>468</v>
      </c>
      <c r="F56" s="43">
        <v>0</v>
      </c>
      <c r="G56" s="43">
        <v>29</v>
      </c>
      <c r="H56" s="43">
        <v>1738</v>
      </c>
      <c r="I56" s="43">
        <v>1766</v>
      </c>
      <c r="J56" s="30" t="s">
        <v>469</v>
      </c>
      <c r="K56" s="43">
        <v>1692</v>
      </c>
      <c r="L56" s="143" t="s">
        <v>50</v>
      </c>
      <c r="M56" s="144">
        <f t="shared" si="10"/>
        <v>-39.072000000000003</v>
      </c>
      <c r="N56" s="145" t="str">
        <f>VLOOKUP(C56,'Trips&amp;Operators'!$C$1:$G$99999,5,FALSE)</f>
        <v>STRICKLAND EVAN</v>
      </c>
      <c r="O56" s="194" t="s">
        <v>185</v>
      </c>
      <c r="P56" s="146"/>
      <c r="Q56" s="30"/>
      <c r="R56" s="89" t="str">
        <f>VLOOKUP(C56,'Train Runs'!$A$13:$AE$9945,31,0)</f>
        <v>aws s3 cp s3://rtdc.mdm.uploadarchive.raw/RTDC4006/ "%USERPROFILE%\AppData\Local\Temp\OnboardLogs"\RTDC4006\2017-03-07 --exclude "*" --recursive --include "*20170307*" &amp; "%USERPROFILE%\Documents\GitHub\mrs-test-scripts\Headless Mode &amp; Sideloading\WalkAndUnGZ.bat" "%USERPROFILE%\AppData\Local\Temp\OnboardLogs"\RTDC4006\2017-03-07 &amp; aws s3 cp s3://rtdc.mdm.uploadarchive.raw/RTDC4006/ "%USERPROFILE%\AppData\Local\Temp\OnboardLogs"\RTDC4006\2017-03-08 --exclude "*" --recursive --include "*20170308*" &amp; "%USERPROFILE%\Documents\GitHub\mrs-test-scripts\Headless Mode &amp; Sideloading\WalkAndUnGZ.bat" "%USERPROFILE%\AppData\Local\Temp\OnboardLogs"\RTDC4006\2017-03-08</v>
      </c>
      <c r="S56" s="92" t="str">
        <f>VLOOKUP(C56,'Train Runs'!$A$13:$AE$9945,22,0)</f>
        <v>https://d0f6bd738d7f1b3e5a7ca70fe4ff75f0.us-east-1.aws.found.io/app/kibana#/discover/Steve-Slow-Train-Analysis-(2080s-and-2083s)?_g=(refreshInterval:(display:Off,pause:!f,section:0,value:0),time:(from:'2017-03-07T16:29:38-0700',mode:absolute,to:'2017-03-07T19:14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56" s="94" t="str">
        <f t="shared" si="11"/>
        <v>"C:\Program Files (x86)\AstroGrep\AstroGrep.exe" /spath="%USERPROFILE%\AppData\Local\Temp\OnboardLogs" /stypes="*4006*201703080*" /stext=" 01:.+((SYSTEM_STATE.+slice.+state.+changed )|(ment ac)|(multiple cpu faults)|(system.+state.+changed )|(\[timeout)|(PRM\|1\|D)|(kpr)|(kdp)|(\|lc)|(penalty))" /e /r /s</v>
      </c>
      <c r="U56" s="9" t="str">
        <f t="shared" si="12"/>
        <v>4006</v>
      </c>
      <c r="V56" s="32">
        <f t="shared" si="13"/>
        <v>42802.051435185182</v>
      </c>
      <c r="W56" s="46" t="str">
        <f t="shared" si="14"/>
        <v>Other</v>
      </c>
      <c r="X56" s="46" t="str">
        <f t="shared" si="15"/>
        <v>KEEP</v>
      </c>
      <c r="Y56" s="108" t="str">
        <f t="shared" si="16"/>
        <v>echo {"issue":{"subject":"","project_id":79,"tracker_id":40,"status_id":1,"priority_id":2,"assigned_to_id":23,"start_date":"2017-03-07","description":"","custom_fields":[{"id":1,"name":"Subdivision","value":"Other"},{"id":4,"name":"Milepost","value":"0.1692"},{"id":17,"name":"Train ID","value":"67-07"},{"id":16,"name":"Locomotive ID","value":"4006"},{"id":130,"name":"Impact","value":""},{"id":150,"name":"Time of Event (Mountain Time)","value":"18:14:04"},{"id":151,"name":"Denver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48"/>
      <c r="AA56" s="48"/>
      <c r="AB56" s="48"/>
      <c r="AC56" s="127" t="str">
        <f t="shared" si="17"/>
        <v>grep -hSE -A400 "Enforcement Action" "%USERPROFILE%\AppData\Local\Temp\OnboardLogs"\RTDC4006\*4006*201703080* | grep -SE "((Enforcement Ac)|(PRM.+XING))"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"%USERPROFILE%\AppData\Local\Temp\OnboardLogs"\RTDC4006\*4006*201703080* &gt;&gt; 2017-03-07-SliceDisagreementCheck.txt</v>
      </c>
      <c r="AE56" s="157" t="str">
        <f t="shared" si="9"/>
        <v>start /low /b %USERPROFILE%\Documents\GitHub\eaglep3\Utilities\DownloadLogsFromS3.py --loco 4006 --day 2017-03-08</v>
      </c>
      <c r="AF56" s="1"/>
    </row>
    <row r="57" spans="1:32" x14ac:dyDescent="0.25">
      <c r="A57" s="32">
        <v>42801.963287037041</v>
      </c>
      <c r="B57" s="30" t="s">
        <v>597</v>
      </c>
      <c r="C57" s="30" t="s">
        <v>598</v>
      </c>
      <c r="D57" s="30" t="s">
        <v>98</v>
      </c>
      <c r="E57" s="30" t="s">
        <v>468</v>
      </c>
      <c r="F57" s="43">
        <v>0</v>
      </c>
      <c r="G57" s="43">
        <v>51</v>
      </c>
      <c r="H57" s="43">
        <v>1812</v>
      </c>
      <c r="I57" s="43">
        <v>1832</v>
      </c>
      <c r="J57" s="30" t="s">
        <v>469</v>
      </c>
      <c r="K57" s="43">
        <v>1692</v>
      </c>
      <c r="L57" s="143" t="s">
        <v>50</v>
      </c>
      <c r="M57" s="144">
        <f t="shared" si="10"/>
        <v>-73.92</v>
      </c>
      <c r="N57" s="145" t="str">
        <f>VLOOKUP(C57,'Trips&amp;Operators'!$C$1:$G$99999,5,FALSE)</f>
        <v>DUNCAN SHEILA</v>
      </c>
      <c r="O57" s="194" t="s">
        <v>185</v>
      </c>
      <c r="P57" s="146"/>
      <c r="Q57" s="30"/>
      <c r="R57" s="89" t="str">
        <f>VLOOKUP(C57,'Train Runs'!$A$13:$AE$9945,31,0)</f>
        <v>aws s3 cp s3://rtdc.mdm.uploadarchive.raw/RTDC4063/ "%USERPROFILE%\AppData\Local\Temp\OnboardLogs"\RTDC4063\2017-03-08 --exclude "*" --recursive --include "*20170308*" &amp; "%USERPROFILE%\Documents\GitHub\mrs-test-scripts\Headless Mode &amp; Sideloading\WalkAndUnGZ.bat" "%USERPROFILE%\AppData\Local\Temp\OnboardLogs"\RTDC4063\2017-03-08 &amp; aws s3 cp s3://rtdc.mdm.uploadarchive.raw/RTDC4063/ "%USERPROFILE%\AppData\Local\Temp\OnboardLogs"\RTDC4063\2017-03-09 --exclude "*" --recursive --include "*20170309*" &amp; "%USERPROFILE%\Documents\GitHub\mrs-test-scripts\Headless Mode &amp; Sideloading\WalkAndUnGZ.bat" "%USERPROFILE%\AppData\Local\Temp\OnboardLogs"\RTDC4063\2017-03-09</v>
      </c>
      <c r="S57" s="92" t="str">
        <f>VLOOKUP(C57,'Train Runs'!$A$13:$AE$9945,22,0)</f>
        <v>https://d0f6bd738d7f1b3e5a7ca70fe4ff75f0.us-east-1.aws.found.io/app/kibana#/discover/Steve-Slow-Train-Analysis-(2080s-and-2083s)?_g=(refreshInterval:(display:Off,pause:!f,section:0,value:0),time:(from:'2017-03-08T00:50:18-0700',mode:absolute,to:'2017-03-08T03:57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57" s="94" t="str">
        <f t="shared" si="11"/>
        <v>"C:\Program Files (x86)\AstroGrep\AstroGrep.exe" /spath="%USERPROFILE%\AppData\Local\Temp\OnboardLogs" /stypes="*4063*201703080*" /stext=" 06:.+((SYSTEM_STATE.+slice.+state.+changed )|(ment ac)|(multiple cpu faults)|(system.+state.+changed )|(\[timeout)|(PRM\|1\|D)|(kpr)|(kdp)|(\|lc)|(penalty))" /e /r /s</v>
      </c>
      <c r="U57" s="9" t="str">
        <f t="shared" si="12"/>
        <v>4063</v>
      </c>
      <c r="V57" s="32">
        <f t="shared" si="13"/>
        <v>42802.254953703705</v>
      </c>
      <c r="W57" s="46" t="str">
        <f t="shared" si="14"/>
        <v>Other</v>
      </c>
      <c r="X57" s="46" t="str">
        <f t="shared" si="15"/>
        <v>KEEP</v>
      </c>
      <c r="Y57" s="108" t="str">
        <f t="shared" si="16"/>
        <v>echo {"issue":{"subject":"","project_id":79,"tracker_id":40,"status_id":1,"priority_id":2,"assigned_to_id":23,"start_date":"2017-03-07","description":"","custom_fields":[{"id":1,"name":"Subdivision","value":"Other"},{"id":4,"name":"Milepost","value":"0.1692"},{"id":17,"name":"Train ID","value":"73-07"},{"id":16,"name":"Locomotive ID","value":"4063"},{"id":130,"name":"Impact","value":""},{"id":150,"name":"Time of Event (Mountain Time)","value":"23:07:08"},{"id":151,"name":"Denver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48"/>
      <c r="AA57" s="48"/>
      <c r="AB57" s="48"/>
      <c r="AC57" s="127" t="str">
        <f t="shared" si="17"/>
        <v>grep -hSE -A400 "Enforcement Action" "%USERPROFILE%\AppData\Local\Temp\OnboardLogs"\RTDC4063\*4063*201703080* | grep -SE "((Enforcement Ac)|(PRM.+XING))"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"%USERPROFILE%\AppData\Local\Temp\OnboardLogs"\RTDC4063\*4063*201703080* &gt;&gt; 2017-03-07-SliceDisagreementCheck.txt</v>
      </c>
      <c r="AE57" s="157" t="str">
        <f t="shared" si="9"/>
        <v>start /low /b %USERPROFILE%\Documents\GitHub\eaglep3\Utilities\DownloadLogsFromS3.py --loco 4063 --day 2017-03-08</v>
      </c>
      <c r="AF57" s="1"/>
    </row>
    <row r="58" spans="1:32" x14ac:dyDescent="0.25">
      <c r="A58" s="32">
        <v>42801.679247685184</v>
      </c>
      <c r="B58" s="30" t="s">
        <v>579</v>
      </c>
      <c r="C58" s="30" t="s">
        <v>580</v>
      </c>
      <c r="D58" s="30" t="s">
        <v>98</v>
      </c>
      <c r="E58" s="30" t="s">
        <v>468</v>
      </c>
      <c r="F58" s="43">
        <v>0</v>
      </c>
      <c r="G58" s="43">
        <v>97</v>
      </c>
      <c r="H58" s="43">
        <v>33479</v>
      </c>
      <c r="I58" s="43">
        <v>33597</v>
      </c>
      <c r="J58" s="30" t="s">
        <v>469</v>
      </c>
      <c r="K58" s="43">
        <v>33252</v>
      </c>
      <c r="L58" s="143" t="s">
        <v>50</v>
      </c>
      <c r="M58" s="144">
        <f t="shared" si="10"/>
        <v>-182.16</v>
      </c>
      <c r="N58" s="145" t="str">
        <f>VLOOKUP(C58,'Trips&amp;Operators'!$C$1:$G$99999,5,FALSE)</f>
        <v>HOLCOMB KAMDEN</v>
      </c>
      <c r="O58" s="194" t="s">
        <v>185</v>
      </c>
      <c r="P58" s="146"/>
      <c r="Q58" s="30"/>
      <c r="R58" s="89" t="str">
        <f>VLOOKUP(C58,'Train Runs'!$A$13:$AE$9945,31,0)</f>
        <v>aws s3 cp s3://rtdc.mdm.uploadarchive.raw/RTDC4035/ "%USERPROFILE%\AppData\Local\Temp\OnboardLogs"\RTDC4035\2017-03-07 --exclude "*" --recursive --include "*20170307*" &amp; "%USERPROFILE%\Documents\GitHub\mrs-test-scripts\Headless Mode &amp; Sideloading\WalkAndUnGZ.bat" "%USERPROFILE%\AppData\Local\Temp\OnboardLogs"\RTDC4035\2017-03-07 &amp; aws s3 cp s3://rtdc.mdm.uploadarchive.raw/RTDC4035/ "%USERPROFILE%\AppData\Local\Temp\OnboardLogs"\RTDC4035\2017-03-08 --exclude "*" --recursive --include "*20170308*" &amp; "%USERPROFILE%\Documents\GitHub\mrs-test-scripts\Headless Mode &amp; Sideloading\WalkAndUnGZ.bat" "%USERPROFILE%\AppData\Local\Temp\OnboardLogs"\RTDC4035\2017-03-08</v>
      </c>
      <c r="S58" s="92" t="str">
        <f>VLOOKUP(C58,'Train Runs'!$A$13:$AE$9945,22,0)</f>
        <v>https://d0f6bd738d7f1b3e5a7ca70fe4ff75f0.us-east-1.aws.found.io/app/kibana#/discover/Steve-Slow-Train-Analysis-(2080s-and-2083s)?_g=(refreshInterval:(display:Off,pause:!f,section:0,value:0),time:(from:'2017-03-07T14:09:27-0700',mode:absolute,to:'2017-03-07T16:59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58" s="94" t="str">
        <f t="shared" si="11"/>
        <v>"C:\Program Files (x86)\AstroGrep\AstroGrep.exe" /spath="%USERPROFILE%\AppData\Local\Temp\OnboardLogs" /stypes="*4036*201703072*" /stext=" 23:.+((SYSTEM_STATE.+slice.+state.+changed )|(ment ac)|(multiple cpu faults)|(system.+state.+changed )|(\[timeout)|(PRM\|1\|D)|(kpr)|(kdp)|(\|lc)|(penalty))" /e /r /s</v>
      </c>
      <c r="U58" s="9" t="str">
        <f t="shared" si="12"/>
        <v>4036</v>
      </c>
      <c r="V58" s="32">
        <f t="shared" si="13"/>
        <v>42801.970914351848</v>
      </c>
      <c r="W58" s="46" t="str">
        <f t="shared" si="14"/>
        <v>Other</v>
      </c>
      <c r="X58" s="46" t="str">
        <f t="shared" si="15"/>
        <v>KEEP</v>
      </c>
      <c r="Y58" s="108" t="str">
        <f t="shared" si="16"/>
        <v>echo {"issue":{"subject":"","project_id":79,"tracker_id":40,"status_id":1,"priority_id":2,"assigned_to_id":23,"start_date":"2017-03-07","description":"","custom_fields":[{"id":1,"name":"Subdivision","value":"Other"},{"id":4,"name":"Milepost","value":"3.3252"},{"id":17,"name":"Train ID","value":"52-07"},{"id":16,"name":"Locomotive ID","value":"4036"},{"id":130,"name":"Impact","value":""},{"id":150,"name":"Time of Event (Mountain Time)","value":"16:18:07"},{"id":151,"name":"Denver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48"/>
      <c r="AA58" s="48"/>
      <c r="AB58" s="48"/>
      <c r="AC58" s="127" t="str">
        <f t="shared" si="17"/>
        <v>grep -hSE -A400 "Enforcement Action" "%USERPROFILE%\AppData\Local\Temp\OnboardLogs"\RTDC4036\*4036*201703072* | grep -SE "((Enforcement Ac)|(PRM.+XING))"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"%USERPROFILE%\AppData\Local\Temp\OnboardLogs"\RTDC4036\*4036*201703072* &gt;&gt; 2017-03-07-SliceDisagreementCheck.txt</v>
      </c>
      <c r="AE58" s="157" t="str">
        <f t="shared" si="9"/>
        <v>start /low /b %USERPROFILE%\Documents\GitHub\eaglep3\Utilities\DownloadLogsFromS3.py --loco 4036 --day 2017-03-07</v>
      </c>
      <c r="AF58" s="1"/>
    </row>
    <row r="59" spans="1:32" x14ac:dyDescent="0.25">
      <c r="A59" s="32">
        <v>42801.658449074072</v>
      </c>
      <c r="B59" s="30" t="s">
        <v>579</v>
      </c>
      <c r="C59" s="30" t="s">
        <v>580</v>
      </c>
      <c r="D59" s="30" t="s">
        <v>49</v>
      </c>
      <c r="E59" s="30" t="s">
        <v>468</v>
      </c>
      <c r="F59" s="43">
        <v>0</v>
      </c>
      <c r="G59" s="43">
        <v>69</v>
      </c>
      <c r="H59" s="43">
        <v>34553</v>
      </c>
      <c r="I59" s="43">
        <v>34682</v>
      </c>
      <c r="J59" s="30" t="s">
        <v>469</v>
      </c>
      <c r="K59" s="43">
        <v>37602</v>
      </c>
      <c r="L59" s="143" t="s">
        <v>50</v>
      </c>
      <c r="M59" s="144">
        <f t="shared" si="10"/>
        <v>1541.76</v>
      </c>
      <c r="N59" s="145" t="str">
        <f>VLOOKUP(C59,'Trips&amp;Operators'!$C$1:$G$99999,5,FALSE)</f>
        <v>HOLCOMB KAMDEN</v>
      </c>
      <c r="O59" s="194" t="s">
        <v>185</v>
      </c>
      <c r="P59" s="146"/>
      <c r="Q59" s="30"/>
      <c r="R59" s="89" t="str">
        <f>VLOOKUP(C59,'Train Runs'!$A$13:$AE$9945,31,0)</f>
        <v>aws s3 cp s3://rtdc.mdm.uploadarchive.raw/RTDC4035/ "%USERPROFILE%\AppData\Local\Temp\OnboardLogs"\RTDC4035\2017-03-07 --exclude "*" --recursive --include "*20170307*" &amp; "%USERPROFILE%\Documents\GitHub\mrs-test-scripts\Headless Mode &amp; Sideloading\WalkAndUnGZ.bat" "%USERPROFILE%\AppData\Local\Temp\OnboardLogs"\RTDC4035\2017-03-07 &amp; aws s3 cp s3://rtdc.mdm.uploadarchive.raw/RTDC4035/ "%USERPROFILE%\AppData\Local\Temp\OnboardLogs"\RTDC4035\2017-03-08 --exclude "*" --recursive --include "*20170308*" &amp; "%USERPROFILE%\Documents\GitHub\mrs-test-scripts\Headless Mode &amp; Sideloading\WalkAndUnGZ.bat" "%USERPROFILE%\AppData\Local\Temp\OnboardLogs"\RTDC4035\2017-03-08</v>
      </c>
      <c r="S59" s="92" t="str">
        <f>VLOOKUP(C59,'Train Runs'!$A$13:$AE$9945,22,0)</f>
        <v>https://d0f6bd738d7f1b3e5a7ca70fe4ff75f0.us-east-1.aws.found.io/app/kibana#/discover/Steve-Slow-Train-Analysis-(2080s-and-2083s)?_g=(refreshInterval:(display:Off,pause:!f,section:0,value:0),time:(from:'2017-03-07T14:09:27-0700',mode:absolute,to:'2017-03-07T16:59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59" s="94" t="str">
        <f t="shared" si="11"/>
        <v>"C:\Program Files (x86)\AstroGrep\AstroGrep.exe" /spath="%USERPROFILE%\AppData\Local\Temp\OnboardLogs" /stypes="*4036*201703072*" /stext=" 22:.+((SYSTEM_STATE.+slice.+state.+changed )|(ment ac)|(multiple cpu faults)|(system.+state.+changed )|(\[timeout)|(PRM\|1\|D)|(kpr)|(kdp)|(\|lc)|(penalty))" /e /r /s</v>
      </c>
      <c r="U59" s="9" t="str">
        <f t="shared" si="12"/>
        <v>4036</v>
      </c>
      <c r="V59" s="32">
        <f t="shared" si="13"/>
        <v>42801.950115740736</v>
      </c>
      <c r="W59" s="46" t="str">
        <f t="shared" si="14"/>
        <v>Other</v>
      </c>
      <c r="X59" s="46" t="str">
        <f t="shared" si="15"/>
        <v>KEEP</v>
      </c>
      <c r="Y59" s="108" t="str">
        <f t="shared" si="16"/>
        <v>echo {"issue":{"subject":"","project_id":79,"tracker_id":40,"status_id":1,"priority_id":2,"assigned_to_id":23,"start_date":"2017-03-07","description":"","custom_fields":[{"id":1,"name":"Subdivision","value":"Other"},{"id":4,"name":"Milepost","value":"3.7602"},{"id":17,"name":"Train ID","value":"52-07"},{"id":16,"name":"Locomotive ID","value":"4036"},{"id":130,"name":"Impact","value":""},{"id":150,"name":"Time of Event (Mountain Time)","value":"15:48:10"},{"id":151,"name":"Denver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48"/>
      <c r="AA59" s="48"/>
      <c r="AB59" s="48"/>
      <c r="AC59" s="127" t="str">
        <f t="shared" si="17"/>
        <v>grep -hSE -A400 "Enforcement Action" "%USERPROFILE%\AppData\Local\Temp\OnboardLogs"\RTDC4036\*4036*201703072* | grep -SE "((Enforcement Ac)|(PRM.+XING))"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"%USERPROFILE%\AppData\Local\Temp\OnboardLogs"\RTDC4036\*4036*201703072* &gt;&gt; 2017-03-07-SliceDisagreementCheck.txt</v>
      </c>
      <c r="AE59" s="157" t="str">
        <f t="shared" si="9"/>
        <v>start /low /b %USERPROFILE%\Documents\GitHub\eaglep3\Utilities\DownloadLogsFromS3.py --loco 4036 --day 2017-03-07</v>
      </c>
      <c r="AF59" s="1"/>
    </row>
    <row r="60" spans="1:32" x14ac:dyDescent="0.25">
      <c r="A60" s="32">
        <v>42801.681226851855</v>
      </c>
      <c r="B60" s="30" t="s">
        <v>579</v>
      </c>
      <c r="C60" s="30" t="s">
        <v>580</v>
      </c>
      <c r="D60" s="30" t="s">
        <v>49</v>
      </c>
      <c r="E60" s="30" t="s">
        <v>468</v>
      </c>
      <c r="F60" s="43">
        <v>0</v>
      </c>
      <c r="G60" s="43">
        <v>94</v>
      </c>
      <c r="H60" s="43">
        <v>37212</v>
      </c>
      <c r="I60" s="43">
        <v>37329</v>
      </c>
      <c r="J60" s="30" t="s">
        <v>469</v>
      </c>
      <c r="K60" s="43">
        <v>37602</v>
      </c>
      <c r="L60" s="143" t="s">
        <v>50</v>
      </c>
      <c r="M60" s="144">
        <f t="shared" si="10"/>
        <v>144.14400000000001</v>
      </c>
      <c r="N60" s="145" t="str">
        <f>VLOOKUP(C60,'Trips&amp;Operators'!$C$1:$G$99999,5,FALSE)</f>
        <v>HOLCOMB KAMDEN</v>
      </c>
      <c r="O60" s="194" t="s">
        <v>185</v>
      </c>
      <c r="P60" s="146"/>
      <c r="Q60" s="30"/>
      <c r="R60" s="89" t="str">
        <f>VLOOKUP(C60,'Train Runs'!$A$13:$AE$9945,31,0)</f>
        <v>aws s3 cp s3://rtdc.mdm.uploadarchive.raw/RTDC4035/ "%USERPROFILE%\AppData\Local\Temp\OnboardLogs"\RTDC4035\2017-03-07 --exclude "*" --recursive --include "*20170307*" &amp; "%USERPROFILE%\Documents\GitHub\mrs-test-scripts\Headless Mode &amp; Sideloading\WalkAndUnGZ.bat" "%USERPROFILE%\AppData\Local\Temp\OnboardLogs"\RTDC4035\2017-03-07 &amp; aws s3 cp s3://rtdc.mdm.uploadarchive.raw/RTDC4035/ "%USERPROFILE%\AppData\Local\Temp\OnboardLogs"\RTDC4035\2017-03-08 --exclude "*" --recursive --include "*20170308*" &amp; "%USERPROFILE%\Documents\GitHub\mrs-test-scripts\Headless Mode &amp; Sideloading\WalkAndUnGZ.bat" "%USERPROFILE%\AppData\Local\Temp\OnboardLogs"\RTDC4035\2017-03-08</v>
      </c>
      <c r="S60" s="92" t="str">
        <f>VLOOKUP(C60,'Train Runs'!$A$13:$AE$9945,22,0)</f>
        <v>https://d0f6bd738d7f1b3e5a7ca70fe4ff75f0.us-east-1.aws.found.io/app/kibana#/discover/Steve-Slow-Train-Analysis-(2080s-and-2083s)?_g=(refreshInterval:(display:Off,pause:!f,section:0,value:0),time:(from:'2017-03-07T14:09:27-0700',mode:absolute,to:'2017-03-07T16:59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60" s="94" t="str">
        <f t="shared" si="11"/>
        <v>"C:\Program Files (x86)\AstroGrep\AstroGrep.exe" /spath="%USERPROFILE%\AppData\Local\Temp\OnboardLogs" /stypes="*4036*201703072*" /stext=" 23:.+((SYSTEM_STATE.+slice.+state.+changed )|(ment ac)|(multiple cpu faults)|(system.+state.+changed )|(\[timeout)|(PRM\|1\|D)|(kpr)|(kdp)|(\|lc)|(penalty))" /e /r /s</v>
      </c>
      <c r="U60" s="9" t="str">
        <f t="shared" si="12"/>
        <v>4036</v>
      </c>
      <c r="V60" s="32">
        <f t="shared" si="13"/>
        <v>42801.972893518519</v>
      </c>
      <c r="W60" s="46" t="str">
        <f t="shared" si="14"/>
        <v>Other</v>
      </c>
      <c r="X60" s="46" t="str">
        <f t="shared" si="15"/>
        <v>KEEP</v>
      </c>
      <c r="Y60" s="108" t="str">
        <f t="shared" si="16"/>
        <v>echo {"issue":{"subject":"","project_id":79,"tracker_id":40,"status_id":1,"priority_id":2,"assigned_to_id":23,"start_date":"2017-03-07","description":"","custom_fields":[{"id":1,"name":"Subdivision","value":"Other"},{"id":4,"name":"Milepost","value":"3.7602"},{"id":17,"name":"Train ID","value":"52-07"},{"id":16,"name":"Locomotive ID","value":"4036"},{"id":130,"name":"Impact","value":""},{"id":150,"name":"Time of Event (Mountain Time)","value":"16:20:58"},{"id":151,"name":"Denver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48"/>
      <c r="AA60" s="48"/>
      <c r="AB60" s="48"/>
      <c r="AC60" s="127" t="str">
        <f t="shared" si="17"/>
        <v>grep -hSE -A400 "Enforcement Action" "%USERPROFILE%\AppData\Local\Temp\OnboardLogs"\RTDC4036\*4036*201703072* | grep -SE "((Enforcement Ac)|(PRM.+XING))"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"%USERPROFILE%\AppData\Local\Temp\OnboardLogs"\RTDC4036\*4036*201703072* &gt;&gt; 2017-03-07-SliceDisagreementCheck.txt</v>
      </c>
      <c r="AE60" s="157" t="str">
        <f t="shared" si="9"/>
        <v>start /low /b %USERPROFILE%\Documents\GitHub\eaglep3\Utilities\DownloadLogsFromS3.py --loco 4036 --day 2017-03-07</v>
      </c>
      <c r="AF60" s="1"/>
    </row>
    <row r="61" spans="1:32" x14ac:dyDescent="0.25">
      <c r="A61" s="32">
        <v>42801.750486111108</v>
      </c>
      <c r="B61" s="30" t="s">
        <v>467</v>
      </c>
      <c r="C61" s="30" t="s">
        <v>587</v>
      </c>
      <c r="D61" s="30" t="s">
        <v>49</v>
      </c>
      <c r="E61" s="30" t="s">
        <v>186</v>
      </c>
      <c r="F61" s="43">
        <v>0</v>
      </c>
      <c r="G61" s="43">
        <v>12</v>
      </c>
      <c r="H61" s="43">
        <v>12</v>
      </c>
      <c r="I61" s="43">
        <v>6</v>
      </c>
      <c r="J61" s="30" t="s">
        <v>187</v>
      </c>
      <c r="K61" s="43">
        <v>1</v>
      </c>
      <c r="L61" s="143" t="s">
        <v>51</v>
      </c>
      <c r="M61" s="144">
        <f t="shared" si="10"/>
        <v>2.64</v>
      </c>
      <c r="N61" s="145" t="str">
        <f>VLOOKUP(C61,'Trips&amp;Operators'!$C$1:$G$99999,5,FALSE)</f>
        <v>STORY SAMANTHA</v>
      </c>
      <c r="O61" s="194" t="s">
        <v>185</v>
      </c>
      <c r="P61" s="146"/>
      <c r="Q61" s="30"/>
      <c r="R61" s="89" t="str">
        <f>VLOOKUP(C61,'Train Runs'!$A$13:$AE$9945,31,0)</f>
        <v>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 &amp; aws s3 cp s3://rtdc.mdm.uploadarchive.raw/RTDC4008/ "%USERPROFILE%\AppData\Local\Temp\OnboardLogs"\RTDC4008\2017-03-08 --exclude "*" --recursive --include "*20170308*" &amp; "%USERPROFILE%\Documents\GitHub\mrs-test-scripts\Headless Mode &amp; Sideloading\WalkAndUnGZ.bat" "%USERPROFILE%\AppData\Local\Temp\OnboardLogs"\RTDC4008\2017-03-08</v>
      </c>
      <c r="S61" s="92" t="str">
        <f>VLOOKUP(C61,'Train Runs'!$A$13:$AE$9945,22,0)</f>
        <v>https://d0f6bd738d7f1b3e5a7ca70fe4ff75f0.us-east-1.aws.found.io/app/kibana#/discover/Steve-Slow-Train-Analysis-(2080s-and-2083s)?_g=(refreshInterval:(display:Off,pause:!f,section:0,value:0),time:(from:'2017-03-07T16:45:54-0700',mode:absolute,to:'2017-03-07T19:00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61" s="94" t="str">
        <f t="shared" si="11"/>
        <v>"C:\Program Files (x86)\AstroGrep\AstroGrep.exe" /spath="%USERPROFILE%\AppData\Local\Temp\OnboardLogs" /stypes="*4008*201703080*" /stext=" 01:.+((SYSTEM_STATE.+slice.+state.+changed )|(ment ac)|(multiple cpu faults)|(system.+state.+changed )|(\[timeout)|(PRM\|1\|D)|(kpr)|(kdp)|(\|lc)|(penalty))" /e /r /s</v>
      </c>
      <c r="U61" s="9" t="str">
        <f t="shared" si="12"/>
        <v>4008</v>
      </c>
      <c r="V61" s="32">
        <f t="shared" si="13"/>
        <v>42802.042152777773</v>
      </c>
      <c r="W61" s="46" t="str">
        <f t="shared" si="14"/>
        <v>Other</v>
      </c>
      <c r="X61" s="46" t="str">
        <f t="shared" si="15"/>
        <v>KEEP</v>
      </c>
      <c r="Y61" s="108" t="str">
        <f t="shared" si="16"/>
        <v>echo {"issue":{"subject":"","project_id":79,"tracker_id":40,"status_id":1,"priority_id":2,"assigned_to_id":23,"start_date":"2017-03-07","description":"","custom_fields":[{"id":1,"name":"Subdivision","value":"Other"},{"id":4,"name":"Milepost","value":"0.0001"},{"id":17,"name":"Train ID","value":"54-07"},{"id":16,"name":"Locomotive ID","value":"4008"},{"id":130,"name":"Impact","value":""},{"id":150,"name":"Time of Event (Mountain Time)","value":"18:00:42"},{"id":151,"name":"Denver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48"/>
      <c r="AA61" s="48"/>
      <c r="AB61" s="48"/>
      <c r="AC61" s="127" t="str">
        <f t="shared" si="17"/>
        <v>grep -hSE -A400 "Enforcement Action" "%USERPROFILE%\AppData\Local\Temp\OnboardLogs"\RTDC4008\*4008*201703080* | grep -SE "((Enforcement Ac)|(PRM.+XING))" -</v>
      </c>
      <c r="AD61" s="1" t="str">
        <f>"grep -hSE ""Enforcement Action"" "&amp;search_path&amp;"\RTDC"&amp;U61&amp;"\*"&amp;U61&amp;"*"&amp;TEXT(A61-utc_offset/24,"YYYYMMDD")&amp;LEFT(TEXT(A61-utc_offset/24,"HH"),1)&amp;"* &gt;&gt; "&amp;TEXT(Variables!$A$2,"YYYY-MM-DD")&amp;"-SliceDisagreementCheck.txt"</f>
        <v>grep -hSE "Enforcement Action" "%USERPROFILE%\AppData\Local\Temp\OnboardLogs"\RTDC4008\*4008*201703080* &gt;&gt; 2017-03-07-SliceDisagreementCheck.txt</v>
      </c>
      <c r="AE61" s="157" t="str">
        <f t="shared" si="9"/>
        <v>start /low /b %USERPROFILE%\Documents\GitHub\eaglep3\Utilities\DownloadLogsFromS3.py --loco 4008 --day 2017-03-08</v>
      </c>
      <c r="AF61" s="1"/>
    </row>
    <row r="62" spans="1:32" x14ac:dyDescent="0.25">
      <c r="A62" s="32">
        <v>42801.64875</v>
      </c>
      <c r="B62" s="30" t="s">
        <v>550</v>
      </c>
      <c r="C62" s="30" t="s">
        <v>577</v>
      </c>
      <c r="D62" s="30" t="s">
        <v>49</v>
      </c>
      <c r="E62" s="30" t="s">
        <v>186</v>
      </c>
      <c r="F62" s="43">
        <v>0</v>
      </c>
      <c r="G62" s="43">
        <v>54</v>
      </c>
      <c r="H62" s="43">
        <v>748</v>
      </c>
      <c r="I62" s="43">
        <v>706</v>
      </c>
      <c r="J62" s="30" t="s">
        <v>187</v>
      </c>
      <c r="K62" s="43">
        <v>575</v>
      </c>
      <c r="L62" s="143" t="s">
        <v>51</v>
      </c>
      <c r="M62" s="144">
        <f t="shared" si="10"/>
        <v>69.168000000000006</v>
      </c>
      <c r="N62" s="145" t="str">
        <f>VLOOKUP(C62,'Trips&amp;Operators'!$C$1:$G$99999,5,FALSE)</f>
        <v>SWANSON BRYCE</v>
      </c>
      <c r="O62" s="194" t="s">
        <v>185</v>
      </c>
      <c r="P62" s="146"/>
      <c r="Q62" s="30"/>
      <c r="R62" s="89" t="str">
        <f>VLOOKUP(C62,'Train Runs'!$A$13:$AE$9945,31,0)</f>
        <v>aws s3 cp s3://rtdc.mdm.uploadarchive.raw/RTDC4026/ "%USERPROFILE%\AppData\Local\Temp\OnboardLogs"\RTDC4026\2017-03-07 --exclude "*" --recursive --include "*20170307*" &amp; "%USERPROFILE%\Documents\GitHub\mrs-test-scripts\Headless Mode &amp; Sideloading\WalkAndUnGZ.bat" "%USERPROFILE%\AppData\Local\Temp\OnboardLogs"\RTDC4026\2017-03-07 &amp; aws s3 cp s3://rtdc.mdm.uploadarchive.raw/RTDC4026/ "%USERPROFILE%\AppData\Local\Temp\OnboardLogs"\RTDC4026\2017-03-08 --exclude "*" --recursive --include "*20170308*" &amp; "%USERPROFILE%\Documents\GitHub\mrs-test-scripts\Headless Mode &amp; Sideloading\WalkAndUnGZ.bat" "%USERPROFILE%\AppData\Local\Temp\OnboardLogs"\RTDC4026\2017-03-08</v>
      </c>
      <c r="S62" s="92" t="str">
        <f>VLOOKUP(C62,'Train Runs'!$A$13:$AE$9945,22,0)</f>
        <v>https://d0f6bd738d7f1b3e5a7ca70fe4ff75f0.us-east-1.aws.found.io/app/kibana#/discover/Steve-Slow-Train-Analysis-(2080s-and-2083s)?_g=(refreshInterval:(display:Off,pause:!f,section:0,value:0),time:(from:'2017-03-07T14:22:53-0700',mode:absolute,to:'2017-03-07T16:34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62" s="94" t="str">
        <f t="shared" si="11"/>
        <v>"C:\Program Files (x86)\AstroGrep\AstroGrep.exe" /spath="%USERPROFILE%\AppData\Local\Temp\OnboardLogs" /stypes="*4026*201703072*" /stext=" 22:.+((SYSTEM_STATE.+slice.+state.+changed )|(ment ac)|(multiple cpu faults)|(system.+state.+changed )|(\[timeout)|(PRM\|1\|D)|(kpr)|(kdp)|(\|lc)|(penalty))" /e /r /s</v>
      </c>
      <c r="U62" s="9" t="str">
        <f t="shared" si="12"/>
        <v>4026</v>
      </c>
      <c r="V62" s="32">
        <f t="shared" si="13"/>
        <v>42801.940416666665</v>
      </c>
      <c r="W62" s="46" t="str">
        <f t="shared" si="14"/>
        <v>Other</v>
      </c>
      <c r="X62" s="46" t="str">
        <f t="shared" si="15"/>
        <v>KEEP</v>
      </c>
      <c r="Y62" s="108" t="str">
        <f t="shared" si="16"/>
        <v>echo {"issue":{"subject":"","project_id":79,"tracker_id":40,"status_id":1,"priority_id":2,"assigned_to_id":23,"start_date":"2017-03-07","description":"","custom_fields":[{"id":1,"name":"Subdivision","value":"Other"},{"id":4,"name":"Milepost","value":"0.0575"},{"id":17,"name":"Train ID","value":"904-07"},{"id":16,"name":"Locomotive ID","value":"4026"},{"id":130,"name":"Impact","value":""},{"id":150,"name":"Time of Event (Mountain Time)","value":"15:34:12"},{"id":151,"name":"Denver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48"/>
      <c r="AA62" s="48"/>
      <c r="AB62" s="48"/>
      <c r="AC62" s="127" t="str">
        <f t="shared" si="17"/>
        <v>grep -hSE -A400 "Enforcement Action" "%USERPROFILE%\AppData\Local\Temp\OnboardLogs"\RTDC4026\*4026*201703072* | grep -SE "((Enforcement Ac)|(PRM.+XING))" -</v>
      </c>
      <c r="AD62" s="1" t="str">
        <f>"grep -hSE ""Enforcement Action"" "&amp;search_path&amp;"\RTDC"&amp;U62&amp;"\*"&amp;U62&amp;"*"&amp;TEXT(A62-utc_offset/24,"YYYYMMDD")&amp;LEFT(TEXT(A62-utc_offset/24,"HH"),1)&amp;"* &gt;&gt; "&amp;TEXT(Variables!$A$2,"YYYY-MM-DD")&amp;"-SliceDisagreementCheck.txt"</f>
        <v>grep -hSE "Enforcement Action" "%USERPROFILE%\AppData\Local\Temp\OnboardLogs"\RTDC4026\*4026*201703072* &gt;&gt; 2017-03-07-SliceDisagreementCheck.txt</v>
      </c>
      <c r="AE62" s="157" t="str">
        <f t="shared" si="9"/>
        <v>start /low /b %USERPROFILE%\Documents\GitHub\eaglep3\Utilities\DownloadLogsFromS3.py --loco 4026 --day 2017-03-07</v>
      </c>
      <c r="AF62" s="1"/>
    </row>
    <row r="63" spans="1:32" x14ac:dyDescent="0.25">
      <c r="A63" s="32">
        <v>42801.46365740741</v>
      </c>
      <c r="B63" s="30" t="s">
        <v>467</v>
      </c>
      <c r="C63" s="30" t="s">
        <v>564</v>
      </c>
      <c r="D63" s="30" t="s">
        <v>98</v>
      </c>
      <c r="E63" s="30" t="s">
        <v>186</v>
      </c>
      <c r="F63" s="43">
        <v>0</v>
      </c>
      <c r="G63" s="43">
        <v>6</v>
      </c>
      <c r="H63" s="43">
        <v>826</v>
      </c>
      <c r="I63" s="43">
        <v>0</v>
      </c>
      <c r="J63" s="30" t="s">
        <v>187</v>
      </c>
      <c r="K63" s="43">
        <v>826</v>
      </c>
      <c r="L63" s="143" t="s">
        <v>51</v>
      </c>
      <c r="M63" s="144">
        <f t="shared" si="10"/>
        <v>-436.12799999999999</v>
      </c>
      <c r="N63" s="145" t="str">
        <f>VLOOKUP(C63,'Trips&amp;Operators'!$C$1:$G$99999,5,FALSE)</f>
        <v>DE LA ROSA ALEX</v>
      </c>
      <c r="O63" s="194" t="s">
        <v>185</v>
      </c>
      <c r="P63" s="146"/>
      <c r="Q63" s="30"/>
      <c r="R63" s="89" t="str">
        <f>VLOOKUP(C63,'Train Runs'!$A$13:$AE$9945,31,0)</f>
        <v>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 &amp; aws s3 cp s3://rtdc.mdm.uploadarchive.raw/RTDC4008/ "%USERPROFILE%\AppData\Local\Temp\OnboardLogs"\RTDC4008\2017-03-08 --exclude "*" --recursive --include "*20170308*" &amp; "%USERPROFILE%\Documents\GitHub\mrs-test-scripts\Headless Mode &amp; Sideloading\WalkAndUnGZ.bat" "%USERPROFILE%\AppData\Local\Temp\OnboardLogs"\RTDC4008\2017-03-08</v>
      </c>
      <c r="S63" s="92" t="str">
        <f>VLOOKUP(C63,'Train Runs'!$A$13:$AE$9945,22,0)</f>
        <v>https://d0f6bd738d7f1b3e5a7ca70fe4ff75f0.us-east-1.aws.found.io/app/kibana#/discover/Steve-Slow-Train-Analysis-(2080s-and-2083s)?_g=(refreshInterval:(display:Off,pause:!f,section:0,value:0),time:(from:'2017-03-07T09:52:34-0700',mode:absolute,to:'2017-03-07T12:07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63" s="94" t="str">
        <f t="shared" si="11"/>
        <v>"C:\Program Files (x86)\AstroGrep\AstroGrep.exe" /spath="%USERPROFILE%\AppData\Local\Temp\OnboardLogs" /stypes="*4008*201703071*" /stext=" 18:.+((SYSTEM_STATE.+slice.+state.+changed )|(ment ac)|(multiple cpu faults)|(system.+state.+changed )|(\[timeout)|(PRM\|1\|D)|(kpr)|(kdp)|(\|lc)|(penalty))" /e /r /s</v>
      </c>
      <c r="U63" s="9" t="str">
        <f t="shared" si="12"/>
        <v>4008</v>
      </c>
      <c r="V63" s="32">
        <f t="shared" si="13"/>
        <v>42801.755324074074</v>
      </c>
      <c r="W63" s="46" t="str">
        <f t="shared" si="14"/>
        <v>Other</v>
      </c>
      <c r="X63" s="46" t="str">
        <f t="shared" si="15"/>
        <v>OMIT</v>
      </c>
      <c r="Y63" s="108" t="str">
        <f t="shared" si="16"/>
        <v>echo {"issue":{"subject":"","project_id":79,"tracker_id":40,"status_id":1,"priority_id":2,"assigned_to_id":23,"start_date":"2017-03-07","description":"","custom_fields":[{"id":1,"name":"Subdivision","value":"Other"},{"id":4,"name":"Milepost","value":"0.0826"},{"id":17,"name":"Train ID","value":"50-07"},{"id":16,"name":"Locomotive ID","value":"4008"},{"id":130,"name":"Impact","value":""},{"id":150,"name":"Time of Event (Mountain Time)","value":"11:07:40"},{"id":151,"name":"Denver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48"/>
      <c r="AA63" s="48"/>
      <c r="AB63" s="48"/>
      <c r="AC63" s="127" t="str">
        <f t="shared" si="17"/>
        <v>grep -hSE -A400 "Enforcement Action" "%USERPROFILE%\AppData\Local\Temp\OnboardLogs"\RTDC4008\*4008*201703071* | grep -SE "((Enforcement Ac)|(PRM.+XING))" -</v>
      </c>
      <c r="AD63" s="1" t="str">
        <f>"grep -hSE ""Enforcement Action"" "&amp;search_path&amp;"\RTDC"&amp;U63&amp;"\*"&amp;U63&amp;"*"&amp;TEXT(A63-utc_offset/24,"YYYYMMDD")&amp;LEFT(TEXT(A63-utc_offset/24,"HH"),1)&amp;"* &gt;&gt; "&amp;TEXT(Variables!$A$2,"YYYY-MM-DD")&amp;"-SliceDisagreementCheck.txt"</f>
        <v>grep -hSE "Enforcement Action" "%USERPROFILE%\AppData\Local\Temp\OnboardLogs"\RTDC4008\*4008*201703071* &gt;&gt; 2017-03-07-SliceDisagreementCheck.txt</v>
      </c>
      <c r="AE63" s="157" t="str">
        <f t="shared" si="9"/>
        <v>start /low /b %USERPROFILE%\Documents\GitHub\eaglep3\Utilities\DownloadLogsFromS3.py --loco 4008 --day 2017-03-07</v>
      </c>
      <c r="AF63" s="1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</sheetData>
  <autoFilter ref="A6:AC67">
    <sortState ref="A7:AC67">
      <sortCondition ref="W7:W63"/>
      <sortCondition ref="E7:E63"/>
      <sortCondition ref="K7:K63"/>
      <sortCondition ref="F7:F63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6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63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AA7:AA63</xm:sqref>
        </x14:dataValidation>
        <x14:dataValidation type="list" allowBlank="1" showInputMessage="1" showErrorMessage="1">
          <x14:formula1>
            <xm:f>'Redmine List Values'!$C$2:$C$15</xm:f>
          </x14:formula1>
          <xm:sqref>AB7:AB63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1"/>
  <sheetViews>
    <sheetView zoomScaleNormal="100" workbookViewId="0">
      <selection activeCell="A5" sqref="A5:A7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197" t="str">
        <f>"Trips that did not appear in PTC Data "&amp;TEXT(Variables!$A$2,"YYYY-mm-dd")</f>
        <v>Trips that did not appear in PTC Data 2017-03-07</v>
      </c>
      <c r="C1" s="197"/>
      <c r="D1" s="197"/>
      <c r="E1" s="197"/>
      <c r="F1" s="197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>
        <v>137</v>
      </c>
      <c r="B3" s="43" t="str">
        <f>A3&amp;"-"&amp;IF(DAY(Variables!$A$2)&lt;10,0,"")&amp;DAY(Variables!$A$2)</f>
        <v>137-07</v>
      </c>
      <c r="C3" s="147"/>
      <c r="D3" s="165"/>
      <c r="E3" s="30" t="s">
        <v>991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15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22137-07%22)),sort:!(Time.ISO8601,asc))</v>
      </c>
      <c r="J3" s="30" t="e">
        <f>VLOOKUP(B3,'Train Runs'!$A$13:$A$99942,1,FALSE)</f>
        <v>#N/A</v>
      </c>
    </row>
    <row r="4" spans="1:10" x14ac:dyDescent="0.25">
      <c r="A4" s="185">
        <v>138</v>
      </c>
      <c r="B4" s="43" t="str">
        <f>A4&amp;"-"&amp;IF(DAY(Variables!$A$2)&lt;10,0,"")&amp;DAY(Variables!$A$2)</f>
        <v>138-07</v>
      </c>
      <c r="C4" s="147"/>
      <c r="D4" s="165"/>
      <c r="E4" s="30" t="s">
        <v>991</v>
      </c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22138-07%22)),sort:!(Time.ISO8601,asc))</v>
      </c>
      <c r="J4" s="30" t="e">
        <f>VLOOKUP(B4,'Train Runs'!$A$13:$A$99942,1,FALSE)</f>
        <v>#N/A</v>
      </c>
    </row>
    <row r="5" spans="1:10" x14ac:dyDescent="0.25">
      <c r="A5" s="185">
        <v>145</v>
      </c>
      <c r="B5" s="43" t="str">
        <f>A5&amp;"-"&amp;IF(DAY(Variables!$A$2)&lt;10,0,"")&amp;DAY(Variables!$A$2)</f>
        <v>145-07</v>
      </c>
      <c r="C5" s="147"/>
      <c r="D5" s="165"/>
      <c r="E5" s="30" t="s">
        <v>991</v>
      </c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22145-07%22)),sort:!(Time.ISO8601,asc))</v>
      </c>
      <c r="J5" s="30" t="e">
        <f>VLOOKUP(B5,'Train Runs'!$A$13:$A$99942,1,FALSE)</f>
        <v>#N/A</v>
      </c>
    </row>
    <row r="6" spans="1:10" x14ac:dyDescent="0.25">
      <c r="A6" s="185">
        <v>153</v>
      </c>
      <c r="B6" s="43" t="str">
        <f>A6&amp;"-"&amp;IF(DAY(Variables!$A$2)&lt;10,0,"")&amp;DAY(Variables!$A$2)</f>
        <v>153-07</v>
      </c>
      <c r="C6" s="147"/>
      <c r="D6" s="165"/>
      <c r="E6" s="30" t="s">
        <v>991</v>
      </c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22153-07%22)),sort:!(Time.ISO8601,asc))</v>
      </c>
      <c r="J6" s="30" t="e">
        <f>VLOOKUP(B6,'Train Runs'!$A$13:$A$99942,1,FALSE)</f>
        <v>#N/A</v>
      </c>
    </row>
    <row r="7" spans="1:10" x14ac:dyDescent="0.25">
      <c r="A7" s="185">
        <v>154</v>
      </c>
      <c r="B7" s="43" t="str">
        <f>A7&amp;"-"&amp;IF(DAY(Variables!$A$2)&lt;10,0,"")&amp;DAY(Variables!$A$2)</f>
        <v>154-07</v>
      </c>
      <c r="C7" s="147"/>
      <c r="D7" s="165"/>
      <c r="E7" s="30" t="s">
        <v>991</v>
      </c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22154-07%22)),sort:!(Time.ISO8601,asc))</v>
      </c>
      <c r="J7" s="30" t="e">
        <f>VLOOKUP(B7,'Train Runs'!$A$13:$A$99942,1,FALSE)</f>
        <v>#N/A</v>
      </c>
    </row>
    <row r="8" spans="1:10" x14ac:dyDescent="0.25">
      <c r="A8" s="185">
        <v>177</v>
      </c>
      <c r="B8" s="43" t="str">
        <f>A8&amp;"-"&amp;IF(DAY(Variables!$A$2)&lt;10,0,"")&amp;DAY(Variables!$A$2)</f>
        <v>177-07</v>
      </c>
      <c r="C8" s="147"/>
      <c r="D8" s="165"/>
      <c r="E8" s="30" t="s">
        <v>995</v>
      </c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22177-07%22)),sort:!(Time.ISO8601,asc))</v>
      </c>
      <c r="J8" s="30" t="e">
        <f>VLOOKUP(B8,'Train Runs'!$A$13:$A$99942,1,FALSE)</f>
        <v>#N/A</v>
      </c>
    </row>
    <row r="9" spans="1:10" x14ac:dyDescent="0.25">
      <c r="A9" s="185"/>
      <c r="B9" s="43" t="str">
        <f>A9&amp;"-"&amp;IF(DAY(Variables!$A$2)&lt;10,0,"")&amp;DAY(Variables!$A$2)</f>
        <v>-07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" s="30" t="e">
        <f>VLOOKUP(B9,'Train Runs'!$A$13:$A$99942,1,FALSE)</f>
        <v>#N/A</v>
      </c>
    </row>
    <row r="10" spans="1:10" x14ac:dyDescent="0.25">
      <c r="A10" s="185"/>
      <c r="B10" s="43" t="str">
        <f>A10&amp;"-"&amp;IF(DAY(Variables!$A$2)&lt;10,0,"")&amp;DAY(Variables!$A$2)</f>
        <v>-07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0" s="30" t="e">
        <f>VLOOKUP(B10,'Train Runs'!$A$13:$A$99942,1,FALSE)</f>
        <v>#N/A</v>
      </c>
    </row>
    <row r="11" spans="1:10" x14ac:dyDescent="0.25">
      <c r="A11" s="185"/>
      <c r="B11" s="43" t="str">
        <f>A11&amp;"-"&amp;IF(DAY(Variables!$A$2)&lt;10,0,"")&amp;DAY(Variables!$A$2)</f>
        <v>-07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1" s="30" t="e">
        <f>VLOOKUP(B11,'Train Runs'!$A$13:$A$99942,1,FALSE)</f>
        <v>#N/A</v>
      </c>
    </row>
    <row r="12" spans="1:10" x14ac:dyDescent="0.25">
      <c r="A12" s="185"/>
      <c r="B12" s="43" t="str">
        <f>A12&amp;"-"&amp;IF(DAY(Variables!$A$2)&lt;10,0,"")&amp;DAY(Variables!$A$2)</f>
        <v>-07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2" s="30" t="e">
        <f>VLOOKUP(B12,'Train Runs'!$A$13:$A$99942,1,FALSE)</f>
        <v>#N/A</v>
      </c>
    </row>
    <row r="13" spans="1:10" x14ac:dyDescent="0.25">
      <c r="A13" s="185"/>
      <c r="B13" s="43" t="str">
        <f>A13&amp;"-"&amp;IF(DAY(Variables!$A$2)&lt;10,0,"")&amp;DAY(Variables!$A$2)</f>
        <v>-07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3" s="30" t="e">
        <f>VLOOKUP(B13,'Train Runs'!$A$13:$A$99942,1,FALSE)</f>
        <v>#N/A</v>
      </c>
    </row>
    <row r="14" spans="1:10" x14ac:dyDescent="0.25">
      <c r="A14" s="185"/>
      <c r="B14" s="43" t="str">
        <f>A14&amp;"-"&amp;IF(DAY(Variables!$A$2)&lt;10,0,"")&amp;DAY(Variables!$A$2)</f>
        <v>-07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4" s="30" t="e">
        <f>VLOOKUP(B14,'Train Runs'!$A$13:$A$99942,1,FALSE)</f>
        <v>#N/A</v>
      </c>
    </row>
    <row r="15" spans="1:10" x14ac:dyDescent="0.25">
      <c r="A15" s="185"/>
      <c r="B15" s="43" t="str">
        <f>A15&amp;"-"&amp;IF(DAY(Variables!$A$2)&lt;10,0,"")&amp;DAY(Variables!$A$2)</f>
        <v>-07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5" s="30" t="e">
        <f>VLOOKUP(B15,'Train Runs'!$A$13:$A$99942,1,FALSE)</f>
        <v>#N/A</v>
      </c>
    </row>
    <row r="16" spans="1:10" x14ac:dyDescent="0.25">
      <c r="A16" s="185"/>
      <c r="B16" s="43" t="str">
        <f>A16&amp;"-"&amp;IF(DAY(Variables!$A$2)&lt;10,0,"")&amp;DAY(Variables!$A$2)</f>
        <v>-07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ref="I16:I4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16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6" s="30" t="e">
        <f>VLOOKUP(B16,'Train Runs'!$A$13:$A$99942,1,FALSE)</f>
        <v>#N/A</v>
      </c>
    </row>
    <row r="17" spans="1:10" x14ac:dyDescent="0.25">
      <c r="A17" s="185"/>
      <c r="B17" s="43" t="str">
        <f>A17&amp;"-"&amp;IF(DAY(Variables!$A$2)&lt;10,0,"")&amp;DAY(Variables!$A$2)</f>
        <v>-07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7" s="30" t="e">
        <f>VLOOKUP(B17,'Train Runs'!$A$13:$A$99942,1,FALSE)</f>
        <v>#N/A</v>
      </c>
    </row>
    <row r="18" spans="1:10" x14ac:dyDescent="0.25">
      <c r="A18" s="185"/>
      <c r="B18" s="43" t="str">
        <f>A18&amp;"-"&amp;IF(DAY(Variables!$A$2)&lt;10,0,"")&amp;DAY(Variables!$A$2)</f>
        <v>-07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8" s="30" t="e">
        <f>VLOOKUP(B18,'Train Runs'!$A$13:$A$99942,1,FALSE)</f>
        <v>#N/A</v>
      </c>
    </row>
    <row r="19" spans="1:10" x14ac:dyDescent="0.25">
      <c r="A19" s="185"/>
      <c r="B19" s="43" t="str">
        <f>A19&amp;"-"&amp;IF(DAY(Variables!$A$2)&lt;10,0,"")&amp;DAY(Variables!$A$2)</f>
        <v>-07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9" s="30" t="e">
        <f>VLOOKUP(B19,'Train Runs'!$A$13:$A$99942,1,FALSE)</f>
        <v>#N/A</v>
      </c>
    </row>
    <row r="20" spans="1:10" x14ac:dyDescent="0.25">
      <c r="A20" s="185"/>
      <c r="B20" s="43" t="str">
        <f>A20&amp;"-"&amp;IF(DAY(Variables!$A$2)&lt;10,0,"")&amp;DAY(Variables!$A$2)</f>
        <v>-07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0" s="30" t="e">
        <f>VLOOKUP(B20,'Train Runs'!$A$13:$A$99942,1,FALSE)</f>
        <v>#N/A</v>
      </c>
    </row>
    <row r="21" spans="1:10" x14ac:dyDescent="0.25">
      <c r="A21" s="185"/>
      <c r="B21" s="43" t="str">
        <f>A21&amp;"-"&amp;IF(DAY(Variables!$A$2)&lt;10,0,"")&amp;DAY(Variables!$A$2)</f>
        <v>-07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1" s="30" t="e">
        <f>VLOOKUP(B21,'Train Runs'!$A$13:$A$99942,1,FALSE)</f>
        <v>#N/A</v>
      </c>
    </row>
    <row r="22" spans="1:10" x14ac:dyDescent="0.25">
      <c r="A22" s="185"/>
      <c r="B22" s="43" t="str">
        <f>A22&amp;"-"&amp;IF(DAY(Variables!$A$2)&lt;10,0,"")&amp;DAY(Variables!$A$2)</f>
        <v>-07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2" s="30" t="e">
        <f>VLOOKUP(B22,'Train Runs'!$A$13:$A$99942,1,FALSE)</f>
        <v>#N/A</v>
      </c>
    </row>
    <row r="23" spans="1:10" x14ac:dyDescent="0.25">
      <c r="A23" s="185"/>
      <c r="B23" s="43" t="str">
        <f>A23&amp;"-"&amp;IF(DAY(Variables!$A$2)&lt;10,0,"")&amp;DAY(Variables!$A$2)</f>
        <v>-07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3" s="30" t="e">
        <f>VLOOKUP(B23,'Train Runs'!$A$13:$A$99942,1,FALSE)</f>
        <v>#N/A</v>
      </c>
    </row>
    <row r="24" spans="1:10" x14ac:dyDescent="0.25">
      <c r="A24" s="185"/>
      <c r="B24" s="43" t="str">
        <f>A24&amp;"-"&amp;IF(DAY(Variables!$A$2)&lt;10,0,"")&amp;DAY(Variables!$A$2)</f>
        <v>-07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4" s="30" t="e">
        <f>VLOOKUP(B24,'Train Runs'!$A$13:$A$99942,1,FALSE)</f>
        <v>#N/A</v>
      </c>
    </row>
    <row r="25" spans="1:10" x14ac:dyDescent="0.25">
      <c r="A25" s="185"/>
      <c r="B25" s="43" t="str">
        <f>A25&amp;"-"&amp;IF(DAY(Variables!$A$2)&lt;10,0,"")&amp;DAY(Variables!$A$2)</f>
        <v>-07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5" s="30" t="e">
        <f>VLOOKUP(B25,'Train Runs'!$A$13:$A$99942,1,FALSE)</f>
        <v>#N/A</v>
      </c>
    </row>
    <row r="26" spans="1:10" x14ac:dyDescent="0.25">
      <c r="A26" s="185"/>
      <c r="B26" s="43" t="str">
        <f>A26&amp;"-"&amp;IF(DAY(Variables!$A$2)&lt;10,0,"")&amp;DAY(Variables!$A$2)</f>
        <v>-07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6" s="30" t="e">
        <f>VLOOKUP(B26,'Train Runs'!$A$13:$A$99942,1,FALSE)</f>
        <v>#N/A</v>
      </c>
    </row>
    <row r="27" spans="1:10" x14ac:dyDescent="0.25">
      <c r="A27" s="185"/>
      <c r="B27" s="43" t="str">
        <f>A27&amp;"-"&amp;IF(DAY(Variables!$A$2)&lt;10,0,"")&amp;DAY(Variables!$A$2)</f>
        <v>-07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7" s="30" t="e">
        <f>VLOOKUP(B27,'Train Runs'!$A$13:$A$99942,1,FALSE)</f>
        <v>#N/A</v>
      </c>
    </row>
    <row r="28" spans="1:10" x14ac:dyDescent="0.25">
      <c r="A28" s="185"/>
      <c r="B28" s="43" t="str">
        <f>A28&amp;"-"&amp;IF(DAY(Variables!$A$2)&lt;10,0,"")&amp;DAY(Variables!$A$2)</f>
        <v>-07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8" s="30" t="e">
        <f>VLOOKUP(B28,'Train Runs'!$A$13:$A$99942,1,FALSE)</f>
        <v>#N/A</v>
      </c>
    </row>
    <row r="29" spans="1:10" x14ac:dyDescent="0.25">
      <c r="A29" s="185"/>
      <c r="B29" s="43" t="str">
        <f>A29&amp;"-"&amp;IF(DAY(Variables!$A$2)&lt;10,0,"")&amp;DAY(Variables!$A$2)</f>
        <v>-07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9" s="30" t="e">
        <f>VLOOKUP(B29,'Train Runs'!$A$13:$A$99942,1,FALSE)</f>
        <v>#N/A</v>
      </c>
    </row>
    <row r="30" spans="1:10" x14ac:dyDescent="0.25">
      <c r="A30" s="185"/>
      <c r="B30" s="43" t="str">
        <f>A30&amp;"-"&amp;IF(DAY(Variables!$A$2)&lt;10,0,"")&amp;DAY(Variables!$A$2)</f>
        <v>-07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0" s="30" t="e">
        <f>VLOOKUP(B30,'Train Runs'!$A$13:$A$99942,1,FALSE)</f>
        <v>#N/A</v>
      </c>
    </row>
    <row r="31" spans="1:10" x14ac:dyDescent="0.25">
      <c r="A31" s="185"/>
      <c r="B31" s="43" t="str">
        <f>A31&amp;"-"&amp;IF(DAY(Variables!$A$2)&lt;10,0,"")&amp;DAY(Variables!$A$2)</f>
        <v>-07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1" s="30" t="e">
        <f>VLOOKUP(B31,'Train Runs'!$A$13:$A$99942,1,FALSE)</f>
        <v>#N/A</v>
      </c>
    </row>
    <row r="32" spans="1:10" x14ac:dyDescent="0.25">
      <c r="A32" s="185"/>
      <c r="B32" s="43" t="str">
        <f>A32&amp;"-"&amp;IF(DAY(Variables!$A$2)&lt;10,0,"")&amp;DAY(Variables!$A$2)</f>
        <v>-07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2" s="30" t="e">
        <f>VLOOKUP(B32,'Train Runs'!$A$13:$A$99942,1,FALSE)</f>
        <v>#N/A</v>
      </c>
    </row>
    <row r="33" spans="1:10" x14ac:dyDescent="0.25">
      <c r="A33" s="185"/>
      <c r="B33" s="43" t="str">
        <f>A33&amp;"-"&amp;IF(DAY(Variables!$A$2)&lt;10,0,"")&amp;DAY(Variables!$A$2)</f>
        <v>-07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3" s="30" t="e">
        <f>VLOOKUP(B33,'Train Runs'!$A$13:$A$99942,1,FALSE)</f>
        <v>#N/A</v>
      </c>
    </row>
    <row r="34" spans="1:10" x14ac:dyDescent="0.25">
      <c r="A34" s="185"/>
      <c r="B34" s="43" t="str">
        <f>A34&amp;"-"&amp;IF(DAY(Variables!$A$2)&lt;10,0,"")&amp;DAY(Variables!$A$2)</f>
        <v>-07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4" s="30" t="e">
        <f>VLOOKUP(B34,'Train Runs'!$A$13:$A$99942,1,FALSE)</f>
        <v>#N/A</v>
      </c>
    </row>
    <row r="35" spans="1:10" x14ac:dyDescent="0.25">
      <c r="A35" s="185"/>
      <c r="B35" s="43" t="str">
        <f>A35&amp;"-"&amp;IF(DAY(Variables!$A$2)&lt;10,0,"")&amp;DAY(Variables!$A$2)</f>
        <v>-07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5" s="30" t="e">
        <f>VLOOKUP(B35,'Train Runs'!$A$13:$A$99942,1,FALSE)</f>
        <v>#N/A</v>
      </c>
    </row>
    <row r="36" spans="1:10" x14ac:dyDescent="0.25">
      <c r="A36" s="185"/>
      <c r="B36" s="43" t="str">
        <f>A36&amp;"-"&amp;IF(DAY(Variables!$A$2)&lt;10,0,"")&amp;DAY(Variables!$A$2)</f>
        <v>-07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6" s="30" t="e">
        <f>VLOOKUP(B36,'Train Runs'!$A$13:$A$99942,1,FALSE)</f>
        <v>#N/A</v>
      </c>
    </row>
    <row r="37" spans="1:10" x14ac:dyDescent="0.25">
      <c r="A37" s="185"/>
      <c r="B37" s="43" t="str">
        <f>A37&amp;"-"&amp;IF(DAY(Variables!$A$2)&lt;10,0,"")&amp;DAY(Variables!$A$2)</f>
        <v>-07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7" s="30" t="e">
        <f>VLOOKUP(B37,'Train Runs'!$A$13:$A$99942,1,FALSE)</f>
        <v>#N/A</v>
      </c>
    </row>
    <row r="38" spans="1:10" x14ac:dyDescent="0.25">
      <c r="A38" s="185"/>
      <c r="B38" s="43" t="str">
        <f>A38&amp;"-"&amp;IF(DAY(Variables!$A$2)&lt;10,0,"")&amp;DAY(Variables!$A$2)</f>
        <v>-07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8" s="30" t="e">
        <f>VLOOKUP(B38,'Train Runs'!$A$13:$A$99942,1,FALSE)</f>
        <v>#N/A</v>
      </c>
    </row>
    <row r="39" spans="1:10" x14ac:dyDescent="0.25">
      <c r="A39" s="185"/>
      <c r="B39" s="43" t="str">
        <f>A39&amp;"-"&amp;IF(DAY(Variables!$A$2)&lt;10,0,"")&amp;DAY(Variables!$A$2)</f>
        <v>-07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9" s="30" t="e">
        <f>VLOOKUP(B39,'Train Runs'!$A$13:$A$99942,1,FALSE)</f>
        <v>#N/A</v>
      </c>
    </row>
    <row r="40" spans="1:10" x14ac:dyDescent="0.25">
      <c r="A40" s="185"/>
      <c r="B40" s="43" t="str">
        <f>A40&amp;"-"&amp;IF(DAY(Variables!$A$2)&lt;10,0,"")&amp;DAY(Variables!$A$2)</f>
        <v>-07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0" s="30" t="e">
        <f>VLOOKUP(B40,'Train Runs'!$A$13:$A$99942,1,FALSE)</f>
        <v>#N/A</v>
      </c>
    </row>
    <row r="41" spans="1:10" x14ac:dyDescent="0.25">
      <c r="A41" s="185"/>
      <c r="B41" s="43" t="str">
        <f>A41&amp;"-"&amp;IF(DAY(Variables!$A$2)&lt;10,0,"")&amp;DAY(Variables!$A$2)</f>
        <v>-07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1" s="30" t="e">
        <f>VLOOKUP(B41,'Train Runs'!$A$13:$A$99942,1,FALSE)</f>
        <v>#N/A</v>
      </c>
    </row>
    <row r="42" spans="1:10" x14ac:dyDescent="0.25">
      <c r="A42" s="185"/>
      <c r="B42" s="43" t="str">
        <f>A42&amp;"-"&amp;IF(DAY(Variables!$A$2)&lt;10,0,"")&amp;DAY(Variables!$A$2)</f>
        <v>-07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2" s="30" t="e">
        <f>VLOOKUP(B42,'Train Runs'!$A$13:$A$99942,1,FALSE)</f>
        <v>#N/A</v>
      </c>
    </row>
    <row r="43" spans="1:10" x14ac:dyDescent="0.25">
      <c r="A43" s="185"/>
      <c r="B43" s="43" t="str">
        <f>A43&amp;"-"&amp;IF(DAY(Variables!$A$2)&lt;10,0,"")&amp;DAY(Variables!$A$2)</f>
        <v>-07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3" s="30" t="e">
        <f>VLOOKUP(B43,'Train Runs'!$A$13:$A$99942,1,FALSE)</f>
        <v>#N/A</v>
      </c>
    </row>
    <row r="44" spans="1:10" x14ac:dyDescent="0.25">
      <c r="A44" s="185"/>
      <c r="B44" s="43" t="str">
        <f>A44&amp;"-"&amp;IF(DAY(Variables!$A$2)&lt;10,0,"")&amp;DAY(Variables!$A$2)</f>
        <v>-07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4" s="30" t="e">
        <f>VLOOKUP(B44,'Train Runs'!$A$13:$A$99942,1,FALSE)</f>
        <v>#N/A</v>
      </c>
    </row>
    <row r="45" spans="1:10" x14ac:dyDescent="0.25">
      <c r="A45" s="185"/>
      <c r="B45" s="43" t="str">
        <f>A45&amp;"-"&amp;IF(DAY(Variables!$A$2)&lt;10,0,"")&amp;DAY(Variables!$A$2)</f>
        <v>-07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5" s="30" t="e">
        <f>VLOOKUP(B45,'Train Runs'!$A$13:$A$99942,1,FALSE)</f>
        <v>#N/A</v>
      </c>
    </row>
    <row r="46" spans="1:10" x14ac:dyDescent="0.25">
      <c r="A46" s="185"/>
      <c r="B46" s="43" t="str">
        <f>A46&amp;"-"&amp;IF(DAY(Variables!$A$2)&lt;10,0,"")&amp;DAY(Variables!$A$2)</f>
        <v>-07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6" s="30" t="e">
        <f>VLOOKUP(B46,'Train Runs'!$A$13:$A$99942,1,FALSE)</f>
        <v>#N/A</v>
      </c>
    </row>
    <row r="47" spans="1:10" x14ac:dyDescent="0.25">
      <c r="A47" s="185"/>
      <c r="B47" s="43" t="str">
        <f>A47&amp;"-"&amp;IF(DAY(Variables!$A$2)&lt;10,0,"")&amp;DAY(Variables!$A$2)</f>
        <v>-07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7" s="30" t="e">
        <f>VLOOKUP(B47,'Train Runs'!$A$13:$A$99942,1,FALSE)</f>
        <v>#N/A</v>
      </c>
    </row>
    <row r="48" spans="1:10" x14ac:dyDescent="0.25">
      <c r="A48" s="185"/>
      <c r="B48" s="43" t="str">
        <f>A48&amp;"-"&amp;IF(DAY(Variables!$A$2)&lt;10,0,"")&amp;DAY(Variables!$A$2)</f>
        <v>-07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ref="I48:I79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8" s="30" t="e">
        <f>VLOOKUP(B48,'Train Runs'!$A$13:$A$99942,1,FALSE)</f>
        <v>#N/A</v>
      </c>
    </row>
    <row r="49" spans="1:10" x14ac:dyDescent="0.25">
      <c r="A49" s="185"/>
      <c r="B49" s="43" t="str">
        <f>A49&amp;"-"&amp;IF(DAY(Variables!$A$2)&lt;10,0,"")&amp;DAY(Variables!$A$2)</f>
        <v>-07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9" s="30" t="e">
        <f>VLOOKUP(B49,'Train Runs'!$A$13:$A$99942,1,FALSE)</f>
        <v>#N/A</v>
      </c>
    </row>
    <row r="50" spans="1:10" x14ac:dyDescent="0.25">
      <c r="A50" s="185"/>
      <c r="B50" s="43" t="str">
        <f>A50&amp;"-"&amp;IF(DAY(Variables!$A$2)&lt;10,0,"")&amp;DAY(Variables!$A$2)</f>
        <v>-07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0" s="30" t="e">
        <f>VLOOKUP(B50,'Train Runs'!$A$13:$A$99942,1,FALSE)</f>
        <v>#N/A</v>
      </c>
    </row>
    <row r="51" spans="1:10" x14ac:dyDescent="0.25">
      <c r="A51" s="185"/>
      <c r="B51" s="43" t="str">
        <f>A51&amp;"-"&amp;IF(DAY(Variables!$A$2)&lt;10,0,"")&amp;DAY(Variables!$A$2)</f>
        <v>-07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1" s="30" t="e">
        <f>VLOOKUP(B51,'Train Runs'!$A$13:$A$99942,1,FALSE)</f>
        <v>#N/A</v>
      </c>
    </row>
    <row r="52" spans="1:10" x14ac:dyDescent="0.25">
      <c r="A52" s="185"/>
      <c r="B52" s="43" t="str">
        <f>A52&amp;"-"&amp;IF(DAY(Variables!$A$2)&lt;10,0,"")&amp;DAY(Variables!$A$2)</f>
        <v>-07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2" s="30" t="e">
        <f>VLOOKUP(B52,'Train Runs'!$A$13:$A$99942,1,FALSE)</f>
        <v>#N/A</v>
      </c>
    </row>
    <row r="53" spans="1:10" x14ac:dyDescent="0.25">
      <c r="A53" s="185"/>
      <c r="B53" s="43" t="str">
        <f>A53&amp;"-"&amp;IF(DAY(Variables!$A$2)&lt;10,0,"")&amp;DAY(Variables!$A$2)</f>
        <v>-07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3" s="30" t="e">
        <f>VLOOKUP(B53,'Train Runs'!$A$13:$A$99942,1,FALSE)</f>
        <v>#N/A</v>
      </c>
    </row>
    <row r="54" spans="1:10" x14ac:dyDescent="0.25">
      <c r="A54" s="185"/>
      <c r="B54" s="43" t="str">
        <f>A54&amp;"-"&amp;IF(DAY(Variables!$A$2)&lt;10,0,"")&amp;DAY(Variables!$A$2)</f>
        <v>-07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4" s="30" t="e">
        <f>VLOOKUP(B54,'Train Runs'!$A$13:$A$99942,1,FALSE)</f>
        <v>#N/A</v>
      </c>
    </row>
    <row r="55" spans="1:10" x14ac:dyDescent="0.25">
      <c r="A55" s="185"/>
      <c r="B55" s="43" t="str">
        <f>A55&amp;"-"&amp;IF(DAY(Variables!$A$2)&lt;10,0,"")&amp;DAY(Variables!$A$2)</f>
        <v>-07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5" s="30" t="e">
        <f>VLOOKUP(B55,'Train Runs'!$A$13:$A$99942,1,FALSE)</f>
        <v>#N/A</v>
      </c>
    </row>
    <row r="56" spans="1:10" x14ac:dyDescent="0.25">
      <c r="A56" s="185"/>
      <c r="B56" s="43" t="str">
        <f>A56&amp;"-"&amp;IF(DAY(Variables!$A$2)&lt;10,0,"")&amp;DAY(Variables!$A$2)</f>
        <v>-07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6" s="30" t="e">
        <f>VLOOKUP(B56,'Train Runs'!$A$13:$A$99942,1,FALSE)</f>
        <v>#N/A</v>
      </c>
    </row>
    <row r="57" spans="1:10" x14ac:dyDescent="0.25">
      <c r="A57" s="185"/>
      <c r="B57" s="43" t="str">
        <f>A57&amp;"-"&amp;IF(DAY(Variables!$A$2)&lt;10,0,"")&amp;DAY(Variables!$A$2)</f>
        <v>-07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7" s="30" t="e">
        <f>VLOOKUP(B57,'Train Runs'!$A$13:$A$99942,1,FALSE)</f>
        <v>#N/A</v>
      </c>
    </row>
    <row r="58" spans="1:10" x14ac:dyDescent="0.25">
      <c r="A58" s="185"/>
      <c r="B58" s="43" t="str">
        <f>A58&amp;"-"&amp;IF(DAY(Variables!$A$2)&lt;10,0,"")&amp;DAY(Variables!$A$2)</f>
        <v>-07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8" s="30" t="e">
        <f>VLOOKUP(B58,'Train Runs'!$A$13:$A$99942,1,FALSE)</f>
        <v>#N/A</v>
      </c>
    </row>
    <row r="59" spans="1:10" x14ac:dyDescent="0.25">
      <c r="A59" s="185"/>
      <c r="B59" s="43" t="str">
        <f>A59&amp;"-"&amp;IF(DAY(Variables!$A$2)&lt;10,0,"")&amp;DAY(Variables!$A$2)</f>
        <v>-07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9" s="30" t="e">
        <f>VLOOKUP(B59,'Train Runs'!$A$13:$A$99942,1,FALSE)</f>
        <v>#N/A</v>
      </c>
    </row>
    <row r="60" spans="1:10" x14ac:dyDescent="0.25">
      <c r="A60" s="185"/>
      <c r="B60" s="43" t="str">
        <f>A60&amp;"-"&amp;IF(DAY(Variables!$A$2)&lt;10,0,"")&amp;DAY(Variables!$A$2)</f>
        <v>-07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0" s="30" t="e">
        <f>VLOOKUP(B60,'Train Runs'!$A$13:$A$99942,1,FALSE)</f>
        <v>#N/A</v>
      </c>
    </row>
    <row r="61" spans="1:10" x14ac:dyDescent="0.25">
      <c r="A61" s="185"/>
      <c r="B61" s="43" t="str">
        <f>A61&amp;"-"&amp;IF(DAY(Variables!$A$2)&lt;10,0,"")&amp;DAY(Variables!$A$2)</f>
        <v>-07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1" s="30" t="e">
        <f>VLOOKUP(B61,'Train Runs'!$A$13:$A$99942,1,FALSE)</f>
        <v>#N/A</v>
      </c>
    </row>
    <row r="62" spans="1:10" x14ac:dyDescent="0.25">
      <c r="A62" s="185"/>
      <c r="B62" s="43" t="str">
        <f>A62&amp;"-"&amp;IF(DAY(Variables!$A$2)&lt;10,0,"")&amp;DAY(Variables!$A$2)</f>
        <v>-07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2" s="30" t="e">
        <f>VLOOKUP(B62,'Train Runs'!$A$13:$A$99942,1,FALSE)</f>
        <v>#N/A</v>
      </c>
    </row>
    <row r="63" spans="1:10" x14ac:dyDescent="0.25">
      <c r="A63" s="185"/>
      <c r="B63" s="43" t="str">
        <f>A63&amp;"-"&amp;IF(DAY(Variables!$A$2)&lt;10,0,"")&amp;DAY(Variables!$A$2)</f>
        <v>-07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3" s="30" t="e">
        <f>VLOOKUP(B63,'Train Runs'!$A$13:$A$99942,1,FALSE)</f>
        <v>#N/A</v>
      </c>
    </row>
    <row r="64" spans="1:10" x14ac:dyDescent="0.25">
      <c r="A64" s="185"/>
      <c r="B64" s="43" t="str">
        <f>A64&amp;"-"&amp;IF(DAY(Variables!$A$2)&lt;10,0,"")&amp;DAY(Variables!$A$2)</f>
        <v>-07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4" s="30" t="e">
        <f>VLOOKUP(B64,'Train Runs'!$A$13:$A$99942,1,FALSE)</f>
        <v>#N/A</v>
      </c>
    </row>
    <row r="65" spans="1:10" x14ac:dyDescent="0.25">
      <c r="A65" s="185"/>
      <c r="B65" s="43" t="str">
        <f>A65&amp;"-"&amp;IF(DAY(Variables!$A$2)&lt;10,0,"")&amp;DAY(Variables!$A$2)</f>
        <v>-07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5" s="30" t="e">
        <f>VLOOKUP(B65,'Train Runs'!$A$13:$A$99942,1,FALSE)</f>
        <v>#N/A</v>
      </c>
    </row>
    <row r="66" spans="1:10" x14ac:dyDescent="0.25">
      <c r="A66" s="185"/>
      <c r="B66" s="43" t="str">
        <f>A66&amp;"-"&amp;IF(DAY(Variables!$A$2)&lt;10,0,"")&amp;DAY(Variables!$A$2)</f>
        <v>-07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6" s="30" t="e">
        <f>VLOOKUP(B66,'Train Runs'!$A$13:$A$99942,1,FALSE)</f>
        <v>#N/A</v>
      </c>
    </row>
    <row r="67" spans="1:10" x14ac:dyDescent="0.25">
      <c r="A67" s="185"/>
      <c r="B67" s="43" t="str">
        <f>A67&amp;"-"&amp;IF(DAY(Variables!$A$2)&lt;10,0,"")&amp;DAY(Variables!$A$2)</f>
        <v>-07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7" s="30" t="e">
        <f>VLOOKUP(B67,'Train Runs'!$A$13:$A$99942,1,FALSE)</f>
        <v>#N/A</v>
      </c>
    </row>
    <row r="68" spans="1:10" x14ac:dyDescent="0.25">
      <c r="A68" s="185"/>
      <c r="B68" s="43" t="str">
        <f>A68&amp;"-"&amp;IF(DAY(Variables!$A$2)&lt;10,0,"")&amp;DAY(Variables!$A$2)</f>
        <v>-07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8" s="30" t="e">
        <f>VLOOKUP(B68,'Train Runs'!$A$13:$A$99942,1,FALSE)</f>
        <v>#N/A</v>
      </c>
    </row>
    <row r="69" spans="1:10" x14ac:dyDescent="0.25">
      <c r="A69" s="185"/>
      <c r="B69" s="43" t="str">
        <f>A69&amp;"-"&amp;IF(DAY(Variables!$A$2)&lt;10,0,"")&amp;DAY(Variables!$A$2)</f>
        <v>-07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9" s="30" t="e">
        <f>VLOOKUP(B69,'Train Runs'!$A$13:$A$99942,1,FALSE)</f>
        <v>#N/A</v>
      </c>
    </row>
    <row r="70" spans="1:10" x14ac:dyDescent="0.25">
      <c r="A70" s="185"/>
      <c r="B70" s="43" t="str">
        <f>A70&amp;"-"&amp;IF(DAY(Variables!$A$2)&lt;10,0,"")&amp;DAY(Variables!$A$2)</f>
        <v>-07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0" s="30" t="e">
        <f>VLOOKUP(B70,'Train Runs'!$A$13:$A$99942,1,FALSE)</f>
        <v>#N/A</v>
      </c>
    </row>
    <row r="71" spans="1:10" x14ac:dyDescent="0.25">
      <c r="A71" s="185"/>
      <c r="B71" s="43" t="str">
        <f>A71&amp;"-"&amp;IF(DAY(Variables!$A$2)&lt;10,0,"")&amp;DAY(Variables!$A$2)</f>
        <v>-07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1" s="30" t="e">
        <f>VLOOKUP(B71,'Train Runs'!$A$13:$A$99942,1,FALSE)</f>
        <v>#N/A</v>
      </c>
    </row>
    <row r="72" spans="1:10" x14ac:dyDescent="0.25">
      <c r="A72" s="185"/>
      <c r="B72" s="43" t="str">
        <f>A72&amp;"-"&amp;IF(DAY(Variables!$A$2)&lt;10,0,"")&amp;DAY(Variables!$A$2)</f>
        <v>-07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2" s="30" t="e">
        <f>VLOOKUP(B72,'Train Runs'!$A$13:$A$99942,1,FALSE)</f>
        <v>#N/A</v>
      </c>
    </row>
    <row r="73" spans="1:10" x14ac:dyDescent="0.25">
      <c r="A73" s="185"/>
      <c r="B73" s="43" t="str">
        <f>A73&amp;"-"&amp;IF(DAY(Variables!$A$2)&lt;10,0,"")&amp;DAY(Variables!$A$2)</f>
        <v>-07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3" s="30" t="e">
        <f>VLOOKUP(B73,'Train Runs'!$A$13:$A$99942,1,FALSE)</f>
        <v>#N/A</v>
      </c>
    </row>
    <row r="74" spans="1:10" x14ac:dyDescent="0.25">
      <c r="A74" s="185"/>
      <c r="B74" s="43" t="str">
        <f>A74&amp;"-"&amp;IF(DAY(Variables!$A$2)&lt;10,0,"")&amp;DAY(Variables!$A$2)</f>
        <v>-07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4" s="30" t="e">
        <f>VLOOKUP(B74,'Train Runs'!$A$13:$A$99942,1,FALSE)</f>
        <v>#N/A</v>
      </c>
    </row>
    <row r="75" spans="1:10" x14ac:dyDescent="0.25">
      <c r="A75" s="185"/>
      <c r="B75" s="43" t="str">
        <f>A75&amp;"-"&amp;IF(DAY(Variables!$A$2)&lt;10,0,"")&amp;DAY(Variables!$A$2)</f>
        <v>-07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5" s="30" t="e">
        <f>VLOOKUP(B75,'Train Runs'!$A$13:$A$99942,1,FALSE)</f>
        <v>#N/A</v>
      </c>
    </row>
    <row r="76" spans="1:10" x14ac:dyDescent="0.25">
      <c r="A76" s="185"/>
      <c r="B76" s="43" t="str">
        <f>A76&amp;"-"&amp;IF(DAY(Variables!$A$2)&lt;10,0,"")&amp;DAY(Variables!$A$2)</f>
        <v>-07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6" s="30" t="e">
        <f>VLOOKUP(B76,'Train Runs'!$A$13:$A$99942,1,FALSE)</f>
        <v>#N/A</v>
      </c>
    </row>
    <row r="77" spans="1:10" x14ac:dyDescent="0.25">
      <c r="A77" s="185"/>
      <c r="B77" s="43" t="str">
        <f>A77&amp;"-"&amp;IF(DAY(Variables!$A$2)&lt;10,0,"")&amp;DAY(Variables!$A$2)</f>
        <v>-07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7" s="30" t="e">
        <f>VLOOKUP(B77,'Train Runs'!$A$13:$A$99942,1,FALSE)</f>
        <v>#N/A</v>
      </c>
    </row>
    <row r="78" spans="1:10" x14ac:dyDescent="0.25">
      <c r="A78" s="185"/>
      <c r="B78" s="43" t="str">
        <f>A78&amp;"-"&amp;IF(DAY(Variables!$A$2)&lt;10,0,"")&amp;DAY(Variables!$A$2)</f>
        <v>-07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8" s="30" t="e">
        <f>VLOOKUP(B78,'Train Runs'!$A$13:$A$99942,1,FALSE)</f>
        <v>#N/A</v>
      </c>
    </row>
    <row r="79" spans="1:10" x14ac:dyDescent="0.25">
      <c r="A79" s="185"/>
      <c r="B79" s="43" t="str">
        <f>A79&amp;"-"&amp;IF(DAY(Variables!$A$2)&lt;10,0,"")&amp;DAY(Variables!$A$2)</f>
        <v>-07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9" s="30" t="e">
        <f>VLOOKUP(B79,'Train Runs'!$A$13:$A$99942,1,FALSE)</f>
        <v>#N/A</v>
      </c>
    </row>
    <row r="80" spans="1:10" x14ac:dyDescent="0.25">
      <c r="A80" s="185"/>
      <c r="B80" s="43" t="str">
        <f>A80&amp;"-"&amp;IF(DAY(Variables!$A$2)&lt;10,0,"")&amp;DAY(Variables!$A$2)</f>
        <v>-07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ref="I80:I101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80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0" s="30" t="e">
        <f>VLOOKUP(B80,'Train Runs'!$A$13:$A$99942,1,FALSE)</f>
        <v>#N/A</v>
      </c>
    </row>
    <row r="81" spans="1:10" x14ac:dyDescent="0.25">
      <c r="A81" s="185"/>
      <c r="B81" s="43" t="str">
        <f>A81&amp;"-"&amp;IF(DAY(Variables!$A$2)&lt;10,0,"")&amp;DAY(Variables!$A$2)</f>
        <v>-07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1" s="30" t="e">
        <f>VLOOKUP(B81,'Train Runs'!$A$13:$A$99942,1,FALSE)</f>
        <v>#N/A</v>
      </c>
    </row>
    <row r="82" spans="1:10" x14ac:dyDescent="0.25">
      <c r="A82" s="185"/>
      <c r="B82" s="43" t="str">
        <f>A82&amp;"-"&amp;IF(DAY(Variables!$A$2)&lt;10,0,"")&amp;DAY(Variables!$A$2)</f>
        <v>-07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2" s="30" t="e">
        <f>VLOOKUP(B82,'Train Runs'!$A$13:$A$99942,1,FALSE)</f>
        <v>#N/A</v>
      </c>
    </row>
    <row r="83" spans="1:10" x14ac:dyDescent="0.25">
      <c r="A83" s="185"/>
      <c r="B83" s="43" t="str">
        <f>A83&amp;"-"&amp;IF(DAY(Variables!$A$2)&lt;10,0,"")&amp;DAY(Variables!$A$2)</f>
        <v>-07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3" s="30" t="e">
        <f>VLOOKUP(B83,'Train Runs'!$A$13:$A$99942,1,FALSE)</f>
        <v>#N/A</v>
      </c>
    </row>
    <row r="84" spans="1:10" x14ac:dyDescent="0.25">
      <c r="A84" s="185"/>
      <c r="B84" s="43" t="str">
        <f>A84&amp;"-"&amp;IF(DAY(Variables!$A$2)&lt;10,0,"")&amp;DAY(Variables!$A$2)</f>
        <v>-07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4" s="30" t="e">
        <f>VLOOKUP(B84,'Train Runs'!$A$13:$A$99942,1,FALSE)</f>
        <v>#N/A</v>
      </c>
    </row>
    <row r="85" spans="1:10" x14ac:dyDescent="0.25">
      <c r="A85" s="185"/>
      <c r="B85" s="43" t="str">
        <f>A85&amp;"-"&amp;IF(DAY(Variables!$A$2)&lt;10,0,"")&amp;DAY(Variables!$A$2)</f>
        <v>-07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5" s="30" t="e">
        <f>VLOOKUP(B85,'Train Runs'!$A$13:$A$99942,1,FALSE)</f>
        <v>#N/A</v>
      </c>
    </row>
    <row r="86" spans="1:10" x14ac:dyDescent="0.25">
      <c r="A86" s="185"/>
      <c r="B86" s="43" t="str">
        <f>A86&amp;"-"&amp;IF(DAY(Variables!$A$2)&lt;10,0,"")&amp;DAY(Variables!$A$2)</f>
        <v>-07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6" s="30" t="e">
        <f>VLOOKUP(B86,'Train Runs'!$A$13:$A$99942,1,FALSE)</f>
        <v>#N/A</v>
      </c>
    </row>
    <row r="87" spans="1:10" x14ac:dyDescent="0.25">
      <c r="A87" s="185"/>
      <c r="B87" s="43" t="str">
        <f>A87&amp;"-"&amp;IF(DAY(Variables!$A$2)&lt;10,0,"")&amp;DAY(Variables!$A$2)</f>
        <v>-07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7" s="30" t="e">
        <f>VLOOKUP(B87,'Train Runs'!$A$13:$A$99942,1,FALSE)</f>
        <v>#N/A</v>
      </c>
    </row>
    <row r="88" spans="1:10" x14ac:dyDescent="0.25">
      <c r="A88" s="185"/>
      <c r="B88" s="43" t="str">
        <f>A88&amp;"-"&amp;IF(DAY(Variables!$A$2)&lt;10,0,"")&amp;DAY(Variables!$A$2)</f>
        <v>-07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8" s="30" t="e">
        <f>VLOOKUP(B88,'Train Runs'!$A$13:$A$99942,1,FALSE)</f>
        <v>#N/A</v>
      </c>
    </row>
    <row r="89" spans="1:10" x14ac:dyDescent="0.25">
      <c r="A89" s="185"/>
      <c r="B89" s="43" t="str">
        <f>A89&amp;"-"&amp;IF(DAY(Variables!$A$2)&lt;10,0,"")&amp;DAY(Variables!$A$2)</f>
        <v>-07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9" s="30" t="e">
        <f>VLOOKUP(B89,'Train Runs'!$A$13:$A$99942,1,FALSE)</f>
        <v>#N/A</v>
      </c>
    </row>
    <row r="90" spans="1:10" x14ac:dyDescent="0.25">
      <c r="A90" s="185"/>
      <c r="B90" s="43" t="str">
        <f>A90&amp;"-"&amp;IF(DAY(Variables!$A$2)&lt;10,0,"")&amp;DAY(Variables!$A$2)</f>
        <v>-07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0" s="30" t="e">
        <f>VLOOKUP(B90,'Train Runs'!$A$13:$A$99942,1,FALSE)</f>
        <v>#N/A</v>
      </c>
    </row>
    <row r="91" spans="1:10" x14ac:dyDescent="0.25">
      <c r="A91" s="185"/>
      <c r="B91" s="43" t="str">
        <f>A91&amp;"-"&amp;IF(DAY(Variables!$A$2)&lt;10,0,"")&amp;DAY(Variables!$A$2)</f>
        <v>-07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1" s="30" t="e">
        <f>VLOOKUP(B91,'Train Runs'!$A$13:$A$99942,1,FALSE)</f>
        <v>#N/A</v>
      </c>
    </row>
    <row r="92" spans="1:10" x14ac:dyDescent="0.25">
      <c r="A92" s="185"/>
      <c r="B92" s="43" t="str">
        <f>A92&amp;"-"&amp;IF(DAY(Variables!$A$2)&lt;10,0,"")&amp;DAY(Variables!$A$2)</f>
        <v>-07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2" s="30" t="e">
        <f>VLOOKUP(B92,'Train Runs'!$A$13:$A$99942,1,FALSE)</f>
        <v>#N/A</v>
      </c>
    </row>
    <row r="93" spans="1:10" x14ac:dyDescent="0.25">
      <c r="A93" s="185"/>
      <c r="B93" s="43" t="str">
        <f>A93&amp;"-"&amp;IF(DAY(Variables!$A$2)&lt;10,0,"")&amp;DAY(Variables!$A$2)</f>
        <v>-07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3" s="30" t="e">
        <f>VLOOKUP(B93,'Train Runs'!$A$13:$A$99942,1,FALSE)</f>
        <v>#N/A</v>
      </c>
    </row>
    <row r="94" spans="1:10" x14ac:dyDescent="0.25">
      <c r="A94" s="185"/>
      <c r="B94" s="43" t="str">
        <f>A94&amp;"-"&amp;IF(DAY(Variables!$A$2)&lt;10,0,"")&amp;DAY(Variables!$A$2)</f>
        <v>-07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4" s="30" t="e">
        <f>VLOOKUP(B94,'Train Runs'!$A$13:$A$99942,1,FALSE)</f>
        <v>#N/A</v>
      </c>
    </row>
    <row r="95" spans="1:10" x14ac:dyDescent="0.25">
      <c r="A95" s="185"/>
      <c r="B95" s="43" t="str">
        <f>A95&amp;"-"&amp;IF(DAY(Variables!$A$2)&lt;10,0,"")&amp;DAY(Variables!$A$2)</f>
        <v>-07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5" s="30" t="e">
        <f>VLOOKUP(B95,'Train Runs'!$A$13:$A$99942,1,FALSE)</f>
        <v>#N/A</v>
      </c>
    </row>
    <row r="96" spans="1:10" x14ac:dyDescent="0.25">
      <c r="A96" s="185"/>
      <c r="B96" s="43" t="str">
        <f>A96&amp;"-"&amp;IF(DAY(Variables!$A$2)&lt;10,0,"")&amp;DAY(Variables!$A$2)</f>
        <v>-07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6" s="30" t="e">
        <f>VLOOKUP(B96,'Train Runs'!$A$13:$A$99942,1,FALSE)</f>
        <v>#N/A</v>
      </c>
    </row>
    <row r="97" spans="1:10" x14ac:dyDescent="0.25">
      <c r="A97" s="185"/>
      <c r="B97" s="43" t="str">
        <f>A97&amp;"-"&amp;IF(DAY(Variables!$A$2)&lt;10,0,"")&amp;DAY(Variables!$A$2)</f>
        <v>-07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7" s="30" t="e">
        <f>VLOOKUP(B97,'Train Runs'!$A$13:$A$99942,1,FALSE)</f>
        <v>#N/A</v>
      </c>
    </row>
    <row r="98" spans="1:10" x14ac:dyDescent="0.25">
      <c r="A98" s="185"/>
      <c r="B98" s="43" t="str">
        <f>A98&amp;"-"&amp;IF(DAY(Variables!$A$2)&lt;10,0,"")&amp;DAY(Variables!$A$2)</f>
        <v>-07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8" s="30" t="e">
        <f>VLOOKUP(B98,'Train Runs'!$A$13:$A$99942,1,FALSE)</f>
        <v>#N/A</v>
      </c>
    </row>
    <row r="99" spans="1:10" x14ac:dyDescent="0.25">
      <c r="A99" s="185"/>
      <c r="B99" s="43" t="str">
        <f>A99&amp;"-"&amp;IF(DAY(Variables!$A$2)&lt;10,0,"")&amp;DAY(Variables!$A$2)</f>
        <v>-07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9" s="30" t="e">
        <f>VLOOKUP(B99,'Train Runs'!$A$13:$A$99942,1,FALSE)</f>
        <v>#N/A</v>
      </c>
    </row>
    <row r="100" spans="1:10" x14ac:dyDescent="0.25">
      <c r="A100" s="185"/>
      <c r="B100" s="43" t="str">
        <f>A100&amp;"-"&amp;IF(DAY(Variables!$A$2)&lt;10,0,"")&amp;DAY(Variables!$A$2)</f>
        <v>-07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00" s="30" t="e">
        <f>VLOOKUP(B100,'Train Runs'!$A$13:$A$99942,1,FALSE)</f>
        <v>#N/A</v>
      </c>
    </row>
    <row r="101" spans="1:10" x14ac:dyDescent="0.25">
      <c r="A101" s="185"/>
      <c r="B101" s="43" t="str">
        <f>A101&amp;"-"&amp;IF(DAY(Variables!$A$2)&lt;10,0,"")&amp;DAY(Variables!$A$2)</f>
        <v>-07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01" s="30" t="e">
        <f>VLOOKUP(B101,'Train Runs'!$A$13:$A$99942,1,FALSE)</f>
        <v>#N/A</v>
      </c>
    </row>
  </sheetData>
  <autoFilter ref="A2:J101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8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199</v>
      </c>
      <c r="G1" s="8" t="s">
        <v>198</v>
      </c>
    </row>
    <row r="2" spans="1:7" x14ac:dyDescent="0.25">
      <c r="A2" s="8">
        <v>42801.037777777776</v>
      </c>
      <c r="B2" s="20" t="s">
        <v>442</v>
      </c>
      <c r="C2" s="20" t="s">
        <v>487</v>
      </c>
      <c r="D2" s="150">
        <v>1800000</v>
      </c>
      <c r="E2" s="20" t="s">
        <v>215</v>
      </c>
      <c r="F2" s="20" t="s">
        <v>216</v>
      </c>
      <c r="G2" s="8" t="str">
        <f>E2&amp;" "&amp;F2</f>
        <v>CHANDLER KELVIN</v>
      </c>
    </row>
    <row r="3" spans="1:7" x14ac:dyDescent="0.25">
      <c r="A3" s="8">
        <v>42801.038935185185</v>
      </c>
      <c r="B3" s="20" t="s">
        <v>276</v>
      </c>
      <c r="C3" s="20" t="s">
        <v>486</v>
      </c>
      <c r="D3" s="150">
        <v>2730000</v>
      </c>
      <c r="E3" s="20" t="s">
        <v>231</v>
      </c>
      <c r="F3" s="20" t="s">
        <v>232</v>
      </c>
      <c r="G3" s="8" t="str">
        <f t="shared" ref="G3:G66" si="0">E3&amp;" "&amp;F3</f>
        <v>YANG JAN</v>
      </c>
    </row>
    <row r="4" spans="1:7" x14ac:dyDescent="0.25">
      <c r="A4" s="8">
        <v>42801.053263888891</v>
      </c>
      <c r="B4" s="20" t="s">
        <v>420</v>
      </c>
      <c r="C4" s="20" t="s">
        <v>488</v>
      </c>
      <c r="D4" s="150">
        <v>2230000</v>
      </c>
      <c r="E4" s="20" t="s">
        <v>422</v>
      </c>
      <c r="F4" s="20" t="s">
        <v>200</v>
      </c>
      <c r="G4" s="8" t="str">
        <f t="shared" si="0"/>
        <v>SMITH MICHAEL</v>
      </c>
    </row>
    <row r="5" spans="1:7" x14ac:dyDescent="0.25">
      <c r="A5" s="8">
        <v>42801.054409722223</v>
      </c>
      <c r="B5" s="20" t="s">
        <v>471</v>
      </c>
      <c r="C5" s="20" t="s">
        <v>489</v>
      </c>
      <c r="D5" s="150">
        <v>1740000</v>
      </c>
      <c r="E5" s="20" t="s">
        <v>484</v>
      </c>
      <c r="F5" s="20" t="s">
        <v>485</v>
      </c>
      <c r="G5" s="8" t="str">
        <f t="shared" si="0"/>
        <v>STORY SAMANTHA</v>
      </c>
    </row>
    <row r="6" spans="1:7" x14ac:dyDescent="0.25">
      <c r="A6" s="8">
        <v>42801.069699074076</v>
      </c>
      <c r="B6" s="20" t="s">
        <v>470</v>
      </c>
      <c r="C6" s="20" t="s">
        <v>490</v>
      </c>
      <c r="D6" s="150">
        <v>2000000</v>
      </c>
      <c r="E6" s="20" t="s">
        <v>435</v>
      </c>
      <c r="F6" s="20" t="s">
        <v>197</v>
      </c>
      <c r="G6" s="8" t="str">
        <f t="shared" si="0"/>
        <v>STAMBAUGH JAMES</v>
      </c>
    </row>
    <row r="7" spans="1:7" x14ac:dyDescent="0.25">
      <c r="A7" s="8">
        <v>42801.081666666665</v>
      </c>
      <c r="B7" s="20" t="s">
        <v>277</v>
      </c>
      <c r="C7" s="20" t="s">
        <v>472</v>
      </c>
      <c r="D7" s="150">
        <v>2730000</v>
      </c>
      <c r="E7" s="20" t="s">
        <v>231</v>
      </c>
      <c r="F7" s="20" t="s">
        <v>232</v>
      </c>
      <c r="G7" s="8" t="str">
        <f t="shared" si="0"/>
        <v>YANG JAN</v>
      </c>
    </row>
    <row r="8" spans="1:7" x14ac:dyDescent="0.25">
      <c r="A8" s="8">
        <v>42801.095023148147</v>
      </c>
      <c r="B8" s="20" t="s">
        <v>421</v>
      </c>
      <c r="C8" s="20" t="s">
        <v>491</v>
      </c>
      <c r="D8" s="150">
        <v>1740000</v>
      </c>
      <c r="E8" s="20" t="s">
        <v>484</v>
      </c>
      <c r="F8" s="20" t="s">
        <v>485</v>
      </c>
      <c r="G8" s="8" t="str">
        <f t="shared" si="0"/>
        <v>STORY SAMANTHA</v>
      </c>
    </row>
    <row r="9" spans="1:7" ht="15.75" thickBot="1" x14ac:dyDescent="0.3">
      <c r="A9" s="24">
        <v>42801.11954861111</v>
      </c>
      <c r="B9" s="20" t="s">
        <v>418</v>
      </c>
      <c r="C9" s="20" t="s">
        <v>602</v>
      </c>
      <c r="D9" s="150">
        <v>1360000</v>
      </c>
      <c r="E9" s="20" t="s">
        <v>436</v>
      </c>
      <c r="F9" s="20" t="s">
        <v>437</v>
      </c>
      <c r="G9" s="8" t="str">
        <f t="shared" si="0"/>
        <v>SANTIZO D. EDY</v>
      </c>
    </row>
    <row r="10" spans="1:7" x14ac:dyDescent="0.25">
      <c r="A10" s="8">
        <v>42801.129178240742</v>
      </c>
      <c r="B10" s="20" t="s">
        <v>220</v>
      </c>
      <c r="C10" s="20" t="s">
        <v>546</v>
      </c>
      <c r="D10" s="150">
        <v>1360000</v>
      </c>
      <c r="E10" s="20" t="s">
        <v>436</v>
      </c>
      <c r="F10" s="20" t="s">
        <v>437</v>
      </c>
      <c r="G10" s="8" t="str">
        <f t="shared" si="0"/>
        <v>SANTIZO D. EDY</v>
      </c>
    </row>
    <row r="11" spans="1:7" x14ac:dyDescent="0.25">
      <c r="A11" s="8">
        <v>42801.132002314815</v>
      </c>
      <c r="B11" s="20" t="s">
        <v>220</v>
      </c>
      <c r="C11" s="20" t="s">
        <v>546</v>
      </c>
      <c r="D11" s="150">
        <v>1360000</v>
      </c>
      <c r="E11" s="20" t="s">
        <v>436</v>
      </c>
      <c r="F11" s="20" t="s">
        <v>437</v>
      </c>
      <c r="G11" s="8" t="str">
        <f t="shared" si="0"/>
        <v>SANTIZO D. EDY</v>
      </c>
    </row>
    <row r="12" spans="1:7" x14ac:dyDescent="0.25">
      <c r="A12" s="8">
        <v>42801.142685185187</v>
      </c>
      <c r="B12" s="20" t="s">
        <v>548</v>
      </c>
      <c r="C12" s="20" t="s">
        <v>603</v>
      </c>
      <c r="D12" s="150">
        <v>2010000</v>
      </c>
      <c r="E12" s="20" t="s">
        <v>438</v>
      </c>
      <c r="F12" s="20" t="s">
        <v>439</v>
      </c>
      <c r="G12" s="8" t="str">
        <f t="shared" si="0"/>
        <v>MAELZER KURT</v>
      </c>
    </row>
    <row r="13" spans="1:7" x14ac:dyDescent="0.25">
      <c r="A13" s="8">
        <v>42801.14398148148</v>
      </c>
      <c r="B13" s="20" t="s">
        <v>548</v>
      </c>
      <c r="C13" s="20" t="s">
        <v>603</v>
      </c>
      <c r="D13" s="150">
        <v>2010000</v>
      </c>
      <c r="E13" s="20" t="s">
        <v>438</v>
      </c>
      <c r="F13" s="20" t="s">
        <v>439</v>
      </c>
      <c r="G13" s="8" t="str">
        <f t="shared" si="0"/>
        <v>MAELZER KURT</v>
      </c>
    </row>
    <row r="14" spans="1:7" x14ac:dyDescent="0.25">
      <c r="A14" s="8">
        <v>42801.154143518521</v>
      </c>
      <c r="B14" s="20" t="s">
        <v>241</v>
      </c>
      <c r="C14" s="20" t="s">
        <v>547</v>
      </c>
      <c r="D14" s="150">
        <v>2010000</v>
      </c>
      <c r="E14" s="20" t="s">
        <v>438</v>
      </c>
      <c r="F14" s="20" t="s">
        <v>439</v>
      </c>
      <c r="G14" s="8" t="str">
        <f t="shared" si="0"/>
        <v>MAELZER KURT</v>
      </c>
    </row>
    <row r="15" spans="1:7" x14ac:dyDescent="0.25">
      <c r="A15" s="8">
        <v>42801.162766203706</v>
      </c>
      <c r="B15" s="20" t="s">
        <v>428</v>
      </c>
      <c r="C15" s="20" t="s">
        <v>604</v>
      </c>
      <c r="D15" s="150">
        <v>1110000</v>
      </c>
      <c r="E15" s="20" t="s">
        <v>474</v>
      </c>
      <c r="F15" s="20" t="s">
        <v>475</v>
      </c>
      <c r="G15" s="8" t="str">
        <f t="shared" si="0"/>
        <v>STARKS ANGELINA</v>
      </c>
    </row>
    <row r="16" spans="1:7" x14ac:dyDescent="0.25">
      <c r="A16" s="8">
        <v>42801.167430555557</v>
      </c>
      <c r="B16" s="20" t="s">
        <v>418</v>
      </c>
      <c r="C16" s="20" t="s">
        <v>605</v>
      </c>
      <c r="D16" s="150">
        <v>1360000</v>
      </c>
      <c r="E16" s="20" t="s">
        <v>436</v>
      </c>
      <c r="F16" s="20" t="s">
        <v>437</v>
      </c>
      <c r="G16" s="8" t="str">
        <f t="shared" si="0"/>
        <v>SANTIZO D. EDY</v>
      </c>
    </row>
    <row r="17" spans="1:7" x14ac:dyDescent="0.25">
      <c r="A17" s="8">
        <v>42801.170590277776</v>
      </c>
      <c r="B17" s="20" t="s">
        <v>270</v>
      </c>
      <c r="C17" s="20" t="s">
        <v>606</v>
      </c>
      <c r="D17" s="150">
        <v>940000</v>
      </c>
      <c r="E17" s="20" t="s">
        <v>476</v>
      </c>
      <c r="F17" s="20" t="s">
        <v>477</v>
      </c>
      <c r="G17" s="8" t="str">
        <f t="shared" si="0"/>
        <v>BONDS REYNALDO</v>
      </c>
    </row>
    <row r="18" spans="1:7" x14ac:dyDescent="0.25">
      <c r="A18" s="8">
        <v>42801.174050925925</v>
      </c>
      <c r="B18" s="20" t="s">
        <v>262</v>
      </c>
      <c r="C18" s="20" t="s">
        <v>607</v>
      </c>
      <c r="D18" s="150">
        <v>1110000</v>
      </c>
      <c r="E18" s="20" t="s">
        <v>474</v>
      </c>
      <c r="F18" s="20" t="s">
        <v>475</v>
      </c>
      <c r="G18" s="8" t="str">
        <f t="shared" si="0"/>
        <v>STARKS ANGELINA</v>
      </c>
    </row>
    <row r="19" spans="1:7" x14ac:dyDescent="0.25">
      <c r="A19" s="8">
        <v>42801.174328703702</v>
      </c>
      <c r="B19" s="20" t="s">
        <v>270</v>
      </c>
      <c r="C19" s="20" t="s">
        <v>606</v>
      </c>
      <c r="D19" s="150">
        <v>940000</v>
      </c>
      <c r="E19" s="20" t="s">
        <v>476</v>
      </c>
      <c r="F19" s="20" t="s">
        <v>477</v>
      </c>
      <c r="G19" s="8" t="str">
        <f t="shared" si="0"/>
        <v>BONDS REYNALDO</v>
      </c>
    </row>
    <row r="20" spans="1:7" x14ac:dyDescent="0.25">
      <c r="A20" s="8">
        <v>42801.180277777778</v>
      </c>
      <c r="B20" s="20" t="s">
        <v>223</v>
      </c>
      <c r="C20" s="20" t="s">
        <v>608</v>
      </c>
      <c r="D20" s="150">
        <v>1990000</v>
      </c>
      <c r="E20" s="20" t="s">
        <v>440</v>
      </c>
      <c r="F20" s="20" t="s">
        <v>441</v>
      </c>
      <c r="G20" s="8" t="str">
        <f t="shared" si="0"/>
        <v>DAVIS WENDY</v>
      </c>
    </row>
    <row r="21" spans="1:7" x14ac:dyDescent="0.25">
      <c r="A21" s="8">
        <v>42801.183553240742</v>
      </c>
      <c r="B21" s="20" t="s">
        <v>272</v>
      </c>
      <c r="C21" s="20" t="s">
        <v>609</v>
      </c>
      <c r="D21" s="150">
        <v>940000</v>
      </c>
      <c r="E21" s="20" t="s">
        <v>476</v>
      </c>
      <c r="F21" s="20" t="s">
        <v>477</v>
      </c>
      <c r="G21" s="8" t="str">
        <f t="shared" si="0"/>
        <v>BONDS REYNALDO</v>
      </c>
    </row>
    <row r="22" spans="1:7" x14ac:dyDescent="0.25">
      <c r="A22" s="26">
        <v>42801.192094907405</v>
      </c>
      <c r="B22" s="20" t="s">
        <v>548</v>
      </c>
      <c r="C22" s="20" t="s">
        <v>549</v>
      </c>
      <c r="D22" s="150">
        <v>2010000</v>
      </c>
      <c r="E22" s="20" t="s">
        <v>438</v>
      </c>
      <c r="F22" s="20" t="s">
        <v>439</v>
      </c>
      <c r="G22" s="8" t="str">
        <f t="shared" si="0"/>
        <v>MAELZER KURT</v>
      </c>
    </row>
    <row r="23" spans="1:7" x14ac:dyDescent="0.25">
      <c r="A23" s="8">
        <v>42801.194502314815</v>
      </c>
      <c r="B23" s="20" t="s">
        <v>558</v>
      </c>
      <c r="C23" s="20" t="s">
        <v>610</v>
      </c>
      <c r="D23" s="150">
        <v>1230000</v>
      </c>
      <c r="E23" s="20" t="s">
        <v>611</v>
      </c>
      <c r="F23" s="20" t="s">
        <v>612</v>
      </c>
      <c r="G23" s="8" t="str">
        <f t="shared" si="0"/>
        <v>YANAI IAN</v>
      </c>
    </row>
    <row r="24" spans="1:7" x14ac:dyDescent="0.25">
      <c r="A24" s="8">
        <v>42801.196018518516</v>
      </c>
      <c r="B24" s="20" t="s">
        <v>190</v>
      </c>
      <c r="C24" s="20" t="s">
        <v>613</v>
      </c>
      <c r="D24" s="150">
        <v>1990000</v>
      </c>
      <c r="E24" s="20" t="s">
        <v>440</v>
      </c>
      <c r="F24" s="20" t="s">
        <v>441</v>
      </c>
      <c r="G24" s="8" t="str">
        <f t="shared" si="0"/>
        <v>DAVIS WENDY</v>
      </c>
    </row>
    <row r="25" spans="1:7" x14ac:dyDescent="0.25">
      <c r="A25" s="8">
        <v>42801.20517361111</v>
      </c>
      <c r="B25" s="20" t="s">
        <v>550</v>
      </c>
      <c r="C25" s="20" t="s">
        <v>551</v>
      </c>
      <c r="D25" s="150">
        <v>1230000</v>
      </c>
      <c r="E25" s="20" t="s">
        <v>611</v>
      </c>
      <c r="F25" s="20" t="s">
        <v>612</v>
      </c>
      <c r="G25" s="8" t="str">
        <f t="shared" si="0"/>
        <v>YANAI IAN</v>
      </c>
    </row>
    <row r="26" spans="1:7" x14ac:dyDescent="0.25">
      <c r="A26" s="8">
        <v>42801.20853009259</v>
      </c>
      <c r="B26" s="20" t="s">
        <v>220</v>
      </c>
      <c r="C26" s="20" t="s">
        <v>614</v>
      </c>
      <c r="D26" s="150">
        <v>890000</v>
      </c>
      <c r="E26" s="20" t="s">
        <v>615</v>
      </c>
      <c r="F26" s="20" t="s">
        <v>616</v>
      </c>
      <c r="G26" s="8" t="str">
        <f t="shared" si="0"/>
        <v>LOZA FIDEL</v>
      </c>
    </row>
    <row r="27" spans="1:7" x14ac:dyDescent="0.25">
      <c r="A27" s="8">
        <v>42801.211284722223</v>
      </c>
      <c r="B27" s="20" t="s">
        <v>271</v>
      </c>
      <c r="C27" s="20" t="s">
        <v>617</v>
      </c>
      <c r="D27" s="150">
        <v>1360000</v>
      </c>
      <c r="E27" s="20" t="s">
        <v>436</v>
      </c>
      <c r="F27" s="20" t="s">
        <v>437</v>
      </c>
      <c r="G27" s="8" t="str">
        <f t="shared" si="0"/>
        <v>SANTIZO D. EDY</v>
      </c>
    </row>
    <row r="28" spans="1:7" x14ac:dyDescent="0.25">
      <c r="A28" s="8">
        <v>42801.213946759257</v>
      </c>
      <c r="B28" s="20" t="s">
        <v>428</v>
      </c>
      <c r="C28" s="20" t="s">
        <v>618</v>
      </c>
      <c r="D28" s="150">
        <v>1110000</v>
      </c>
      <c r="E28" s="20" t="s">
        <v>474</v>
      </c>
      <c r="F28" s="20" t="s">
        <v>475</v>
      </c>
      <c r="G28" s="8" t="str">
        <f t="shared" si="0"/>
        <v>STARKS ANGELINA</v>
      </c>
    </row>
    <row r="29" spans="1:7" x14ac:dyDescent="0.25">
      <c r="A29" s="8">
        <v>42801.22278935185</v>
      </c>
      <c r="B29" s="20" t="s">
        <v>270</v>
      </c>
      <c r="C29" s="20" t="s">
        <v>553</v>
      </c>
      <c r="D29" s="150">
        <v>940000</v>
      </c>
      <c r="E29" s="20" t="s">
        <v>476</v>
      </c>
      <c r="F29" s="20" t="s">
        <v>477</v>
      </c>
      <c r="G29" s="8" t="str">
        <f t="shared" si="0"/>
        <v>BONDS REYNALDO</v>
      </c>
    </row>
    <row r="30" spans="1:7" x14ac:dyDescent="0.25">
      <c r="A30" s="8">
        <v>42801.22761574074</v>
      </c>
      <c r="B30" s="20" t="s">
        <v>558</v>
      </c>
      <c r="C30" s="20" t="s">
        <v>619</v>
      </c>
      <c r="D30" s="150">
        <v>1230000</v>
      </c>
      <c r="E30" s="20" t="s">
        <v>611</v>
      </c>
      <c r="F30" s="20" t="s">
        <v>612</v>
      </c>
      <c r="G30" s="8" t="str">
        <f t="shared" si="0"/>
        <v>YANAI IAN</v>
      </c>
    </row>
    <row r="31" spans="1:7" x14ac:dyDescent="0.25">
      <c r="A31" s="8">
        <v>42801.228946759256</v>
      </c>
      <c r="B31" s="20" t="s">
        <v>241</v>
      </c>
      <c r="C31" s="20" t="s">
        <v>620</v>
      </c>
      <c r="D31" s="150">
        <v>900000</v>
      </c>
      <c r="E31" s="20" t="s">
        <v>478</v>
      </c>
      <c r="F31" s="20" t="s">
        <v>479</v>
      </c>
      <c r="G31" s="8" t="str">
        <f t="shared" si="0"/>
        <v>ROCHA YAOTL</v>
      </c>
    </row>
    <row r="32" spans="1:7" x14ac:dyDescent="0.25">
      <c r="A32" s="8">
        <v>42801.230694444443</v>
      </c>
      <c r="B32" s="20" t="s">
        <v>590</v>
      </c>
      <c r="C32" s="20" t="s">
        <v>621</v>
      </c>
      <c r="D32" s="150">
        <v>2010000</v>
      </c>
      <c r="E32" s="20" t="s">
        <v>438</v>
      </c>
      <c r="F32" s="20" t="s">
        <v>439</v>
      </c>
      <c r="G32" s="8" t="str">
        <f t="shared" si="0"/>
        <v>MAELZER KURT</v>
      </c>
    </row>
    <row r="33" spans="1:7" x14ac:dyDescent="0.25">
      <c r="A33" s="8">
        <v>42801.232002314813</v>
      </c>
      <c r="B33" s="20" t="s">
        <v>590</v>
      </c>
      <c r="C33" s="20" t="s">
        <v>621</v>
      </c>
      <c r="D33" s="150">
        <v>2010000</v>
      </c>
      <c r="E33" s="20" t="s">
        <v>438</v>
      </c>
      <c r="F33" s="20" t="s">
        <v>439</v>
      </c>
      <c r="G33" s="8" t="str">
        <f t="shared" si="0"/>
        <v>MAELZER KURT</v>
      </c>
    </row>
    <row r="34" spans="1:7" x14ac:dyDescent="0.25">
      <c r="A34" s="8">
        <v>42801.234212962961</v>
      </c>
      <c r="B34" s="20" t="s">
        <v>223</v>
      </c>
      <c r="C34" s="20" t="s">
        <v>622</v>
      </c>
      <c r="D34" s="150">
        <v>1990000</v>
      </c>
      <c r="E34" s="20" t="s">
        <v>440</v>
      </c>
      <c r="F34" s="20" t="s">
        <v>441</v>
      </c>
      <c r="G34" s="8" t="str">
        <f t="shared" si="0"/>
        <v>DAVIS WENDY</v>
      </c>
    </row>
    <row r="35" spans="1:7" x14ac:dyDescent="0.25">
      <c r="A35" s="8">
        <v>42801.240844907406</v>
      </c>
      <c r="B35" s="20" t="s">
        <v>581</v>
      </c>
      <c r="C35" s="20" t="s">
        <v>623</v>
      </c>
      <c r="D35" s="150">
        <v>890000</v>
      </c>
      <c r="E35" s="20" t="s">
        <v>615</v>
      </c>
      <c r="F35" s="20" t="s">
        <v>616</v>
      </c>
      <c r="G35" s="8" t="str">
        <f t="shared" si="0"/>
        <v>LOZA FIDEL</v>
      </c>
    </row>
    <row r="36" spans="1:7" x14ac:dyDescent="0.25">
      <c r="A36" s="8">
        <v>42801.241805555554</v>
      </c>
      <c r="B36" s="20" t="s">
        <v>273</v>
      </c>
      <c r="C36" s="20" t="s">
        <v>624</v>
      </c>
      <c r="D36" s="150">
        <v>2270000</v>
      </c>
      <c r="E36" s="20" t="s">
        <v>212</v>
      </c>
      <c r="F36" s="20" t="s">
        <v>213</v>
      </c>
      <c r="G36" s="8" t="str">
        <f t="shared" si="0"/>
        <v>BROWN JACOB</v>
      </c>
    </row>
    <row r="37" spans="1:7" x14ac:dyDescent="0.25">
      <c r="A37" s="8">
        <v>42801.247581018521</v>
      </c>
      <c r="B37" s="20" t="s">
        <v>418</v>
      </c>
      <c r="C37" s="20" t="s">
        <v>625</v>
      </c>
      <c r="D37" s="150">
        <v>1360000</v>
      </c>
      <c r="E37" s="20" t="s">
        <v>436</v>
      </c>
      <c r="F37" s="20" t="s">
        <v>437</v>
      </c>
      <c r="G37" s="8" t="str">
        <f t="shared" si="0"/>
        <v>SANTIZO D. EDY</v>
      </c>
    </row>
    <row r="38" spans="1:7" x14ac:dyDescent="0.25">
      <c r="A38" s="8">
        <v>42801.250578703701</v>
      </c>
      <c r="B38" s="20" t="s">
        <v>262</v>
      </c>
      <c r="C38" s="20" t="s">
        <v>552</v>
      </c>
      <c r="D38" s="150">
        <v>1110000</v>
      </c>
      <c r="E38" s="20" t="s">
        <v>474</v>
      </c>
      <c r="F38" s="20" t="s">
        <v>475</v>
      </c>
      <c r="G38" s="8" t="str">
        <f t="shared" si="0"/>
        <v>STARKS ANGELINA</v>
      </c>
    </row>
    <row r="39" spans="1:7" x14ac:dyDescent="0.25">
      <c r="A39" s="8">
        <v>42801.254560185182</v>
      </c>
      <c r="B39" s="20" t="s">
        <v>550</v>
      </c>
      <c r="C39" s="20" t="s">
        <v>626</v>
      </c>
      <c r="D39" s="150">
        <v>1230000</v>
      </c>
      <c r="E39" s="20" t="s">
        <v>611</v>
      </c>
      <c r="F39" s="20" t="s">
        <v>612</v>
      </c>
      <c r="G39" s="8" t="str">
        <f t="shared" si="0"/>
        <v>YANAI IAN</v>
      </c>
    </row>
    <row r="40" spans="1:7" x14ac:dyDescent="0.25">
      <c r="A40" s="8">
        <v>42801.258599537039</v>
      </c>
      <c r="B40" s="25" t="s">
        <v>429</v>
      </c>
      <c r="C40" s="20" t="s">
        <v>554</v>
      </c>
      <c r="D40" s="150">
        <v>2270000</v>
      </c>
      <c r="E40" s="20" t="s">
        <v>212</v>
      </c>
      <c r="F40" s="20" t="s">
        <v>213</v>
      </c>
      <c r="G40" s="8" t="str">
        <f t="shared" si="0"/>
        <v>BROWN JACOB</v>
      </c>
    </row>
    <row r="41" spans="1:7" x14ac:dyDescent="0.25">
      <c r="A41" s="8">
        <v>42801.260023148148</v>
      </c>
      <c r="B41" s="20" t="s">
        <v>272</v>
      </c>
      <c r="C41" s="20" t="s">
        <v>557</v>
      </c>
      <c r="D41" s="150">
        <v>940000</v>
      </c>
      <c r="E41" s="20" t="s">
        <v>476</v>
      </c>
      <c r="F41" s="20" t="s">
        <v>477</v>
      </c>
      <c r="G41" s="8" t="str">
        <f t="shared" si="0"/>
        <v>BONDS REYNALDO</v>
      </c>
    </row>
    <row r="42" spans="1:7" x14ac:dyDescent="0.25">
      <c r="A42" s="8">
        <v>42801.266736111109</v>
      </c>
      <c r="B42" s="20" t="s">
        <v>240</v>
      </c>
      <c r="C42" s="20" t="s">
        <v>627</v>
      </c>
      <c r="D42" s="150">
        <v>900000</v>
      </c>
      <c r="E42" s="20" t="s">
        <v>478</v>
      </c>
      <c r="F42" s="20" t="s">
        <v>479</v>
      </c>
      <c r="G42" s="8" t="str">
        <f t="shared" si="0"/>
        <v>ROCHA YAOTL</v>
      </c>
    </row>
    <row r="43" spans="1:7" x14ac:dyDescent="0.25">
      <c r="A43" s="8">
        <v>42801.268958333334</v>
      </c>
      <c r="B43" s="20" t="s">
        <v>190</v>
      </c>
      <c r="C43" s="20" t="s">
        <v>628</v>
      </c>
      <c r="D43" s="150">
        <v>1990000</v>
      </c>
      <c r="E43" s="20" t="s">
        <v>440</v>
      </c>
      <c r="F43" s="20" t="s">
        <v>441</v>
      </c>
      <c r="G43" s="8" t="str">
        <f t="shared" si="0"/>
        <v>DAVIS WENDY</v>
      </c>
    </row>
    <row r="44" spans="1:7" x14ac:dyDescent="0.25">
      <c r="A44" s="8">
        <v>42801.26934027778</v>
      </c>
      <c r="B44" s="20" t="s">
        <v>558</v>
      </c>
      <c r="C44" s="20" t="s">
        <v>629</v>
      </c>
      <c r="D44" s="150">
        <v>1230000</v>
      </c>
      <c r="E44" s="20" t="s">
        <v>611</v>
      </c>
      <c r="F44" s="20" t="s">
        <v>612</v>
      </c>
      <c r="G44" s="8" t="str">
        <f t="shared" si="0"/>
        <v>YANAI IAN</v>
      </c>
    </row>
    <row r="45" spans="1:7" x14ac:dyDescent="0.25">
      <c r="A45" s="8">
        <v>42801.274953703702</v>
      </c>
      <c r="B45" s="20" t="s">
        <v>548</v>
      </c>
      <c r="C45" s="20" t="s">
        <v>630</v>
      </c>
      <c r="D45" s="150">
        <v>2010000</v>
      </c>
      <c r="E45" s="20" t="s">
        <v>438</v>
      </c>
      <c r="F45" s="20" t="s">
        <v>439</v>
      </c>
      <c r="G45" s="8" t="str">
        <f t="shared" si="0"/>
        <v>MAELZER KURT</v>
      </c>
    </row>
    <row r="46" spans="1:7" x14ac:dyDescent="0.25">
      <c r="A46" s="8">
        <v>42801.275833333333</v>
      </c>
      <c r="B46" s="20" t="s">
        <v>273</v>
      </c>
      <c r="C46" s="20" t="s">
        <v>556</v>
      </c>
      <c r="D46" s="150">
        <v>2270000</v>
      </c>
      <c r="E46" s="20" t="s">
        <v>212</v>
      </c>
      <c r="F46" s="20" t="s">
        <v>213</v>
      </c>
      <c r="G46" s="8" t="str">
        <f t="shared" si="0"/>
        <v>BROWN JACOB</v>
      </c>
    </row>
    <row r="47" spans="1:7" x14ac:dyDescent="0.25">
      <c r="A47" s="8">
        <v>42801.278854166667</v>
      </c>
      <c r="B47" s="20" t="s">
        <v>220</v>
      </c>
      <c r="C47" s="20" t="s">
        <v>555</v>
      </c>
      <c r="D47" s="150">
        <v>890000</v>
      </c>
      <c r="E47" s="20" t="s">
        <v>615</v>
      </c>
      <c r="F47" s="20" t="s">
        <v>616</v>
      </c>
      <c r="G47" s="8" t="str">
        <f t="shared" si="0"/>
        <v>LOZA FIDEL</v>
      </c>
    </row>
    <row r="48" spans="1:7" x14ac:dyDescent="0.25">
      <c r="A48" s="8">
        <v>42801.286863425928</v>
      </c>
      <c r="B48" s="20" t="s">
        <v>263</v>
      </c>
      <c r="C48" s="20" t="s">
        <v>631</v>
      </c>
      <c r="D48" s="150">
        <v>1110000</v>
      </c>
      <c r="E48" s="20" t="s">
        <v>474</v>
      </c>
      <c r="F48" s="20" t="s">
        <v>475</v>
      </c>
      <c r="G48" s="8" t="str">
        <f t="shared" si="0"/>
        <v>STARKS ANGELINA</v>
      </c>
    </row>
    <row r="49" spans="1:7" x14ac:dyDescent="0.25">
      <c r="A49" s="8">
        <v>42801.290682870371</v>
      </c>
      <c r="B49" s="20" t="s">
        <v>271</v>
      </c>
      <c r="C49" s="20" t="s">
        <v>632</v>
      </c>
      <c r="D49" s="150">
        <v>1360000</v>
      </c>
      <c r="E49" s="20" t="s">
        <v>436</v>
      </c>
      <c r="F49" s="20" t="s">
        <v>437</v>
      </c>
      <c r="G49" s="8" t="str">
        <f t="shared" si="0"/>
        <v>SANTIZO D. EDY</v>
      </c>
    </row>
    <row r="50" spans="1:7" x14ac:dyDescent="0.25">
      <c r="A50" s="8">
        <v>42801.294328703705</v>
      </c>
      <c r="B50" s="20" t="s">
        <v>270</v>
      </c>
      <c r="C50" s="20" t="s">
        <v>633</v>
      </c>
      <c r="D50" s="150">
        <v>940000</v>
      </c>
      <c r="E50" s="20" t="s">
        <v>476</v>
      </c>
      <c r="F50" s="20" t="s">
        <v>477</v>
      </c>
      <c r="G50" s="8" t="str">
        <f t="shared" si="0"/>
        <v>BONDS REYNALDO</v>
      </c>
    </row>
    <row r="51" spans="1:7" x14ac:dyDescent="0.25">
      <c r="A51" s="8">
        <v>42801.296666666669</v>
      </c>
      <c r="B51" s="20" t="s">
        <v>550</v>
      </c>
      <c r="C51" s="20" t="s">
        <v>634</v>
      </c>
      <c r="D51" s="150">
        <v>1230000</v>
      </c>
      <c r="E51" s="20" t="s">
        <v>611</v>
      </c>
      <c r="F51" s="20" t="s">
        <v>612</v>
      </c>
      <c r="G51" s="8" t="str">
        <f t="shared" si="0"/>
        <v>YANAI IAN</v>
      </c>
    </row>
    <row r="52" spans="1:7" x14ac:dyDescent="0.25">
      <c r="A52" s="8">
        <v>42801.299942129626</v>
      </c>
      <c r="B52" s="20" t="s">
        <v>241</v>
      </c>
      <c r="C52" s="20" t="s">
        <v>635</v>
      </c>
      <c r="D52" s="150">
        <v>900000</v>
      </c>
      <c r="E52" s="20" t="s">
        <v>478</v>
      </c>
      <c r="F52" s="20" t="s">
        <v>479</v>
      </c>
      <c r="G52" s="8" t="str">
        <f t="shared" si="0"/>
        <v>ROCHA YAOTL</v>
      </c>
    </row>
    <row r="53" spans="1:7" x14ac:dyDescent="0.25">
      <c r="A53" s="8">
        <v>42801.304270833331</v>
      </c>
      <c r="B53" s="20" t="s">
        <v>429</v>
      </c>
      <c r="C53" s="20" t="s">
        <v>636</v>
      </c>
      <c r="D53" s="150">
        <v>2270000</v>
      </c>
      <c r="E53" s="20" t="s">
        <v>212</v>
      </c>
      <c r="F53" s="20" t="s">
        <v>213</v>
      </c>
      <c r="G53" s="8" t="str">
        <f t="shared" si="0"/>
        <v>BROWN JACOB</v>
      </c>
    </row>
    <row r="54" spans="1:7" x14ac:dyDescent="0.25">
      <c r="A54" s="8">
        <v>42801.307071759256</v>
      </c>
      <c r="B54" s="20" t="s">
        <v>223</v>
      </c>
      <c r="C54" s="20" t="s">
        <v>637</v>
      </c>
      <c r="D54" s="150">
        <v>1990000</v>
      </c>
      <c r="E54" s="20" t="s">
        <v>440</v>
      </c>
      <c r="F54" s="20" t="s">
        <v>441</v>
      </c>
      <c r="G54" s="8" t="str">
        <f t="shared" si="0"/>
        <v>DAVIS WENDY</v>
      </c>
    </row>
    <row r="55" spans="1:7" x14ac:dyDescent="0.25">
      <c r="A55" s="8">
        <v>42801.311261574076</v>
      </c>
      <c r="B55" s="20" t="s">
        <v>590</v>
      </c>
      <c r="C55" s="20" t="s">
        <v>638</v>
      </c>
      <c r="D55" s="150">
        <v>2010000</v>
      </c>
      <c r="E55" s="20" t="s">
        <v>438</v>
      </c>
      <c r="F55" s="20" t="s">
        <v>439</v>
      </c>
      <c r="G55" s="8" t="str">
        <f t="shared" si="0"/>
        <v>MAELZER KURT</v>
      </c>
    </row>
    <row r="56" spans="1:7" x14ac:dyDescent="0.25">
      <c r="A56" s="8">
        <v>42801.315787037034</v>
      </c>
      <c r="B56" s="20" t="s">
        <v>558</v>
      </c>
      <c r="C56" s="20" t="s">
        <v>559</v>
      </c>
      <c r="D56" s="150">
        <v>1230000</v>
      </c>
      <c r="E56" s="20" t="s">
        <v>611</v>
      </c>
      <c r="F56" s="20" t="s">
        <v>612</v>
      </c>
      <c r="G56" s="8" t="str">
        <f t="shared" si="0"/>
        <v>YANAI IAN</v>
      </c>
    </row>
    <row r="57" spans="1:7" x14ac:dyDescent="0.25">
      <c r="A57" s="8">
        <v>42801.316180555557</v>
      </c>
      <c r="B57" s="20" t="s">
        <v>581</v>
      </c>
      <c r="C57" s="20" t="s">
        <v>639</v>
      </c>
      <c r="D57" s="150">
        <v>890000</v>
      </c>
      <c r="E57" s="20" t="s">
        <v>615</v>
      </c>
      <c r="F57" s="20" t="s">
        <v>616</v>
      </c>
      <c r="G57" s="8" t="str">
        <f t="shared" si="0"/>
        <v>LOZA FIDEL</v>
      </c>
    </row>
    <row r="58" spans="1:7" x14ac:dyDescent="0.25">
      <c r="A58" s="8">
        <v>42801.317627314813</v>
      </c>
      <c r="B58" s="20" t="s">
        <v>273</v>
      </c>
      <c r="C58" s="20" t="s">
        <v>640</v>
      </c>
      <c r="D58" s="150">
        <v>2270000</v>
      </c>
      <c r="E58" s="20" t="s">
        <v>212</v>
      </c>
      <c r="F58" s="20" t="s">
        <v>213</v>
      </c>
      <c r="G58" s="8" t="str">
        <f t="shared" si="0"/>
        <v>BROWN JACOB</v>
      </c>
    </row>
    <row r="59" spans="1:7" x14ac:dyDescent="0.25">
      <c r="A59" s="8">
        <v>42801.320381944446</v>
      </c>
      <c r="B59" s="20" t="s">
        <v>418</v>
      </c>
      <c r="C59" s="20" t="s">
        <v>560</v>
      </c>
      <c r="D59" s="150">
        <v>1360000</v>
      </c>
      <c r="E59" s="20" t="s">
        <v>436</v>
      </c>
      <c r="F59" s="20" t="s">
        <v>437</v>
      </c>
      <c r="G59" s="8" t="str">
        <f t="shared" si="0"/>
        <v>SANTIZO D. EDY</v>
      </c>
    </row>
    <row r="60" spans="1:7" x14ac:dyDescent="0.25">
      <c r="A60" s="8">
        <v>42801.322835648149</v>
      </c>
      <c r="B60" s="20" t="s">
        <v>262</v>
      </c>
      <c r="C60" s="20" t="s">
        <v>641</v>
      </c>
      <c r="D60" s="150">
        <v>1110000</v>
      </c>
      <c r="E60" s="20" t="s">
        <v>474</v>
      </c>
      <c r="F60" s="20" t="s">
        <v>475</v>
      </c>
      <c r="G60" s="8" t="str">
        <f t="shared" si="0"/>
        <v>STARKS ANGELINA</v>
      </c>
    </row>
    <row r="61" spans="1:7" x14ac:dyDescent="0.25">
      <c r="A61" s="8">
        <v>42801.335069444445</v>
      </c>
      <c r="B61" s="20" t="s">
        <v>272</v>
      </c>
      <c r="C61" s="20" t="s">
        <v>642</v>
      </c>
      <c r="D61" s="150">
        <v>940000</v>
      </c>
      <c r="E61" s="20" t="s">
        <v>476</v>
      </c>
      <c r="F61" s="20" t="s">
        <v>477</v>
      </c>
      <c r="G61" s="8" t="str">
        <f t="shared" si="0"/>
        <v>BONDS REYNALDO</v>
      </c>
    </row>
    <row r="62" spans="1:7" x14ac:dyDescent="0.25">
      <c r="A62" s="8">
        <v>42801.337800925925</v>
      </c>
      <c r="B62" s="20" t="s">
        <v>550</v>
      </c>
      <c r="C62" s="20" t="s">
        <v>643</v>
      </c>
      <c r="D62" s="150">
        <v>1230000</v>
      </c>
      <c r="E62" s="20" t="s">
        <v>611</v>
      </c>
      <c r="F62" s="20" t="s">
        <v>612</v>
      </c>
      <c r="G62" s="8" t="str">
        <f t="shared" si="0"/>
        <v>YANAI IAN</v>
      </c>
    </row>
    <row r="63" spans="1:7" x14ac:dyDescent="0.25">
      <c r="A63" s="8">
        <v>42801.340624999997</v>
      </c>
      <c r="B63" s="20" t="s">
        <v>240</v>
      </c>
      <c r="C63" s="20" t="s">
        <v>644</v>
      </c>
      <c r="D63" s="150">
        <v>900000</v>
      </c>
      <c r="E63" s="20" t="s">
        <v>478</v>
      </c>
      <c r="F63" s="20" t="s">
        <v>479</v>
      </c>
      <c r="G63" s="8" t="str">
        <f t="shared" si="0"/>
        <v>ROCHA YAOTL</v>
      </c>
    </row>
    <row r="64" spans="1:7" x14ac:dyDescent="0.25">
      <c r="A64" s="26">
        <v>42801.343599537038</v>
      </c>
      <c r="B64" s="20" t="s">
        <v>272</v>
      </c>
      <c r="C64" s="20" t="s">
        <v>642</v>
      </c>
      <c r="D64" s="150">
        <v>940000</v>
      </c>
      <c r="E64" s="20" t="s">
        <v>476</v>
      </c>
      <c r="F64" s="20" t="s">
        <v>477</v>
      </c>
      <c r="G64" s="8" t="str">
        <f t="shared" si="0"/>
        <v>BONDS REYNALDO</v>
      </c>
    </row>
    <row r="65" spans="1:7" x14ac:dyDescent="0.25">
      <c r="A65" s="8">
        <v>42801.345219907409</v>
      </c>
      <c r="B65" s="20" t="s">
        <v>548</v>
      </c>
      <c r="C65" s="20" t="s">
        <v>645</v>
      </c>
      <c r="D65" s="150">
        <v>2010000</v>
      </c>
      <c r="E65" s="20" t="s">
        <v>438</v>
      </c>
      <c r="F65" s="20" t="s">
        <v>439</v>
      </c>
      <c r="G65" s="8" t="str">
        <f t="shared" si="0"/>
        <v>MAELZER KURT</v>
      </c>
    </row>
    <row r="66" spans="1:7" x14ac:dyDescent="0.25">
      <c r="A66" s="8">
        <v>42801.34710648148</v>
      </c>
      <c r="B66" s="20" t="s">
        <v>429</v>
      </c>
      <c r="C66" s="20" t="s">
        <v>646</v>
      </c>
      <c r="D66" s="150">
        <v>2270000</v>
      </c>
      <c r="E66" s="20" t="s">
        <v>212</v>
      </c>
      <c r="F66" s="20" t="s">
        <v>213</v>
      </c>
      <c r="G66" s="8" t="str">
        <f t="shared" si="0"/>
        <v>BROWN JACOB</v>
      </c>
    </row>
    <row r="67" spans="1:7" x14ac:dyDescent="0.25">
      <c r="A67" s="8">
        <v>42801.351898148147</v>
      </c>
      <c r="B67" s="20" t="s">
        <v>190</v>
      </c>
      <c r="C67" s="20" t="s">
        <v>647</v>
      </c>
      <c r="D67" s="150">
        <v>1990000</v>
      </c>
      <c r="E67" s="20" t="s">
        <v>440</v>
      </c>
      <c r="F67" s="20" t="s">
        <v>441</v>
      </c>
      <c r="G67" s="8" t="str">
        <f t="shared" ref="G67:G130" si="1">E67&amp;" "&amp;F67</f>
        <v>DAVIS WENDY</v>
      </c>
    </row>
    <row r="68" spans="1:7" x14ac:dyDescent="0.25">
      <c r="A68" s="8">
        <v>42801.353159722225</v>
      </c>
      <c r="B68" s="20" t="s">
        <v>190</v>
      </c>
      <c r="C68" s="20" t="s">
        <v>647</v>
      </c>
      <c r="D68" s="150">
        <v>1990000</v>
      </c>
      <c r="E68" s="20" t="s">
        <v>440</v>
      </c>
      <c r="F68" s="20" t="s">
        <v>441</v>
      </c>
      <c r="G68" s="8" t="str">
        <f t="shared" si="1"/>
        <v>DAVIS WENDY</v>
      </c>
    </row>
    <row r="69" spans="1:7" x14ac:dyDescent="0.25">
      <c r="A69" s="8">
        <v>42801.353171296294</v>
      </c>
      <c r="B69" s="20" t="s">
        <v>558</v>
      </c>
      <c r="C69" s="20" t="s">
        <v>648</v>
      </c>
      <c r="D69" s="150">
        <v>1230000</v>
      </c>
      <c r="E69" s="20" t="s">
        <v>611</v>
      </c>
      <c r="F69" s="20" t="s">
        <v>612</v>
      </c>
      <c r="G69" s="8" t="str">
        <f t="shared" si="1"/>
        <v>YANAI IAN</v>
      </c>
    </row>
    <row r="70" spans="1:7" x14ac:dyDescent="0.25">
      <c r="A70" s="8">
        <v>42801.354178240741</v>
      </c>
      <c r="B70" s="20" t="s">
        <v>190</v>
      </c>
      <c r="C70" s="20" t="s">
        <v>647</v>
      </c>
      <c r="D70" s="150">
        <v>1990000</v>
      </c>
      <c r="E70" s="20" t="s">
        <v>440</v>
      </c>
      <c r="F70" s="20" t="s">
        <v>441</v>
      </c>
      <c r="G70" s="8" t="str">
        <f t="shared" si="1"/>
        <v>DAVIS WENDY</v>
      </c>
    </row>
    <row r="71" spans="1:7" x14ac:dyDescent="0.25">
      <c r="A71" s="8">
        <v>42801.35837962963</v>
      </c>
      <c r="B71" s="20" t="s">
        <v>273</v>
      </c>
      <c r="C71" s="20" t="s">
        <v>561</v>
      </c>
      <c r="D71" s="150">
        <v>2270000</v>
      </c>
      <c r="E71" s="20" t="s">
        <v>212</v>
      </c>
      <c r="F71" s="20" t="s">
        <v>213</v>
      </c>
      <c r="G71" s="8" t="str">
        <f t="shared" si="1"/>
        <v>BROWN JACOB</v>
      </c>
    </row>
    <row r="72" spans="1:7" x14ac:dyDescent="0.25">
      <c r="A72" s="8">
        <v>42801.359178240738</v>
      </c>
      <c r="B72" s="20" t="s">
        <v>190</v>
      </c>
      <c r="C72" s="20" t="s">
        <v>647</v>
      </c>
      <c r="D72" s="150">
        <v>1990000</v>
      </c>
      <c r="E72" s="20" t="s">
        <v>440</v>
      </c>
      <c r="F72" s="20" t="s">
        <v>441</v>
      </c>
      <c r="G72" s="8" t="str">
        <f t="shared" si="1"/>
        <v>DAVIS WENDY</v>
      </c>
    </row>
    <row r="73" spans="1:7" x14ac:dyDescent="0.25">
      <c r="A73" s="8">
        <v>42801.359340277777</v>
      </c>
      <c r="B73" s="20" t="s">
        <v>220</v>
      </c>
      <c r="C73" s="20" t="s">
        <v>649</v>
      </c>
      <c r="D73" s="150">
        <v>890000</v>
      </c>
      <c r="E73" s="20" t="s">
        <v>615</v>
      </c>
      <c r="F73" s="20" t="s">
        <v>616</v>
      </c>
      <c r="G73" s="8" t="str">
        <f t="shared" si="1"/>
        <v>LOZA FIDEL</v>
      </c>
    </row>
    <row r="74" spans="1:7" x14ac:dyDescent="0.25">
      <c r="A74" s="8">
        <v>42801.359942129631</v>
      </c>
      <c r="B74" s="20" t="s">
        <v>263</v>
      </c>
      <c r="C74" s="20" t="s">
        <v>562</v>
      </c>
      <c r="D74" s="150">
        <v>1110000</v>
      </c>
      <c r="E74" s="20" t="s">
        <v>474</v>
      </c>
      <c r="F74" s="20" t="s">
        <v>475</v>
      </c>
      <c r="G74" s="8" t="str">
        <f t="shared" si="1"/>
        <v>STARKS ANGELINA</v>
      </c>
    </row>
    <row r="75" spans="1:7" x14ac:dyDescent="0.25">
      <c r="A75" s="8">
        <v>42801.369467592594</v>
      </c>
      <c r="B75" s="20" t="s">
        <v>220</v>
      </c>
      <c r="C75" s="20" t="s">
        <v>649</v>
      </c>
      <c r="D75" s="150">
        <v>890000</v>
      </c>
      <c r="E75" s="20" t="s">
        <v>615</v>
      </c>
      <c r="F75" s="20" t="s">
        <v>616</v>
      </c>
      <c r="G75" s="8" t="str">
        <f t="shared" si="1"/>
        <v>LOZA FIDEL</v>
      </c>
    </row>
    <row r="76" spans="1:7" x14ac:dyDescent="0.25">
      <c r="A76" s="8">
        <v>42801.371527777781</v>
      </c>
      <c r="B76" s="20" t="s">
        <v>270</v>
      </c>
      <c r="C76" s="20" t="s">
        <v>650</v>
      </c>
      <c r="D76" s="150">
        <v>940000</v>
      </c>
      <c r="E76" s="20" t="s">
        <v>476</v>
      </c>
      <c r="F76" s="20" t="s">
        <v>477</v>
      </c>
      <c r="G76" s="8" t="str">
        <f t="shared" si="1"/>
        <v>BONDS REYNALDO</v>
      </c>
    </row>
    <row r="77" spans="1:7" x14ac:dyDescent="0.25">
      <c r="A77" s="8">
        <v>42801.383715277778</v>
      </c>
      <c r="B77" s="20" t="s">
        <v>271</v>
      </c>
      <c r="C77" s="20" t="s">
        <v>651</v>
      </c>
      <c r="D77" s="150">
        <v>1360000</v>
      </c>
      <c r="E77" s="20" t="s">
        <v>436</v>
      </c>
      <c r="F77" s="20" t="s">
        <v>437</v>
      </c>
      <c r="G77" s="8" t="str">
        <f t="shared" si="1"/>
        <v>SANTIZO D. EDY</v>
      </c>
    </row>
    <row r="78" spans="1:7" x14ac:dyDescent="0.25">
      <c r="A78" s="8">
        <v>42801.387835648151</v>
      </c>
      <c r="B78" s="20" t="s">
        <v>429</v>
      </c>
      <c r="C78" s="20" t="s">
        <v>652</v>
      </c>
      <c r="D78" s="150">
        <v>2270000</v>
      </c>
      <c r="E78" s="20" t="s">
        <v>212</v>
      </c>
      <c r="F78" s="20" t="s">
        <v>213</v>
      </c>
      <c r="G78" s="8" t="str">
        <f t="shared" si="1"/>
        <v>BROWN JACOB</v>
      </c>
    </row>
    <row r="79" spans="1:7" x14ac:dyDescent="0.25">
      <c r="A79" s="8">
        <v>42801.390092592592</v>
      </c>
      <c r="B79" s="20" t="s">
        <v>223</v>
      </c>
      <c r="C79" s="20" t="s">
        <v>653</v>
      </c>
      <c r="D79" s="150">
        <v>1990000</v>
      </c>
      <c r="E79" s="20" t="s">
        <v>440</v>
      </c>
      <c r="F79" s="20" t="s">
        <v>441</v>
      </c>
      <c r="G79" s="8" t="str">
        <f t="shared" si="1"/>
        <v>DAVIS WENDY</v>
      </c>
    </row>
    <row r="80" spans="1:7" x14ac:dyDescent="0.25">
      <c r="A80" s="8">
        <v>42801.400219907409</v>
      </c>
      <c r="B80" s="20" t="s">
        <v>273</v>
      </c>
      <c r="C80" s="20" t="s">
        <v>654</v>
      </c>
      <c r="D80" s="150">
        <v>2270000</v>
      </c>
      <c r="E80" s="20" t="s">
        <v>212</v>
      </c>
      <c r="F80" s="20" t="s">
        <v>213</v>
      </c>
      <c r="G80" s="8" t="str">
        <f t="shared" si="1"/>
        <v>BROWN JACOB</v>
      </c>
    </row>
    <row r="81" spans="1:7" x14ac:dyDescent="0.25">
      <c r="A81" s="8">
        <v>42801.402013888888</v>
      </c>
      <c r="B81" s="20" t="s">
        <v>581</v>
      </c>
      <c r="C81" s="20" t="s">
        <v>655</v>
      </c>
      <c r="D81" s="150">
        <v>890000</v>
      </c>
      <c r="E81" s="20" t="s">
        <v>615</v>
      </c>
      <c r="F81" s="20" t="s">
        <v>616</v>
      </c>
      <c r="G81" s="8" t="str">
        <f t="shared" si="1"/>
        <v>LOZA FIDEL</v>
      </c>
    </row>
    <row r="82" spans="1:7" x14ac:dyDescent="0.25">
      <c r="A82" s="8">
        <v>42801.40425925926</v>
      </c>
      <c r="B82" s="20" t="s">
        <v>262</v>
      </c>
      <c r="C82" s="20" t="s">
        <v>656</v>
      </c>
      <c r="D82" s="150">
        <v>1110000</v>
      </c>
      <c r="E82" s="20" t="s">
        <v>474</v>
      </c>
      <c r="F82" s="20" t="s">
        <v>475</v>
      </c>
      <c r="G82" s="8" t="str">
        <f t="shared" si="1"/>
        <v>STARKS ANGELINA</v>
      </c>
    </row>
    <row r="83" spans="1:7" x14ac:dyDescent="0.25">
      <c r="A83" s="8">
        <v>42801.406261574077</v>
      </c>
      <c r="B83" s="20" t="s">
        <v>590</v>
      </c>
      <c r="C83" s="20" t="s">
        <v>657</v>
      </c>
      <c r="D83" s="150">
        <v>2010000</v>
      </c>
      <c r="E83" s="20" t="s">
        <v>438</v>
      </c>
      <c r="F83" s="20" t="s">
        <v>439</v>
      </c>
      <c r="G83" s="8" t="str">
        <f t="shared" si="1"/>
        <v>MAELZER KURT</v>
      </c>
    </row>
    <row r="84" spans="1:7" x14ac:dyDescent="0.25">
      <c r="A84" s="8">
        <v>42801.412604166668</v>
      </c>
      <c r="B84" s="20" t="s">
        <v>272</v>
      </c>
      <c r="C84" s="20" t="s">
        <v>658</v>
      </c>
      <c r="D84" s="150">
        <v>940000</v>
      </c>
      <c r="E84" s="20" t="s">
        <v>476</v>
      </c>
      <c r="F84" s="20" t="s">
        <v>477</v>
      </c>
      <c r="G84" s="8" t="str">
        <f t="shared" si="1"/>
        <v>BONDS REYNALDO</v>
      </c>
    </row>
    <row r="85" spans="1:7" x14ac:dyDescent="0.25">
      <c r="A85" s="8">
        <v>42801.413553240738</v>
      </c>
      <c r="B85" s="20" t="s">
        <v>418</v>
      </c>
      <c r="C85" s="20" t="s">
        <v>563</v>
      </c>
      <c r="D85" s="150">
        <v>1360000</v>
      </c>
      <c r="E85" s="20" t="s">
        <v>436</v>
      </c>
      <c r="F85" s="20" t="s">
        <v>437</v>
      </c>
      <c r="G85" s="8" t="str">
        <f t="shared" si="1"/>
        <v>SANTIZO D. EDY</v>
      </c>
    </row>
    <row r="86" spans="1:7" x14ac:dyDescent="0.25">
      <c r="A86" s="8">
        <v>42801.423483796294</v>
      </c>
      <c r="B86" s="20" t="s">
        <v>240</v>
      </c>
      <c r="C86" s="20" t="s">
        <v>659</v>
      </c>
      <c r="D86" s="150">
        <v>900000</v>
      </c>
      <c r="E86" s="20" t="s">
        <v>478</v>
      </c>
      <c r="F86" s="20" t="s">
        <v>479</v>
      </c>
      <c r="G86" s="8" t="str">
        <f t="shared" si="1"/>
        <v>ROCHA YAOTL</v>
      </c>
    </row>
    <row r="87" spans="1:7" x14ac:dyDescent="0.25">
      <c r="A87" s="8">
        <v>42801.425844907404</v>
      </c>
      <c r="B87" s="20" t="s">
        <v>418</v>
      </c>
      <c r="C87" s="20" t="s">
        <v>563</v>
      </c>
      <c r="D87" s="150">
        <v>1360000</v>
      </c>
      <c r="E87" s="20" t="s">
        <v>436</v>
      </c>
      <c r="F87" s="20" t="s">
        <v>437</v>
      </c>
      <c r="G87" s="8" t="str">
        <f t="shared" si="1"/>
        <v>SANTIZO D. EDY</v>
      </c>
    </row>
    <row r="88" spans="1:7" x14ac:dyDescent="0.25">
      <c r="A88" s="8">
        <v>42801.428344907406</v>
      </c>
      <c r="B88" s="20" t="s">
        <v>429</v>
      </c>
      <c r="C88" s="20" t="s">
        <v>660</v>
      </c>
      <c r="D88" s="150">
        <v>2270000</v>
      </c>
      <c r="E88" s="20" t="s">
        <v>212</v>
      </c>
      <c r="F88" s="20" t="s">
        <v>213</v>
      </c>
      <c r="G88" s="8" t="str">
        <f t="shared" si="1"/>
        <v>BROWN JACOB</v>
      </c>
    </row>
    <row r="89" spans="1:7" x14ac:dyDescent="0.25">
      <c r="A89" s="8">
        <v>42801.433854166666</v>
      </c>
      <c r="B89" s="20" t="s">
        <v>190</v>
      </c>
      <c r="C89" s="20" t="s">
        <v>661</v>
      </c>
      <c r="D89" s="150">
        <v>1520000</v>
      </c>
      <c r="E89" s="20" t="s">
        <v>662</v>
      </c>
      <c r="F89" s="20" t="s">
        <v>663</v>
      </c>
      <c r="G89" s="8" t="str">
        <f t="shared" si="1"/>
        <v>MAYBERRY BILL</v>
      </c>
    </row>
    <row r="90" spans="1:7" x14ac:dyDescent="0.25">
      <c r="A90" s="8">
        <v>42801.435740740744</v>
      </c>
      <c r="B90" s="20" t="s">
        <v>548</v>
      </c>
      <c r="C90" s="20" t="s">
        <v>630</v>
      </c>
      <c r="D90" s="150">
        <v>2010000</v>
      </c>
      <c r="E90" s="20" t="s">
        <v>438</v>
      </c>
      <c r="F90" s="20" t="s">
        <v>439</v>
      </c>
      <c r="G90" s="8" t="str">
        <f t="shared" si="1"/>
        <v>MAELZER KURT</v>
      </c>
    </row>
    <row r="91" spans="1:7" x14ac:dyDescent="0.25">
      <c r="A91" s="8">
        <v>42801.438564814816</v>
      </c>
      <c r="B91" s="20" t="s">
        <v>220</v>
      </c>
      <c r="C91" s="20" t="s">
        <v>664</v>
      </c>
      <c r="D91" s="150">
        <v>1230000</v>
      </c>
      <c r="E91" s="20" t="s">
        <v>611</v>
      </c>
      <c r="F91" s="20" t="s">
        <v>612</v>
      </c>
      <c r="G91" s="8" t="str">
        <f t="shared" si="1"/>
        <v>YANAI IAN</v>
      </c>
    </row>
    <row r="92" spans="1:7" x14ac:dyDescent="0.25">
      <c r="A92" s="8">
        <v>42801.439340277779</v>
      </c>
      <c r="B92" s="20" t="s">
        <v>220</v>
      </c>
      <c r="C92" s="20" t="s">
        <v>664</v>
      </c>
      <c r="D92" s="150">
        <v>1230000</v>
      </c>
      <c r="E92" s="20" t="s">
        <v>611</v>
      </c>
      <c r="F92" s="20" t="s">
        <v>612</v>
      </c>
      <c r="G92" s="8" t="str">
        <f t="shared" si="1"/>
        <v>YANAI IAN</v>
      </c>
    </row>
    <row r="93" spans="1:7" x14ac:dyDescent="0.25">
      <c r="A93" s="8">
        <v>42801.440046296295</v>
      </c>
      <c r="B93" s="20" t="s">
        <v>220</v>
      </c>
      <c r="C93" s="20" t="s">
        <v>664</v>
      </c>
      <c r="D93" s="150">
        <v>1230000</v>
      </c>
      <c r="E93" s="20" t="s">
        <v>611</v>
      </c>
      <c r="F93" s="20" t="s">
        <v>612</v>
      </c>
      <c r="G93" s="8" t="str">
        <f t="shared" si="1"/>
        <v>YANAI IAN</v>
      </c>
    </row>
    <row r="94" spans="1:7" x14ac:dyDescent="0.25">
      <c r="A94" s="8">
        <v>42801.440810185188</v>
      </c>
      <c r="B94" s="20" t="s">
        <v>220</v>
      </c>
      <c r="C94" s="20" t="s">
        <v>664</v>
      </c>
      <c r="D94" s="150">
        <v>1230000</v>
      </c>
      <c r="E94" s="20" t="s">
        <v>611</v>
      </c>
      <c r="F94" s="20" t="s">
        <v>612</v>
      </c>
      <c r="G94" s="8" t="str">
        <f t="shared" si="1"/>
        <v>YANAI IAN</v>
      </c>
    </row>
    <row r="95" spans="1:7" x14ac:dyDescent="0.25">
      <c r="A95" s="8">
        <v>42801.441805555558</v>
      </c>
      <c r="B95" s="20" t="s">
        <v>220</v>
      </c>
      <c r="C95" s="20" t="s">
        <v>664</v>
      </c>
      <c r="D95" s="150">
        <v>1230000</v>
      </c>
      <c r="E95" s="20" t="s">
        <v>611</v>
      </c>
      <c r="F95" s="20" t="s">
        <v>612</v>
      </c>
      <c r="G95" s="8" t="str">
        <f t="shared" si="1"/>
        <v>YANAI IAN</v>
      </c>
    </row>
    <row r="96" spans="1:7" x14ac:dyDescent="0.25">
      <c r="A96" s="8">
        <v>42801.442430555559</v>
      </c>
      <c r="B96" s="20" t="s">
        <v>273</v>
      </c>
      <c r="C96" s="20" t="s">
        <v>665</v>
      </c>
      <c r="D96" s="150">
        <v>2270000</v>
      </c>
      <c r="E96" s="20" t="s">
        <v>212</v>
      </c>
      <c r="F96" s="20" t="s">
        <v>213</v>
      </c>
      <c r="G96" s="8" t="str">
        <f t="shared" si="1"/>
        <v>BROWN JACOB</v>
      </c>
    </row>
    <row r="97" spans="1:7" x14ac:dyDescent="0.25">
      <c r="A97" s="8">
        <v>42801.443171296298</v>
      </c>
      <c r="B97" s="20" t="s">
        <v>263</v>
      </c>
      <c r="C97" s="20" t="s">
        <v>565</v>
      </c>
      <c r="D97" s="150">
        <v>1110000</v>
      </c>
      <c r="E97" s="20" t="s">
        <v>474</v>
      </c>
      <c r="F97" s="20" t="s">
        <v>475</v>
      </c>
      <c r="G97" s="8" t="str">
        <f t="shared" si="1"/>
        <v>STARKS ANGELINA</v>
      </c>
    </row>
    <row r="98" spans="1:7" x14ac:dyDescent="0.25">
      <c r="A98" s="8">
        <v>42801.444490740738</v>
      </c>
      <c r="B98" s="20" t="s">
        <v>263</v>
      </c>
      <c r="C98" s="20" t="s">
        <v>565</v>
      </c>
      <c r="D98" s="150">
        <v>1110000</v>
      </c>
      <c r="E98" s="20" t="s">
        <v>474</v>
      </c>
      <c r="F98" s="20" t="s">
        <v>475</v>
      </c>
      <c r="G98" s="8" t="str">
        <f t="shared" si="1"/>
        <v>STARKS ANGELINA</v>
      </c>
    </row>
    <row r="99" spans="1:7" x14ac:dyDescent="0.25">
      <c r="A99" s="8">
        <v>42801.452893518515</v>
      </c>
      <c r="B99" s="20" t="s">
        <v>271</v>
      </c>
      <c r="C99" s="20" t="s">
        <v>666</v>
      </c>
      <c r="D99" s="150">
        <v>920000</v>
      </c>
      <c r="E99" s="20" t="s">
        <v>440</v>
      </c>
      <c r="F99" s="20" t="s">
        <v>200</v>
      </c>
      <c r="G99" s="8" t="str">
        <f t="shared" si="1"/>
        <v>DAVIS MICHAEL</v>
      </c>
    </row>
    <row r="100" spans="1:7" x14ac:dyDescent="0.25">
      <c r="A100" s="8">
        <v>42801.453703703701</v>
      </c>
      <c r="B100" s="20" t="s">
        <v>270</v>
      </c>
      <c r="C100" s="20" t="s">
        <v>566</v>
      </c>
      <c r="D100" s="150">
        <v>940000</v>
      </c>
      <c r="E100" s="20" t="s">
        <v>476</v>
      </c>
      <c r="F100" s="20" t="s">
        <v>477</v>
      </c>
      <c r="G100" s="8" t="str">
        <f t="shared" si="1"/>
        <v>BONDS REYNALDO</v>
      </c>
    </row>
    <row r="101" spans="1:7" x14ac:dyDescent="0.25">
      <c r="A101" s="8">
        <v>42801.454212962963</v>
      </c>
      <c r="B101" s="20" t="s">
        <v>271</v>
      </c>
      <c r="C101" s="20" t="s">
        <v>666</v>
      </c>
      <c r="D101" s="150">
        <v>920000</v>
      </c>
      <c r="E101" s="20" t="s">
        <v>440</v>
      </c>
      <c r="F101" s="20" t="s">
        <v>200</v>
      </c>
      <c r="G101" s="8" t="str">
        <f t="shared" si="1"/>
        <v>DAVIS MICHAEL</v>
      </c>
    </row>
    <row r="102" spans="1:7" x14ac:dyDescent="0.25">
      <c r="A102" s="8">
        <v>42801.45584490741</v>
      </c>
      <c r="B102" s="20" t="s">
        <v>467</v>
      </c>
      <c r="C102" s="20" t="s">
        <v>564</v>
      </c>
      <c r="D102" s="150">
        <v>1780000</v>
      </c>
      <c r="E102" s="20" t="s">
        <v>667</v>
      </c>
      <c r="F102" s="20" t="s">
        <v>668</v>
      </c>
      <c r="G102" s="8" t="str">
        <f t="shared" si="1"/>
        <v>DE LA ROSA ALEX</v>
      </c>
    </row>
    <row r="103" spans="1:7" x14ac:dyDescent="0.25">
      <c r="A103" s="8">
        <v>42801.45616898148</v>
      </c>
      <c r="B103" s="20" t="s">
        <v>271</v>
      </c>
      <c r="C103" s="20" t="s">
        <v>666</v>
      </c>
      <c r="D103" s="150">
        <v>920000</v>
      </c>
      <c r="E103" s="20" t="s">
        <v>440</v>
      </c>
      <c r="F103" s="20" t="s">
        <v>200</v>
      </c>
      <c r="G103" s="8" t="str">
        <f t="shared" si="1"/>
        <v>DAVIS MICHAEL</v>
      </c>
    </row>
    <row r="104" spans="1:7" x14ac:dyDescent="0.25">
      <c r="A104" s="8">
        <v>42801.463912037034</v>
      </c>
      <c r="B104" s="20" t="s">
        <v>241</v>
      </c>
      <c r="C104" s="20" t="s">
        <v>669</v>
      </c>
      <c r="D104" s="150">
        <v>880000</v>
      </c>
      <c r="E104" s="20" t="s">
        <v>447</v>
      </c>
      <c r="F104" s="20" t="s">
        <v>200</v>
      </c>
      <c r="G104" s="8" t="str">
        <f t="shared" si="1"/>
        <v>STEWART MICHAEL</v>
      </c>
    </row>
    <row r="105" spans="1:7" x14ac:dyDescent="0.25">
      <c r="A105" s="8">
        <v>42801.469895833332</v>
      </c>
      <c r="B105" s="20" t="s">
        <v>223</v>
      </c>
      <c r="C105" s="20" t="s">
        <v>670</v>
      </c>
      <c r="D105" s="150">
        <v>1520000</v>
      </c>
      <c r="E105" s="20" t="s">
        <v>662</v>
      </c>
      <c r="F105" s="20" t="s">
        <v>663</v>
      </c>
      <c r="G105" s="8" t="str">
        <f t="shared" si="1"/>
        <v>MAYBERRY BILL</v>
      </c>
    </row>
    <row r="106" spans="1:7" x14ac:dyDescent="0.25">
      <c r="A106" s="8">
        <v>42801.471030092594</v>
      </c>
      <c r="B106" s="20" t="s">
        <v>429</v>
      </c>
      <c r="C106" s="20" t="s">
        <v>671</v>
      </c>
      <c r="D106" s="150">
        <v>2270000</v>
      </c>
      <c r="E106" s="20" t="s">
        <v>212</v>
      </c>
      <c r="F106" s="20" t="s">
        <v>213</v>
      </c>
      <c r="G106" s="8" t="str">
        <f t="shared" si="1"/>
        <v>BROWN JACOB</v>
      </c>
    </row>
    <row r="107" spans="1:7" x14ac:dyDescent="0.25">
      <c r="A107" s="8">
        <v>42801.474606481483</v>
      </c>
      <c r="B107" s="20" t="s">
        <v>590</v>
      </c>
      <c r="C107" s="20" t="s">
        <v>672</v>
      </c>
      <c r="D107" s="150">
        <v>1180000</v>
      </c>
      <c r="E107" s="20" t="s">
        <v>482</v>
      </c>
      <c r="F107" s="20" t="s">
        <v>483</v>
      </c>
      <c r="G107" s="8" t="str">
        <f t="shared" si="1"/>
        <v>LEVERE CRAIG</v>
      </c>
    </row>
    <row r="108" spans="1:7" x14ac:dyDescent="0.25">
      <c r="A108" s="8">
        <v>42801.474999999999</v>
      </c>
      <c r="B108" s="20" t="s">
        <v>581</v>
      </c>
      <c r="C108" s="20" t="s">
        <v>673</v>
      </c>
      <c r="D108" s="150">
        <v>1230000</v>
      </c>
      <c r="E108" s="20" t="s">
        <v>611</v>
      </c>
      <c r="F108" s="20" t="s">
        <v>612</v>
      </c>
      <c r="G108" s="8" t="str">
        <f t="shared" si="1"/>
        <v>YANAI IAN</v>
      </c>
    </row>
    <row r="109" spans="1:7" x14ac:dyDescent="0.25">
      <c r="A109" s="8">
        <v>42801.476412037038</v>
      </c>
      <c r="B109" s="20" t="s">
        <v>590</v>
      </c>
      <c r="C109" s="20" t="s">
        <v>672</v>
      </c>
      <c r="D109" s="150">
        <v>1180000</v>
      </c>
      <c r="E109" s="20" t="s">
        <v>482</v>
      </c>
      <c r="F109" s="20" t="s">
        <v>483</v>
      </c>
      <c r="G109" s="8" t="str">
        <f t="shared" si="1"/>
        <v>LEVERE CRAIG</v>
      </c>
    </row>
    <row r="110" spans="1:7" x14ac:dyDescent="0.25">
      <c r="A110" s="8">
        <v>42801.477766203701</v>
      </c>
      <c r="B110" s="20" t="s">
        <v>246</v>
      </c>
      <c r="C110" s="20" t="s">
        <v>674</v>
      </c>
      <c r="D110" s="150">
        <v>2010000</v>
      </c>
      <c r="E110" s="20" t="s">
        <v>438</v>
      </c>
      <c r="F110" s="20" t="s">
        <v>439</v>
      </c>
      <c r="G110" s="8" t="str">
        <f t="shared" si="1"/>
        <v>MAELZER KURT</v>
      </c>
    </row>
    <row r="111" spans="1:7" x14ac:dyDescent="0.25">
      <c r="A111" s="8">
        <v>42801.481296296297</v>
      </c>
      <c r="B111" s="20" t="s">
        <v>262</v>
      </c>
      <c r="C111" s="20" t="s">
        <v>675</v>
      </c>
      <c r="D111" s="150">
        <v>930000</v>
      </c>
      <c r="E111" s="20" t="s">
        <v>480</v>
      </c>
      <c r="F111" s="20" t="s">
        <v>481</v>
      </c>
      <c r="G111" s="8" t="str">
        <f t="shared" si="1"/>
        <v>CLARK KATHLEEN</v>
      </c>
    </row>
    <row r="112" spans="1:7" x14ac:dyDescent="0.25">
      <c r="A112" s="8">
        <v>42801.481909722221</v>
      </c>
      <c r="B112" s="20" t="s">
        <v>262</v>
      </c>
      <c r="C112" s="20" t="s">
        <v>675</v>
      </c>
      <c r="D112" s="150">
        <v>930000</v>
      </c>
      <c r="E112" s="20" t="s">
        <v>480</v>
      </c>
      <c r="F112" s="20" t="s">
        <v>481</v>
      </c>
      <c r="G112" s="8" t="str">
        <f t="shared" si="1"/>
        <v>CLARK KATHLEEN</v>
      </c>
    </row>
    <row r="113" spans="1:7" x14ac:dyDescent="0.25">
      <c r="A113" s="8">
        <v>42801.482465277775</v>
      </c>
      <c r="B113" s="20" t="s">
        <v>262</v>
      </c>
      <c r="C113" s="20" t="s">
        <v>675</v>
      </c>
      <c r="D113" s="150">
        <v>930000</v>
      </c>
      <c r="E113" s="20" t="s">
        <v>480</v>
      </c>
      <c r="F113" s="20" t="s">
        <v>481</v>
      </c>
      <c r="G113" s="8" t="str">
        <f t="shared" si="1"/>
        <v>CLARK KATHLEEN</v>
      </c>
    </row>
    <row r="114" spans="1:7" x14ac:dyDescent="0.25">
      <c r="A114" s="8">
        <v>42801.483275462961</v>
      </c>
      <c r="B114" s="20" t="s">
        <v>262</v>
      </c>
      <c r="C114" s="20" t="s">
        <v>675</v>
      </c>
      <c r="D114" s="150">
        <v>930000</v>
      </c>
      <c r="E114" s="20" t="s">
        <v>480</v>
      </c>
      <c r="F114" s="20" t="s">
        <v>481</v>
      </c>
      <c r="G114" s="8" t="str">
        <f t="shared" si="1"/>
        <v>CLARK KATHLEEN</v>
      </c>
    </row>
    <row r="115" spans="1:7" x14ac:dyDescent="0.25">
      <c r="A115" s="8">
        <v>42801.484131944446</v>
      </c>
      <c r="B115" s="20" t="s">
        <v>273</v>
      </c>
      <c r="C115" s="20" t="s">
        <v>676</v>
      </c>
      <c r="D115" s="150">
        <v>2270000</v>
      </c>
      <c r="E115" s="20" t="s">
        <v>212</v>
      </c>
      <c r="F115" s="20" t="s">
        <v>213</v>
      </c>
      <c r="G115" s="8" t="str">
        <f t="shared" si="1"/>
        <v>BROWN JACOB</v>
      </c>
    </row>
    <row r="116" spans="1:7" x14ac:dyDescent="0.25">
      <c r="A116" s="8">
        <v>42801.486539351848</v>
      </c>
      <c r="B116" s="20" t="s">
        <v>590</v>
      </c>
      <c r="C116" s="20" t="s">
        <v>672</v>
      </c>
      <c r="D116" s="150">
        <v>1180000</v>
      </c>
      <c r="E116" s="20" t="s">
        <v>482</v>
      </c>
      <c r="F116" s="20" t="s">
        <v>483</v>
      </c>
      <c r="G116" s="8" t="str">
        <f t="shared" si="1"/>
        <v>LEVERE CRAIG</v>
      </c>
    </row>
    <row r="117" spans="1:7" x14ac:dyDescent="0.25">
      <c r="A117" s="8">
        <v>42801.490925925929</v>
      </c>
      <c r="B117" s="20" t="s">
        <v>272</v>
      </c>
      <c r="C117" s="20" t="s">
        <v>567</v>
      </c>
      <c r="D117" s="150">
        <v>1120000</v>
      </c>
      <c r="E117" s="20" t="s">
        <v>252</v>
      </c>
      <c r="F117" s="20" t="s">
        <v>253</v>
      </c>
      <c r="G117" s="8" t="str">
        <f t="shared" si="1"/>
        <v>LOCKLEAR TRAVIS</v>
      </c>
    </row>
    <row r="118" spans="1:7" x14ac:dyDescent="0.25">
      <c r="A118" s="8">
        <v>42801.491527777776</v>
      </c>
      <c r="B118" s="20" t="s">
        <v>272</v>
      </c>
      <c r="C118" s="20" t="s">
        <v>567</v>
      </c>
      <c r="D118" s="150">
        <v>1120000</v>
      </c>
      <c r="E118" s="20" t="s">
        <v>252</v>
      </c>
      <c r="F118" s="20" t="s">
        <v>253</v>
      </c>
      <c r="G118" s="8" t="str">
        <f t="shared" si="1"/>
        <v>LOCKLEAR TRAVIS</v>
      </c>
    </row>
    <row r="119" spans="1:7" x14ac:dyDescent="0.25">
      <c r="A119" s="8">
        <v>42801.4925</v>
      </c>
      <c r="B119" s="20" t="s">
        <v>272</v>
      </c>
      <c r="C119" s="20" t="s">
        <v>567</v>
      </c>
      <c r="D119" s="150">
        <v>1120000</v>
      </c>
      <c r="E119" s="20" t="s">
        <v>252</v>
      </c>
      <c r="F119" s="20" t="s">
        <v>253</v>
      </c>
      <c r="G119" s="8" t="str">
        <f t="shared" si="1"/>
        <v>LOCKLEAR TRAVIS</v>
      </c>
    </row>
    <row r="120" spans="1:7" x14ac:dyDescent="0.25">
      <c r="A120" s="8">
        <v>42801.493506944447</v>
      </c>
      <c r="B120" s="20" t="s">
        <v>272</v>
      </c>
      <c r="C120" s="20" t="s">
        <v>567</v>
      </c>
      <c r="D120" s="150">
        <v>1120000</v>
      </c>
      <c r="E120" s="20" t="s">
        <v>252</v>
      </c>
      <c r="F120" s="20" t="s">
        <v>253</v>
      </c>
      <c r="G120" s="8" t="str">
        <f t="shared" si="1"/>
        <v>LOCKLEAR TRAVIS</v>
      </c>
    </row>
    <row r="121" spans="1:7" x14ac:dyDescent="0.25">
      <c r="A121" s="8">
        <v>42801.494201388887</v>
      </c>
      <c r="B121" s="20" t="s">
        <v>272</v>
      </c>
      <c r="C121" s="20" t="s">
        <v>567</v>
      </c>
      <c r="D121" s="150">
        <v>1120000</v>
      </c>
      <c r="E121" s="20" t="s">
        <v>252</v>
      </c>
      <c r="F121" s="20" t="s">
        <v>253</v>
      </c>
      <c r="G121" s="8" t="str">
        <f t="shared" si="1"/>
        <v>LOCKLEAR TRAVIS</v>
      </c>
    </row>
    <row r="122" spans="1:7" x14ac:dyDescent="0.25">
      <c r="A122" s="8">
        <v>42801.497546296298</v>
      </c>
      <c r="B122" s="25" t="s">
        <v>418</v>
      </c>
      <c r="C122" s="20" t="s">
        <v>677</v>
      </c>
      <c r="D122" s="150">
        <v>920000</v>
      </c>
      <c r="E122" s="20" t="s">
        <v>440</v>
      </c>
      <c r="F122" s="20" t="s">
        <v>200</v>
      </c>
      <c r="G122" s="8" t="str">
        <f t="shared" si="1"/>
        <v>DAVIS MICHAEL</v>
      </c>
    </row>
    <row r="123" spans="1:7" x14ac:dyDescent="0.25">
      <c r="A123" s="8">
        <v>42801.507465277777</v>
      </c>
      <c r="B123" s="20" t="s">
        <v>240</v>
      </c>
      <c r="C123" s="20" t="s">
        <v>678</v>
      </c>
      <c r="D123" s="150">
        <v>880000</v>
      </c>
      <c r="E123" s="20" t="s">
        <v>447</v>
      </c>
      <c r="F123" s="20" t="s">
        <v>200</v>
      </c>
      <c r="G123" s="8" t="str">
        <f t="shared" si="1"/>
        <v>STEWART MICHAEL</v>
      </c>
    </row>
    <row r="124" spans="1:7" x14ac:dyDescent="0.25">
      <c r="A124" s="8">
        <v>42801.508125</v>
      </c>
      <c r="B124" s="20" t="s">
        <v>190</v>
      </c>
      <c r="C124" s="20" t="s">
        <v>568</v>
      </c>
      <c r="D124" s="150">
        <v>2470000</v>
      </c>
      <c r="E124" s="20" t="s">
        <v>445</v>
      </c>
      <c r="F124" s="20" t="s">
        <v>446</v>
      </c>
      <c r="G124" s="8" t="str">
        <f t="shared" si="1"/>
        <v>ROMERO CHAD</v>
      </c>
    </row>
    <row r="125" spans="1:7" x14ac:dyDescent="0.25">
      <c r="A125" s="8">
        <v>42801.511111111111</v>
      </c>
      <c r="B125" s="20" t="s">
        <v>429</v>
      </c>
      <c r="C125" s="20" t="s">
        <v>679</v>
      </c>
      <c r="D125" s="150">
        <v>2270000</v>
      </c>
      <c r="E125" s="20" t="s">
        <v>212</v>
      </c>
      <c r="F125" s="20" t="s">
        <v>213</v>
      </c>
      <c r="G125" s="8" t="str">
        <f t="shared" si="1"/>
        <v>BROWN JACOB</v>
      </c>
    </row>
    <row r="126" spans="1:7" x14ac:dyDescent="0.25">
      <c r="A126" s="8">
        <v>42801.518009259256</v>
      </c>
      <c r="B126" s="20" t="s">
        <v>548</v>
      </c>
      <c r="C126" s="20" t="s">
        <v>680</v>
      </c>
      <c r="D126" s="150">
        <v>1180000</v>
      </c>
      <c r="E126" s="20" t="s">
        <v>482</v>
      </c>
      <c r="F126" s="20" t="s">
        <v>483</v>
      </c>
      <c r="G126" s="8" t="str">
        <f t="shared" si="1"/>
        <v>LEVERE CRAIG</v>
      </c>
    </row>
    <row r="127" spans="1:7" x14ac:dyDescent="0.25">
      <c r="A127" s="8">
        <v>42801.521666666667</v>
      </c>
      <c r="B127" s="20" t="s">
        <v>220</v>
      </c>
      <c r="C127" s="20" t="s">
        <v>569</v>
      </c>
      <c r="D127" s="150">
        <v>1190000</v>
      </c>
      <c r="E127" s="20" t="s">
        <v>681</v>
      </c>
      <c r="F127" s="20" t="s">
        <v>682</v>
      </c>
      <c r="G127" s="8" t="str">
        <f t="shared" si="1"/>
        <v>BRANNON JEFFREY</v>
      </c>
    </row>
    <row r="128" spans="1:7" x14ac:dyDescent="0.25">
      <c r="A128" s="8">
        <v>42801.526030092595</v>
      </c>
      <c r="B128" s="20" t="s">
        <v>273</v>
      </c>
      <c r="C128" s="20" t="s">
        <v>683</v>
      </c>
      <c r="D128" s="150">
        <v>2270000</v>
      </c>
      <c r="E128" s="20" t="s">
        <v>212</v>
      </c>
      <c r="F128" s="20" t="s">
        <v>213</v>
      </c>
      <c r="G128" s="8" t="str">
        <f t="shared" si="1"/>
        <v>BROWN JACOB</v>
      </c>
    </row>
    <row r="129" spans="1:7" x14ac:dyDescent="0.25">
      <c r="A129" s="8">
        <v>42801.527800925927</v>
      </c>
      <c r="B129" s="20" t="s">
        <v>263</v>
      </c>
      <c r="C129" s="20" t="s">
        <v>684</v>
      </c>
      <c r="D129" s="150">
        <v>930000</v>
      </c>
      <c r="E129" s="20" t="s">
        <v>480</v>
      </c>
      <c r="F129" s="20" t="s">
        <v>481</v>
      </c>
      <c r="G129" s="8" t="str">
        <f t="shared" si="1"/>
        <v>CLARK KATHLEEN</v>
      </c>
    </row>
    <row r="130" spans="1:7" x14ac:dyDescent="0.25">
      <c r="A130" s="8">
        <v>42801.528252314813</v>
      </c>
      <c r="B130" s="20" t="s">
        <v>220</v>
      </c>
      <c r="C130" s="20" t="s">
        <v>569</v>
      </c>
      <c r="D130" s="150">
        <v>1190000</v>
      </c>
      <c r="E130" s="20" t="s">
        <v>681</v>
      </c>
      <c r="F130" s="20" t="s">
        <v>682</v>
      </c>
      <c r="G130" s="8" t="str">
        <f t="shared" si="1"/>
        <v>BRANNON JEFFREY</v>
      </c>
    </row>
    <row r="131" spans="1:7" x14ac:dyDescent="0.25">
      <c r="A131" s="8">
        <v>42801.531608796293</v>
      </c>
      <c r="B131" s="20" t="s">
        <v>430</v>
      </c>
      <c r="C131" s="20" t="s">
        <v>570</v>
      </c>
      <c r="D131" s="150">
        <v>1760000</v>
      </c>
      <c r="E131" s="20" t="s">
        <v>685</v>
      </c>
      <c r="F131" s="20" t="s">
        <v>686</v>
      </c>
      <c r="G131" s="8" t="str">
        <f t="shared" ref="G131:G194" si="2">E131&amp;" "&amp;F131</f>
        <v>STRICKLAND EVAN</v>
      </c>
    </row>
    <row r="132" spans="1:7" x14ac:dyDescent="0.25">
      <c r="A132" s="8">
        <v>42801.53565972222</v>
      </c>
      <c r="B132" s="20" t="s">
        <v>270</v>
      </c>
      <c r="C132" s="20" t="s">
        <v>687</v>
      </c>
      <c r="D132" s="150">
        <v>1120000</v>
      </c>
      <c r="E132" s="20" t="s">
        <v>252</v>
      </c>
      <c r="F132" s="20" t="s">
        <v>253</v>
      </c>
      <c r="G132" s="8" t="str">
        <f t="shared" si="2"/>
        <v>LOCKLEAR TRAVIS</v>
      </c>
    </row>
    <row r="133" spans="1:7" x14ac:dyDescent="0.25">
      <c r="A133" s="8">
        <v>42801.539421296293</v>
      </c>
      <c r="B133" s="20" t="s">
        <v>223</v>
      </c>
      <c r="C133" s="20" t="s">
        <v>688</v>
      </c>
      <c r="D133" s="150">
        <v>2470000</v>
      </c>
      <c r="E133" s="20" t="s">
        <v>445</v>
      </c>
      <c r="F133" s="20" t="s">
        <v>446</v>
      </c>
      <c r="G133" s="8" t="str">
        <f t="shared" si="2"/>
        <v>ROMERO CHAD</v>
      </c>
    </row>
    <row r="134" spans="1:7" x14ac:dyDescent="0.25">
      <c r="A134" s="8">
        <v>42801.542662037034</v>
      </c>
      <c r="B134" s="20" t="s">
        <v>271</v>
      </c>
      <c r="C134" s="20" t="s">
        <v>689</v>
      </c>
      <c r="D134" s="150">
        <v>920000</v>
      </c>
      <c r="E134" s="20" t="s">
        <v>440</v>
      </c>
      <c r="F134" s="20" t="s">
        <v>200</v>
      </c>
      <c r="G134" s="8" t="str">
        <f t="shared" si="2"/>
        <v>DAVIS MICHAEL</v>
      </c>
    </row>
    <row r="135" spans="1:7" x14ac:dyDescent="0.25">
      <c r="A135" s="8">
        <v>42801.55060185185</v>
      </c>
      <c r="B135" s="20" t="s">
        <v>429</v>
      </c>
      <c r="C135" s="20" t="s">
        <v>571</v>
      </c>
      <c r="D135" s="150">
        <v>1300000</v>
      </c>
      <c r="E135" s="20" t="s">
        <v>448</v>
      </c>
      <c r="F135" s="20" t="s">
        <v>449</v>
      </c>
      <c r="G135" s="8" t="str">
        <f t="shared" si="2"/>
        <v>LEVIN SCOTT</v>
      </c>
    </row>
    <row r="136" spans="1:7" x14ac:dyDescent="0.25">
      <c r="A136" s="8">
        <v>42801.551226851851</v>
      </c>
      <c r="B136" s="20" t="s">
        <v>241</v>
      </c>
      <c r="C136" s="20" t="s">
        <v>574</v>
      </c>
      <c r="D136" s="150">
        <v>2040000</v>
      </c>
      <c r="E136" s="20" t="s">
        <v>274</v>
      </c>
      <c r="F136" s="20" t="s">
        <v>275</v>
      </c>
      <c r="G136" s="8" t="str">
        <f t="shared" si="2"/>
        <v>MOSES BRADLEY</v>
      </c>
    </row>
    <row r="137" spans="1:7" x14ac:dyDescent="0.25">
      <c r="A137" s="8">
        <v>42801.55431712963</v>
      </c>
      <c r="B137" s="20" t="s">
        <v>241</v>
      </c>
      <c r="C137" s="20" t="s">
        <v>690</v>
      </c>
      <c r="D137" s="150">
        <v>2040000</v>
      </c>
      <c r="E137" s="20" t="s">
        <v>274</v>
      </c>
      <c r="F137" s="20" t="s">
        <v>275</v>
      </c>
      <c r="G137" s="8" t="str">
        <f t="shared" si="2"/>
        <v>MOSES BRADLEY</v>
      </c>
    </row>
    <row r="138" spans="1:7" x14ac:dyDescent="0.25">
      <c r="A138" s="8">
        <v>42801.557106481479</v>
      </c>
      <c r="B138" s="20" t="s">
        <v>581</v>
      </c>
      <c r="C138" s="20" t="s">
        <v>691</v>
      </c>
      <c r="D138" s="150">
        <v>1190000</v>
      </c>
      <c r="E138" s="20" t="s">
        <v>681</v>
      </c>
      <c r="F138" s="20" t="s">
        <v>682</v>
      </c>
      <c r="G138" s="8" t="str">
        <f t="shared" si="2"/>
        <v>BRANNON JEFFREY</v>
      </c>
    </row>
    <row r="139" spans="1:7" x14ac:dyDescent="0.25">
      <c r="A139" s="8">
        <v>42801.56045138889</v>
      </c>
      <c r="B139" s="20" t="s">
        <v>262</v>
      </c>
      <c r="C139" s="20" t="s">
        <v>692</v>
      </c>
      <c r="D139" s="150">
        <v>930000</v>
      </c>
      <c r="E139" s="20" t="s">
        <v>480</v>
      </c>
      <c r="F139" s="20" t="s">
        <v>481</v>
      </c>
      <c r="G139" s="8" t="str">
        <f t="shared" si="2"/>
        <v>CLARK KATHLEEN</v>
      </c>
    </row>
    <row r="140" spans="1:7" x14ac:dyDescent="0.25">
      <c r="A140" s="8">
        <v>42801.56726851852</v>
      </c>
      <c r="B140" s="20" t="s">
        <v>273</v>
      </c>
      <c r="C140" s="20" t="s">
        <v>572</v>
      </c>
      <c r="D140" s="150">
        <v>1300000</v>
      </c>
      <c r="E140" s="20" t="s">
        <v>448</v>
      </c>
      <c r="F140" s="20" t="s">
        <v>449</v>
      </c>
      <c r="G140" s="8" t="str">
        <f t="shared" si="2"/>
        <v>LEVIN SCOTT</v>
      </c>
    </row>
    <row r="141" spans="1:7" x14ac:dyDescent="0.25">
      <c r="A141" s="8">
        <v>42801.568668981483</v>
      </c>
      <c r="B141" s="20" t="s">
        <v>428</v>
      </c>
      <c r="C141" s="20" t="s">
        <v>693</v>
      </c>
      <c r="D141" s="150">
        <v>1760000</v>
      </c>
      <c r="E141" s="20" t="s">
        <v>685</v>
      </c>
      <c r="F141" s="20" t="s">
        <v>686</v>
      </c>
      <c r="G141" s="8" t="str">
        <f t="shared" si="2"/>
        <v>STRICKLAND EVAN</v>
      </c>
    </row>
    <row r="142" spans="1:7" x14ac:dyDescent="0.25">
      <c r="A142" s="8">
        <v>42801.57099537037</v>
      </c>
      <c r="B142" s="20" t="s">
        <v>272</v>
      </c>
      <c r="C142" s="20" t="s">
        <v>694</v>
      </c>
      <c r="D142" s="150">
        <v>1120000</v>
      </c>
      <c r="E142" s="20" t="s">
        <v>252</v>
      </c>
      <c r="F142" s="20" t="s">
        <v>253</v>
      </c>
      <c r="G142" s="8" t="str">
        <f t="shared" si="2"/>
        <v>LOCKLEAR TRAVIS</v>
      </c>
    </row>
    <row r="143" spans="1:7" x14ac:dyDescent="0.25">
      <c r="A143" s="8">
        <v>42801.578657407408</v>
      </c>
      <c r="B143" s="20" t="s">
        <v>190</v>
      </c>
      <c r="C143" s="20" t="s">
        <v>575</v>
      </c>
      <c r="D143" s="150">
        <v>2470000</v>
      </c>
      <c r="E143" s="20" t="s">
        <v>445</v>
      </c>
      <c r="F143" s="20" t="s">
        <v>446</v>
      </c>
      <c r="G143" s="8" t="str">
        <f t="shared" si="2"/>
        <v>ROMERO CHAD</v>
      </c>
    </row>
    <row r="144" spans="1:7" x14ac:dyDescent="0.25">
      <c r="A144" s="8">
        <v>42801.579791666663</v>
      </c>
      <c r="B144" s="20" t="s">
        <v>418</v>
      </c>
      <c r="C144" s="20" t="s">
        <v>573</v>
      </c>
      <c r="D144" s="150">
        <v>920000</v>
      </c>
      <c r="E144" s="20" t="s">
        <v>440</v>
      </c>
      <c r="F144" s="20" t="s">
        <v>200</v>
      </c>
      <c r="G144" s="8" t="str">
        <f t="shared" si="2"/>
        <v>DAVIS MICHAEL</v>
      </c>
    </row>
    <row r="145" spans="1:7" x14ac:dyDescent="0.25">
      <c r="A145" s="8">
        <v>42801.587152777778</v>
      </c>
      <c r="B145" s="20" t="s">
        <v>272</v>
      </c>
      <c r="C145" s="20" t="s">
        <v>694</v>
      </c>
      <c r="D145" s="150">
        <v>1120000</v>
      </c>
      <c r="E145" s="20" t="s">
        <v>252</v>
      </c>
      <c r="F145" s="20" t="s">
        <v>253</v>
      </c>
      <c r="G145" s="8" t="str">
        <f t="shared" si="2"/>
        <v>LOCKLEAR TRAVIS</v>
      </c>
    </row>
    <row r="146" spans="1:7" x14ac:dyDescent="0.25">
      <c r="A146" s="8">
        <v>42801.589317129627</v>
      </c>
      <c r="B146" s="20" t="s">
        <v>220</v>
      </c>
      <c r="C146" s="20" t="s">
        <v>695</v>
      </c>
      <c r="D146" s="150">
        <v>1190000</v>
      </c>
      <c r="E146" s="20" t="s">
        <v>681</v>
      </c>
      <c r="F146" s="20" t="s">
        <v>682</v>
      </c>
      <c r="G146" s="8" t="str">
        <f t="shared" si="2"/>
        <v>BRANNON JEFFREY</v>
      </c>
    </row>
    <row r="147" spans="1:7" x14ac:dyDescent="0.25">
      <c r="A147" s="8">
        <v>42801.589386574073</v>
      </c>
      <c r="B147" s="20" t="s">
        <v>240</v>
      </c>
      <c r="C147" s="20" t="s">
        <v>574</v>
      </c>
      <c r="D147" s="150">
        <v>2040000</v>
      </c>
      <c r="E147" s="20" t="s">
        <v>274</v>
      </c>
      <c r="F147" s="20" t="s">
        <v>275</v>
      </c>
      <c r="G147" s="8" t="str">
        <f t="shared" si="2"/>
        <v>MOSES BRADLEY</v>
      </c>
    </row>
    <row r="148" spans="1:7" x14ac:dyDescent="0.25">
      <c r="A148" s="8">
        <v>42801.59097222222</v>
      </c>
      <c r="B148" s="20" t="s">
        <v>240</v>
      </c>
      <c r="C148" s="20" t="s">
        <v>574</v>
      </c>
      <c r="D148" s="150">
        <v>2040000</v>
      </c>
      <c r="E148" s="20" t="s">
        <v>274</v>
      </c>
      <c r="F148" s="20" t="s">
        <v>275</v>
      </c>
      <c r="G148" s="8" t="str">
        <f t="shared" si="2"/>
        <v>MOSES BRADLEY</v>
      </c>
    </row>
    <row r="149" spans="1:7" x14ac:dyDescent="0.25">
      <c r="A149" s="8">
        <v>42801.596226851849</v>
      </c>
      <c r="B149" s="20" t="s">
        <v>429</v>
      </c>
      <c r="C149" s="20" t="s">
        <v>696</v>
      </c>
      <c r="D149" s="150">
        <v>1300000</v>
      </c>
      <c r="E149" s="20" t="s">
        <v>448</v>
      </c>
      <c r="F149" s="20" t="s">
        <v>449</v>
      </c>
      <c r="G149" s="8" t="str">
        <f t="shared" si="2"/>
        <v>LEVIN SCOTT</v>
      </c>
    </row>
    <row r="150" spans="1:7" x14ac:dyDescent="0.25">
      <c r="A150" s="8">
        <v>42801.601342592592</v>
      </c>
      <c r="B150" s="20" t="s">
        <v>430</v>
      </c>
      <c r="C150" s="20" t="s">
        <v>697</v>
      </c>
      <c r="D150" s="150">
        <v>1780000</v>
      </c>
      <c r="E150" s="20" t="s">
        <v>667</v>
      </c>
      <c r="F150" s="20" t="s">
        <v>668</v>
      </c>
      <c r="G150" s="8" t="str">
        <f t="shared" si="2"/>
        <v>DE LA ROSA ALEX</v>
      </c>
    </row>
    <row r="151" spans="1:7" x14ac:dyDescent="0.25">
      <c r="A151" s="8">
        <v>42801.60224537037</v>
      </c>
      <c r="B151" s="20" t="s">
        <v>263</v>
      </c>
      <c r="C151" s="20" t="s">
        <v>698</v>
      </c>
      <c r="D151" s="150">
        <v>930000</v>
      </c>
      <c r="E151" s="20" t="s">
        <v>480</v>
      </c>
      <c r="F151" s="20" t="s">
        <v>481</v>
      </c>
      <c r="G151" s="8" t="str">
        <f t="shared" si="2"/>
        <v>CLARK KATHLEEN</v>
      </c>
    </row>
    <row r="152" spans="1:7" x14ac:dyDescent="0.25">
      <c r="A152" s="8">
        <v>42801.608460648145</v>
      </c>
      <c r="B152" s="20" t="s">
        <v>273</v>
      </c>
      <c r="C152" s="20" t="s">
        <v>699</v>
      </c>
      <c r="D152" s="150">
        <v>1300000</v>
      </c>
      <c r="E152" s="20" t="s">
        <v>448</v>
      </c>
      <c r="F152" s="20" t="s">
        <v>449</v>
      </c>
      <c r="G152" s="8" t="str">
        <f t="shared" si="2"/>
        <v>LEVIN SCOTT</v>
      </c>
    </row>
    <row r="153" spans="1:7" x14ac:dyDescent="0.25">
      <c r="A153" s="8">
        <v>42801.6093287037</v>
      </c>
      <c r="B153" s="20" t="s">
        <v>270</v>
      </c>
      <c r="C153" s="20" t="s">
        <v>576</v>
      </c>
      <c r="D153" s="150">
        <v>1120000</v>
      </c>
      <c r="E153" s="20" t="s">
        <v>252</v>
      </c>
      <c r="F153" s="20" t="s">
        <v>253</v>
      </c>
      <c r="G153" s="8" t="str">
        <f t="shared" si="2"/>
        <v>LOCKLEAR TRAVIS</v>
      </c>
    </row>
    <row r="154" spans="1:7" x14ac:dyDescent="0.25">
      <c r="A154" s="8">
        <v>42801.615023148152</v>
      </c>
      <c r="B154" s="20" t="s">
        <v>271</v>
      </c>
      <c r="C154" s="20" t="s">
        <v>700</v>
      </c>
      <c r="D154" s="150">
        <v>880000</v>
      </c>
      <c r="E154" s="20" t="s">
        <v>447</v>
      </c>
      <c r="F154" s="20" t="s">
        <v>200</v>
      </c>
      <c r="G154" s="8" t="str">
        <f t="shared" si="2"/>
        <v>STEWART MICHAEL</v>
      </c>
    </row>
    <row r="155" spans="1:7" x14ac:dyDescent="0.25">
      <c r="A155" s="8">
        <v>42801.617534722223</v>
      </c>
      <c r="B155" s="20" t="s">
        <v>223</v>
      </c>
      <c r="C155" s="20" t="s">
        <v>701</v>
      </c>
      <c r="D155" s="150">
        <v>2470000</v>
      </c>
      <c r="E155" s="20" t="s">
        <v>445</v>
      </c>
      <c r="F155" s="20" t="s">
        <v>446</v>
      </c>
      <c r="G155" s="8" t="str">
        <f t="shared" si="2"/>
        <v>ROMERO CHAD</v>
      </c>
    </row>
    <row r="156" spans="1:7" x14ac:dyDescent="0.25">
      <c r="A156" s="8">
        <v>42801.621122685188</v>
      </c>
      <c r="B156" s="20" t="s">
        <v>579</v>
      </c>
      <c r="C156" s="20" t="s">
        <v>580</v>
      </c>
      <c r="D156" s="150">
        <v>2420000</v>
      </c>
      <c r="E156" s="20" t="s">
        <v>443</v>
      </c>
      <c r="F156" s="20" t="s">
        <v>444</v>
      </c>
      <c r="G156" s="8" t="str">
        <f t="shared" si="2"/>
        <v>HOLCOMB KAMDEN</v>
      </c>
    </row>
    <row r="157" spans="1:7" x14ac:dyDescent="0.25">
      <c r="A157" s="8">
        <v>42801.621944444443</v>
      </c>
      <c r="B157" s="20" t="s">
        <v>579</v>
      </c>
      <c r="C157" s="20" t="s">
        <v>580</v>
      </c>
      <c r="D157" s="150">
        <v>2420000</v>
      </c>
      <c r="E157" s="20" t="s">
        <v>443</v>
      </c>
      <c r="F157" s="20" t="s">
        <v>444</v>
      </c>
      <c r="G157" s="8" t="str">
        <f t="shared" si="2"/>
        <v>HOLCOMB KAMDEN</v>
      </c>
    </row>
    <row r="158" spans="1:7" x14ac:dyDescent="0.25">
      <c r="A158" s="8">
        <v>42801.623113425929</v>
      </c>
      <c r="B158" s="20" t="s">
        <v>579</v>
      </c>
      <c r="C158" s="20" t="s">
        <v>580</v>
      </c>
      <c r="D158" s="150">
        <v>2420000</v>
      </c>
      <c r="E158" s="20" t="s">
        <v>443</v>
      </c>
      <c r="F158" s="20" t="s">
        <v>444</v>
      </c>
      <c r="G158" s="8" t="str">
        <f t="shared" si="2"/>
        <v>HOLCOMB KAMDEN</v>
      </c>
    </row>
    <row r="159" spans="1:7" x14ac:dyDescent="0.25">
      <c r="A159" s="8">
        <v>42801.623402777775</v>
      </c>
      <c r="B159" s="20" t="s">
        <v>241</v>
      </c>
      <c r="C159" s="20" t="s">
        <v>702</v>
      </c>
      <c r="D159" s="150">
        <v>1180000</v>
      </c>
      <c r="E159" s="20" t="s">
        <v>482</v>
      </c>
      <c r="F159" s="20" t="s">
        <v>483</v>
      </c>
      <c r="G159" s="8" t="str">
        <f t="shared" si="2"/>
        <v>LEVERE CRAIG</v>
      </c>
    </row>
    <row r="160" spans="1:7" x14ac:dyDescent="0.25">
      <c r="A160" s="8">
        <v>42801.630949074075</v>
      </c>
      <c r="B160" s="20" t="s">
        <v>581</v>
      </c>
      <c r="C160" s="20" t="s">
        <v>582</v>
      </c>
      <c r="D160" s="150">
        <v>1190000</v>
      </c>
      <c r="E160" s="20" t="s">
        <v>681</v>
      </c>
      <c r="F160" s="20" t="s">
        <v>682</v>
      </c>
      <c r="G160" s="8" t="str">
        <f t="shared" si="2"/>
        <v>BRANNON JEFFREY</v>
      </c>
    </row>
    <row r="161" spans="1:7" x14ac:dyDescent="0.25">
      <c r="A161" s="8">
        <v>42801.632210648146</v>
      </c>
      <c r="B161" s="20" t="s">
        <v>703</v>
      </c>
      <c r="C161" s="20" t="s">
        <v>580</v>
      </c>
      <c r="D161" s="150">
        <v>2420000</v>
      </c>
      <c r="E161" s="20" t="s">
        <v>443</v>
      </c>
      <c r="F161" s="20" t="s">
        <v>444</v>
      </c>
      <c r="G161" s="8" t="str">
        <f t="shared" si="2"/>
        <v>HOLCOMB KAMDEN</v>
      </c>
    </row>
    <row r="162" spans="1:7" x14ac:dyDescent="0.25">
      <c r="A162" s="8">
        <v>42801.634085648147</v>
      </c>
      <c r="B162" s="20" t="s">
        <v>262</v>
      </c>
      <c r="C162" s="20" t="s">
        <v>704</v>
      </c>
      <c r="D162" s="150">
        <v>930000</v>
      </c>
      <c r="E162" s="20" t="s">
        <v>480</v>
      </c>
      <c r="F162" s="20" t="s">
        <v>481</v>
      </c>
      <c r="G162" s="8" t="str">
        <f t="shared" si="2"/>
        <v>CLARK KATHLEEN</v>
      </c>
    </row>
    <row r="163" spans="1:7" x14ac:dyDescent="0.25">
      <c r="A163" s="8">
        <v>42801.637835648151</v>
      </c>
      <c r="B163" s="20" t="s">
        <v>429</v>
      </c>
      <c r="C163" s="20" t="s">
        <v>578</v>
      </c>
      <c r="D163" s="150">
        <v>1300000</v>
      </c>
      <c r="E163" s="20" t="s">
        <v>448</v>
      </c>
      <c r="F163" s="20" t="s">
        <v>449</v>
      </c>
      <c r="G163" s="8" t="str">
        <f t="shared" si="2"/>
        <v>LEVIN SCOTT</v>
      </c>
    </row>
    <row r="164" spans="1:7" x14ac:dyDescent="0.25">
      <c r="A164" s="8">
        <v>42801.640034722222</v>
      </c>
      <c r="B164" s="20" t="s">
        <v>579</v>
      </c>
      <c r="C164" s="20" t="s">
        <v>580</v>
      </c>
      <c r="D164" s="150">
        <v>2420000</v>
      </c>
      <c r="E164" s="20" t="s">
        <v>443</v>
      </c>
      <c r="F164" s="20" t="s">
        <v>444</v>
      </c>
      <c r="G164" s="8" t="str">
        <f t="shared" si="2"/>
        <v>HOLCOMB KAMDEN</v>
      </c>
    </row>
    <row r="165" spans="1:7" x14ac:dyDescent="0.25">
      <c r="A165" s="8">
        <v>42801.640856481485</v>
      </c>
      <c r="B165" s="20" t="s">
        <v>428</v>
      </c>
      <c r="C165" s="20" t="s">
        <v>705</v>
      </c>
      <c r="D165" s="150">
        <v>1780000</v>
      </c>
      <c r="E165" s="20" t="s">
        <v>667</v>
      </c>
      <c r="F165" s="20" t="s">
        <v>668</v>
      </c>
      <c r="G165" s="8" t="str">
        <f t="shared" si="2"/>
        <v>DE LA ROSA ALEX</v>
      </c>
    </row>
    <row r="166" spans="1:7" x14ac:dyDescent="0.25">
      <c r="A166" s="8">
        <v>42801.643078703702</v>
      </c>
      <c r="B166" s="20" t="s">
        <v>550</v>
      </c>
      <c r="C166" s="20" t="s">
        <v>577</v>
      </c>
      <c r="D166" s="150">
        <v>2150000</v>
      </c>
      <c r="E166" s="20" t="s">
        <v>706</v>
      </c>
      <c r="F166" s="20" t="s">
        <v>707</v>
      </c>
      <c r="G166" s="8" t="str">
        <f t="shared" si="2"/>
        <v>SWANSON BRYCE</v>
      </c>
    </row>
    <row r="167" spans="1:7" x14ac:dyDescent="0.25">
      <c r="A167" s="8">
        <v>42801.64402777778</v>
      </c>
      <c r="B167" s="20" t="s">
        <v>272</v>
      </c>
      <c r="C167" s="20" t="s">
        <v>583</v>
      </c>
      <c r="D167" s="150">
        <v>1120000</v>
      </c>
      <c r="E167" s="20" t="s">
        <v>252</v>
      </c>
      <c r="F167" s="20" t="s">
        <v>253</v>
      </c>
      <c r="G167" s="8" t="str">
        <f t="shared" si="2"/>
        <v>LOCKLEAR TRAVIS</v>
      </c>
    </row>
    <row r="168" spans="1:7" x14ac:dyDescent="0.25">
      <c r="A168" s="8">
        <v>42801.651597222219</v>
      </c>
      <c r="B168" s="20" t="s">
        <v>273</v>
      </c>
      <c r="C168" s="20" t="s">
        <v>708</v>
      </c>
      <c r="D168" s="150">
        <v>1300000</v>
      </c>
      <c r="E168" s="20" t="s">
        <v>448</v>
      </c>
      <c r="F168" s="20" t="s">
        <v>449</v>
      </c>
      <c r="G168" s="8" t="str">
        <f t="shared" si="2"/>
        <v>LEVIN SCOTT</v>
      </c>
    </row>
    <row r="169" spans="1:7" x14ac:dyDescent="0.25">
      <c r="A169" s="8">
        <v>42801.652395833335</v>
      </c>
      <c r="B169" s="20" t="s">
        <v>418</v>
      </c>
      <c r="C169" s="20" t="s">
        <v>584</v>
      </c>
      <c r="D169" s="150">
        <v>880000</v>
      </c>
      <c r="E169" s="20" t="s">
        <v>447</v>
      </c>
      <c r="F169" s="20" t="s">
        <v>200</v>
      </c>
      <c r="G169" s="8" t="str">
        <f t="shared" si="2"/>
        <v>STEWART MICHAEL</v>
      </c>
    </row>
    <row r="170" spans="1:7" x14ac:dyDescent="0.25">
      <c r="A170" s="8">
        <v>42801.652581018519</v>
      </c>
      <c r="B170" s="20" t="s">
        <v>190</v>
      </c>
      <c r="C170" s="20" t="s">
        <v>709</v>
      </c>
      <c r="D170" s="150">
        <v>2470000</v>
      </c>
      <c r="E170" s="20" t="s">
        <v>445</v>
      </c>
      <c r="F170" s="20" t="s">
        <v>446</v>
      </c>
      <c r="G170" s="8" t="str">
        <f t="shared" si="2"/>
        <v>ROMERO CHAD</v>
      </c>
    </row>
    <row r="171" spans="1:7" x14ac:dyDescent="0.25">
      <c r="A171" s="8">
        <v>42801.65421296296</v>
      </c>
      <c r="B171" s="20" t="s">
        <v>558</v>
      </c>
      <c r="C171" s="20" t="s">
        <v>710</v>
      </c>
      <c r="D171" s="150">
        <v>2150000</v>
      </c>
      <c r="E171" s="20" t="s">
        <v>706</v>
      </c>
      <c r="F171" s="20" t="s">
        <v>707</v>
      </c>
      <c r="G171" s="8" t="str">
        <f t="shared" si="2"/>
        <v>SWANSON BRYCE</v>
      </c>
    </row>
    <row r="172" spans="1:7" x14ac:dyDescent="0.25">
      <c r="A172" s="8">
        <v>42801.659675925926</v>
      </c>
      <c r="B172" s="20" t="s">
        <v>240</v>
      </c>
      <c r="C172" s="20" t="s">
        <v>711</v>
      </c>
      <c r="D172" s="150">
        <v>1180000</v>
      </c>
      <c r="E172" s="20" t="s">
        <v>482</v>
      </c>
      <c r="F172" s="20" t="s">
        <v>483</v>
      </c>
      <c r="G172" s="8" t="str">
        <f t="shared" si="2"/>
        <v>LEVERE CRAIG</v>
      </c>
    </row>
    <row r="173" spans="1:7" x14ac:dyDescent="0.25">
      <c r="A173" s="8">
        <v>42801.664780092593</v>
      </c>
      <c r="B173" s="20" t="s">
        <v>220</v>
      </c>
      <c r="C173" s="20" t="s">
        <v>712</v>
      </c>
      <c r="D173" s="150">
        <v>1190000</v>
      </c>
      <c r="E173" s="20" t="s">
        <v>681</v>
      </c>
      <c r="F173" s="20" t="s">
        <v>682</v>
      </c>
      <c r="G173" s="8" t="str">
        <f t="shared" si="2"/>
        <v>BRANNON JEFFREY</v>
      </c>
    </row>
    <row r="174" spans="1:7" x14ac:dyDescent="0.25">
      <c r="A174" s="8">
        <v>42801.667604166665</v>
      </c>
      <c r="B174" s="20" t="s">
        <v>703</v>
      </c>
      <c r="C174" s="20" t="s">
        <v>580</v>
      </c>
      <c r="D174" s="150">
        <v>2420000</v>
      </c>
      <c r="E174" s="20" t="s">
        <v>443</v>
      </c>
      <c r="F174" s="20" t="s">
        <v>444</v>
      </c>
      <c r="G174" s="8" t="str">
        <f t="shared" si="2"/>
        <v>HOLCOMB KAMDEN</v>
      </c>
    </row>
    <row r="175" spans="1:7" x14ac:dyDescent="0.25">
      <c r="A175" s="8">
        <v>42801.668761574074</v>
      </c>
      <c r="B175" s="20" t="s">
        <v>703</v>
      </c>
      <c r="C175" s="20" t="s">
        <v>580</v>
      </c>
      <c r="D175" s="150">
        <v>2420000</v>
      </c>
      <c r="E175" s="20" t="s">
        <v>443</v>
      </c>
      <c r="F175" s="20" t="s">
        <v>444</v>
      </c>
      <c r="G175" s="8" t="str">
        <f t="shared" si="2"/>
        <v>HOLCOMB KAMDEN</v>
      </c>
    </row>
    <row r="176" spans="1:7" x14ac:dyDescent="0.25">
      <c r="A176" s="8">
        <v>42801.670497685183</v>
      </c>
      <c r="B176" s="20" t="s">
        <v>263</v>
      </c>
      <c r="C176" s="20" t="s">
        <v>713</v>
      </c>
      <c r="D176" s="150">
        <v>930000</v>
      </c>
      <c r="E176" s="20" t="s">
        <v>480</v>
      </c>
      <c r="F176" s="20" t="s">
        <v>481</v>
      </c>
      <c r="G176" s="8" t="str">
        <f t="shared" si="2"/>
        <v>CLARK KATHLEEN</v>
      </c>
    </row>
    <row r="177" spans="1:7" x14ac:dyDescent="0.25">
      <c r="A177" s="8">
        <v>42801.672395833331</v>
      </c>
      <c r="B177" s="20" t="s">
        <v>550</v>
      </c>
      <c r="C177" s="20" t="s">
        <v>714</v>
      </c>
      <c r="D177" s="150">
        <v>2150000</v>
      </c>
      <c r="E177" s="20" t="s">
        <v>706</v>
      </c>
      <c r="F177" s="20" t="s">
        <v>707</v>
      </c>
      <c r="G177" s="8" t="str">
        <f t="shared" si="2"/>
        <v>SWANSON BRYCE</v>
      </c>
    </row>
    <row r="178" spans="1:7" x14ac:dyDescent="0.25">
      <c r="A178" s="8">
        <v>42801.674351851849</v>
      </c>
      <c r="B178" s="20" t="s">
        <v>429</v>
      </c>
      <c r="C178" s="20" t="s">
        <v>715</v>
      </c>
      <c r="D178" s="150">
        <v>1300000</v>
      </c>
      <c r="E178" s="20" t="s">
        <v>448</v>
      </c>
      <c r="F178" s="20" t="s">
        <v>449</v>
      </c>
      <c r="G178" s="8" t="str">
        <f t="shared" si="2"/>
        <v>LEVIN SCOTT</v>
      </c>
    </row>
    <row r="179" spans="1:7" x14ac:dyDescent="0.25">
      <c r="A179" s="8">
        <v>42801.675300925926</v>
      </c>
      <c r="B179" s="20" t="s">
        <v>430</v>
      </c>
      <c r="C179" s="20" t="s">
        <v>716</v>
      </c>
      <c r="D179" s="150">
        <v>920000</v>
      </c>
      <c r="E179" s="20" t="s">
        <v>440</v>
      </c>
      <c r="F179" s="20" t="s">
        <v>200</v>
      </c>
      <c r="G179" s="8" t="str">
        <f t="shared" si="2"/>
        <v>DAVIS MICHAEL</v>
      </c>
    </row>
    <row r="180" spans="1:7" x14ac:dyDescent="0.25">
      <c r="A180" s="8">
        <v>42801.676828703705</v>
      </c>
      <c r="B180" s="20" t="s">
        <v>579</v>
      </c>
      <c r="C180" s="20" t="s">
        <v>580</v>
      </c>
      <c r="D180" s="150">
        <v>2420000</v>
      </c>
      <c r="E180" s="20" t="s">
        <v>443</v>
      </c>
      <c r="F180" s="20" t="s">
        <v>444</v>
      </c>
      <c r="G180" s="8" t="str">
        <f t="shared" si="2"/>
        <v>HOLCOMB KAMDEN</v>
      </c>
    </row>
    <row r="181" spans="1:7" x14ac:dyDescent="0.25">
      <c r="A181" s="8">
        <v>42801.677569444444</v>
      </c>
      <c r="B181" s="20" t="s">
        <v>579</v>
      </c>
      <c r="C181" s="20" t="s">
        <v>580</v>
      </c>
      <c r="D181" s="150">
        <v>2420000</v>
      </c>
      <c r="E181" s="20" t="s">
        <v>443</v>
      </c>
      <c r="F181" s="20" t="s">
        <v>444</v>
      </c>
      <c r="G181" s="8" t="str">
        <f t="shared" si="2"/>
        <v>HOLCOMB KAMDEN</v>
      </c>
    </row>
    <row r="182" spans="1:7" x14ac:dyDescent="0.25">
      <c r="A182" s="8">
        <v>42801.681886574072</v>
      </c>
      <c r="B182" s="20" t="s">
        <v>270</v>
      </c>
      <c r="C182" s="20" t="s">
        <v>585</v>
      </c>
      <c r="D182" s="150">
        <v>1120000</v>
      </c>
      <c r="E182" s="20" t="s">
        <v>252</v>
      </c>
      <c r="F182" s="20" t="s">
        <v>253</v>
      </c>
      <c r="G182" s="8" t="str">
        <f t="shared" si="2"/>
        <v>LOCKLEAR TRAVIS</v>
      </c>
    </row>
    <row r="183" spans="1:7" x14ac:dyDescent="0.25">
      <c r="A183" s="8">
        <v>42801.682939814818</v>
      </c>
      <c r="B183" s="20" t="s">
        <v>223</v>
      </c>
      <c r="C183" s="20" t="s">
        <v>717</v>
      </c>
      <c r="D183" s="150">
        <v>2470000</v>
      </c>
      <c r="E183" s="20" t="s">
        <v>445</v>
      </c>
      <c r="F183" s="20" t="s">
        <v>446</v>
      </c>
      <c r="G183" s="8" t="str">
        <f t="shared" si="2"/>
        <v>ROMERO CHAD</v>
      </c>
    </row>
    <row r="184" spans="1:7" x14ac:dyDescent="0.25">
      <c r="A184" s="8">
        <v>42801.686655092592</v>
      </c>
      <c r="B184" s="20" t="s">
        <v>271</v>
      </c>
      <c r="C184" s="20" t="s">
        <v>718</v>
      </c>
      <c r="D184" s="150">
        <v>880000</v>
      </c>
      <c r="E184" s="20" t="s">
        <v>447</v>
      </c>
      <c r="F184" s="20" t="s">
        <v>200</v>
      </c>
      <c r="G184" s="8" t="str">
        <f t="shared" si="2"/>
        <v>STEWART MICHAEL</v>
      </c>
    </row>
    <row r="185" spans="1:7" x14ac:dyDescent="0.25">
      <c r="A185" s="8">
        <v>42801.687280092592</v>
      </c>
      <c r="B185" s="20" t="s">
        <v>558</v>
      </c>
      <c r="C185" s="20" t="s">
        <v>719</v>
      </c>
      <c r="D185" s="150">
        <v>2150000</v>
      </c>
      <c r="E185" s="20" t="s">
        <v>706</v>
      </c>
      <c r="F185" s="20" t="s">
        <v>707</v>
      </c>
      <c r="G185" s="8" t="str">
        <f t="shared" si="2"/>
        <v>SWANSON BRYCE</v>
      </c>
    </row>
    <row r="186" spans="1:7" x14ac:dyDescent="0.25">
      <c r="A186" s="8">
        <v>42801.688125000001</v>
      </c>
      <c r="B186" s="20" t="s">
        <v>703</v>
      </c>
      <c r="C186" s="20" t="s">
        <v>580</v>
      </c>
      <c r="D186" s="150">
        <v>2420000</v>
      </c>
      <c r="E186" s="20" t="s">
        <v>443</v>
      </c>
      <c r="F186" s="20" t="s">
        <v>444</v>
      </c>
      <c r="G186" s="8" t="str">
        <f t="shared" si="2"/>
        <v>HOLCOMB KAMDEN</v>
      </c>
    </row>
    <row r="187" spans="1:7" x14ac:dyDescent="0.25">
      <c r="A187" s="8">
        <v>42801.693483796298</v>
      </c>
      <c r="B187" s="20" t="s">
        <v>273</v>
      </c>
      <c r="C187" s="20" t="s">
        <v>586</v>
      </c>
      <c r="D187" s="150">
        <v>1300000</v>
      </c>
      <c r="E187" s="20" t="s">
        <v>448</v>
      </c>
      <c r="F187" s="20" t="s">
        <v>449</v>
      </c>
      <c r="G187" s="8" t="str">
        <f t="shared" si="2"/>
        <v>LEVIN SCOTT</v>
      </c>
    </row>
    <row r="188" spans="1:7" x14ac:dyDescent="0.25">
      <c r="A188" s="8">
        <v>42801.694664351853</v>
      </c>
      <c r="B188" s="20" t="s">
        <v>241</v>
      </c>
      <c r="C188" s="20" t="s">
        <v>720</v>
      </c>
      <c r="D188" s="150">
        <v>1180000</v>
      </c>
      <c r="E188" s="20" t="s">
        <v>482</v>
      </c>
      <c r="F188" s="20" t="s">
        <v>483</v>
      </c>
      <c r="G188" s="8" t="str">
        <f t="shared" si="2"/>
        <v>LEVERE CRAIG</v>
      </c>
    </row>
    <row r="189" spans="1:7" x14ac:dyDescent="0.25">
      <c r="A189" s="8">
        <v>42801.699560185189</v>
      </c>
      <c r="B189" s="20" t="s">
        <v>581</v>
      </c>
      <c r="C189" s="20" t="s">
        <v>721</v>
      </c>
      <c r="D189" s="150">
        <v>1190000</v>
      </c>
      <c r="E189" s="20" t="s">
        <v>681</v>
      </c>
      <c r="F189" s="20" t="s">
        <v>682</v>
      </c>
      <c r="G189" s="8" t="str">
        <f t="shared" si="2"/>
        <v>BRANNON JEFFREY</v>
      </c>
    </row>
    <row r="190" spans="1:7" x14ac:dyDescent="0.25">
      <c r="A190" s="8">
        <v>42801.704895833333</v>
      </c>
      <c r="B190" s="20" t="s">
        <v>262</v>
      </c>
      <c r="C190" s="20" t="s">
        <v>722</v>
      </c>
      <c r="D190" s="150">
        <v>930000</v>
      </c>
      <c r="E190" s="20" t="s">
        <v>480</v>
      </c>
      <c r="F190" s="20" t="s">
        <v>481</v>
      </c>
      <c r="G190" s="8" t="str">
        <f t="shared" si="2"/>
        <v>CLARK KATHLEEN</v>
      </c>
    </row>
    <row r="191" spans="1:7" x14ac:dyDescent="0.25">
      <c r="A191" s="8">
        <v>42801.713634259257</v>
      </c>
      <c r="B191" s="20" t="s">
        <v>428</v>
      </c>
      <c r="C191" s="20" t="s">
        <v>723</v>
      </c>
      <c r="D191" s="150">
        <v>920000</v>
      </c>
      <c r="E191" s="20" t="s">
        <v>440</v>
      </c>
      <c r="F191" s="20" t="s">
        <v>200</v>
      </c>
      <c r="G191" s="8" t="str">
        <f t="shared" si="2"/>
        <v>DAVIS MICHAEL</v>
      </c>
    </row>
    <row r="192" spans="1:7" x14ac:dyDescent="0.25">
      <c r="A192" s="8">
        <v>42801.713946759257</v>
      </c>
      <c r="B192" s="20" t="s">
        <v>550</v>
      </c>
      <c r="C192" s="20" t="s">
        <v>724</v>
      </c>
      <c r="D192" s="150">
        <v>2150000</v>
      </c>
      <c r="E192" s="20" t="s">
        <v>706</v>
      </c>
      <c r="F192" s="20" t="s">
        <v>707</v>
      </c>
      <c r="G192" s="8" t="str">
        <f t="shared" si="2"/>
        <v>SWANSON BRYCE</v>
      </c>
    </row>
    <row r="193" spans="1:7" x14ac:dyDescent="0.25">
      <c r="A193" s="8">
        <v>42801.718530092592</v>
      </c>
      <c r="B193" s="20" t="s">
        <v>272</v>
      </c>
      <c r="C193" s="20" t="s">
        <v>725</v>
      </c>
      <c r="D193" s="150">
        <v>1800000</v>
      </c>
      <c r="E193" s="20" t="s">
        <v>215</v>
      </c>
      <c r="F193" s="20" t="s">
        <v>216</v>
      </c>
      <c r="G193" s="8" t="str">
        <f t="shared" si="2"/>
        <v>CHANDLER KELVIN</v>
      </c>
    </row>
    <row r="194" spans="1:7" x14ac:dyDescent="0.25">
      <c r="A194" s="8">
        <v>42801.721180555556</v>
      </c>
      <c r="B194" s="20" t="s">
        <v>429</v>
      </c>
      <c r="C194" s="20" t="s">
        <v>726</v>
      </c>
      <c r="D194" s="150">
        <v>1300000</v>
      </c>
      <c r="E194" s="20" t="s">
        <v>448</v>
      </c>
      <c r="F194" s="20" t="s">
        <v>449</v>
      </c>
      <c r="G194" s="8" t="str">
        <f t="shared" si="2"/>
        <v>LEVIN SCOTT</v>
      </c>
    </row>
    <row r="195" spans="1:7" x14ac:dyDescent="0.25">
      <c r="A195" s="8">
        <v>42801.724907407406</v>
      </c>
      <c r="B195" s="20" t="s">
        <v>418</v>
      </c>
      <c r="C195" s="20" t="s">
        <v>589</v>
      </c>
      <c r="D195" s="150">
        <v>880000</v>
      </c>
      <c r="E195" s="20" t="s">
        <v>447</v>
      </c>
      <c r="F195" s="20" t="s">
        <v>200</v>
      </c>
      <c r="G195" s="8" t="str">
        <f t="shared" ref="G195:G258" si="3">E195&amp;" "&amp;F195</f>
        <v>STEWART MICHAEL</v>
      </c>
    </row>
    <row r="196" spans="1:7" x14ac:dyDescent="0.25">
      <c r="A196" s="8">
        <v>42801.725682870368</v>
      </c>
      <c r="B196" s="20" t="s">
        <v>190</v>
      </c>
      <c r="C196" s="20" t="s">
        <v>588</v>
      </c>
      <c r="D196" s="150">
        <v>1120000</v>
      </c>
      <c r="E196" s="20" t="s">
        <v>252</v>
      </c>
      <c r="F196" s="20" t="s">
        <v>253</v>
      </c>
      <c r="G196" s="8" t="str">
        <f t="shared" si="3"/>
        <v>LOCKLEAR TRAVIS</v>
      </c>
    </row>
    <row r="197" spans="1:7" x14ac:dyDescent="0.25">
      <c r="A197" s="8">
        <v>42801.727754629632</v>
      </c>
      <c r="B197" s="20" t="s">
        <v>590</v>
      </c>
      <c r="C197" s="20" t="s">
        <v>591</v>
      </c>
      <c r="D197" s="150">
        <v>1760000</v>
      </c>
      <c r="E197" s="20" t="s">
        <v>685</v>
      </c>
      <c r="F197" s="20" t="s">
        <v>686</v>
      </c>
      <c r="G197" s="8" t="str">
        <f t="shared" si="3"/>
        <v>STRICKLAND EVAN</v>
      </c>
    </row>
    <row r="198" spans="1:7" x14ac:dyDescent="0.25">
      <c r="A198" s="8">
        <v>42801.728229166663</v>
      </c>
      <c r="B198" s="20" t="s">
        <v>558</v>
      </c>
      <c r="C198" s="20" t="s">
        <v>727</v>
      </c>
      <c r="D198" s="150">
        <v>2150000</v>
      </c>
      <c r="E198" s="20" t="s">
        <v>706</v>
      </c>
      <c r="F198" s="20" t="s">
        <v>707</v>
      </c>
      <c r="G198" s="8" t="str">
        <f t="shared" si="3"/>
        <v>SWANSON BRYCE</v>
      </c>
    </row>
    <row r="199" spans="1:7" x14ac:dyDescent="0.25">
      <c r="A199" s="8">
        <v>42801.729270833333</v>
      </c>
      <c r="B199" s="20" t="s">
        <v>590</v>
      </c>
      <c r="C199" s="20" t="s">
        <v>591</v>
      </c>
      <c r="D199" s="150">
        <v>1760000</v>
      </c>
      <c r="E199" s="20" t="s">
        <v>685</v>
      </c>
      <c r="F199" s="20" t="s">
        <v>686</v>
      </c>
      <c r="G199" s="8" t="str">
        <f t="shared" si="3"/>
        <v>STRICKLAND EVAN</v>
      </c>
    </row>
    <row r="200" spans="1:7" x14ac:dyDescent="0.25">
      <c r="A200" s="8">
        <v>42801.733553240738</v>
      </c>
      <c r="B200" s="20" t="s">
        <v>240</v>
      </c>
      <c r="C200" s="20" t="s">
        <v>728</v>
      </c>
      <c r="D200" s="150">
        <v>1180000</v>
      </c>
      <c r="E200" s="20" t="s">
        <v>482</v>
      </c>
      <c r="F200" s="20" t="s">
        <v>483</v>
      </c>
      <c r="G200" s="8" t="str">
        <f t="shared" si="3"/>
        <v>LEVERE CRAIG</v>
      </c>
    </row>
    <row r="201" spans="1:7" x14ac:dyDescent="0.25">
      <c r="A201" s="8">
        <v>42801.733622685184</v>
      </c>
      <c r="B201" s="20" t="s">
        <v>273</v>
      </c>
      <c r="C201" s="20" t="s">
        <v>729</v>
      </c>
      <c r="D201" s="150">
        <v>1300000</v>
      </c>
      <c r="E201" s="20" t="s">
        <v>448</v>
      </c>
      <c r="F201" s="20" t="s">
        <v>449</v>
      </c>
      <c r="G201" s="8" t="str">
        <f t="shared" si="3"/>
        <v>LEVIN SCOTT</v>
      </c>
    </row>
    <row r="202" spans="1:7" x14ac:dyDescent="0.25">
      <c r="A202" s="26">
        <v>42801.73710648148</v>
      </c>
      <c r="B202" s="20" t="s">
        <v>220</v>
      </c>
      <c r="C202" s="20" t="s">
        <v>730</v>
      </c>
      <c r="D202" s="150">
        <v>1810000</v>
      </c>
      <c r="E202" s="20" t="s">
        <v>202</v>
      </c>
      <c r="F202" s="20" t="s">
        <v>197</v>
      </c>
      <c r="G202" s="8" t="str">
        <f t="shared" si="3"/>
        <v>NEWELL JAMES</v>
      </c>
    </row>
    <row r="203" spans="1:7" x14ac:dyDescent="0.25">
      <c r="A203" s="8">
        <v>42801.740613425929</v>
      </c>
      <c r="B203" s="20" t="s">
        <v>467</v>
      </c>
      <c r="C203" s="20" t="s">
        <v>587</v>
      </c>
      <c r="D203" s="150">
        <v>1740000</v>
      </c>
      <c r="E203" s="20" t="s">
        <v>484</v>
      </c>
      <c r="F203" s="20" t="s">
        <v>485</v>
      </c>
      <c r="G203" s="8" t="str">
        <f t="shared" si="3"/>
        <v>STORY SAMANTHA</v>
      </c>
    </row>
    <row r="204" spans="1:7" x14ac:dyDescent="0.25">
      <c r="A204" s="8">
        <v>42801.743703703702</v>
      </c>
      <c r="B204" s="20" t="s">
        <v>263</v>
      </c>
      <c r="C204" s="20" t="s">
        <v>731</v>
      </c>
      <c r="D204" s="150">
        <v>930000</v>
      </c>
      <c r="E204" s="20" t="s">
        <v>480</v>
      </c>
      <c r="F204" s="20" t="s">
        <v>481</v>
      </c>
      <c r="G204" s="8" t="str">
        <f t="shared" si="3"/>
        <v>CLARK KATHLEEN</v>
      </c>
    </row>
    <row r="205" spans="1:7" x14ac:dyDescent="0.25">
      <c r="A205" s="8">
        <v>42801.74927083333</v>
      </c>
      <c r="B205" s="20" t="s">
        <v>430</v>
      </c>
      <c r="C205" s="20" t="s">
        <v>732</v>
      </c>
      <c r="D205" s="150">
        <v>1190000</v>
      </c>
      <c r="E205" s="20" t="s">
        <v>681</v>
      </c>
      <c r="F205" s="20" t="s">
        <v>682</v>
      </c>
      <c r="G205" s="8" t="str">
        <f t="shared" si="3"/>
        <v>BRANNON JEFFREY</v>
      </c>
    </row>
    <row r="206" spans="1:7" x14ac:dyDescent="0.25">
      <c r="A206" s="8">
        <v>42801.755046296297</v>
      </c>
      <c r="B206" s="20" t="s">
        <v>270</v>
      </c>
      <c r="C206" s="20" t="s">
        <v>592</v>
      </c>
      <c r="D206" s="150">
        <v>1800000</v>
      </c>
      <c r="E206" s="20" t="s">
        <v>215</v>
      </c>
      <c r="F206" s="20" t="s">
        <v>216</v>
      </c>
      <c r="G206" s="8" t="str">
        <f t="shared" si="3"/>
        <v>CHANDLER KELVIN</v>
      </c>
    </row>
    <row r="207" spans="1:7" x14ac:dyDescent="0.25">
      <c r="A207" s="8">
        <v>42801.755486111113</v>
      </c>
      <c r="B207" s="20" t="s">
        <v>550</v>
      </c>
      <c r="C207" s="20" t="s">
        <v>733</v>
      </c>
      <c r="D207" s="150">
        <v>2150000</v>
      </c>
      <c r="E207" s="20" t="s">
        <v>706</v>
      </c>
      <c r="F207" s="20" t="s">
        <v>707</v>
      </c>
      <c r="G207" s="8" t="str">
        <f t="shared" si="3"/>
        <v>SWANSON BRYCE</v>
      </c>
    </row>
    <row r="208" spans="1:7" x14ac:dyDescent="0.25">
      <c r="A208" s="8">
        <v>42801.757627314815</v>
      </c>
      <c r="B208" s="20" t="s">
        <v>550</v>
      </c>
      <c r="C208" s="20" t="s">
        <v>733</v>
      </c>
      <c r="D208" s="150">
        <v>2150000</v>
      </c>
      <c r="E208" s="20" t="s">
        <v>706</v>
      </c>
      <c r="F208" s="20" t="s">
        <v>707</v>
      </c>
      <c r="G208" s="8" t="str">
        <f t="shared" si="3"/>
        <v>SWANSON BRYCE</v>
      </c>
    </row>
    <row r="209" spans="1:7" x14ac:dyDescent="0.25">
      <c r="A209" s="8">
        <v>42801.758310185185</v>
      </c>
      <c r="B209" s="20" t="s">
        <v>419</v>
      </c>
      <c r="C209" s="20" t="s">
        <v>734</v>
      </c>
      <c r="D209" s="150">
        <v>2610000</v>
      </c>
      <c r="E209" s="20" t="s">
        <v>433</v>
      </c>
      <c r="F209" s="20" t="s">
        <v>434</v>
      </c>
      <c r="G209" s="8" t="str">
        <f t="shared" si="3"/>
        <v>MAGEE KENYA</v>
      </c>
    </row>
    <row r="210" spans="1:7" x14ac:dyDescent="0.25">
      <c r="A210" s="8">
        <v>42801.760196759256</v>
      </c>
      <c r="B210" s="20" t="s">
        <v>271</v>
      </c>
      <c r="C210" s="20" t="s">
        <v>735</v>
      </c>
      <c r="D210" s="150">
        <v>1740000</v>
      </c>
      <c r="E210" s="20" t="s">
        <v>484</v>
      </c>
      <c r="F210" s="20" t="s">
        <v>485</v>
      </c>
      <c r="G210" s="8" t="str">
        <f t="shared" si="3"/>
        <v>STORY SAMANTHA</v>
      </c>
    </row>
    <row r="211" spans="1:7" x14ac:dyDescent="0.25">
      <c r="A211" s="8">
        <v>42801.762754629628</v>
      </c>
      <c r="B211" s="20" t="s">
        <v>429</v>
      </c>
      <c r="C211" s="20" t="s">
        <v>736</v>
      </c>
      <c r="D211" s="150">
        <v>1300000</v>
      </c>
      <c r="E211" s="20" t="s">
        <v>448</v>
      </c>
      <c r="F211" s="20" t="s">
        <v>449</v>
      </c>
      <c r="G211" s="8" t="str">
        <f t="shared" si="3"/>
        <v>LEVIN SCOTT</v>
      </c>
    </row>
    <row r="212" spans="1:7" x14ac:dyDescent="0.25">
      <c r="A212" s="8">
        <v>42801.764907407407</v>
      </c>
      <c r="B212" s="20" t="s">
        <v>223</v>
      </c>
      <c r="C212" s="20" t="s">
        <v>737</v>
      </c>
      <c r="D212" s="150">
        <v>1120000</v>
      </c>
      <c r="E212" s="20" t="s">
        <v>252</v>
      </c>
      <c r="F212" s="20" t="s">
        <v>253</v>
      </c>
      <c r="G212" s="8" t="str">
        <f t="shared" si="3"/>
        <v>LOCKLEAR TRAVIS</v>
      </c>
    </row>
    <row r="213" spans="1:7" x14ac:dyDescent="0.25">
      <c r="A213" s="8">
        <v>42801.76771990741</v>
      </c>
      <c r="B213" s="20" t="s">
        <v>246</v>
      </c>
      <c r="C213" s="20" t="s">
        <v>589</v>
      </c>
      <c r="D213" s="150">
        <v>880000</v>
      </c>
      <c r="E213" s="20" t="s">
        <v>447</v>
      </c>
      <c r="F213" s="20" t="s">
        <v>200</v>
      </c>
      <c r="G213" s="8" t="str">
        <f t="shared" si="3"/>
        <v>STEWART MICHAEL</v>
      </c>
    </row>
    <row r="214" spans="1:7" x14ac:dyDescent="0.25">
      <c r="A214" s="8">
        <v>42801.769548611112</v>
      </c>
      <c r="B214" s="20" t="s">
        <v>581</v>
      </c>
      <c r="C214" s="20" t="s">
        <v>738</v>
      </c>
      <c r="D214" s="150">
        <v>1810000</v>
      </c>
      <c r="E214" s="20" t="s">
        <v>202</v>
      </c>
      <c r="F214" s="20" t="s">
        <v>197</v>
      </c>
      <c r="G214" s="8" t="str">
        <f t="shared" si="3"/>
        <v>NEWELL JAMES</v>
      </c>
    </row>
    <row r="215" spans="1:7" x14ac:dyDescent="0.25">
      <c r="A215" s="8">
        <v>42801.77175925926</v>
      </c>
      <c r="B215" s="20" t="s">
        <v>246</v>
      </c>
      <c r="C215" s="20" t="s">
        <v>739</v>
      </c>
      <c r="D215" s="150">
        <v>880000</v>
      </c>
      <c r="E215" s="20" t="s">
        <v>447</v>
      </c>
      <c r="F215" s="20" t="s">
        <v>200</v>
      </c>
      <c r="G215" s="8" t="str">
        <f t="shared" si="3"/>
        <v>STEWART MICHAEL</v>
      </c>
    </row>
    <row r="216" spans="1:7" x14ac:dyDescent="0.25">
      <c r="A216" s="8">
        <v>42801.771840277775</v>
      </c>
      <c r="B216" s="20" t="s">
        <v>241</v>
      </c>
      <c r="C216" s="20" t="s">
        <v>740</v>
      </c>
      <c r="D216" s="150">
        <v>2000000</v>
      </c>
      <c r="E216" s="20" t="s">
        <v>435</v>
      </c>
      <c r="F216" s="20" t="s">
        <v>197</v>
      </c>
      <c r="G216" s="8" t="str">
        <f t="shared" si="3"/>
        <v>STAMBAUGH JAMES</v>
      </c>
    </row>
    <row r="217" spans="1:7" x14ac:dyDescent="0.25">
      <c r="A217" s="8">
        <v>42801.772256944445</v>
      </c>
      <c r="B217" s="20" t="s">
        <v>558</v>
      </c>
      <c r="C217" s="20" t="s">
        <v>741</v>
      </c>
      <c r="D217" s="150">
        <v>2150000</v>
      </c>
      <c r="E217" s="20" t="s">
        <v>706</v>
      </c>
      <c r="F217" s="20" t="s">
        <v>707</v>
      </c>
      <c r="G217" s="8" t="str">
        <f t="shared" si="3"/>
        <v>SWANSON BRYCE</v>
      </c>
    </row>
    <row r="218" spans="1:7" x14ac:dyDescent="0.25">
      <c r="A218" s="8">
        <v>42801.775625000002</v>
      </c>
      <c r="B218" s="20" t="s">
        <v>273</v>
      </c>
      <c r="C218" s="20" t="s">
        <v>742</v>
      </c>
      <c r="D218" s="150">
        <v>1300000</v>
      </c>
      <c r="E218" s="20" t="s">
        <v>448</v>
      </c>
      <c r="F218" s="20" t="s">
        <v>449</v>
      </c>
      <c r="G218" s="8" t="str">
        <f t="shared" si="3"/>
        <v>LEVIN SCOTT</v>
      </c>
    </row>
    <row r="219" spans="1:7" x14ac:dyDescent="0.25">
      <c r="A219" s="8">
        <v>42801.77851851852</v>
      </c>
      <c r="B219" s="20" t="s">
        <v>428</v>
      </c>
      <c r="C219" s="20" t="s">
        <v>743</v>
      </c>
      <c r="D219" s="150">
        <v>1190000</v>
      </c>
      <c r="E219" s="20" t="s">
        <v>681</v>
      </c>
      <c r="F219" s="20" t="s">
        <v>682</v>
      </c>
      <c r="G219" s="8" t="str">
        <f t="shared" si="3"/>
        <v>BRANNON JEFFREY</v>
      </c>
    </row>
    <row r="220" spans="1:7" x14ac:dyDescent="0.25">
      <c r="A220" s="8">
        <v>42801.781898148147</v>
      </c>
      <c r="B220" s="20" t="s">
        <v>262</v>
      </c>
      <c r="C220" s="20" t="s">
        <v>744</v>
      </c>
      <c r="D220" s="150">
        <v>930000</v>
      </c>
      <c r="E220" s="20" t="s">
        <v>480</v>
      </c>
      <c r="F220" s="20" t="s">
        <v>481</v>
      </c>
      <c r="G220" s="8" t="str">
        <f t="shared" si="3"/>
        <v>CLARK KATHLEEN</v>
      </c>
    </row>
    <row r="221" spans="1:7" x14ac:dyDescent="0.25">
      <c r="A221" s="8">
        <v>42801.789803240739</v>
      </c>
      <c r="B221" s="20" t="s">
        <v>272</v>
      </c>
      <c r="C221" s="20" t="s">
        <v>745</v>
      </c>
      <c r="D221" s="150">
        <v>1800000</v>
      </c>
      <c r="E221" s="20" t="s">
        <v>215</v>
      </c>
      <c r="F221" s="20" t="s">
        <v>216</v>
      </c>
      <c r="G221" s="8" t="str">
        <f t="shared" si="3"/>
        <v>CHANDLER KELVIN</v>
      </c>
    </row>
    <row r="222" spans="1:7" x14ac:dyDescent="0.25">
      <c r="A222" s="8">
        <v>42801.794131944444</v>
      </c>
      <c r="B222" s="20" t="s">
        <v>418</v>
      </c>
      <c r="C222" s="20" t="s">
        <v>746</v>
      </c>
      <c r="D222" s="150">
        <v>1740000</v>
      </c>
      <c r="E222" s="20" t="s">
        <v>484</v>
      </c>
      <c r="F222" s="20" t="s">
        <v>485</v>
      </c>
      <c r="G222" s="8" t="str">
        <f t="shared" si="3"/>
        <v>STORY SAMANTHA</v>
      </c>
    </row>
    <row r="223" spans="1:7" x14ac:dyDescent="0.25">
      <c r="A223" s="8">
        <v>42801.799386574072</v>
      </c>
      <c r="B223" s="20" t="s">
        <v>550</v>
      </c>
      <c r="C223" s="20" t="s">
        <v>747</v>
      </c>
      <c r="D223" s="150">
        <v>2150000</v>
      </c>
      <c r="E223" s="20" t="s">
        <v>706</v>
      </c>
      <c r="F223" s="20" t="s">
        <v>707</v>
      </c>
      <c r="G223" s="8" t="str">
        <f t="shared" si="3"/>
        <v>SWANSON BRYCE</v>
      </c>
    </row>
    <row r="224" spans="1:7" x14ac:dyDescent="0.25">
      <c r="A224" s="8">
        <v>42801.800162037034</v>
      </c>
      <c r="B224" t="s">
        <v>190</v>
      </c>
      <c r="C224" t="s">
        <v>593</v>
      </c>
      <c r="D224" s="150">
        <v>1120000</v>
      </c>
      <c r="E224" t="s">
        <v>252</v>
      </c>
      <c r="F224" s="20" t="s">
        <v>253</v>
      </c>
      <c r="G224" s="8" t="str">
        <f t="shared" si="3"/>
        <v>LOCKLEAR TRAVIS</v>
      </c>
    </row>
    <row r="225" spans="1:7" x14ac:dyDescent="0.25">
      <c r="A225" s="8">
        <v>42801.800995370373</v>
      </c>
      <c r="B225" t="s">
        <v>429</v>
      </c>
      <c r="C225" t="s">
        <v>748</v>
      </c>
      <c r="D225" s="150">
        <v>1300000</v>
      </c>
      <c r="E225" t="s">
        <v>448</v>
      </c>
      <c r="F225" s="20" t="s">
        <v>449</v>
      </c>
      <c r="G225" s="8" t="str">
        <f t="shared" si="3"/>
        <v>LEVIN SCOTT</v>
      </c>
    </row>
    <row r="226" spans="1:7" x14ac:dyDescent="0.25">
      <c r="A226" s="8">
        <v>42801.801006944443</v>
      </c>
      <c r="B226" t="s">
        <v>240</v>
      </c>
      <c r="C226" t="s">
        <v>749</v>
      </c>
      <c r="D226" s="150">
        <v>2000000</v>
      </c>
      <c r="E226" t="s">
        <v>435</v>
      </c>
      <c r="F226" s="20" t="s">
        <v>197</v>
      </c>
      <c r="G226" s="8" t="str">
        <f t="shared" si="3"/>
        <v>STAMBAUGH JAMES</v>
      </c>
    </row>
    <row r="227" spans="1:7" x14ac:dyDescent="0.25">
      <c r="A227" s="8">
        <v>42801.811157407406</v>
      </c>
      <c r="B227" t="s">
        <v>220</v>
      </c>
      <c r="C227" t="s">
        <v>750</v>
      </c>
      <c r="D227" s="150">
        <v>1810000</v>
      </c>
      <c r="E227" t="s">
        <v>202</v>
      </c>
      <c r="F227" s="20" t="s">
        <v>197</v>
      </c>
      <c r="G227" s="8" t="str">
        <f t="shared" si="3"/>
        <v>NEWELL JAMES</v>
      </c>
    </row>
    <row r="228" spans="1:7" x14ac:dyDescent="0.25">
      <c r="A228" s="8">
        <v>42801.817048611112</v>
      </c>
      <c r="B228" t="s">
        <v>273</v>
      </c>
      <c r="C228" t="s">
        <v>751</v>
      </c>
      <c r="D228" s="150">
        <v>1300000</v>
      </c>
      <c r="E228" t="s">
        <v>448</v>
      </c>
      <c r="F228" s="20" t="s">
        <v>449</v>
      </c>
      <c r="G228" s="8" t="str">
        <f t="shared" si="3"/>
        <v>LEVIN SCOTT</v>
      </c>
    </row>
    <row r="229" spans="1:7" x14ac:dyDescent="0.25">
      <c r="A229" s="8">
        <v>42801.820532407408</v>
      </c>
      <c r="B229" t="s">
        <v>430</v>
      </c>
      <c r="C229" t="s">
        <v>752</v>
      </c>
      <c r="D229" s="150">
        <v>1190000</v>
      </c>
      <c r="E229" t="s">
        <v>681</v>
      </c>
      <c r="F229" s="20" t="s">
        <v>682</v>
      </c>
      <c r="G229" s="8" t="str">
        <f t="shared" si="3"/>
        <v>BRANNON JEFFREY</v>
      </c>
    </row>
    <row r="230" spans="1:7" x14ac:dyDescent="0.25">
      <c r="A230" s="8">
        <v>42801.827557870369</v>
      </c>
      <c r="B230" t="s">
        <v>270</v>
      </c>
      <c r="C230" t="s">
        <v>753</v>
      </c>
      <c r="D230" s="150">
        <v>1800000</v>
      </c>
      <c r="E230" t="s">
        <v>215</v>
      </c>
      <c r="F230" s="20" t="s">
        <v>216</v>
      </c>
      <c r="G230" s="8" t="str">
        <f t="shared" si="3"/>
        <v>CHANDLER KELVIN</v>
      </c>
    </row>
    <row r="231" spans="1:7" x14ac:dyDescent="0.25">
      <c r="A231" s="8">
        <v>42801.830405092594</v>
      </c>
      <c r="B231" t="s">
        <v>271</v>
      </c>
      <c r="C231" t="s">
        <v>754</v>
      </c>
      <c r="D231" s="150">
        <v>1740000</v>
      </c>
      <c r="E231" t="s">
        <v>484</v>
      </c>
      <c r="F231" s="20" t="s">
        <v>485</v>
      </c>
      <c r="G231" s="8" t="str">
        <f t="shared" si="3"/>
        <v>STORY SAMANTHA</v>
      </c>
    </row>
    <row r="232" spans="1:7" x14ac:dyDescent="0.25">
      <c r="A232" s="8">
        <v>42801.838148148148</v>
      </c>
      <c r="B232" t="s">
        <v>271</v>
      </c>
      <c r="C232" t="s">
        <v>754</v>
      </c>
      <c r="D232" s="150">
        <v>1740000</v>
      </c>
      <c r="E232" t="s">
        <v>484</v>
      </c>
      <c r="F232" s="20" t="s">
        <v>485</v>
      </c>
      <c r="G232" s="8" t="str">
        <f t="shared" si="3"/>
        <v>STORY SAMANTHA</v>
      </c>
    </row>
    <row r="233" spans="1:7" x14ac:dyDescent="0.25">
      <c r="A233" s="8">
        <v>42801.839004629626</v>
      </c>
      <c r="B233" t="s">
        <v>581</v>
      </c>
      <c r="C233" t="s">
        <v>755</v>
      </c>
      <c r="D233" s="150">
        <v>1810000</v>
      </c>
      <c r="E233" t="s">
        <v>202</v>
      </c>
      <c r="F233" s="20" t="s">
        <v>197</v>
      </c>
      <c r="G233" s="8" t="str">
        <f t="shared" si="3"/>
        <v>NEWELL JAMES</v>
      </c>
    </row>
    <row r="234" spans="1:7" x14ac:dyDescent="0.25">
      <c r="A234" s="8">
        <v>42801.842650462961</v>
      </c>
      <c r="B234" t="s">
        <v>429</v>
      </c>
      <c r="C234" t="s">
        <v>756</v>
      </c>
      <c r="D234" s="150">
        <v>1300000</v>
      </c>
      <c r="E234" t="s">
        <v>448</v>
      </c>
      <c r="F234" s="20" t="s">
        <v>449</v>
      </c>
      <c r="G234" s="8" t="str">
        <f t="shared" si="3"/>
        <v>LEVIN SCOTT</v>
      </c>
    </row>
    <row r="235" spans="1:7" x14ac:dyDescent="0.25">
      <c r="A235" s="8">
        <v>42801.849178240744</v>
      </c>
      <c r="B235" t="s">
        <v>241</v>
      </c>
      <c r="C235" t="s">
        <v>757</v>
      </c>
      <c r="D235" s="150">
        <v>2000000</v>
      </c>
      <c r="E235" t="s">
        <v>435</v>
      </c>
      <c r="F235" s="20" t="s">
        <v>197</v>
      </c>
      <c r="G235" s="8" t="str">
        <f t="shared" si="3"/>
        <v>STAMBAUGH JAMES</v>
      </c>
    </row>
    <row r="236" spans="1:7" x14ac:dyDescent="0.25">
      <c r="A236" s="8">
        <v>42801.856041666666</v>
      </c>
      <c r="B236" t="s">
        <v>758</v>
      </c>
      <c r="C236" t="s">
        <v>759</v>
      </c>
      <c r="D236" s="150">
        <v>2730000</v>
      </c>
      <c r="E236" t="s">
        <v>231</v>
      </c>
      <c r="F236" s="20" t="s">
        <v>232</v>
      </c>
      <c r="G236" s="8" t="str">
        <f t="shared" si="3"/>
        <v>YANG JAN</v>
      </c>
    </row>
    <row r="237" spans="1:7" x14ac:dyDescent="0.25">
      <c r="A237" s="8">
        <v>42801.85664351852</v>
      </c>
      <c r="B237" t="s">
        <v>758</v>
      </c>
      <c r="C237" t="s">
        <v>759</v>
      </c>
      <c r="D237" s="150">
        <v>2730000</v>
      </c>
      <c r="E237" t="s">
        <v>231</v>
      </c>
      <c r="F237" s="20" t="s">
        <v>232</v>
      </c>
      <c r="G237" s="8" t="str">
        <f t="shared" si="3"/>
        <v>YANG JAN</v>
      </c>
    </row>
    <row r="238" spans="1:7" x14ac:dyDescent="0.25">
      <c r="A238" s="8">
        <v>42801.858611111114</v>
      </c>
      <c r="B238" t="s">
        <v>758</v>
      </c>
      <c r="C238" t="s">
        <v>759</v>
      </c>
      <c r="D238" s="150">
        <v>2730000</v>
      </c>
      <c r="E238" t="s">
        <v>231</v>
      </c>
      <c r="F238" s="20" t="s">
        <v>232</v>
      </c>
      <c r="G238" s="8" t="str">
        <f t="shared" si="3"/>
        <v>YANG JAN</v>
      </c>
    </row>
    <row r="239" spans="1:7" x14ac:dyDescent="0.25">
      <c r="A239" s="8">
        <v>42801.859918981485</v>
      </c>
      <c r="B239" t="s">
        <v>273</v>
      </c>
      <c r="C239" t="s">
        <v>760</v>
      </c>
      <c r="D239" s="150">
        <v>1300000</v>
      </c>
      <c r="E239" t="s">
        <v>448</v>
      </c>
      <c r="F239" s="20" t="s">
        <v>449</v>
      </c>
      <c r="G239" s="8" t="str">
        <f t="shared" si="3"/>
        <v>LEVIN SCOTT</v>
      </c>
    </row>
    <row r="240" spans="1:7" x14ac:dyDescent="0.25">
      <c r="A240" s="8">
        <v>42801.866053240738</v>
      </c>
      <c r="B240" t="s">
        <v>418</v>
      </c>
      <c r="C240" t="s">
        <v>754</v>
      </c>
      <c r="D240" s="150">
        <v>1740000</v>
      </c>
      <c r="E240" t="s">
        <v>484</v>
      </c>
      <c r="F240" s="20" t="s">
        <v>485</v>
      </c>
      <c r="G240" s="8" t="str">
        <f t="shared" si="3"/>
        <v>STORY SAMANTHA</v>
      </c>
    </row>
    <row r="241" spans="1:7" x14ac:dyDescent="0.25">
      <c r="A241" s="8">
        <v>42801.869004629632</v>
      </c>
      <c r="B241" t="s">
        <v>418</v>
      </c>
      <c r="C241" t="s">
        <v>761</v>
      </c>
      <c r="D241" s="150">
        <v>1740000</v>
      </c>
      <c r="E241" t="s">
        <v>484</v>
      </c>
      <c r="F241" s="20" t="s">
        <v>485</v>
      </c>
      <c r="G241" s="8" t="str">
        <f t="shared" si="3"/>
        <v>STORY SAMANTHA</v>
      </c>
    </row>
    <row r="242" spans="1:7" x14ac:dyDescent="0.25">
      <c r="A242" s="8">
        <v>42801.870821759258</v>
      </c>
      <c r="B242" t="s">
        <v>597</v>
      </c>
      <c r="C242" t="s">
        <v>762</v>
      </c>
      <c r="D242" s="150">
        <v>2680000</v>
      </c>
      <c r="E242" t="s">
        <v>431</v>
      </c>
      <c r="F242" s="20" t="s">
        <v>432</v>
      </c>
      <c r="G242" s="8" t="str">
        <f t="shared" si="3"/>
        <v>DUNCAN SHEILA</v>
      </c>
    </row>
    <row r="243" spans="1:7" x14ac:dyDescent="0.25">
      <c r="A243" s="8">
        <v>42801.871863425928</v>
      </c>
      <c r="B243" t="s">
        <v>597</v>
      </c>
      <c r="C243" t="s">
        <v>762</v>
      </c>
      <c r="D243" s="150">
        <v>2680000</v>
      </c>
      <c r="E243" t="s">
        <v>431</v>
      </c>
      <c r="F243" s="20" t="s">
        <v>432</v>
      </c>
      <c r="G243" s="8" t="str">
        <f t="shared" si="3"/>
        <v>DUNCAN SHEILA</v>
      </c>
    </row>
    <row r="244" spans="1:7" x14ac:dyDescent="0.25">
      <c r="A244" s="8">
        <v>42801.873379629629</v>
      </c>
      <c r="B244" t="s">
        <v>272</v>
      </c>
      <c r="C244" t="s">
        <v>763</v>
      </c>
      <c r="D244" s="150">
        <v>1800000</v>
      </c>
      <c r="E244" t="s">
        <v>215</v>
      </c>
      <c r="F244" s="20" t="s">
        <v>216</v>
      </c>
      <c r="G244" s="8" t="str">
        <f t="shared" si="3"/>
        <v>CHANDLER KELVIN</v>
      </c>
    </row>
    <row r="245" spans="1:7" x14ac:dyDescent="0.25">
      <c r="A245" s="8">
        <v>42801.874837962961</v>
      </c>
      <c r="B245" t="s">
        <v>429</v>
      </c>
      <c r="C245" t="s">
        <v>764</v>
      </c>
      <c r="D245" s="150">
        <v>2150000</v>
      </c>
      <c r="E245" t="s">
        <v>706</v>
      </c>
      <c r="F245" s="20" t="s">
        <v>707</v>
      </c>
      <c r="G245" s="8" t="str">
        <f t="shared" si="3"/>
        <v>SWANSON BRYCE</v>
      </c>
    </row>
    <row r="246" spans="1:7" x14ac:dyDescent="0.25">
      <c r="A246" s="8">
        <v>42801.875891203701</v>
      </c>
      <c r="B246" t="s">
        <v>597</v>
      </c>
      <c r="C246" t="s">
        <v>762</v>
      </c>
      <c r="D246" s="150">
        <v>2680000</v>
      </c>
      <c r="E246" t="s">
        <v>431</v>
      </c>
      <c r="F246" s="20" t="s">
        <v>432</v>
      </c>
      <c r="G246" s="8" t="str">
        <f t="shared" si="3"/>
        <v>DUNCAN SHEILA</v>
      </c>
    </row>
    <row r="247" spans="1:7" x14ac:dyDescent="0.25">
      <c r="A247" s="8">
        <v>42801.880937499998</v>
      </c>
      <c r="B247" t="s">
        <v>597</v>
      </c>
      <c r="C247" t="s">
        <v>598</v>
      </c>
      <c r="D247" s="150">
        <v>2680000</v>
      </c>
      <c r="E247" t="s">
        <v>431</v>
      </c>
      <c r="F247" s="20" t="s">
        <v>432</v>
      </c>
      <c r="G247" s="8" t="str">
        <f t="shared" si="3"/>
        <v>DUNCAN SHEILA</v>
      </c>
    </row>
    <row r="248" spans="1:7" x14ac:dyDescent="0.25">
      <c r="A248" s="8">
        <v>42801.882048611114</v>
      </c>
      <c r="B248" t="s">
        <v>240</v>
      </c>
      <c r="C248" t="s">
        <v>594</v>
      </c>
      <c r="D248" s="150">
        <v>2000000</v>
      </c>
      <c r="E248" t="s">
        <v>435</v>
      </c>
      <c r="F248" s="20" t="s">
        <v>197</v>
      </c>
      <c r="G248" s="8" t="str">
        <f t="shared" si="3"/>
        <v>STAMBAUGH JAMES</v>
      </c>
    </row>
    <row r="249" spans="1:7" x14ac:dyDescent="0.25">
      <c r="A249" s="8">
        <v>42801.889328703706</v>
      </c>
      <c r="B249" t="s">
        <v>220</v>
      </c>
      <c r="C249" t="s">
        <v>765</v>
      </c>
      <c r="D249" s="150">
        <v>1810000</v>
      </c>
      <c r="E249" t="s">
        <v>202</v>
      </c>
      <c r="F249" s="20" t="s">
        <v>197</v>
      </c>
      <c r="G249" s="8" t="str">
        <f t="shared" si="3"/>
        <v>NEWELL JAMES</v>
      </c>
    </row>
    <row r="250" spans="1:7" x14ac:dyDescent="0.25">
      <c r="A250" s="8">
        <v>42801.901932870373</v>
      </c>
      <c r="B250" t="s">
        <v>273</v>
      </c>
      <c r="C250" t="s">
        <v>766</v>
      </c>
      <c r="D250" s="150">
        <v>2150000</v>
      </c>
      <c r="E250" t="s">
        <v>706</v>
      </c>
      <c r="F250" s="20" t="s">
        <v>707</v>
      </c>
      <c r="G250" s="8" t="str">
        <f t="shared" si="3"/>
        <v>SWANSON BRYCE</v>
      </c>
    </row>
    <row r="251" spans="1:7" x14ac:dyDescent="0.25">
      <c r="A251" s="8">
        <v>42801.908067129632</v>
      </c>
      <c r="B251" t="s">
        <v>270</v>
      </c>
      <c r="C251" t="s">
        <v>767</v>
      </c>
      <c r="D251" s="150">
        <v>1800000</v>
      </c>
      <c r="E251" t="s">
        <v>215</v>
      </c>
      <c r="F251" s="20" t="s">
        <v>216</v>
      </c>
      <c r="G251" s="8" t="str">
        <f t="shared" si="3"/>
        <v>CHANDLER KELVIN</v>
      </c>
    </row>
    <row r="252" spans="1:7" x14ac:dyDescent="0.25">
      <c r="A252" s="8">
        <v>42801.908877314818</v>
      </c>
      <c r="B252" t="s">
        <v>271</v>
      </c>
      <c r="C252" t="s">
        <v>595</v>
      </c>
      <c r="D252" s="150">
        <v>1740000</v>
      </c>
      <c r="E252" t="s">
        <v>484</v>
      </c>
      <c r="F252" s="20" t="s">
        <v>485</v>
      </c>
      <c r="G252" s="8" t="str">
        <f t="shared" si="3"/>
        <v>STORY SAMANTHA</v>
      </c>
    </row>
    <row r="253" spans="1:7" x14ac:dyDescent="0.25">
      <c r="A253" s="8">
        <v>42801.916226851848</v>
      </c>
      <c r="B253" t="s">
        <v>758</v>
      </c>
      <c r="C253" t="s">
        <v>759</v>
      </c>
      <c r="D253" s="150">
        <v>2730000</v>
      </c>
      <c r="E253" t="s">
        <v>231</v>
      </c>
      <c r="F253" s="20" t="s">
        <v>232</v>
      </c>
      <c r="G253" s="8" t="str">
        <f t="shared" si="3"/>
        <v>YANG JAN</v>
      </c>
    </row>
    <row r="254" spans="1:7" x14ac:dyDescent="0.25">
      <c r="A254" s="8">
        <v>42801.92491898148</v>
      </c>
      <c r="B254" t="s">
        <v>241</v>
      </c>
      <c r="C254" t="s">
        <v>768</v>
      </c>
      <c r="D254" s="150">
        <v>2000000</v>
      </c>
      <c r="E254" t="s">
        <v>435</v>
      </c>
      <c r="F254" s="20" t="s">
        <v>197</v>
      </c>
      <c r="G254" s="8" t="str">
        <f t="shared" si="3"/>
        <v>STAMBAUGH JAMES</v>
      </c>
    </row>
    <row r="255" spans="1:7" x14ac:dyDescent="0.25">
      <c r="A255" s="8">
        <v>42801.929386574076</v>
      </c>
      <c r="B255" t="s">
        <v>429</v>
      </c>
      <c r="C255" t="s">
        <v>769</v>
      </c>
      <c r="D255" s="150">
        <v>2150000</v>
      </c>
      <c r="E255" t="s">
        <v>706</v>
      </c>
      <c r="F255" s="20" t="s">
        <v>707</v>
      </c>
      <c r="G255" s="8" t="str">
        <f t="shared" si="3"/>
        <v>SWANSON BRYCE</v>
      </c>
    </row>
    <row r="256" spans="1:7" x14ac:dyDescent="0.25">
      <c r="A256" s="8">
        <v>42801.932581018518</v>
      </c>
      <c r="B256" t="s">
        <v>581</v>
      </c>
      <c r="C256" t="s">
        <v>770</v>
      </c>
      <c r="D256" s="150">
        <v>1810000</v>
      </c>
      <c r="E256" t="s">
        <v>202</v>
      </c>
      <c r="F256" s="20" t="s">
        <v>197</v>
      </c>
      <c r="G256" s="8" t="str">
        <f t="shared" si="3"/>
        <v>NEWELL JAMES</v>
      </c>
    </row>
    <row r="257" spans="1:7" x14ac:dyDescent="0.25">
      <c r="A257" s="8">
        <v>42801.943761574075</v>
      </c>
      <c r="B257" t="s">
        <v>273</v>
      </c>
      <c r="C257" t="s">
        <v>596</v>
      </c>
      <c r="D257" s="150">
        <v>2630000</v>
      </c>
      <c r="E257" t="s">
        <v>771</v>
      </c>
      <c r="F257" s="20" t="s">
        <v>772</v>
      </c>
      <c r="G257" s="8" t="str">
        <f t="shared" si="3"/>
        <v>SAFIEF AEIMEN</v>
      </c>
    </row>
    <row r="258" spans="1:7" x14ac:dyDescent="0.25">
      <c r="A258" s="8">
        <v>42801.948460648149</v>
      </c>
      <c r="B258" t="s">
        <v>418</v>
      </c>
      <c r="C258" t="s">
        <v>773</v>
      </c>
      <c r="D258" s="150">
        <v>1740000</v>
      </c>
      <c r="E258" t="s">
        <v>484</v>
      </c>
      <c r="F258" s="20" t="s">
        <v>485</v>
      </c>
      <c r="G258" s="8" t="str">
        <f t="shared" si="3"/>
        <v>STORY SAMANTHA</v>
      </c>
    </row>
    <row r="259" spans="1:7" x14ac:dyDescent="0.25">
      <c r="A259" s="8">
        <v>42801.955682870372</v>
      </c>
      <c r="B259" t="s">
        <v>272</v>
      </c>
      <c r="C259" t="s">
        <v>774</v>
      </c>
      <c r="D259" s="150">
        <v>1800000</v>
      </c>
      <c r="E259" t="s">
        <v>215</v>
      </c>
      <c r="F259" s="20" t="s">
        <v>216</v>
      </c>
      <c r="G259" s="8" t="str">
        <f t="shared" ref="G259:G322" si="4">E259&amp;" "&amp;F259</f>
        <v>CHANDLER KELVIN</v>
      </c>
    </row>
    <row r="260" spans="1:7" x14ac:dyDescent="0.25">
      <c r="A260" s="8">
        <v>42801.956446759257</v>
      </c>
      <c r="B260" t="s">
        <v>429</v>
      </c>
      <c r="C260" t="s">
        <v>775</v>
      </c>
      <c r="D260" s="150">
        <v>2630000</v>
      </c>
      <c r="E260" t="s">
        <v>771</v>
      </c>
      <c r="F260" s="20" t="s">
        <v>772</v>
      </c>
      <c r="G260" s="8" t="str">
        <f t="shared" si="4"/>
        <v>SAFIEF AEIMEN</v>
      </c>
    </row>
    <row r="261" spans="1:7" x14ac:dyDescent="0.25">
      <c r="A261" s="8">
        <v>42801.959826388891</v>
      </c>
      <c r="B261" t="s">
        <v>597</v>
      </c>
      <c r="C261" t="s">
        <v>598</v>
      </c>
      <c r="D261" s="150">
        <v>2680000</v>
      </c>
      <c r="E261" t="s">
        <v>431</v>
      </c>
      <c r="F261" s="20" t="s">
        <v>432</v>
      </c>
      <c r="G261" s="8" t="str">
        <f t="shared" si="4"/>
        <v>DUNCAN SHEILA</v>
      </c>
    </row>
    <row r="262" spans="1:7" x14ac:dyDescent="0.25">
      <c r="A262" s="8">
        <v>42801.966319444444</v>
      </c>
      <c r="B262" t="s">
        <v>273</v>
      </c>
      <c r="C262" t="s">
        <v>596</v>
      </c>
      <c r="D262" s="150">
        <v>2630000</v>
      </c>
      <c r="E262" t="s">
        <v>771</v>
      </c>
      <c r="F262" s="20" t="s">
        <v>772</v>
      </c>
      <c r="G262" s="8" t="str">
        <f t="shared" si="4"/>
        <v>SAFIEF AEIMEN</v>
      </c>
    </row>
    <row r="263" spans="1:7" x14ac:dyDescent="0.25">
      <c r="A263" s="8">
        <v>42801.968738425923</v>
      </c>
      <c r="B263" t="s">
        <v>597</v>
      </c>
      <c r="C263" t="s">
        <v>598</v>
      </c>
      <c r="D263" s="150">
        <v>2680000</v>
      </c>
      <c r="E263" t="s">
        <v>431</v>
      </c>
      <c r="F263" s="20" t="s">
        <v>432</v>
      </c>
      <c r="G263" s="8" t="str">
        <f t="shared" si="4"/>
        <v>DUNCAN SHEILA</v>
      </c>
    </row>
    <row r="264" spans="1:7" x14ac:dyDescent="0.25">
      <c r="A264" s="8">
        <v>42801.974490740744</v>
      </c>
      <c r="B264" t="s">
        <v>240</v>
      </c>
      <c r="C264" t="s">
        <v>776</v>
      </c>
      <c r="D264" s="150">
        <v>2000000</v>
      </c>
      <c r="E264" t="s">
        <v>435</v>
      </c>
      <c r="F264" s="20" t="s">
        <v>197</v>
      </c>
      <c r="G264" s="8" t="str">
        <f t="shared" si="4"/>
        <v>STAMBAUGH JAMES</v>
      </c>
    </row>
    <row r="265" spans="1:7" x14ac:dyDescent="0.25">
      <c r="A265" s="8">
        <v>42801.977627314816</v>
      </c>
      <c r="B265" t="s">
        <v>220</v>
      </c>
      <c r="C265" t="s">
        <v>777</v>
      </c>
      <c r="D265" s="150">
        <v>1810000</v>
      </c>
      <c r="E265" t="s">
        <v>202</v>
      </c>
      <c r="F265" s="20" t="s">
        <v>197</v>
      </c>
      <c r="G265" s="8" t="str">
        <f t="shared" si="4"/>
        <v>NEWELL JAMES</v>
      </c>
    </row>
    <row r="266" spans="1:7" x14ac:dyDescent="0.25">
      <c r="A266" s="8">
        <v>42801.994247685187</v>
      </c>
      <c r="B266" t="s">
        <v>270</v>
      </c>
      <c r="C266" t="s">
        <v>599</v>
      </c>
      <c r="D266" s="150">
        <v>1800000</v>
      </c>
      <c r="E266" t="s">
        <v>215</v>
      </c>
      <c r="F266" s="20" t="s">
        <v>216</v>
      </c>
      <c r="G266" s="8" t="str">
        <f t="shared" si="4"/>
        <v>CHANDLER KELVIN</v>
      </c>
    </row>
    <row r="267" spans="1:7" x14ac:dyDescent="0.25">
      <c r="A267" s="8">
        <v>42801.996099537035</v>
      </c>
      <c r="B267" t="s">
        <v>271</v>
      </c>
      <c r="C267" t="s">
        <v>778</v>
      </c>
      <c r="D267" s="150">
        <v>1740000</v>
      </c>
      <c r="E267" t="s">
        <v>484</v>
      </c>
      <c r="F267" s="20" t="s">
        <v>485</v>
      </c>
      <c r="G267" s="8" t="str">
        <f t="shared" si="4"/>
        <v>STORY SAMANTHA</v>
      </c>
    </row>
    <row r="268" spans="1:7" x14ac:dyDescent="0.25">
      <c r="A268" s="8">
        <v>42802.00141203704</v>
      </c>
      <c r="B268" t="s">
        <v>758</v>
      </c>
      <c r="C268" t="s">
        <v>759</v>
      </c>
      <c r="D268" s="150">
        <v>2730000</v>
      </c>
      <c r="E268" t="s">
        <v>231</v>
      </c>
      <c r="F268" s="20" t="s">
        <v>232</v>
      </c>
      <c r="G268" s="8" t="str">
        <f t="shared" si="4"/>
        <v>YANG JAN</v>
      </c>
    </row>
    <row r="269" spans="1:7" x14ac:dyDescent="0.25">
      <c r="A269" s="8">
        <v>42802.00508101852</v>
      </c>
      <c r="B269" t="s">
        <v>241</v>
      </c>
      <c r="C269" t="s">
        <v>601</v>
      </c>
      <c r="D269" s="150">
        <v>2000000</v>
      </c>
      <c r="E269" t="s">
        <v>435</v>
      </c>
      <c r="F269" s="20" t="s">
        <v>197</v>
      </c>
      <c r="G269" s="8" t="str">
        <f t="shared" si="4"/>
        <v>STAMBAUGH JAMES</v>
      </c>
    </row>
    <row r="270" spans="1:7" x14ac:dyDescent="0.25">
      <c r="A270" s="8">
        <v>42802.014340277776</v>
      </c>
      <c r="B270" t="s">
        <v>581</v>
      </c>
      <c r="C270" t="s">
        <v>600</v>
      </c>
      <c r="D270" s="150">
        <v>1810000</v>
      </c>
      <c r="E270" t="s">
        <v>202</v>
      </c>
      <c r="F270" s="20" t="s">
        <v>197</v>
      </c>
      <c r="G270" s="8" t="str">
        <f t="shared" si="4"/>
        <v>NEWELL JAMES</v>
      </c>
    </row>
    <row r="271" spans="1:7" x14ac:dyDescent="0.25">
      <c r="A271" s="8">
        <v>42802.029328703706</v>
      </c>
      <c r="B271" t="s">
        <v>272</v>
      </c>
      <c r="C271" t="s">
        <v>779</v>
      </c>
      <c r="D271" s="150">
        <v>1800000</v>
      </c>
      <c r="E271" t="s">
        <v>215</v>
      </c>
      <c r="F271" s="20" t="s">
        <v>216</v>
      </c>
      <c r="G271" s="8" t="str">
        <f t="shared" si="4"/>
        <v>CHANDLER KELVIN</v>
      </c>
    </row>
    <row r="272" spans="1:7" x14ac:dyDescent="0.25">
      <c r="A272" s="8">
        <v>42802.032361111109</v>
      </c>
      <c r="B272" t="s">
        <v>597</v>
      </c>
      <c r="C272" t="s">
        <v>598</v>
      </c>
      <c r="D272" s="150">
        <v>2680000</v>
      </c>
      <c r="E272" t="s">
        <v>431</v>
      </c>
      <c r="F272" s="20" t="s">
        <v>432</v>
      </c>
      <c r="G272" s="8" t="str">
        <f t="shared" si="4"/>
        <v>DUNCAN SHEILA</v>
      </c>
    </row>
    <row r="273" spans="1:7" x14ac:dyDescent="0.25">
      <c r="A273" s="8">
        <v>42802.034699074073</v>
      </c>
      <c r="B273" t="s">
        <v>418</v>
      </c>
      <c r="C273" t="s">
        <v>780</v>
      </c>
      <c r="D273" s="150">
        <v>1740000</v>
      </c>
      <c r="E273" t="s">
        <v>484</v>
      </c>
      <c r="F273" s="20" t="s">
        <v>485</v>
      </c>
      <c r="G273" s="8" t="str">
        <f t="shared" si="4"/>
        <v>STORY SAMANTHA</v>
      </c>
    </row>
    <row r="274" spans="1:7" x14ac:dyDescent="0.25">
      <c r="A274" s="8">
        <v>42802.056030092594</v>
      </c>
      <c r="B274" t="s">
        <v>758</v>
      </c>
      <c r="C274" t="s">
        <v>759</v>
      </c>
      <c r="D274" s="150">
        <v>2730000</v>
      </c>
      <c r="E274" t="s">
        <v>231</v>
      </c>
      <c r="F274" s="20" t="s">
        <v>232</v>
      </c>
      <c r="G274" s="8" t="str">
        <f t="shared" si="4"/>
        <v>YANG JAN</v>
      </c>
    </row>
    <row r="275" spans="1:7" x14ac:dyDescent="0.25">
      <c r="A275" s="8">
        <v>42802.05810185185</v>
      </c>
      <c r="B275" t="s">
        <v>240</v>
      </c>
      <c r="C275" t="s">
        <v>781</v>
      </c>
      <c r="D275" s="150">
        <v>2000000</v>
      </c>
      <c r="E275" t="s">
        <v>435</v>
      </c>
      <c r="F275" s="20" t="s">
        <v>197</v>
      </c>
      <c r="G275" s="8" t="str">
        <f t="shared" si="4"/>
        <v>STAMBAUGH JAMES</v>
      </c>
    </row>
    <row r="276" spans="1:7" x14ac:dyDescent="0.25">
      <c r="A276" s="8">
        <v>42802.070219907408</v>
      </c>
      <c r="B276" t="s">
        <v>271</v>
      </c>
      <c r="C276" t="s">
        <v>782</v>
      </c>
      <c r="D276" s="150">
        <v>1740000</v>
      </c>
      <c r="E276" t="s">
        <v>484</v>
      </c>
      <c r="F276" s="20" t="s">
        <v>485</v>
      </c>
      <c r="G276" s="8" t="str">
        <f t="shared" si="4"/>
        <v>STORY SAMANTHA</v>
      </c>
    </row>
    <row r="277" spans="1:7" x14ac:dyDescent="0.25">
      <c r="A277" s="8">
        <v>42802.078090277777</v>
      </c>
      <c r="B277" t="s">
        <v>597</v>
      </c>
      <c r="C277" t="s">
        <v>598</v>
      </c>
      <c r="D277" s="150">
        <v>2680000</v>
      </c>
      <c r="E277" t="s">
        <v>431</v>
      </c>
      <c r="F277" s="20" t="s">
        <v>432</v>
      </c>
      <c r="G277" s="8" t="str">
        <f t="shared" si="4"/>
        <v>DUNCAN SHEILA</v>
      </c>
    </row>
    <row r="278" spans="1:7" x14ac:dyDescent="0.25">
      <c r="A278" s="8">
        <v>42802.087488425925</v>
      </c>
      <c r="B278" t="s">
        <v>241</v>
      </c>
      <c r="C278" t="s">
        <v>781</v>
      </c>
      <c r="D278" s="150">
        <v>2000000</v>
      </c>
      <c r="E278" t="s">
        <v>435</v>
      </c>
      <c r="F278" s="20" t="s">
        <v>197</v>
      </c>
      <c r="G278" s="8" t="str">
        <f t="shared" si="4"/>
        <v>STAMBAUGH JAMES</v>
      </c>
    </row>
    <row r="279" spans="1:7" x14ac:dyDescent="0.25">
      <c r="A279" s="8">
        <v>42802.088043981479</v>
      </c>
      <c r="B279" t="s">
        <v>241</v>
      </c>
      <c r="C279" t="s">
        <v>783</v>
      </c>
      <c r="D279" s="150">
        <v>2000000</v>
      </c>
      <c r="E279" t="s">
        <v>435</v>
      </c>
      <c r="F279" s="20" t="s">
        <v>197</v>
      </c>
      <c r="G279" s="8" t="str">
        <f t="shared" si="4"/>
        <v>STAMBAUGH JAMES</v>
      </c>
    </row>
    <row r="280" spans="1:7" x14ac:dyDescent="0.25">
      <c r="A280" s="8">
        <v>42802.092870370368</v>
      </c>
      <c r="B280" t="s">
        <v>758</v>
      </c>
      <c r="C280" t="s">
        <v>759</v>
      </c>
      <c r="D280" s="150">
        <v>2730000</v>
      </c>
      <c r="E280" t="s">
        <v>231</v>
      </c>
      <c r="F280" s="20" t="s">
        <v>232</v>
      </c>
      <c r="G280" s="8" t="str">
        <f t="shared" si="4"/>
        <v>YANG JAN</v>
      </c>
    </row>
    <row r="281" spans="1:7" x14ac:dyDescent="0.25">
      <c r="A281" s="8">
        <v>42802.106828703705</v>
      </c>
      <c r="B281" t="s">
        <v>597</v>
      </c>
      <c r="C281" t="s">
        <v>598</v>
      </c>
      <c r="D281" s="150">
        <v>2680000</v>
      </c>
      <c r="E281" t="s">
        <v>431</v>
      </c>
      <c r="F281" s="20" t="s">
        <v>432</v>
      </c>
      <c r="G281" s="8" t="str">
        <f t="shared" si="4"/>
        <v>DUNCAN SHEILA</v>
      </c>
    </row>
    <row r="282" spans="1:7" x14ac:dyDescent="0.25">
      <c r="F282" s="20">
        <f t="shared" ref="F282:F345" si="5">B282</f>
        <v>0</v>
      </c>
      <c r="G282" s="8" t="str">
        <f t="shared" si="4"/>
        <v xml:space="preserve"> 0</v>
      </c>
    </row>
    <row r="283" spans="1:7" x14ac:dyDescent="0.25">
      <c r="F283" s="20">
        <f t="shared" si="5"/>
        <v>0</v>
      </c>
      <c r="G283" s="8" t="str">
        <f t="shared" si="4"/>
        <v xml:space="preserve"> 0</v>
      </c>
    </row>
    <row r="284" spans="1:7" x14ac:dyDescent="0.25">
      <c r="F284" s="20">
        <f t="shared" si="5"/>
        <v>0</v>
      </c>
      <c r="G284" s="8" t="str">
        <f t="shared" si="4"/>
        <v xml:space="preserve"> 0</v>
      </c>
    </row>
    <row r="285" spans="1:7" x14ac:dyDescent="0.25">
      <c r="F285" s="20">
        <f t="shared" si="5"/>
        <v>0</v>
      </c>
      <c r="G285" s="8" t="str">
        <f t="shared" si="4"/>
        <v xml:space="preserve"> 0</v>
      </c>
    </row>
    <row r="286" spans="1:7" x14ac:dyDescent="0.25">
      <c r="F286" s="20">
        <f t="shared" si="5"/>
        <v>0</v>
      </c>
      <c r="G286" s="8" t="str">
        <f t="shared" si="4"/>
        <v xml:space="preserve"> 0</v>
      </c>
    </row>
    <row r="287" spans="1:7" x14ac:dyDescent="0.25">
      <c r="F287" s="20">
        <f t="shared" si="5"/>
        <v>0</v>
      </c>
      <c r="G287" s="8" t="str">
        <f t="shared" si="4"/>
        <v xml:space="preserve"> 0</v>
      </c>
    </row>
    <row r="288" spans="1:7" x14ac:dyDescent="0.25">
      <c r="F288" s="20">
        <f t="shared" si="5"/>
        <v>0</v>
      </c>
      <c r="G288" s="8" t="str">
        <f t="shared" si="4"/>
        <v xml:space="preserve"> 0</v>
      </c>
    </row>
    <row r="289" spans="6:7" x14ac:dyDescent="0.25">
      <c r="F289" s="20">
        <f t="shared" si="5"/>
        <v>0</v>
      </c>
      <c r="G289" s="8" t="str">
        <f t="shared" si="4"/>
        <v xml:space="preserve"> 0</v>
      </c>
    </row>
    <row r="290" spans="6:7" x14ac:dyDescent="0.25">
      <c r="F290" s="20">
        <f t="shared" si="5"/>
        <v>0</v>
      </c>
      <c r="G290" s="8" t="str">
        <f t="shared" si="4"/>
        <v xml:space="preserve"> 0</v>
      </c>
    </row>
    <row r="291" spans="6:7" x14ac:dyDescent="0.25">
      <c r="F291" s="20">
        <f t="shared" si="5"/>
        <v>0</v>
      </c>
      <c r="G291" s="8" t="str">
        <f t="shared" si="4"/>
        <v xml:space="preserve"> 0</v>
      </c>
    </row>
    <row r="292" spans="6:7" x14ac:dyDescent="0.25">
      <c r="F292" s="20">
        <f t="shared" si="5"/>
        <v>0</v>
      </c>
      <c r="G292" s="8" t="str">
        <f t="shared" si="4"/>
        <v xml:space="preserve"> 0</v>
      </c>
    </row>
    <row r="293" spans="6:7" x14ac:dyDescent="0.25">
      <c r="F293" s="20">
        <f t="shared" si="5"/>
        <v>0</v>
      </c>
      <c r="G293" s="8" t="str">
        <f t="shared" si="4"/>
        <v xml:space="preserve"> 0</v>
      </c>
    </row>
    <row r="294" spans="6:7" x14ac:dyDescent="0.25">
      <c r="F294" s="20">
        <f t="shared" si="5"/>
        <v>0</v>
      </c>
      <c r="G294" s="8" t="str">
        <f t="shared" si="4"/>
        <v xml:space="preserve"> 0</v>
      </c>
    </row>
    <row r="295" spans="6:7" x14ac:dyDescent="0.25">
      <c r="F295" s="20">
        <f t="shared" si="5"/>
        <v>0</v>
      </c>
      <c r="G295" s="8" t="str">
        <f t="shared" si="4"/>
        <v xml:space="preserve"> 0</v>
      </c>
    </row>
    <row r="296" spans="6:7" x14ac:dyDescent="0.25">
      <c r="F296" s="20">
        <f t="shared" si="5"/>
        <v>0</v>
      </c>
      <c r="G296" s="8" t="str">
        <f t="shared" si="4"/>
        <v xml:space="preserve"> 0</v>
      </c>
    </row>
    <row r="297" spans="6:7" x14ac:dyDescent="0.25">
      <c r="F297" s="20">
        <f t="shared" si="5"/>
        <v>0</v>
      </c>
      <c r="G297" s="8" t="str">
        <f t="shared" si="4"/>
        <v xml:space="preserve"> 0</v>
      </c>
    </row>
    <row r="298" spans="6:7" x14ac:dyDescent="0.25">
      <c r="F298" s="20">
        <f t="shared" si="5"/>
        <v>0</v>
      </c>
      <c r="G298" s="8" t="str">
        <f t="shared" si="4"/>
        <v xml:space="preserve"> 0</v>
      </c>
    </row>
    <row r="299" spans="6:7" x14ac:dyDescent="0.25">
      <c r="F299" s="20">
        <f t="shared" si="5"/>
        <v>0</v>
      </c>
      <c r="G299" s="8" t="str">
        <f t="shared" si="4"/>
        <v xml:space="preserve"> 0</v>
      </c>
    </row>
    <row r="300" spans="6:7" x14ac:dyDescent="0.25">
      <c r="F300" s="20">
        <f t="shared" si="5"/>
        <v>0</v>
      </c>
      <c r="G300" s="8" t="str">
        <f t="shared" si="4"/>
        <v xml:space="preserve"> 0</v>
      </c>
    </row>
    <row r="301" spans="6:7" x14ac:dyDescent="0.25">
      <c r="F301" s="20">
        <f t="shared" si="5"/>
        <v>0</v>
      </c>
      <c r="G301" s="8" t="str">
        <f t="shared" si="4"/>
        <v xml:space="preserve"> 0</v>
      </c>
    </row>
    <row r="302" spans="6:7" x14ac:dyDescent="0.25">
      <c r="F302" s="20">
        <f t="shared" si="5"/>
        <v>0</v>
      </c>
      <c r="G302" s="8" t="str">
        <f t="shared" si="4"/>
        <v xml:space="preserve"> 0</v>
      </c>
    </row>
    <row r="303" spans="6:7" x14ac:dyDescent="0.25">
      <c r="F303" s="20">
        <f t="shared" si="5"/>
        <v>0</v>
      </c>
      <c r="G303" s="8" t="str">
        <f t="shared" si="4"/>
        <v xml:space="preserve"> 0</v>
      </c>
    </row>
    <row r="304" spans="6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163</v>
      </c>
      <c r="K1" s="190" t="s">
        <v>161</v>
      </c>
      <c r="L1" s="190" t="s">
        <v>156</v>
      </c>
      <c r="M1" s="190" t="s">
        <v>166</v>
      </c>
      <c r="N1" s="190" t="s">
        <v>160</v>
      </c>
      <c r="O1" s="190" t="s">
        <v>167</v>
      </c>
      <c r="P1" s="190" t="s">
        <v>164</v>
      </c>
      <c r="Q1"/>
      <c r="R1"/>
    </row>
    <row r="2" spans="1:18" x14ac:dyDescent="0.25">
      <c r="A2" s="168">
        <v>21.75</v>
      </c>
      <c r="B2" s="168">
        <v>0.21</v>
      </c>
      <c r="C2" s="168">
        <v>4.9400000000000004</v>
      </c>
      <c r="D2" s="8">
        <v>42801</v>
      </c>
      <c r="E2" s="168">
        <v>0.36</v>
      </c>
      <c r="F2" s="168" t="s">
        <v>264</v>
      </c>
      <c r="G2" s="168">
        <v>400.02</v>
      </c>
      <c r="H2" s="168">
        <v>0</v>
      </c>
      <c r="I2" s="168">
        <v>0</v>
      </c>
      <c r="J2" s="168">
        <v>1020.84</v>
      </c>
      <c r="K2" s="168" t="s">
        <v>265</v>
      </c>
      <c r="L2" s="168">
        <v>28.76</v>
      </c>
      <c r="M2" s="168">
        <v>1488870000</v>
      </c>
      <c r="N2" s="168">
        <v>8.35</v>
      </c>
      <c r="O2" s="168">
        <v>270</v>
      </c>
      <c r="P2" s="168">
        <v>6.79</v>
      </c>
      <c r="Q2"/>
      <c r="R2"/>
    </row>
    <row r="3" spans="1:18" x14ac:dyDescent="0.25">
      <c r="A3" s="168">
        <v>21.01</v>
      </c>
      <c r="B3" s="168">
        <v>0.21</v>
      </c>
      <c r="C3" s="168">
        <v>2.77</v>
      </c>
      <c r="D3" s="8">
        <v>42801.041666666664</v>
      </c>
      <c r="E3" s="168">
        <v>0.33</v>
      </c>
      <c r="F3" s="168" t="s">
        <v>264</v>
      </c>
      <c r="G3" s="168">
        <v>398.34</v>
      </c>
      <c r="H3" s="168">
        <v>0</v>
      </c>
      <c r="I3" s="168">
        <v>0</v>
      </c>
      <c r="J3" s="168">
        <v>1020.94</v>
      </c>
      <c r="K3" s="168" t="s">
        <v>265</v>
      </c>
      <c r="L3" s="168">
        <v>28.19</v>
      </c>
      <c r="M3" s="168">
        <v>1488873600</v>
      </c>
      <c r="N3" s="168">
        <v>8.35</v>
      </c>
      <c r="O3" s="168">
        <v>267</v>
      </c>
      <c r="P3" s="168">
        <v>6.86</v>
      </c>
      <c r="Q3"/>
      <c r="R3"/>
    </row>
    <row r="4" spans="1:18" x14ac:dyDescent="0.25">
      <c r="A4" s="168">
        <v>20.78</v>
      </c>
      <c r="B4" s="168">
        <v>0.15</v>
      </c>
      <c r="C4" s="168">
        <v>1.41</v>
      </c>
      <c r="D4" s="8">
        <v>42801.083333333336</v>
      </c>
      <c r="E4" s="168">
        <v>0.31</v>
      </c>
      <c r="F4" s="168" t="s">
        <v>264</v>
      </c>
      <c r="G4" s="168">
        <v>396.66</v>
      </c>
      <c r="H4" s="168">
        <v>0</v>
      </c>
      <c r="I4" s="168">
        <v>0</v>
      </c>
      <c r="J4" s="168">
        <v>1021.09</v>
      </c>
      <c r="K4" s="168" t="s">
        <v>265</v>
      </c>
      <c r="L4" s="168">
        <v>27.84</v>
      </c>
      <c r="M4" s="168">
        <v>1488877200</v>
      </c>
      <c r="N4" s="168">
        <v>10</v>
      </c>
      <c r="O4" s="168">
        <v>259</v>
      </c>
      <c r="P4" s="168">
        <v>6.62</v>
      </c>
      <c r="Q4"/>
      <c r="R4"/>
    </row>
    <row r="5" spans="1:18" x14ac:dyDescent="0.25">
      <c r="A5" s="168">
        <v>20.32</v>
      </c>
      <c r="B5" s="168">
        <v>0.12</v>
      </c>
      <c r="C5" s="168">
        <v>0.69</v>
      </c>
      <c r="D5" s="8">
        <v>42801.125</v>
      </c>
      <c r="E5" s="168">
        <v>0.32</v>
      </c>
      <c r="F5" s="168" t="s">
        <v>264</v>
      </c>
      <c r="G5" s="168">
        <v>391.47</v>
      </c>
      <c r="H5" s="168">
        <v>0</v>
      </c>
      <c r="I5" s="168">
        <v>0</v>
      </c>
      <c r="J5" s="168">
        <v>1021.26</v>
      </c>
      <c r="K5" s="168" t="s">
        <v>265</v>
      </c>
      <c r="L5" s="168">
        <v>26.63</v>
      </c>
      <c r="M5" s="168">
        <v>1488880800</v>
      </c>
      <c r="N5" s="168">
        <v>8.0399999999999991</v>
      </c>
      <c r="O5" s="168">
        <v>247</v>
      </c>
      <c r="P5" s="168">
        <v>5.46</v>
      </c>
      <c r="Q5"/>
      <c r="R5"/>
    </row>
    <row r="6" spans="1:18" x14ac:dyDescent="0.25">
      <c r="A6" s="168">
        <v>19.579999999999998</v>
      </c>
      <c r="B6" s="168">
        <v>0.06</v>
      </c>
      <c r="C6" s="168">
        <v>0.08</v>
      </c>
      <c r="D6" s="8">
        <v>42801.166666666664</v>
      </c>
      <c r="E6" s="168">
        <v>0.32</v>
      </c>
      <c r="F6" s="168" t="s">
        <v>264</v>
      </c>
      <c r="G6" s="168">
        <v>384.86</v>
      </c>
      <c r="H6" s="168">
        <v>0</v>
      </c>
      <c r="I6" s="168">
        <v>0</v>
      </c>
      <c r="J6" s="168">
        <v>1021.66</v>
      </c>
      <c r="K6" s="168" t="s">
        <v>265</v>
      </c>
      <c r="L6" s="168">
        <v>25.86</v>
      </c>
      <c r="M6" s="168">
        <v>1488884400</v>
      </c>
      <c r="N6" s="168">
        <v>8.27</v>
      </c>
      <c r="O6" s="168">
        <v>247</v>
      </c>
      <c r="P6" s="168">
        <v>5.29</v>
      </c>
      <c r="Q6"/>
      <c r="R6"/>
    </row>
    <row r="7" spans="1:18" x14ac:dyDescent="0.25">
      <c r="A7" s="168">
        <v>19.73</v>
      </c>
      <c r="B7" s="168">
        <v>0.06</v>
      </c>
      <c r="C7" s="168">
        <v>0.88</v>
      </c>
      <c r="D7" s="8">
        <v>42801.208333333336</v>
      </c>
      <c r="E7" s="168">
        <v>0.33</v>
      </c>
      <c r="F7" s="168" t="s">
        <v>264</v>
      </c>
      <c r="G7" s="168">
        <v>378.93</v>
      </c>
      <c r="H7" s="168">
        <v>0</v>
      </c>
      <c r="I7" s="168">
        <v>0</v>
      </c>
      <c r="J7" s="168">
        <v>1021.86</v>
      </c>
      <c r="K7" s="168" t="s">
        <v>265</v>
      </c>
      <c r="L7" s="168">
        <v>25.73</v>
      </c>
      <c r="M7" s="168">
        <v>1488888000</v>
      </c>
      <c r="N7" s="168">
        <v>10</v>
      </c>
      <c r="O7" s="168">
        <v>259</v>
      </c>
      <c r="P7" s="168">
        <v>4.9800000000000004</v>
      </c>
      <c r="Q7"/>
      <c r="R7"/>
    </row>
    <row r="8" spans="1:18" x14ac:dyDescent="0.25">
      <c r="A8" s="168">
        <v>17.79</v>
      </c>
      <c r="B8" s="168">
        <v>0.11</v>
      </c>
      <c r="C8" s="168">
        <v>0.77</v>
      </c>
      <c r="D8" s="8">
        <v>42801.25</v>
      </c>
      <c r="E8" s="168">
        <v>0.33</v>
      </c>
      <c r="F8" s="168" t="s">
        <v>264</v>
      </c>
      <c r="G8" s="168">
        <v>374.56</v>
      </c>
      <c r="H8" s="168">
        <v>0</v>
      </c>
      <c r="I8" s="168">
        <v>0</v>
      </c>
      <c r="J8" s="168">
        <v>1021.9</v>
      </c>
      <c r="K8" s="168" t="s">
        <v>265</v>
      </c>
      <c r="L8" s="168">
        <v>25.59</v>
      </c>
      <c r="M8" s="168">
        <v>1488891600</v>
      </c>
      <c r="N8" s="168">
        <v>10</v>
      </c>
      <c r="O8" s="168">
        <v>253</v>
      </c>
      <c r="P8" s="168">
        <v>6.97</v>
      </c>
      <c r="Q8"/>
      <c r="R8"/>
    </row>
    <row r="9" spans="1:18" x14ac:dyDescent="0.25">
      <c r="A9" s="168">
        <v>21.01</v>
      </c>
      <c r="B9" s="168">
        <v>0.16</v>
      </c>
      <c r="C9" s="168">
        <v>2.33</v>
      </c>
      <c r="D9" s="8">
        <v>42801.291666666664</v>
      </c>
      <c r="E9" s="168">
        <v>0.32</v>
      </c>
      <c r="F9" s="168" t="s">
        <v>492</v>
      </c>
      <c r="G9" s="168">
        <v>370.86</v>
      </c>
      <c r="H9" s="168">
        <v>0</v>
      </c>
      <c r="I9" s="168">
        <v>0</v>
      </c>
      <c r="J9" s="168">
        <v>1021.76</v>
      </c>
      <c r="K9" s="168" t="s">
        <v>265</v>
      </c>
      <c r="L9" s="168">
        <v>28.37</v>
      </c>
      <c r="M9" s="168">
        <v>1488895200</v>
      </c>
      <c r="N9" s="168">
        <v>8.08</v>
      </c>
      <c r="O9" s="168">
        <v>270</v>
      </c>
      <c r="P9" s="168">
        <v>7.16</v>
      </c>
      <c r="Q9"/>
      <c r="R9"/>
    </row>
    <row r="10" spans="1:18" x14ac:dyDescent="0.25">
      <c r="A10" s="168">
        <v>24.75</v>
      </c>
      <c r="B10" s="168">
        <v>0.2</v>
      </c>
      <c r="C10" s="168">
        <v>4.22</v>
      </c>
      <c r="D10" s="8">
        <v>42801.333333333336</v>
      </c>
      <c r="E10" s="168">
        <v>0.28999999999999998</v>
      </c>
      <c r="F10" s="168" t="s">
        <v>492</v>
      </c>
      <c r="G10" s="168">
        <v>367.23</v>
      </c>
      <c r="H10" s="168">
        <v>0</v>
      </c>
      <c r="I10" s="168">
        <v>0</v>
      </c>
      <c r="J10" s="168">
        <v>1021.59</v>
      </c>
      <c r="K10" s="168" t="s">
        <v>265</v>
      </c>
      <c r="L10" s="168">
        <v>32.74</v>
      </c>
      <c r="M10" s="168">
        <v>1488898800</v>
      </c>
      <c r="N10" s="168">
        <v>7.79</v>
      </c>
      <c r="O10" s="168">
        <v>284</v>
      </c>
      <c r="P10" s="168">
        <v>9.81</v>
      </c>
      <c r="Q10"/>
      <c r="R10"/>
    </row>
    <row r="11" spans="1:18" x14ac:dyDescent="0.25">
      <c r="A11" s="168">
        <v>29.3</v>
      </c>
      <c r="B11" s="168">
        <v>0.23</v>
      </c>
      <c r="C11" s="168">
        <v>4.7699999999999996</v>
      </c>
      <c r="D11" s="8">
        <v>42801.375</v>
      </c>
      <c r="E11" s="168">
        <v>0.25</v>
      </c>
      <c r="F11" s="168" t="s">
        <v>492</v>
      </c>
      <c r="G11" s="168">
        <v>363.45</v>
      </c>
      <c r="H11" s="168">
        <v>0</v>
      </c>
      <c r="I11" s="168">
        <v>0</v>
      </c>
      <c r="J11" s="168">
        <v>1021.02</v>
      </c>
      <c r="K11" s="168" t="s">
        <v>265</v>
      </c>
      <c r="L11" s="168">
        <v>37.450000000000003</v>
      </c>
      <c r="M11" s="168">
        <v>1488902400</v>
      </c>
      <c r="N11" s="168">
        <v>8.0299999999999994</v>
      </c>
      <c r="O11" s="168">
        <v>286</v>
      </c>
      <c r="P11" s="168">
        <v>12.89</v>
      </c>
      <c r="Q11"/>
      <c r="R11"/>
    </row>
    <row r="12" spans="1:18" x14ac:dyDescent="0.25">
      <c r="A12" s="168">
        <v>34.07</v>
      </c>
      <c r="B12" s="168">
        <v>0.3</v>
      </c>
      <c r="C12" s="168">
        <v>5.3</v>
      </c>
      <c r="D12" s="8">
        <v>42801.416666666664</v>
      </c>
      <c r="E12" s="168">
        <v>0.22</v>
      </c>
      <c r="F12" s="168" t="s">
        <v>452</v>
      </c>
      <c r="G12" s="168">
        <v>359.74</v>
      </c>
      <c r="H12" s="168">
        <v>0</v>
      </c>
      <c r="I12" s="168">
        <v>0</v>
      </c>
      <c r="J12" s="168">
        <v>1020.24</v>
      </c>
      <c r="K12" s="168" t="s">
        <v>451</v>
      </c>
      <c r="L12" s="168">
        <v>41.45</v>
      </c>
      <c r="M12" s="168">
        <v>1488906000</v>
      </c>
      <c r="N12" s="168">
        <v>7.69</v>
      </c>
      <c r="O12" s="168">
        <v>292</v>
      </c>
      <c r="P12" s="168">
        <v>13.77</v>
      </c>
      <c r="Q12"/>
      <c r="R12"/>
    </row>
    <row r="13" spans="1:18" x14ac:dyDescent="0.25">
      <c r="A13" s="168">
        <v>37.4</v>
      </c>
      <c r="B13" s="168">
        <v>0.32</v>
      </c>
      <c r="C13" s="168">
        <v>5.54</v>
      </c>
      <c r="D13" s="8">
        <v>42801.458333333336</v>
      </c>
      <c r="E13" s="168">
        <v>0.2</v>
      </c>
      <c r="F13" s="168" t="s">
        <v>452</v>
      </c>
      <c r="G13" s="168">
        <v>356.14</v>
      </c>
      <c r="H13" s="168">
        <v>0</v>
      </c>
      <c r="I13" s="168">
        <v>0</v>
      </c>
      <c r="J13" s="168">
        <v>1019.53</v>
      </c>
      <c r="K13" s="168" t="s">
        <v>451</v>
      </c>
      <c r="L13" s="168">
        <v>43.84</v>
      </c>
      <c r="M13" s="168">
        <v>1488909600</v>
      </c>
      <c r="N13" s="168">
        <v>7.73</v>
      </c>
      <c r="O13" s="168">
        <v>293</v>
      </c>
      <c r="P13" s="168">
        <v>12.83</v>
      </c>
      <c r="Q13"/>
      <c r="R13"/>
    </row>
    <row r="14" spans="1:18" x14ac:dyDescent="0.25">
      <c r="A14" s="168">
        <v>41.38</v>
      </c>
      <c r="B14" s="168">
        <v>0.28000000000000003</v>
      </c>
      <c r="C14" s="168">
        <v>7.78</v>
      </c>
      <c r="D14" s="8">
        <v>42801.5</v>
      </c>
      <c r="E14" s="168">
        <v>0.2</v>
      </c>
      <c r="F14" s="168" t="s">
        <v>452</v>
      </c>
      <c r="G14" s="168">
        <v>352.95</v>
      </c>
      <c r="H14" s="168">
        <v>0</v>
      </c>
      <c r="I14" s="168">
        <v>0</v>
      </c>
      <c r="J14" s="168">
        <v>1019.02</v>
      </c>
      <c r="K14" s="168" t="s">
        <v>451</v>
      </c>
      <c r="L14" s="168">
        <v>47.01</v>
      </c>
      <c r="M14" s="168">
        <v>1488913200</v>
      </c>
      <c r="N14" s="168">
        <v>7.76</v>
      </c>
      <c r="O14" s="168">
        <v>288</v>
      </c>
      <c r="P14" s="168">
        <v>12.91</v>
      </c>
      <c r="Q14"/>
      <c r="R14"/>
    </row>
    <row r="15" spans="1:18" x14ac:dyDescent="0.25">
      <c r="A15" s="168">
        <v>50.2</v>
      </c>
      <c r="B15" s="168">
        <v>0.26</v>
      </c>
      <c r="C15" s="168">
        <v>8.32</v>
      </c>
      <c r="D15" s="8">
        <v>42801.541666666664</v>
      </c>
      <c r="E15" s="168">
        <v>0.18</v>
      </c>
      <c r="F15" s="168" t="s">
        <v>452</v>
      </c>
      <c r="G15" s="168">
        <v>349.88</v>
      </c>
      <c r="H15" s="168">
        <v>0</v>
      </c>
      <c r="I15" s="168">
        <v>0</v>
      </c>
      <c r="J15" s="168">
        <v>1018.56</v>
      </c>
      <c r="K15" s="168" t="s">
        <v>451</v>
      </c>
      <c r="L15" s="168">
        <v>50.2</v>
      </c>
      <c r="M15" s="168">
        <v>1488916800</v>
      </c>
      <c r="N15" s="168">
        <v>7.79</v>
      </c>
      <c r="O15" s="168">
        <v>291</v>
      </c>
      <c r="P15" s="168">
        <v>11.22</v>
      </c>
      <c r="Q15"/>
      <c r="R15"/>
    </row>
    <row r="16" spans="1:18" x14ac:dyDescent="0.25">
      <c r="A16" s="168">
        <v>52.22</v>
      </c>
      <c r="B16" s="168">
        <v>0.25</v>
      </c>
      <c r="C16" s="168">
        <v>9.09</v>
      </c>
      <c r="D16" s="8">
        <v>42801.583333333336</v>
      </c>
      <c r="E16" s="168">
        <v>0.17</v>
      </c>
      <c r="F16" s="168" t="s">
        <v>452</v>
      </c>
      <c r="G16" s="168">
        <v>346.11</v>
      </c>
      <c r="H16" s="168">
        <v>0</v>
      </c>
      <c r="I16" s="168">
        <v>0</v>
      </c>
      <c r="J16" s="168">
        <v>1017.98</v>
      </c>
      <c r="K16" s="168" t="s">
        <v>451</v>
      </c>
      <c r="L16" s="168">
        <v>52.22</v>
      </c>
      <c r="M16" s="168">
        <v>1488920400</v>
      </c>
      <c r="N16" s="168">
        <v>7.78</v>
      </c>
      <c r="O16" s="168">
        <v>287</v>
      </c>
      <c r="P16" s="168">
        <v>10.44</v>
      </c>
      <c r="Q16"/>
      <c r="R16"/>
    </row>
    <row r="17" spans="1:18" x14ac:dyDescent="0.25">
      <c r="A17" s="168">
        <v>53.19</v>
      </c>
      <c r="B17" s="168">
        <v>0.25</v>
      </c>
      <c r="C17" s="168">
        <v>8.84</v>
      </c>
      <c r="D17" s="8">
        <v>42801.625</v>
      </c>
      <c r="E17" s="168">
        <v>0.16</v>
      </c>
      <c r="F17" s="168" t="s">
        <v>452</v>
      </c>
      <c r="G17" s="168">
        <v>340.71</v>
      </c>
      <c r="H17" s="168">
        <v>0</v>
      </c>
      <c r="I17" s="168">
        <v>0</v>
      </c>
      <c r="J17" s="168">
        <v>1016.93</v>
      </c>
      <c r="K17" s="168" t="s">
        <v>451</v>
      </c>
      <c r="L17" s="168">
        <v>53.19</v>
      </c>
      <c r="M17" s="168">
        <v>1488924000</v>
      </c>
      <c r="N17" s="168">
        <v>7.84</v>
      </c>
      <c r="O17" s="168">
        <v>285</v>
      </c>
      <c r="P17" s="168">
        <v>10.3</v>
      </c>
      <c r="Q17"/>
      <c r="R17"/>
    </row>
    <row r="18" spans="1:18" x14ac:dyDescent="0.25">
      <c r="A18" s="168">
        <v>53.8</v>
      </c>
      <c r="B18" s="168">
        <v>0.28000000000000003</v>
      </c>
      <c r="C18" s="168">
        <v>9.24</v>
      </c>
      <c r="D18" s="8">
        <v>42801.666666666664</v>
      </c>
      <c r="E18" s="168">
        <v>0.16</v>
      </c>
      <c r="F18" s="168" t="s">
        <v>452</v>
      </c>
      <c r="G18" s="168">
        <v>334.62</v>
      </c>
      <c r="H18" s="168">
        <v>0</v>
      </c>
      <c r="I18" s="168">
        <v>0</v>
      </c>
      <c r="J18" s="168">
        <v>1015.9</v>
      </c>
      <c r="K18" s="168" t="s">
        <v>451</v>
      </c>
      <c r="L18" s="168">
        <v>53.8</v>
      </c>
      <c r="M18" s="168">
        <v>1488927600</v>
      </c>
      <c r="N18" s="168">
        <v>7.97</v>
      </c>
      <c r="O18" s="168">
        <v>293</v>
      </c>
      <c r="P18" s="168">
        <v>9.75</v>
      </c>
      <c r="Q18"/>
      <c r="R18"/>
    </row>
    <row r="19" spans="1:18" x14ac:dyDescent="0.25">
      <c r="A19" s="168">
        <v>51.97</v>
      </c>
      <c r="B19" s="168">
        <v>0.31</v>
      </c>
      <c r="C19" s="168">
        <v>9.0299999999999994</v>
      </c>
      <c r="D19" s="8">
        <v>42801.708333333336</v>
      </c>
      <c r="E19" s="168">
        <v>0.17</v>
      </c>
      <c r="F19" s="168" t="s">
        <v>452</v>
      </c>
      <c r="G19" s="168">
        <v>329.86</v>
      </c>
      <c r="H19" s="168">
        <v>0</v>
      </c>
      <c r="I19" s="168">
        <v>0</v>
      </c>
      <c r="J19" s="168">
        <v>1015.59</v>
      </c>
      <c r="K19" s="168" t="s">
        <v>451</v>
      </c>
      <c r="L19" s="168">
        <v>51.97</v>
      </c>
      <c r="M19" s="168">
        <v>1488931200</v>
      </c>
      <c r="N19" s="168">
        <v>8.2200000000000006</v>
      </c>
      <c r="O19" s="168">
        <v>293</v>
      </c>
      <c r="P19" s="168">
        <v>8.1</v>
      </c>
      <c r="Q19"/>
      <c r="R19"/>
    </row>
    <row r="20" spans="1:18" x14ac:dyDescent="0.25">
      <c r="A20" s="168">
        <v>47.03</v>
      </c>
      <c r="B20" s="168">
        <v>0.35</v>
      </c>
      <c r="C20" s="168">
        <v>7.41</v>
      </c>
      <c r="D20" s="8">
        <v>42801.75</v>
      </c>
      <c r="E20" s="168">
        <v>0.18</v>
      </c>
      <c r="F20" s="168" t="s">
        <v>450</v>
      </c>
      <c r="G20" s="168">
        <v>327.38</v>
      </c>
      <c r="H20" s="168">
        <v>0</v>
      </c>
      <c r="I20" s="168">
        <v>0</v>
      </c>
      <c r="J20" s="168">
        <v>1016</v>
      </c>
      <c r="K20" s="168" t="s">
        <v>451</v>
      </c>
      <c r="L20" s="168">
        <v>48.35</v>
      </c>
      <c r="M20" s="168">
        <v>1488934800</v>
      </c>
      <c r="N20" s="168">
        <v>8.64</v>
      </c>
      <c r="O20" s="168">
        <v>311</v>
      </c>
      <c r="P20" s="168">
        <v>3.92</v>
      </c>
      <c r="Q20"/>
      <c r="R20"/>
    </row>
    <row r="21" spans="1:18" x14ac:dyDescent="0.25">
      <c r="A21" s="168">
        <v>45.35</v>
      </c>
      <c r="B21" s="168">
        <v>0.25</v>
      </c>
      <c r="C21" s="168">
        <v>8.18</v>
      </c>
      <c r="D21" s="8">
        <v>42801.791666666664</v>
      </c>
      <c r="E21" s="168">
        <v>0.21</v>
      </c>
      <c r="F21" s="168" t="s">
        <v>450</v>
      </c>
      <c r="G21" s="168">
        <v>326.24</v>
      </c>
      <c r="H21" s="168">
        <v>0</v>
      </c>
      <c r="I21" s="168">
        <v>0</v>
      </c>
      <c r="J21" s="168">
        <v>1017.55</v>
      </c>
      <c r="K21" s="168" t="s">
        <v>451</v>
      </c>
      <c r="L21" s="168">
        <v>45.35</v>
      </c>
      <c r="M21" s="168">
        <v>1488938400</v>
      </c>
      <c r="N21" s="168">
        <v>9.16</v>
      </c>
      <c r="O21" s="168">
        <v>269</v>
      </c>
      <c r="P21" s="168">
        <v>1.47</v>
      </c>
      <c r="Q21"/>
      <c r="R21"/>
    </row>
    <row r="22" spans="1:18" x14ac:dyDescent="0.25">
      <c r="A22" s="168">
        <v>42.98</v>
      </c>
      <c r="B22" s="168">
        <v>0.17</v>
      </c>
      <c r="C22" s="168">
        <v>9.26</v>
      </c>
      <c r="D22" s="8">
        <v>42801.833333333336</v>
      </c>
      <c r="E22" s="168">
        <v>0.25</v>
      </c>
      <c r="F22" s="168" t="s">
        <v>264</v>
      </c>
      <c r="G22" s="168">
        <v>325.64999999999998</v>
      </c>
      <c r="H22" s="168">
        <v>0</v>
      </c>
      <c r="I22" s="168">
        <v>0</v>
      </c>
      <c r="J22" s="168">
        <v>1019.08</v>
      </c>
      <c r="K22" s="168" t="s">
        <v>265</v>
      </c>
      <c r="L22" s="168">
        <v>42.98</v>
      </c>
      <c r="M22" s="168">
        <v>1488942000</v>
      </c>
      <c r="N22" s="168">
        <v>8.74</v>
      </c>
      <c r="O22" s="168">
        <v>227</v>
      </c>
      <c r="P22" s="168">
        <v>1.8</v>
      </c>
      <c r="Q22"/>
      <c r="R22"/>
    </row>
    <row r="23" spans="1:18" x14ac:dyDescent="0.25">
      <c r="A23" s="168">
        <v>41.36</v>
      </c>
      <c r="B23" s="168">
        <v>0.23</v>
      </c>
      <c r="C23" s="168">
        <v>8.59</v>
      </c>
      <c r="D23" s="8">
        <v>42801.875</v>
      </c>
      <c r="E23" s="168">
        <v>0.25</v>
      </c>
      <c r="F23" s="168" t="s">
        <v>264</v>
      </c>
      <c r="G23" s="168">
        <v>325.26</v>
      </c>
      <c r="H23" s="168">
        <v>0</v>
      </c>
      <c r="I23" s="168">
        <v>0</v>
      </c>
      <c r="J23" s="168">
        <v>1019.81</v>
      </c>
      <c r="K23" s="168" t="s">
        <v>265</v>
      </c>
      <c r="L23" s="168">
        <v>41.36</v>
      </c>
      <c r="M23" s="168">
        <v>1488945600</v>
      </c>
      <c r="N23" s="168">
        <v>8.17</v>
      </c>
      <c r="O23" s="168">
        <v>213</v>
      </c>
      <c r="P23" s="168">
        <v>2.29</v>
      </c>
      <c r="Q23"/>
      <c r="R23"/>
    </row>
    <row r="24" spans="1:18" x14ac:dyDescent="0.25">
      <c r="A24" s="168">
        <v>39.159999999999997</v>
      </c>
      <c r="B24" s="168">
        <v>0.27</v>
      </c>
      <c r="C24" s="168">
        <v>7.04</v>
      </c>
      <c r="D24" s="8">
        <v>42801.916666666664</v>
      </c>
      <c r="E24" s="168">
        <v>0.26</v>
      </c>
      <c r="F24" s="168" t="s">
        <v>450</v>
      </c>
      <c r="G24" s="168">
        <v>325.42</v>
      </c>
      <c r="H24" s="168">
        <v>0</v>
      </c>
      <c r="I24" s="168">
        <v>0</v>
      </c>
      <c r="J24" s="168">
        <v>1020.16</v>
      </c>
      <c r="K24" s="168" t="s">
        <v>451</v>
      </c>
      <c r="L24" s="168">
        <v>39.159999999999997</v>
      </c>
      <c r="M24" s="168">
        <v>1488949200</v>
      </c>
      <c r="N24" s="168">
        <v>8.06</v>
      </c>
      <c r="O24" s="168">
        <v>209</v>
      </c>
      <c r="P24" s="168">
        <v>2</v>
      </c>
      <c r="Q24"/>
      <c r="R24"/>
    </row>
    <row r="25" spans="1:18" x14ac:dyDescent="0.25">
      <c r="A25" s="168">
        <v>37.549999999999997</v>
      </c>
      <c r="B25" s="168">
        <v>0.26</v>
      </c>
      <c r="C25" s="168">
        <v>7.48</v>
      </c>
      <c r="D25" s="8">
        <v>42801.958333333336</v>
      </c>
      <c r="E25" s="168">
        <v>0.28000000000000003</v>
      </c>
      <c r="F25" s="168" t="s">
        <v>450</v>
      </c>
      <c r="G25" s="168">
        <v>326.35000000000002</v>
      </c>
      <c r="H25" s="168">
        <v>0</v>
      </c>
      <c r="I25" s="168">
        <v>0</v>
      </c>
      <c r="J25" s="168">
        <v>1020.49</v>
      </c>
      <c r="K25" s="168" t="s">
        <v>451</v>
      </c>
      <c r="L25" s="168">
        <v>37.549999999999997</v>
      </c>
      <c r="M25" s="168">
        <v>1488952800</v>
      </c>
      <c r="N25" s="168">
        <v>8.17</v>
      </c>
      <c r="O25" s="168">
        <v>217</v>
      </c>
      <c r="P25" s="168">
        <v>2.08</v>
      </c>
      <c r="Q25"/>
      <c r="R25"/>
    </row>
    <row r="26" spans="1:18" x14ac:dyDescent="0.25">
      <c r="A26" s="168">
        <v>36.33</v>
      </c>
      <c r="B26" s="168">
        <v>0.28999999999999998</v>
      </c>
      <c r="C26" s="168">
        <v>9.27</v>
      </c>
      <c r="D26" s="8">
        <v>42802</v>
      </c>
      <c r="E26" s="168">
        <v>0.32</v>
      </c>
      <c r="F26" s="168" t="s">
        <v>450</v>
      </c>
      <c r="G26" s="168">
        <v>328.9</v>
      </c>
      <c r="H26" s="168">
        <v>0</v>
      </c>
      <c r="I26" s="168">
        <v>0</v>
      </c>
      <c r="J26" s="168">
        <v>1020.95</v>
      </c>
      <c r="K26" s="168" t="s">
        <v>451</v>
      </c>
      <c r="L26" s="168">
        <v>36.33</v>
      </c>
      <c r="M26" s="168">
        <v>1488956400</v>
      </c>
      <c r="N26" s="168">
        <v>8.27</v>
      </c>
      <c r="O26" s="168">
        <v>216</v>
      </c>
      <c r="P26" s="168">
        <v>2.5299999999999998</v>
      </c>
      <c r="Q26"/>
      <c r="R26"/>
    </row>
    <row r="27" spans="1:18" x14ac:dyDescent="0.25">
      <c r="A27" s="168">
        <v>34.5</v>
      </c>
      <c r="B27" s="168">
        <v>0.37</v>
      </c>
      <c r="C27" s="168">
        <v>10.86</v>
      </c>
      <c r="D27" s="8">
        <v>42802.041666666664</v>
      </c>
      <c r="E27" s="168">
        <v>0.34</v>
      </c>
      <c r="F27" s="168" t="s">
        <v>450</v>
      </c>
      <c r="G27" s="168">
        <v>331.44</v>
      </c>
      <c r="H27" s="168">
        <v>0</v>
      </c>
      <c r="I27" s="168">
        <v>0</v>
      </c>
      <c r="J27" s="168">
        <v>1021.45</v>
      </c>
      <c r="K27" s="168" t="s">
        <v>451</v>
      </c>
      <c r="L27" s="168">
        <v>36.86</v>
      </c>
      <c r="M27" s="168">
        <v>1488960000</v>
      </c>
      <c r="N27" s="168">
        <v>8.1999999999999993</v>
      </c>
      <c r="O27" s="168">
        <v>250</v>
      </c>
      <c r="P27" s="168">
        <v>3.26</v>
      </c>
      <c r="Q27"/>
      <c r="R27"/>
    </row>
    <row r="28" spans="1:18" x14ac:dyDescent="0.25">
      <c r="A28" s="168">
        <v>33.299999999999997</v>
      </c>
      <c r="B28" s="168">
        <v>0.28000000000000003</v>
      </c>
      <c r="C28" s="168">
        <v>11.57</v>
      </c>
      <c r="D28" s="8">
        <v>42802.083333333336</v>
      </c>
      <c r="E28" s="168">
        <v>0.35</v>
      </c>
      <c r="F28" s="168" t="s">
        <v>450</v>
      </c>
      <c r="G28" s="168">
        <v>333.98</v>
      </c>
      <c r="H28" s="168">
        <v>0</v>
      </c>
      <c r="I28" s="168">
        <v>0</v>
      </c>
      <c r="J28" s="168">
        <v>1021.91</v>
      </c>
      <c r="K28" s="168" t="s">
        <v>451</v>
      </c>
      <c r="L28" s="168">
        <v>36.58</v>
      </c>
      <c r="M28" s="168">
        <v>1488963600</v>
      </c>
      <c r="N28" s="168">
        <v>6.88</v>
      </c>
      <c r="O28" s="168">
        <v>245</v>
      </c>
      <c r="P28" s="168">
        <v>4.0599999999999996</v>
      </c>
      <c r="Q28"/>
      <c r="R28"/>
    </row>
    <row r="29" spans="1:18" x14ac:dyDescent="0.25">
      <c r="A29" s="168">
        <v>29.58</v>
      </c>
      <c r="B29" s="168">
        <v>0.18</v>
      </c>
      <c r="C29" s="168">
        <v>10.68</v>
      </c>
      <c r="D29" s="8">
        <v>42802.125</v>
      </c>
      <c r="E29" s="168">
        <v>0.38</v>
      </c>
      <c r="F29" s="168" t="s">
        <v>264</v>
      </c>
      <c r="G29" s="168">
        <v>334.32</v>
      </c>
      <c r="H29" s="168">
        <v>0</v>
      </c>
      <c r="I29" s="168">
        <v>0</v>
      </c>
      <c r="J29" s="168">
        <v>1022.28</v>
      </c>
      <c r="K29" s="168" t="s">
        <v>265</v>
      </c>
      <c r="L29" s="168">
        <v>33.85</v>
      </c>
      <c r="M29" s="168">
        <v>1488967200</v>
      </c>
      <c r="N29" s="168">
        <v>8.26</v>
      </c>
      <c r="O29" s="168">
        <v>235</v>
      </c>
      <c r="P29" s="168">
        <v>4.6399999999999997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188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43"/>
  <sheetViews>
    <sheetView workbookViewId="0">
      <selection activeCell="M20" sqref="M20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42801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4" x14ac:dyDescent="0.25">
      <c r="C17" s="149" t="s">
        <v>189</v>
      </c>
      <c r="J17" s="160"/>
      <c r="K17" s="161"/>
      <c r="L17" s="161"/>
    </row>
    <row r="18" spans="3:14" x14ac:dyDescent="0.25">
      <c r="C18" t="s">
        <v>962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</row>
    <row r="19" spans="3:14" x14ac:dyDescent="0.25">
      <c r="C19" t="s">
        <v>963</v>
      </c>
      <c r="J19" s="160" t="s">
        <v>86</v>
      </c>
      <c r="K19" s="161"/>
      <c r="L19" s="161"/>
      <c r="M19" s="168" t="s">
        <v>112</v>
      </c>
    </row>
    <row r="20" spans="3:14" x14ac:dyDescent="0.25">
      <c r="C20" t="s">
        <v>964</v>
      </c>
      <c r="J20" s="152" t="s">
        <v>87</v>
      </c>
      <c r="M20" s="168" t="s">
        <v>541</v>
      </c>
      <c r="N20" s="168" t="s">
        <v>541</v>
      </c>
    </row>
    <row r="21" spans="3:14" x14ac:dyDescent="0.25">
      <c r="C21" t="s">
        <v>540</v>
      </c>
      <c r="J21" s="152" t="s">
        <v>90</v>
      </c>
      <c r="K21" s="152" t="s">
        <v>91</v>
      </c>
      <c r="M21" s="168" t="s">
        <v>178</v>
      </c>
    </row>
    <row r="22" spans="3:14" x14ac:dyDescent="0.25">
      <c r="C22" t="s">
        <v>965</v>
      </c>
      <c r="J22" s="152" t="s">
        <v>92</v>
      </c>
      <c r="K22" s="152" t="s">
        <v>93</v>
      </c>
      <c r="M22" s="168" t="s">
        <v>111</v>
      </c>
    </row>
    <row r="23" spans="3:14" x14ac:dyDescent="0.25">
      <c r="C23" t="s">
        <v>966</v>
      </c>
      <c r="J23" s="162" t="s">
        <v>95</v>
      </c>
      <c r="M23" s="168" t="str">
        <f>"-07"</f>
        <v>-07</v>
      </c>
    </row>
    <row r="24" spans="3:14" x14ac:dyDescent="0.25">
      <c r="C24" t="s">
        <v>967</v>
      </c>
      <c r="J24" s="152" t="s">
        <v>108</v>
      </c>
      <c r="M24" s="168" t="s">
        <v>110</v>
      </c>
    </row>
    <row r="25" spans="3:14" x14ac:dyDescent="0.25">
      <c r="C25" t="s">
        <v>968</v>
      </c>
      <c r="J25" s="152" t="s">
        <v>150</v>
      </c>
      <c r="M25" s="168" t="b">
        <v>1</v>
      </c>
    </row>
    <row r="26" spans="3:14" x14ac:dyDescent="0.25">
      <c r="C26" t="s">
        <v>969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C:\Users\stu\Documents\GitHub\eaglep3-reporting\EC\2017-03-07-refined-times.txt</v>
      </c>
    </row>
    <row r="27" spans="3:14" x14ac:dyDescent="0.25">
      <c r="C27" t="s">
        <v>970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C:\Users\stu\Documents\GitHub\eaglep3-reporting\EC\2017-03-07-Enforcements.txt</v>
      </c>
    </row>
    <row r="28" spans="3:14" x14ac:dyDescent="0.25">
      <c r="C28" t="s">
        <v>971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C:\Users\stu\Documents\GitHub\eaglep3-reporting\EC\2017-03-07-Runs-refined.txt</v>
      </c>
    </row>
    <row r="29" spans="3:14" x14ac:dyDescent="0.25">
      <c r="C29" t="s">
        <v>972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C:\Users\stu\Documents\GitHub\eaglep3-reporting\EC\2017-03-07-Trips.txt</v>
      </c>
    </row>
    <row r="30" spans="3:14" x14ac:dyDescent="0.25">
      <c r="C30" t="s">
        <v>973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C:\Users\stu\Documents\GitHub\eaglep3-reporting\EC\2017-03-07-Weather.txt</v>
      </c>
    </row>
    <row r="31" spans="3:14" x14ac:dyDescent="0.25">
      <c r="C31" t="s">
        <v>974</v>
      </c>
      <c r="J31" s="152" t="s">
        <v>205</v>
      </c>
      <c r="M31" s="168" t="s">
        <v>206</v>
      </c>
    </row>
    <row r="32" spans="3:14" x14ac:dyDescent="0.25">
      <c r="C32" t="s">
        <v>975</v>
      </c>
    </row>
    <row r="33" spans="3:3" x14ac:dyDescent="0.25">
      <c r="C33" t="s">
        <v>976</v>
      </c>
    </row>
    <row r="34" spans="3:3" x14ac:dyDescent="0.25">
      <c r="C34" t="s">
        <v>977</v>
      </c>
    </row>
    <row r="35" spans="3:3" x14ac:dyDescent="0.25">
      <c r="C35" t="s">
        <v>539</v>
      </c>
    </row>
    <row r="36" spans="3:3" x14ac:dyDescent="0.25">
      <c r="C36" t="s">
        <v>978</v>
      </c>
    </row>
    <row r="37" spans="3:3" x14ac:dyDescent="0.25">
      <c r="C37" t="s">
        <v>979</v>
      </c>
    </row>
    <row r="38" spans="3:3" x14ac:dyDescent="0.25">
      <c r="C38" t="s">
        <v>980</v>
      </c>
    </row>
    <row r="39" spans="3:3" x14ac:dyDescent="0.25">
      <c r="C39" t="s">
        <v>981</v>
      </c>
    </row>
    <row r="40" spans="3:3" x14ac:dyDescent="0.25">
      <c r="C40" t="s">
        <v>982</v>
      </c>
    </row>
    <row r="41" spans="3:3" x14ac:dyDescent="0.25">
      <c r="C41" t="s">
        <v>983</v>
      </c>
    </row>
    <row r="42" spans="3:3" x14ac:dyDescent="0.25">
      <c r="C42" t="s">
        <v>984</v>
      </c>
    </row>
    <row r="43" spans="3:3" x14ac:dyDescent="0.25">
      <c r="C43" t="s">
        <v>985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46" workbookViewId="0">
      <selection sqref="A1:A119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288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289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290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291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292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293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294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295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296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297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298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299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300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301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302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303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304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305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306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307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308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309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310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311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312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313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314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315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316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317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318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319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320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321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322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323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324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325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326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327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328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329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330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331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332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333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334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335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336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337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338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339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340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341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342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343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344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345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346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347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348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349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350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351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352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353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354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355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356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357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358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359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360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361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362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363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364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365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366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367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368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369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370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371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372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373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374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375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376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377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378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379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380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381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382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383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384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385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386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387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388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389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390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391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392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393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394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395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396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397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398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399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400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401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402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403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404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405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406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407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408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409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410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411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412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413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414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415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416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417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2017-03-10T13:56:26Z</dcterms:modified>
</cp:coreProperties>
</file>