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Runs'!$A$12:$AG$235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3" i="9" l="1"/>
  <c r="C53" i="9" s="1"/>
  <c r="B54" i="9"/>
  <c r="C54" i="9" s="1"/>
  <c r="B55" i="9"/>
  <c r="C55" i="9" s="1"/>
  <c r="B56" i="9"/>
  <c r="C56" i="9" s="1"/>
  <c r="B57" i="9"/>
  <c r="C57" i="9" s="1"/>
  <c r="B58" i="9"/>
  <c r="C58" i="9" s="1"/>
  <c r="B59" i="9"/>
  <c r="C59" i="9" s="1"/>
  <c r="B60" i="9"/>
  <c r="C60" i="9" s="1"/>
  <c r="B61" i="9"/>
  <c r="C61" i="9" s="1"/>
  <c r="B62" i="9"/>
  <c r="C62" i="9" s="1"/>
  <c r="B63" i="9"/>
  <c r="C63" i="9" s="1"/>
  <c r="B64" i="9"/>
  <c r="C64" i="9" s="1"/>
  <c r="B65" i="9"/>
  <c r="C65" i="9" s="1"/>
  <c r="B66" i="9"/>
  <c r="C66" i="9" s="1"/>
  <c r="B67" i="9"/>
  <c r="C67" i="9" s="1"/>
  <c r="B68" i="9"/>
  <c r="C68" i="9" s="1"/>
  <c r="B69" i="9"/>
  <c r="C69" i="9" s="1"/>
  <c r="B70" i="9"/>
  <c r="C70" i="9" s="1"/>
  <c r="B71" i="9"/>
  <c r="C71" i="9" s="1"/>
  <c r="B72" i="9"/>
  <c r="C72" i="9" s="1"/>
  <c r="B73" i="9"/>
  <c r="C73" i="9" s="1"/>
  <c r="B74" i="9"/>
  <c r="C74" i="9" s="1"/>
  <c r="B75" i="9"/>
  <c r="C75" i="9" s="1"/>
  <c r="B76" i="9"/>
  <c r="C76" i="9" s="1"/>
  <c r="B77" i="9"/>
  <c r="C77" i="9" s="1"/>
  <c r="B78" i="9"/>
  <c r="C78" i="9" s="1"/>
  <c r="B79" i="9"/>
  <c r="C79" i="9" s="1"/>
  <c r="B80" i="9"/>
  <c r="C80" i="9" s="1"/>
  <c r="P168" i="1"/>
  <c r="P166" i="1"/>
  <c r="P164" i="1"/>
  <c r="P135" i="1"/>
  <c r="P92" i="1"/>
  <c r="P84" i="1"/>
  <c r="P79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G16" i="1"/>
  <c r="AH16" i="1"/>
  <c r="K17" i="1"/>
  <c r="L17" i="1"/>
  <c r="M17" i="1"/>
  <c r="N17" i="1" s="1"/>
  <c r="V17" i="1"/>
  <c r="Y17" i="1"/>
  <c r="AA17" i="1" s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AA20" i="1"/>
  <c r="AB20" i="1"/>
  <c r="AC20" i="1"/>
  <c r="AD20" i="1"/>
  <c r="T20" i="1" s="1"/>
  <c r="AE20" i="1"/>
  <c r="AF20" i="1"/>
  <c r="AG20" i="1"/>
  <c r="AH20" i="1"/>
  <c r="K21" i="1"/>
  <c r="L21" i="1"/>
  <c r="M21" i="1"/>
  <c r="N21" i="1" s="1"/>
  <c r="V21" i="1"/>
  <c r="Y21" i="1"/>
  <c r="AA21" i="1" s="1"/>
  <c r="Z21" i="1"/>
  <c r="AB21" i="1"/>
  <c r="AC21" i="1"/>
  <c r="AD21" i="1"/>
  <c r="X21" i="1" s="1"/>
  <c r="AE21" i="1"/>
  <c r="AF21" i="1"/>
  <c r="AH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G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K26" i="1"/>
  <c r="L26" i="1"/>
  <c r="M26" i="1"/>
  <c r="N26" i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T28" i="1"/>
  <c r="V28" i="1"/>
  <c r="X28" i="1"/>
  <c r="Y28" i="1"/>
  <c r="Z28" i="1"/>
  <c r="AA28" i="1" s="1"/>
  <c r="AB28" i="1"/>
  <c r="AC28" i="1"/>
  <c r="AD28" i="1"/>
  <c r="AE28" i="1"/>
  <c r="AF28" i="1"/>
  <c r="AG28" i="1"/>
  <c r="U28" i="1" s="1"/>
  <c r="AH28" i="1"/>
  <c r="K29" i="1"/>
  <c r="L29" i="1"/>
  <c r="M29" i="1"/>
  <c r="N29" i="1" s="1"/>
  <c r="V29" i="1"/>
  <c r="Y29" i="1"/>
  <c r="AA29" i="1" s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G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T33" i="1"/>
  <c r="V33" i="1"/>
  <c r="Y33" i="1"/>
  <c r="Z33" i="1"/>
  <c r="AB33" i="1"/>
  <c r="AC33" i="1"/>
  <c r="AD33" i="1"/>
  <c r="X33" i="1" s="1"/>
  <c r="AE33" i="1"/>
  <c r="AF33" i="1"/>
  <c r="AH33" i="1"/>
  <c r="K34" i="1"/>
  <c r="L34" i="1"/>
  <c r="M34" i="1"/>
  <c r="N34" i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X36" i="1"/>
  <c r="Y36" i="1"/>
  <c r="Z36" i="1"/>
  <c r="AB36" i="1"/>
  <c r="AC36" i="1"/>
  <c r="AD36" i="1"/>
  <c r="T36" i="1" s="1"/>
  <c r="AE36" i="1"/>
  <c r="AF36" i="1"/>
  <c r="AG36" i="1"/>
  <c r="AH36" i="1"/>
  <c r="K37" i="1"/>
  <c r="L37" i="1"/>
  <c r="M37" i="1"/>
  <c r="N37" i="1" s="1"/>
  <c r="V37" i="1"/>
  <c r="Y37" i="1"/>
  <c r="Z37" i="1"/>
  <c r="AA37" i="1"/>
  <c r="AB37" i="1"/>
  <c r="AC37" i="1"/>
  <c r="AD37" i="1"/>
  <c r="T37" i="1" s="1"/>
  <c r="AE37" i="1"/>
  <c r="AF37" i="1"/>
  <c r="AH37" i="1"/>
  <c r="K38" i="1"/>
  <c r="L38" i="1"/>
  <c r="M38" i="1"/>
  <c r="N38" i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T40" i="1"/>
  <c r="V40" i="1"/>
  <c r="X40" i="1"/>
  <c r="Y40" i="1"/>
  <c r="Z40" i="1"/>
  <c r="AA40" i="1" s="1"/>
  <c r="AB40" i="1"/>
  <c r="AC40" i="1"/>
  <c r="AD40" i="1"/>
  <c r="AE40" i="1"/>
  <c r="AF40" i="1"/>
  <c r="AG40" i="1"/>
  <c r="AH40" i="1"/>
  <c r="K41" i="1"/>
  <c r="L41" i="1"/>
  <c r="M41" i="1"/>
  <c r="N41" i="1" s="1"/>
  <c r="V41" i="1"/>
  <c r="Y41" i="1"/>
  <c r="AA41" i="1" s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T44" i="1"/>
  <c r="V44" i="1"/>
  <c r="X44" i="1"/>
  <c r="Y44" i="1"/>
  <c r="Z44" i="1"/>
  <c r="AA44" i="1" s="1"/>
  <c r="AB44" i="1"/>
  <c r="AC44" i="1"/>
  <c r="AD44" i="1"/>
  <c r="AE44" i="1"/>
  <c r="AF44" i="1"/>
  <c r="AG44" i="1"/>
  <c r="U44" i="1" s="1"/>
  <c r="AH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G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T49" i="1"/>
  <c r="V49" i="1"/>
  <c r="Y49" i="1"/>
  <c r="Z49" i="1"/>
  <c r="AB49" i="1"/>
  <c r="AC49" i="1"/>
  <c r="AD49" i="1"/>
  <c r="AE49" i="1"/>
  <c r="AF49" i="1"/>
  <c r="AG49" i="1"/>
  <c r="U49" i="1" s="1"/>
  <c r="S49" i="1" s="1"/>
  <c r="AH49" i="1"/>
  <c r="K50" i="1"/>
  <c r="L50" i="1"/>
  <c r="M50" i="1"/>
  <c r="N50" i="1"/>
  <c r="V50" i="1"/>
  <c r="Y50" i="1"/>
  <c r="AA50" i="1" s="1"/>
  <c r="W50" i="1" s="1"/>
  <c r="Z50" i="1"/>
  <c r="AB50" i="1"/>
  <c r="AC50" i="1"/>
  <c r="AD50" i="1"/>
  <c r="AG50" i="1" s="1"/>
  <c r="AE50" i="1"/>
  <c r="AF50" i="1"/>
  <c r="AH50" i="1"/>
  <c r="AI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AA55" i="1" s="1"/>
  <c r="Z55" i="1"/>
  <c r="AB55" i="1"/>
  <c r="AC55" i="1"/>
  <c r="AD55" i="1"/>
  <c r="T55" i="1" s="1"/>
  <c r="AE55" i="1"/>
  <c r="AF55" i="1"/>
  <c r="AH55" i="1"/>
  <c r="K56" i="1"/>
  <c r="L56" i="1"/>
  <c r="M56" i="1"/>
  <c r="N56" i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A57" i="1" s="1"/>
  <c r="AB57" i="1"/>
  <c r="AC57" i="1"/>
  <c r="AD57" i="1"/>
  <c r="T57" i="1" s="1"/>
  <c r="AE57" i="1"/>
  <c r="AF57" i="1"/>
  <c r="AG57" i="1"/>
  <c r="AI57" i="1" s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G61" i="1"/>
  <c r="U61" i="1" s="1"/>
  <c r="S61" i="1" s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T63" i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A65" i="1" s="1"/>
  <c r="AB65" i="1"/>
  <c r="AC65" i="1"/>
  <c r="AD65" i="1"/>
  <c r="T65" i="1" s="1"/>
  <c r="AE65" i="1"/>
  <c r="AF65" i="1"/>
  <c r="AH65" i="1"/>
  <c r="K66" i="1"/>
  <c r="L66" i="1"/>
  <c r="M66" i="1"/>
  <c r="N66" i="1"/>
  <c r="V66" i="1"/>
  <c r="Y66" i="1"/>
  <c r="Z66" i="1"/>
  <c r="AA66" i="1" s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/>
  <c r="V68" i="1"/>
  <c r="Y68" i="1"/>
  <c r="Z68" i="1"/>
  <c r="AA68" i="1" s="1"/>
  <c r="W68" i="1" s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A70" i="1" s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G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A77" i="1" s="1"/>
  <c r="AB77" i="1"/>
  <c r="AC77" i="1"/>
  <c r="AD77" i="1"/>
  <c r="T77" i="1" s="1"/>
  <c r="AE77" i="1"/>
  <c r="AF77" i="1"/>
  <c r="AG77" i="1"/>
  <c r="U77" i="1" s="1"/>
  <c r="S77" i="1" s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V79" i="1"/>
  <c r="Y79" i="1"/>
  <c r="Z79" i="1"/>
  <c r="AB79" i="1"/>
  <c r="AC79" i="1"/>
  <c r="AD79" i="1"/>
  <c r="AE79" i="1"/>
  <c r="AF79" i="1"/>
  <c r="AH79" i="1"/>
  <c r="K80" i="1"/>
  <c r="L80" i="1"/>
  <c r="M80" i="1"/>
  <c r="T80" i="1"/>
  <c r="V80" i="1"/>
  <c r="Y80" i="1"/>
  <c r="Z80" i="1"/>
  <c r="AA80" i="1" s="1"/>
  <c r="AB80" i="1"/>
  <c r="AC80" i="1"/>
  <c r="AD80" i="1"/>
  <c r="AE80" i="1"/>
  <c r="AF80" i="1"/>
  <c r="AG80" i="1"/>
  <c r="U80" i="1" s="1"/>
  <c r="AH80" i="1"/>
  <c r="K81" i="1"/>
  <c r="L81" i="1"/>
  <c r="M81" i="1"/>
  <c r="N81" i="1" s="1"/>
  <c r="V81" i="1"/>
  <c r="Y81" i="1"/>
  <c r="AA81" i="1" s="1"/>
  <c r="W81" i="1" s="1"/>
  <c r="Z81" i="1"/>
  <c r="AB81" i="1"/>
  <c r="AC81" i="1"/>
  <c r="AD81" i="1"/>
  <c r="X81" i="1" s="1"/>
  <c r="AE81" i="1"/>
  <c r="AF81" i="1"/>
  <c r="AG81" i="1"/>
  <c r="AH81" i="1"/>
  <c r="AI81" i="1"/>
  <c r="K82" i="1"/>
  <c r="L82" i="1"/>
  <c r="M82" i="1"/>
  <c r="N82" i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A85" i="1"/>
  <c r="AB85" i="1"/>
  <c r="AC85" i="1"/>
  <c r="AD85" i="1"/>
  <c r="AE85" i="1"/>
  <c r="AF85" i="1"/>
  <c r="AH85" i="1"/>
  <c r="K86" i="1"/>
  <c r="L86" i="1"/>
  <c r="M86" i="1"/>
  <c r="N86" i="1"/>
  <c r="V86" i="1"/>
  <c r="X86" i="1"/>
  <c r="Y86" i="1"/>
  <c r="Z86" i="1"/>
  <c r="AA86" i="1" s="1"/>
  <c r="W86" i="1" s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N88" i="1"/>
  <c r="T88" i="1"/>
  <c r="V88" i="1"/>
  <c r="Y88" i="1"/>
  <c r="Z88" i="1"/>
  <c r="AA88" i="1" s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A89" i="1" s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A90" i="1" s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G91" i="1"/>
  <c r="AH91" i="1"/>
  <c r="K92" i="1"/>
  <c r="L92" i="1"/>
  <c r="M92" i="1"/>
  <c r="V92" i="1"/>
  <c r="Y92" i="1"/>
  <c r="Z92" i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A93" i="1"/>
  <c r="AB93" i="1"/>
  <c r="AC93" i="1"/>
  <c r="AD93" i="1"/>
  <c r="T93" i="1" s="1"/>
  <c r="AE93" i="1"/>
  <c r="AF93" i="1"/>
  <c r="AH93" i="1"/>
  <c r="K94" i="1"/>
  <c r="L94" i="1"/>
  <c r="M94" i="1"/>
  <c r="N94" i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T96" i="1"/>
  <c r="V96" i="1"/>
  <c r="Y96" i="1"/>
  <c r="Z96" i="1"/>
  <c r="AA96" i="1" s="1"/>
  <c r="AB96" i="1"/>
  <c r="AC96" i="1"/>
  <c r="AD96" i="1"/>
  <c r="AG96" i="1" s="1"/>
  <c r="AE96" i="1"/>
  <c r="AF96" i="1"/>
  <c r="AH96" i="1"/>
  <c r="K97" i="1"/>
  <c r="L97" i="1"/>
  <c r="M97" i="1"/>
  <c r="N97" i="1" s="1"/>
  <c r="V97" i="1"/>
  <c r="Y97" i="1"/>
  <c r="Z97" i="1"/>
  <c r="AA97" i="1" s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A98" i="1" s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G99" i="1"/>
  <c r="AH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T104" i="1"/>
  <c r="V104" i="1"/>
  <c r="X104" i="1"/>
  <c r="Y104" i="1"/>
  <c r="Z104" i="1"/>
  <c r="AA104" i="1" s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Y106" i="1"/>
  <c r="Z106" i="1"/>
  <c r="AA106" i="1" s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G107" i="1"/>
  <c r="AH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T111" i="1"/>
  <c r="V111" i="1"/>
  <c r="Y111" i="1"/>
  <c r="Z111" i="1"/>
  <c r="AB111" i="1"/>
  <c r="AC111" i="1"/>
  <c r="AD111" i="1"/>
  <c r="AE111" i="1"/>
  <c r="AF111" i="1"/>
  <c r="AG111" i="1"/>
  <c r="U111" i="1" s="1"/>
  <c r="AH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K115" i="1"/>
  <c r="L115" i="1"/>
  <c r="M115" i="1"/>
  <c r="N115" i="1" s="1"/>
  <c r="T115" i="1"/>
  <c r="V115" i="1"/>
  <c r="Y115" i="1"/>
  <c r="Z115" i="1"/>
  <c r="AB115" i="1"/>
  <c r="AC115" i="1"/>
  <c r="AD115" i="1"/>
  <c r="AG115" i="1" s="1"/>
  <c r="AE115" i="1"/>
  <c r="AF115" i="1"/>
  <c r="AH115" i="1"/>
  <c r="K116" i="1"/>
  <c r="L116" i="1"/>
  <c r="M116" i="1"/>
  <c r="N116" i="1" s="1"/>
  <c r="V116" i="1"/>
  <c r="Y116" i="1"/>
  <c r="Z116" i="1"/>
  <c r="AA116" i="1" s="1"/>
  <c r="AB116" i="1"/>
  <c r="AC116" i="1"/>
  <c r="AD116" i="1"/>
  <c r="AG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G117" i="1"/>
  <c r="U117" i="1" s="1"/>
  <c r="AH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K119" i="1"/>
  <c r="L119" i="1"/>
  <c r="M119" i="1"/>
  <c r="N119" i="1" s="1"/>
  <c r="V119" i="1"/>
  <c r="Y119" i="1"/>
  <c r="Z119" i="1"/>
  <c r="AA119" i="1" s="1"/>
  <c r="W119" i="1" s="1"/>
  <c r="AB119" i="1"/>
  <c r="AC119" i="1"/>
  <c r="AD119" i="1"/>
  <c r="AG119" i="1" s="1"/>
  <c r="AE119" i="1"/>
  <c r="AF119" i="1"/>
  <c r="AH119" i="1"/>
  <c r="K120" i="1"/>
  <c r="L120" i="1"/>
  <c r="M120" i="1"/>
  <c r="N120" i="1" s="1"/>
  <c r="V120" i="1"/>
  <c r="Y120" i="1"/>
  <c r="Z120" i="1"/>
  <c r="AA120" i="1" s="1"/>
  <c r="W120" i="1" s="1"/>
  <c r="AB120" i="1"/>
  <c r="AC120" i="1"/>
  <c r="AD120" i="1"/>
  <c r="T120" i="1" s="1"/>
  <c r="AE120" i="1"/>
  <c r="AF120" i="1"/>
  <c r="AG120" i="1"/>
  <c r="AH120" i="1"/>
  <c r="AI120" i="1"/>
  <c r="K121" i="1"/>
  <c r="L121" i="1"/>
  <c r="M121" i="1"/>
  <c r="N121" i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AG126" i="1"/>
  <c r="AH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K128" i="1"/>
  <c r="L128" i="1"/>
  <c r="M128" i="1"/>
  <c r="N128" i="1" s="1"/>
  <c r="V128" i="1"/>
  <c r="Y128" i="1"/>
  <c r="Z128" i="1"/>
  <c r="AA128" i="1"/>
  <c r="W128" i="1" s="1"/>
  <c r="AB128" i="1"/>
  <c r="AC128" i="1"/>
  <c r="AD128" i="1"/>
  <c r="T128" i="1" s="1"/>
  <c r="AE128" i="1"/>
  <c r="AF128" i="1"/>
  <c r="AG128" i="1"/>
  <c r="U128" i="1" s="1"/>
  <c r="S128" i="1" s="1"/>
  <c r="AH128" i="1"/>
  <c r="AI128" i="1"/>
  <c r="K129" i="1"/>
  <c r="L129" i="1"/>
  <c r="M129" i="1"/>
  <c r="N129" i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T131" i="1"/>
  <c r="V131" i="1"/>
  <c r="Y131" i="1"/>
  <c r="Z131" i="1"/>
  <c r="AA131" i="1" s="1"/>
  <c r="W131" i="1" s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A132" i="1" s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V135" i="1"/>
  <c r="Y135" i="1"/>
  <c r="Z135" i="1"/>
  <c r="AB135" i="1"/>
  <c r="AC135" i="1"/>
  <c r="AD135" i="1"/>
  <c r="AG135" i="1" s="1"/>
  <c r="AE135" i="1"/>
  <c r="AF135" i="1"/>
  <c r="AH135" i="1"/>
  <c r="K136" i="1"/>
  <c r="L136" i="1"/>
  <c r="M136" i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T138" i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T143" i="1"/>
  <c r="V143" i="1"/>
  <c r="X143" i="1"/>
  <c r="Y143" i="1"/>
  <c r="Z143" i="1"/>
  <c r="AA143" i="1" s="1"/>
  <c r="W143" i="1" s="1"/>
  <c r="AB143" i="1"/>
  <c r="AC143" i="1"/>
  <c r="AD143" i="1"/>
  <c r="AG143" i="1" s="1"/>
  <c r="AE143" i="1"/>
  <c r="AF143" i="1"/>
  <c r="AH143" i="1"/>
  <c r="K144" i="1"/>
  <c r="L144" i="1"/>
  <c r="M144" i="1"/>
  <c r="N144" i="1" s="1"/>
  <c r="V144" i="1"/>
  <c r="Y144" i="1"/>
  <c r="Z144" i="1"/>
  <c r="AA144" i="1" s="1"/>
  <c r="AB144" i="1"/>
  <c r="AC144" i="1"/>
  <c r="AD144" i="1"/>
  <c r="AE144" i="1"/>
  <c r="AF144" i="1"/>
  <c r="AH144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K151" i="1"/>
  <c r="L151" i="1"/>
  <c r="M151" i="1"/>
  <c r="N151" i="1" s="1"/>
  <c r="T151" i="1"/>
  <c r="V151" i="1"/>
  <c r="X151" i="1"/>
  <c r="Y151" i="1"/>
  <c r="Z151" i="1"/>
  <c r="AA151" i="1" s="1"/>
  <c r="W151" i="1" s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A152" i="1" s="1"/>
  <c r="AB152" i="1"/>
  <c r="AC152" i="1"/>
  <c r="AD152" i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K155" i="1"/>
  <c r="L155" i="1"/>
  <c r="M155" i="1"/>
  <c r="N155" i="1"/>
  <c r="V155" i="1"/>
  <c r="Y155" i="1"/>
  <c r="Z155" i="1"/>
  <c r="AB155" i="1"/>
  <c r="AC155" i="1"/>
  <c r="AD155" i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X158" i="1" s="1"/>
  <c r="AE158" i="1"/>
  <c r="AF158" i="1"/>
  <c r="AH158" i="1"/>
  <c r="K206" i="1"/>
  <c r="L206" i="1"/>
  <c r="M206" i="1"/>
  <c r="N206" i="1"/>
  <c r="V206" i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H160" i="1"/>
  <c r="K208" i="1"/>
  <c r="L208" i="1"/>
  <c r="M208" i="1"/>
  <c r="N208" i="1" s="1"/>
  <c r="V208" i="1"/>
  <c r="Y208" i="1"/>
  <c r="AA208" i="1" s="1"/>
  <c r="Z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G210" i="1"/>
  <c r="AH163" i="1"/>
  <c r="K211" i="1"/>
  <c r="L211" i="1"/>
  <c r="M211" i="1"/>
  <c r="N211" i="1" s="1"/>
  <c r="T211" i="1"/>
  <c r="V211" i="1"/>
  <c r="Y211" i="1"/>
  <c r="Z211" i="1"/>
  <c r="AA211" i="1" s="1"/>
  <c r="AB211" i="1"/>
  <c r="AC211" i="1"/>
  <c r="AD211" i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V215" i="1"/>
  <c r="X215" i="1"/>
  <c r="Y215" i="1"/>
  <c r="Z215" i="1"/>
  <c r="AB215" i="1"/>
  <c r="AC215" i="1"/>
  <c r="AD215" i="1"/>
  <c r="T215" i="1" s="1"/>
  <c r="AE215" i="1"/>
  <c r="AF215" i="1"/>
  <c r="AG215" i="1"/>
  <c r="AH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K219" i="1"/>
  <c r="L219" i="1"/>
  <c r="M219" i="1"/>
  <c r="N219" i="1" s="1"/>
  <c r="T219" i="1"/>
  <c r="V219" i="1"/>
  <c r="Y219" i="1"/>
  <c r="Z219" i="1"/>
  <c r="AB219" i="1"/>
  <c r="AC219" i="1"/>
  <c r="AD219" i="1"/>
  <c r="X219" i="1" s="1"/>
  <c r="AE219" i="1"/>
  <c r="AF219" i="1"/>
  <c r="AH172" i="1"/>
  <c r="K226" i="1"/>
  <c r="L226" i="1"/>
  <c r="M226" i="1"/>
  <c r="N226" i="1" s="1"/>
  <c r="V226" i="1"/>
  <c r="Y226" i="1"/>
  <c r="Z226" i="1"/>
  <c r="AA226" i="1"/>
  <c r="AB226" i="1"/>
  <c r="AC226" i="1"/>
  <c r="AD226" i="1"/>
  <c r="AE226" i="1"/>
  <c r="AF226" i="1"/>
  <c r="AH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G229" i="1"/>
  <c r="AH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G232" i="1"/>
  <c r="AH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181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2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G161" i="1"/>
  <c r="AH183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4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85" i="1"/>
  <c r="K164" i="1"/>
  <c r="L164" i="1"/>
  <c r="M164" i="1"/>
  <c r="V164" i="1"/>
  <c r="Y164" i="1"/>
  <c r="Z164" i="1"/>
  <c r="AB164" i="1"/>
  <c r="AC164" i="1"/>
  <c r="AD164" i="1"/>
  <c r="T164" i="1" s="1"/>
  <c r="AE164" i="1"/>
  <c r="AF164" i="1"/>
  <c r="AH186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7" i="1"/>
  <c r="K166" i="1"/>
  <c r="L166" i="1"/>
  <c r="M166" i="1"/>
  <c r="V166" i="1"/>
  <c r="Y166" i="1"/>
  <c r="Z166" i="1"/>
  <c r="AB166" i="1"/>
  <c r="AC166" i="1"/>
  <c r="AD166" i="1"/>
  <c r="T166" i="1" s="1"/>
  <c r="AE166" i="1"/>
  <c r="AF166" i="1"/>
  <c r="AH188" i="1"/>
  <c r="K167" i="1"/>
  <c r="L167" i="1"/>
  <c r="M167" i="1"/>
  <c r="N167" i="1" s="1"/>
  <c r="V167" i="1"/>
  <c r="Y167" i="1"/>
  <c r="Z167" i="1"/>
  <c r="AB167" i="1"/>
  <c r="AC167" i="1"/>
  <c r="AD167" i="1"/>
  <c r="X167" i="1" s="1"/>
  <c r="AE167" i="1"/>
  <c r="AF167" i="1"/>
  <c r="AH189" i="1"/>
  <c r="K168" i="1"/>
  <c r="L168" i="1"/>
  <c r="M168" i="1"/>
  <c r="V168" i="1"/>
  <c r="Y168" i="1"/>
  <c r="Z168" i="1"/>
  <c r="AB168" i="1"/>
  <c r="AC168" i="1"/>
  <c r="AD168" i="1"/>
  <c r="T168" i="1" s="1"/>
  <c r="AE168" i="1"/>
  <c r="AF168" i="1"/>
  <c r="AH190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G169" i="1"/>
  <c r="AI169" i="1" s="1"/>
  <c r="AH191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2" i="1"/>
  <c r="K171" i="1"/>
  <c r="L171" i="1"/>
  <c r="M171" i="1"/>
  <c r="N171" i="1" s="1"/>
  <c r="V171" i="1"/>
  <c r="X171" i="1"/>
  <c r="Y171" i="1"/>
  <c r="Z171" i="1"/>
  <c r="AA171" i="1" s="1"/>
  <c r="AB171" i="1"/>
  <c r="AC171" i="1"/>
  <c r="AD171" i="1"/>
  <c r="AG171" i="1" s="1"/>
  <c r="AE171" i="1"/>
  <c r="AF171" i="1"/>
  <c r="AH193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94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G173" i="1"/>
  <c r="AH195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6" i="1"/>
  <c r="K175" i="1"/>
  <c r="L175" i="1"/>
  <c r="M175" i="1"/>
  <c r="N175" i="1" s="1"/>
  <c r="V175" i="1"/>
  <c r="Y175" i="1"/>
  <c r="Z175" i="1"/>
  <c r="AB175" i="1"/>
  <c r="AC175" i="1"/>
  <c r="AD175" i="1"/>
  <c r="X175" i="1" s="1"/>
  <c r="AE175" i="1"/>
  <c r="AF175" i="1"/>
  <c r="AH197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8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9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0" i="1"/>
  <c r="K179" i="1"/>
  <c r="L179" i="1"/>
  <c r="M179" i="1"/>
  <c r="N179" i="1" s="1"/>
  <c r="V179" i="1"/>
  <c r="X179" i="1"/>
  <c r="Y179" i="1"/>
  <c r="Z179" i="1"/>
  <c r="AB179" i="1"/>
  <c r="AC179" i="1"/>
  <c r="AD179" i="1"/>
  <c r="AG179" i="1" s="1"/>
  <c r="AE179" i="1"/>
  <c r="AF179" i="1"/>
  <c r="AH201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2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G181" i="1"/>
  <c r="AI181" i="1" s="1"/>
  <c r="AH203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4" i="1"/>
  <c r="K183" i="1"/>
  <c r="L183" i="1"/>
  <c r="M183" i="1"/>
  <c r="N183" i="1" s="1"/>
  <c r="V183" i="1"/>
  <c r="Y183" i="1"/>
  <c r="Z183" i="1"/>
  <c r="AA183" i="1" s="1"/>
  <c r="AB183" i="1"/>
  <c r="AC183" i="1"/>
  <c r="AD183" i="1"/>
  <c r="X183" i="1" s="1"/>
  <c r="AE183" i="1"/>
  <c r="AF183" i="1"/>
  <c r="AH205" i="1"/>
  <c r="K184" i="1"/>
  <c r="L184" i="1"/>
  <c r="M184" i="1"/>
  <c r="N184" i="1" s="1"/>
  <c r="V184" i="1"/>
  <c r="Y184" i="1"/>
  <c r="Z184" i="1"/>
  <c r="AA184" i="1" s="1"/>
  <c r="AB184" i="1"/>
  <c r="AC184" i="1"/>
  <c r="AD184" i="1"/>
  <c r="T184" i="1" s="1"/>
  <c r="AE184" i="1"/>
  <c r="AF184" i="1"/>
  <c r="AH206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G185" i="1"/>
  <c r="AH207" i="1"/>
  <c r="K186" i="1"/>
  <c r="L186" i="1"/>
  <c r="M186" i="1"/>
  <c r="N186" i="1" s="1"/>
  <c r="V186" i="1"/>
  <c r="Y186" i="1"/>
  <c r="Z186" i="1"/>
  <c r="AB186" i="1"/>
  <c r="AC186" i="1"/>
  <c r="AD186" i="1"/>
  <c r="X186" i="1" s="1"/>
  <c r="AE186" i="1"/>
  <c r="AF186" i="1"/>
  <c r="AH208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09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0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1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2" i="1"/>
  <c r="K191" i="1"/>
  <c r="L191" i="1"/>
  <c r="M191" i="1"/>
  <c r="N191" i="1" s="1"/>
  <c r="V191" i="1"/>
  <c r="X191" i="1"/>
  <c r="Y191" i="1"/>
  <c r="Z191" i="1"/>
  <c r="AB191" i="1"/>
  <c r="AC191" i="1"/>
  <c r="AD191" i="1"/>
  <c r="AG191" i="1" s="1"/>
  <c r="AE191" i="1"/>
  <c r="AF191" i="1"/>
  <c r="AH21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G193" i="1"/>
  <c r="AI193" i="1" s="1"/>
  <c r="AH21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6" i="1"/>
  <c r="K195" i="1"/>
  <c r="L195" i="1"/>
  <c r="M195" i="1"/>
  <c r="N195" i="1" s="1"/>
  <c r="V195" i="1"/>
  <c r="Y195" i="1"/>
  <c r="Z195" i="1"/>
  <c r="AA195" i="1" s="1"/>
  <c r="AB195" i="1"/>
  <c r="AC195" i="1"/>
  <c r="AD195" i="1"/>
  <c r="AG195" i="1" s="1"/>
  <c r="AE195" i="1"/>
  <c r="AF195" i="1"/>
  <c r="AH217" i="1"/>
  <c r="K196" i="1"/>
  <c r="L196" i="1"/>
  <c r="M196" i="1"/>
  <c r="N196" i="1" s="1"/>
  <c r="V196" i="1"/>
  <c r="Y196" i="1"/>
  <c r="Z196" i="1"/>
  <c r="AA196" i="1" s="1"/>
  <c r="AB196" i="1"/>
  <c r="AC196" i="1"/>
  <c r="AD196" i="1"/>
  <c r="T196" i="1" s="1"/>
  <c r="AE196" i="1"/>
  <c r="AF196" i="1"/>
  <c r="AH218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G197" i="1"/>
  <c r="AH21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2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3" i="1"/>
  <c r="K202" i="1"/>
  <c r="L202" i="1"/>
  <c r="M202" i="1"/>
  <c r="N202" i="1" s="1"/>
  <c r="T202" i="1"/>
  <c r="V202" i="1"/>
  <c r="Y202" i="1"/>
  <c r="Z202" i="1"/>
  <c r="AB202" i="1"/>
  <c r="AC202" i="1"/>
  <c r="AD202" i="1"/>
  <c r="AE202" i="1"/>
  <c r="AF202" i="1"/>
  <c r="AH224" i="1"/>
  <c r="K203" i="1"/>
  <c r="L203" i="1"/>
  <c r="M203" i="1"/>
  <c r="N203" i="1" s="1"/>
  <c r="T203" i="1"/>
  <c r="V203" i="1"/>
  <c r="Y203" i="1"/>
  <c r="Z203" i="1"/>
  <c r="AA203" i="1" s="1"/>
  <c r="W203" i="1" s="1"/>
  <c r="AB203" i="1"/>
  <c r="AC203" i="1"/>
  <c r="AD203" i="1"/>
  <c r="AG203" i="1" s="1"/>
  <c r="AE203" i="1"/>
  <c r="AF203" i="1"/>
  <c r="AH225" i="1"/>
  <c r="K204" i="1"/>
  <c r="L204" i="1"/>
  <c r="M204" i="1"/>
  <c r="N204" i="1" s="1"/>
  <c r="V204" i="1"/>
  <c r="Y204" i="1"/>
  <c r="Z204" i="1"/>
  <c r="AA204" i="1" s="1"/>
  <c r="AB204" i="1"/>
  <c r="AC204" i="1"/>
  <c r="AD204" i="1"/>
  <c r="AG204" i="1" s="1"/>
  <c r="AE204" i="1"/>
  <c r="AF204" i="1"/>
  <c r="AH226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R36" i="3" s="1"/>
  <c r="AF205" i="1"/>
  <c r="AH227" i="1"/>
  <c r="K220" i="1"/>
  <c r="L220" i="1"/>
  <c r="M220" i="1"/>
  <c r="N220" i="1" s="1"/>
  <c r="V220" i="1"/>
  <c r="Y220" i="1"/>
  <c r="Z220" i="1"/>
  <c r="AA220" i="1" s="1"/>
  <c r="AB220" i="1"/>
  <c r="AC220" i="1"/>
  <c r="AD220" i="1"/>
  <c r="AG220" i="1" s="1"/>
  <c r="AE220" i="1"/>
  <c r="R39" i="3" s="1"/>
  <c r="AF220" i="1"/>
  <c r="AH228" i="1"/>
  <c r="K221" i="1"/>
  <c r="L221" i="1"/>
  <c r="M221" i="1"/>
  <c r="N221" i="1" s="1"/>
  <c r="V221" i="1"/>
  <c r="Y221" i="1"/>
  <c r="Z221" i="1"/>
  <c r="AA221" i="1" s="1"/>
  <c r="AB221" i="1"/>
  <c r="AC221" i="1"/>
  <c r="AD221" i="1"/>
  <c r="T221" i="1" s="1"/>
  <c r="AE221" i="1"/>
  <c r="AF221" i="1"/>
  <c r="AG221" i="1"/>
  <c r="AH229" i="1"/>
  <c r="K222" i="1"/>
  <c r="L222" i="1"/>
  <c r="M222" i="1"/>
  <c r="N222" i="1" s="1"/>
  <c r="V222" i="1"/>
  <c r="Y222" i="1"/>
  <c r="Z222" i="1"/>
  <c r="AB222" i="1"/>
  <c r="AC222" i="1"/>
  <c r="AD222" i="1"/>
  <c r="X222" i="1" s="1"/>
  <c r="AE222" i="1"/>
  <c r="AF222" i="1"/>
  <c r="AH230" i="1"/>
  <c r="K223" i="1"/>
  <c r="L223" i="1"/>
  <c r="M223" i="1"/>
  <c r="N223" i="1" s="1"/>
  <c r="V223" i="1"/>
  <c r="S38" i="3" s="1"/>
  <c r="Y223" i="1"/>
  <c r="Z223" i="1"/>
  <c r="AA223" i="1" s="1"/>
  <c r="AB223" i="1"/>
  <c r="AC223" i="1"/>
  <c r="AD223" i="1"/>
  <c r="T223" i="1" s="1"/>
  <c r="AE223" i="1"/>
  <c r="R38" i="3" s="1"/>
  <c r="AF223" i="1"/>
  <c r="AH231" i="1"/>
  <c r="K224" i="1"/>
  <c r="L224" i="1"/>
  <c r="M224" i="1"/>
  <c r="N224" i="1" s="1"/>
  <c r="V224" i="1"/>
  <c r="Y224" i="1"/>
  <c r="Z224" i="1"/>
  <c r="AA224" i="1" s="1"/>
  <c r="AB224" i="1"/>
  <c r="AC224" i="1"/>
  <c r="AD224" i="1"/>
  <c r="T224" i="1" s="1"/>
  <c r="AE224" i="1"/>
  <c r="AF224" i="1"/>
  <c r="AH232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G225" i="1"/>
  <c r="AI225" i="1" s="1"/>
  <c r="AH233" i="1"/>
  <c r="M22" i="3"/>
  <c r="U22" i="3"/>
  <c r="T22" i="3" s="1"/>
  <c r="V22" i="3"/>
  <c r="W22" i="3"/>
  <c r="X22" i="3"/>
  <c r="AC22" i="3"/>
  <c r="M39" i="3"/>
  <c r="S39" i="3"/>
  <c r="U39" i="3"/>
  <c r="T39" i="3" s="1"/>
  <c r="V39" i="3"/>
  <c r="W39" i="3"/>
  <c r="X39" i="3"/>
  <c r="AC39" i="3"/>
  <c r="M28" i="3"/>
  <c r="R28" i="3"/>
  <c r="S28" i="3"/>
  <c r="U28" i="3"/>
  <c r="T28" i="3" s="1"/>
  <c r="V28" i="3"/>
  <c r="W28" i="3"/>
  <c r="X28" i="3"/>
  <c r="AC28" i="3"/>
  <c r="M34" i="3"/>
  <c r="R34" i="3"/>
  <c r="S34" i="3"/>
  <c r="U34" i="3"/>
  <c r="T34" i="3" s="1"/>
  <c r="V34" i="3"/>
  <c r="W34" i="3"/>
  <c r="X34" i="3"/>
  <c r="AC34" i="3"/>
  <c r="M13" i="3"/>
  <c r="R13" i="3"/>
  <c r="S13" i="3"/>
  <c r="U13" i="3"/>
  <c r="T13" i="3" s="1"/>
  <c r="V13" i="3"/>
  <c r="W13" i="3"/>
  <c r="X13" i="3"/>
  <c r="AC13" i="3"/>
  <c r="M8" i="3"/>
  <c r="R8" i="3"/>
  <c r="S8" i="3"/>
  <c r="U8" i="3"/>
  <c r="T8" i="3" s="1"/>
  <c r="V8" i="3"/>
  <c r="W8" i="3"/>
  <c r="X8" i="3"/>
  <c r="AC8" i="3"/>
  <c r="M29" i="3"/>
  <c r="R29" i="3"/>
  <c r="S29" i="3"/>
  <c r="U29" i="3"/>
  <c r="T29" i="3" s="1"/>
  <c r="V29" i="3"/>
  <c r="W29" i="3"/>
  <c r="X29" i="3"/>
  <c r="AC29" i="3"/>
  <c r="M30" i="3"/>
  <c r="R30" i="3"/>
  <c r="S30" i="3"/>
  <c r="U30" i="3"/>
  <c r="T30" i="3" s="1"/>
  <c r="V30" i="3"/>
  <c r="W30" i="3"/>
  <c r="X30" i="3"/>
  <c r="AC30" i="3"/>
  <c r="M14" i="3"/>
  <c r="R14" i="3"/>
  <c r="S14" i="3"/>
  <c r="U14" i="3"/>
  <c r="T14" i="3" s="1"/>
  <c r="V14" i="3"/>
  <c r="W14" i="3"/>
  <c r="X14" i="3"/>
  <c r="AC14" i="3"/>
  <c r="M31" i="3"/>
  <c r="R31" i="3"/>
  <c r="S31" i="3"/>
  <c r="U31" i="3"/>
  <c r="T31" i="3" s="1"/>
  <c r="V31" i="3"/>
  <c r="W31" i="3"/>
  <c r="X31" i="3"/>
  <c r="AC31" i="3"/>
  <c r="M15" i="3"/>
  <c r="R15" i="3"/>
  <c r="S15" i="3"/>
  <c r="U15" i="3"/>
  <c r="T15" i="3" s="1"/>
  <c r="V15" i="3"/>
  <c r="W15" i="3"/>
  <c r="X15" i="3"/>
  <c r="AC15" i="3"/>
  <c r="M23" i="3"/>
  <c r="R23" i="3"/>
  <c r="S23" i="3"/>
  <c r="U23" i="3"/>
  <c r="T23" i="3" s="1"/>
  <c r="V23" i="3"/>
  <c r="W23" i="3"/>
  <c r="X23" i="3"/>
  <c r="AC23" i="3"/>
  <c r="M27" i="3"/>
  <c r="R27" i="3"/>
  <c r="S27" i="3"/>
  <c r="U27" i="3"/>
  <c r="T27" i="3" s="1"/>
  <c r="V27" i="3"/>
  <c r="W27" i="3"/>
  <c r="X27" i="3"/>
  <c r="AC27" i="3"/>
  <c r="M7" i="3"/>
  <c r="R7" i="3"/>
  <c r="S7" i="3"/>
  <c r="U7" i="3"/>
  <c r="T7" i="3" s="1"/>
  <c r="V7" i="3"/>
  <c r="W7" i="3"/>
  <c r="X7" i="3"/>
  <c r="AC7" i="3"/>
  <c r="M32" i="3"/>
  <c r="R32" i="3"/>
  <c r="S32" i="3"/>
  <c r="U32" i="3"/>
  <c r="T32" i="3" s="1"/>
  <c r="V32" i="3"/>
  <c r="W32" i="3"/>
  <c r="X32" i="3"/>
  <c r="AC32" i="3"/>
  <c r="M10" i="3"/>
  <c r="R10" i="3"/>
  <c r="S10" i="3"/>
  <c r="U10" i="3"/>
  <c r="T10" i="3" s="1"/>
  <c r="V10" i="3"/>
  <c r="W10" i="3"/>
  <c r="X10" i="3"/>
  <c r="AC10" i="3"/>
  <c r="AD10" i="3"/>
  <c r="M37" i="3"/>
  <c r="R37" i="3"/>
  <c r="S37" i="3"/>
  <c r="U37" i="3"/>
  <c r="T37" i="3" s="1"/>
  <c r="V37" i="3"/>
  <c r="W37" i="3"/>
  <c r="X37" i="3"/>
  <c r="AC37" i="3"/>
  <c r="M16" i="3"/>
  <c r="R16" i="3"/>
  <c r="S16" i="3"/>
  <c r="U16" i="3"/>
  <c r="T16" i="3" s="1"/>
  <c r="V16" i="3"/>
  <c r="W16" i="3"/>
  <c r="X16" i="3"/>
  <c r="AC16" i="3"/>
  <c r="M9" i="3"/>
  <c r="R9" i="3"/>
  <c r="S9" i="3"/>
  <c r="U9" i="3"/>
  <c r="T9" i="3" s="1"/>
  <c r="V9" i="3"/>
  <c r="W9" i="3"/>
  <c r="X9" i="3"/>
  <c r="AC9" i="3"/>
  <c r="M26" i="3"/>
  <c r="R26" i="3"/>
  <c r="S26" i="3"/>
  <c r="U26" i="3"/>
  <c r="T26" i="3" s="1"/>
  <c r="V26" i="3"/>
  <c r="W26" i="3"/>
  <c r="X26" i="3"/>
  <c r="M11" i="3"/>
  <c r="R11" i="3"/>
  <c r="S11" i="3"/>
  <c r="U11" i="3"/>
  <c r="T11" i="3" s="1"/>
  <c r="V11" i="3"/>
  <c r="W11" i="3"/>
  <c r="X11" i="3"/>
  <c r="AC11" i="3"/>
  <c r="M17" i="3"/>
  <c r="R17" i="3"/>
  <c r="S17" i="3"/>
  <c r="U17" i="3"/>
  <c r="T17" i="3" s="1"/>
  <c r="V17" i="3"/>
  <c r="W17" i="3"/>
  <c r="X17" i="3"/>
  <c r="AC17" i="3"/>
  <c r="M18" i="3"/>
  <c r="R18" i="3"/>
  <c r="S18" i="3"/>
  <c r="U18" i="3"/>
  <c r="T18" i="3" s="1"/>
  <c r="V18" i="3"/>
  <c r="W18" i="3"/>
  <c r="Y18" i="3" s="1"/>
  <c r="X18" i="3"/>
  <c r="AC18" i="3"/>
  <c r="M38" i="3"/>
  <c r="U38" i="3"/>
  <c r="T38" i="3" s="1"/>
  <c r="V38" i="3"/>
  <c r="W38" i="3"/>
  <c r="X38" i="3"/>
  <c r="AC38" i="3"/>
  <c r="M24" i="3"/>
  <c r="R24" i="3"/>
  <c r="S24" i="3"/>
  <c r="U24" i="3"/>
  <c r="T24" i="3" s="1"/>
  <c r="V24" i="3"/>
  <c r="W24" i="3"/>
  <c r="X24" i="3"/>
  <c r="AC24" i="3"/>
  <c r="M12" i="3"/>
  <c r="R12" i="3"/>
  <c r="S12" i="3"/>
  <c r="U12" i="3"/>
  <c r="T12" i="3" s="1"/>
  <c r="V12" i="3"/>
  <c r="W12" i="3"/>
  <c r="X12" i="3"/>
  <c r="AC12" i="3"/>
  <c r="M19" i="3"/>
  <c r="R19" i="3"/>
  <c r="S19" i="3"/>
  <c r="U19" i="3"/>
  <c r="T19" i="3" s="1"/>
  <c r="V19" i="3"/>
  <c r="W19" i="3"/>
  <c r="X19" i="3"/>
  <c r="M35" i="3"/>
  <c r="R35" i="3"/>
  <c r="S35" i="3"/>
  <c r="U35" i="3"/>
  <c r="T35" i="3" s="1"/>
  <c r="V35" i="3"/>
  <c r="W35" i="3"/>
  <c r="X35" i="3"/>
  <c r="AC35" i="3"/>
  <c r="M25" i="3"/>
  <c r="R25" i="3"/>
  <c r="S25" i="3"/>
  <c r="U25" i="3"/>
  <c r="T25" i="3" s="1"/>
  <c r="V25" i="3"/>
  <c r="W25" i="3"/>
  <c r="X25" i="3"/>
  <c r="AC25" i="3"/>
  <c r="M33" i="3"/>
  <c r="R33" i="3"/>
  <c r="S33" i="3"/>
  <c r="U33" i="3"/>
  <c r="T33" i="3" s="1"/>
  <c r="V33" i="3"/>
  <c r="W33" i="3"/>
  <c r="X33" i="3"/>
  <c r="AC33" i="3"/>
  <c r="M20" i="3"/>
  <c r="R20" i="3"/>
  <c r="S20" i="3"/>
  <c r="U20" i="3"/>
  <c r="T20" i="3" s="1"/>
  <c r="V20" i="3"/>
  <c r="W20" i="3"/>
  <c r="X20" i="3"/>
  <c r="AC20" i="3"/>
  <c r="M36" i="3"/>
  <c r="S36" i="3"/>
  <c r="U36" i="3"/>
  <c r="T36" i="3" s="1"/>
  <c r="V36" i="3"/>
  <c r="W36" i="3"/>
  <c r="X36" i="3"/>
  <c r="AC36" i="3"/>
  <c r="M28" i="5"/>
  <c r="M21" i="3"/>
  <c r="U21" i="3"/>
  <c r="T21" i="3" s="1"/>
  <c r="V21" i="3"/>
  <c r="W21" i="3"/>
  <c r="X21" i="3"/>
  <c r="AD36" i="3" l="1"/>
  <c r="AD33" i="3"/>
  <c r="AD38" i="3"/>
  <c r="Y20" i="3"/>
  <c r="Y11" i="3"/>
  <c r="Y37" i="3"/>
  <c r="Y22" i="3"/>
  <c r="Y21" i="3"/>
  <c r="Y25" i="3"/>
  <c r="AD17" i="3"/>
  <c r="AD16" i="3"/>
  <c r="Y32" i="3"/>
  <c r="Y14" i="3"/>
  <c r="Y29" i="3"/>
  <c r="X135" i="1"/>
  <c r="AA136" i="1"/>
  <c r="AA135" i="1"/>
  <c r="W135" i="1" s="1"/>
  <c r="T135" i="1"/>
  <c r="U135" i="1" s="1"/>
  <c r="S135" i="1" s="1"/>
  <c r="X123" i="1"/>
  <c r="X112" i="1"/>
  <c r="X108" i="1"/>
  <c r="AA102" i="1"/>
  <c r="AA101" i="1"/>
  <c r="AA100" i="1"/>
  <c r="T100" i="1"/>
  <c r="AG95" i="1"/>
  <c r="AA92" i="1"/>
  <c r="T92" i="1"/>
  <c r="X85" i="1"/>
  <c r="AG73" i="1"/>
  <c r="AI73" i="1" s="1"/>
  <c r="AA71" i="1"/>
  <c r="AG45" i="1"/>
  <c r="AI45" i="1" s="1"/>
  <c r="AG41" i="1"/>
  <c r="AI41" i="1" s="1"/>
  <c r="T199" i="1"/>
  <c r="AA193" i="1"/>
  <c r="AA192" i="1"/>
  <c r="AA191" i="1"/>
  <c r="AG189" i="1"/>
  <c r="AA181" i="1"/>
  <c r="AA180" i="1"/>
  <c r="AA179" i="1"/>
  <c r="AG177" i="1"/>
  <c r="AI177" i="1" s="1"/>
  <c r="AG165" i="1"/>
  <c r="AI165" i="1" s="1"/>
  <c r="X163" i="1"/>
  <c r="X162" i="1"/>
  <c r="AA161" i="1"/>
  <c r="W161" i="1" s="1"/>
  <c r="AA160" i="1"/>
  <c r="AA159" i="1"/>
  <c r="AG230" i="1"/>
  <c r="AI230" i="1" s="1"/>
  <c r="X230" i="1"/>
  <c r="AG228" i="1"/>
  <c r="AA219" i="1"/>
  <c r="AG216" i="1"/>
  <c r="X216" i="1"/>
  <c r="AG214" i="1"/>
  <c r="X212" i="1"/>
  <c r="AG207" i="1"/>
  <c r="AA157" i="1"/>
  <c r="W157" i="1" s="1"/>
  <c r="AA156" i="1"/>
  <c r="T154" i="1"/>
  <c r="T147" i="1"/>
  <c r="AA137" i="1"/>
  <c r="X96" i="1"/>
  <c r="W80" i="1"/>
  <c r="U63" i="1"/>
  <c r="AA63" i="1"/>
  <c r="AA59" i="1"/>
  <c r="W57" i="1"/>
  <c r="T52" i="1"/>
  <c r="AI49" i="1"/>
  <c r="X45" i="1"/>
  <c r="U40" i="1"/>
  <c r="U36" i="1"/>
  <c r="T25" i="1"/>
  <c r="AA19" i="1"/>
  <c r="AA18" i="1"/>
  <c r="W225" i="1"/>
  <c r="AA200" i="1"/>
  <c r="AA199" i="1"/>
  <c r="W199" i="1" s="1"/>
  <c r="AI197" i="1"/>
  <c r="AI185" i="1"/>
  <c r="AI173" i="1"/>
  <c r="X170" i="1"/>
  <c r="AA169" i="1"/>
  <c r="W169" i="1" s="1"/>
  <c r="AA168" i="1"/>
  <c r="AA167" i="1"/>
  <c r="AA232" i="1"/>
  <c r="AA149" i="1"/>
  <c r="AA148" i="1"/>
  <c r="AA147" i="1"/>
  <c r="W147" i="1" s="1"/>
  <c r="T146" i="1"/>
  <c r="T139" i="1"/>
  <c r="X131" i="1"/>
  <c r="AA124" i="1"/>
  <c r="AA123" i="1"/>
  <c r="W123" i="1" s="1"/>
  <c r="T123" i="1"/>
  <c r="T119" i="1"/>
  <c r="AI115" i="1"/>
  <c r="AA115" i="1"/>
  <c r="AA114" i="1"/>
  <c r="AA113" i="1"/>
  <c r="AA112" i="1"/>
  <c r="W112" i="1" s="1"/>
  <c r="T112" i="1"/>
  <c r="AA110" i="1"/>
  <c r="AA109" i="1"/>
  <c r="AA108" i="1"/>
  <c r="T108" i="1"/>
  <c r="AG103" i="1"/>
  <c r="X100" i="1"/>
  <c r="AA94" i="1"/>
  <c r="X92" i="1"/>
  <c r="AI86" i="1"/>
  <c r="AA79" i="1"/>
  <c r="AA75" i="1"/>
  <c r="AA73" i="1"/>
  <c r="W73" i="1" s="1"/>
  <c r="T68" i="1"/>
  <c r="AA61" i="1"/>
  <c r="W61" i="1" s="1"/>
  <c r="AG59" i="1"/>
  <c r="AA54" i="1"/>
  <c r="AA53" i="1"/>
  <c r="AA52" i="1"/>
  <c r="AA49" i="1"/>
  <c r="W49" i="1" s="1"/>
  <c r="AG37" i="1"/>
  <c r="AI37" i="1" s="1"/>
  <c r="AG33" i="1"/>
  <c r="AA222" i="1"/>
  <c r="AA189" i="1"/>
  <c r="W189" i="1" s="1"/>
  <c r="AA188" i="1"/>
  <c r="AA187" i="1"/>
  <c r="W187" i="1" s="1"/>
  <c r="X178" i="1"/>
  <c r="AA177" i="1"/>
  <c r="W177" i="1" s="1"/>
  <c r="AA176" i="1"/>
  <c r="AA175" i="1"/>
  <c r="AA165" i="1"/>
  <c r="AA164" i="1"/>
  <c r="AA163" i="1"/>
  <c r="W163" i="1" s="1"/>
  <c r="AA230" i="1"/>
  <c r="X229" i="1"/>
  <c r="AA228" i="1"/>
  <c r="W228" i="1" s="1"/>
  <c r="AA227" i="1"/>
  <c r="AA216" i="1"/>
  <c r="W216" i="1" s="1"/>
  <c r="AA214" i="1"/>
  <c r="W214" i="1" s="1"/>
  <c r="AA213" i="1"/>
  <c r="AA212" i="1"/>
  <c r="W212" i="1" s="1"/>
  <c r="AA153" i="1"/>
  <c r="AA141" i="1"/>
  <c r="AA140" i="1"/>
  <c r="AA139" i="1"/>
  <c r="W139" i="1" s="1"/>
  <c r="W77" i="1"/>
  <c r="W41" i="1"/>
  <c r="X37" i="1"/>
  <c r="AA36" i="1"/>
  <c r="X32" i="1"/>
  <c r="AA31" i="1"/>
  <c r="AA30" i="1"/>
  <c r="AG25" i="1"/>
  <c r="W204" i="1"/>
  <c r="AG222" i="1"/>
  <c r="U203" i="1"/>
  <c r="S203" i="1" s="1"/>
  <c r="U199" i="1"/>
  <c r="S199" i="1" s="1"/>
  <c r="X195" i="1"/>
  <c r="W171" i="1"/>
  <c r="U225" i="1"/>
  <c r="X203" i="1"/>
  <c r="X199" i="1"/>
  <c r="X194" i="1"/>
  <c r="AG194" i="1"/>
  <c r="T194" i="1"/>
  <c r="W191" i="1"/>
  <c r="AI189" i="1"/>
  <c r="W179" i="1"/>
  <c r="X226" i="1"/>
  <c r="W221" i="1"/>
  <c r="T222" i="1"/>
  <c r="X202" i="1"/>
  <c r="AG202" i="1"/>
  <c r="U202" i="1" s="1"/>
  <c r="T198" i="1"/>
  <c r="X198" i="1"/>
  <c r="AG198" i="1"/>
  <c r="W197" i="1"/>
  <c r="W195" i="1"/>
  <c r="T195" i="1"/>
  <c r="U195" i="1" s="1"/>
  <c r="S195" i="1" s="1"/>
  <c r="U221" i="1"/>
  <c r="AI221" i="1"/>
  <c r="T201" i="1"/>
  <c r="AG201" i="1"/>
  <c r="W185" i="1"/>
  <c r="T183" i="1"/>
  <c r="T175" i="1"/>
  <c r="T167" i="1"/>
  <c r="T159" i="1"/>
  <c r="T226" i="1"/>
  <c r="AG218" i="1"/>
  <c r="AG156" i="1"/>
  <c r="W156" i="1" s="1"/>
  <c r="AG155" i="1"/>
  <c r="X155" i="1"/>
  <c r="W193" i="1"/>
  <c r="T191" i="1"/>
  <c r="U191" i="1" s="1"/>
  <c r="S191" i="1" s="1"/>
  <c r="X187" i="1"/>
  <c r="AA194" i="1"/>
  <c r="AG190" i="1"/>
  <c r="X190" i="1"/>
  <c r="AA186" i="1"/>
  <c r="T186" i="1"/>
  <c r="AG183" i="1"/>
  <c r="W183" i="1" s="1"/>
  <c r="AG182" i="1"/>
  <c r="X182" i="1"/>
  <c r="AA178" i="1"/>
  <c r="T178" i="1"/>
  <c r="AG175" i="1"/>
  <c r="U175" i="1" s="1"/>
  <c r="S175" i="1" s="1"/>
  <c r="AG174" i="1"/>
  <c r="X174" i="1"/>
  <c r="AA170" i="1"/>
  <c r="T170" i="1"/>
  <c r="AG167" i="1"/>
  <c r="U167" i="1" s="1"/>
  <c r="S167" i="1" s="1"/>
  <c r="AG166" i="1"/>
  <c r="X166" i="1"/>
  <c r="AA162" i="1"/>
  <c r="T162" i="1"/>
  <c r="AG159" i="1"/>
  <c r="AG233" i="1"/>
  <c r="X233" i="1"/>
  <c r="AA229" i="1"/>
  <c r="W229" i="1" s="1"/>
  <c r="AG226" i="1"/>
  <c r="AG219" i="1"/>
  <c r="AA215" i="1"/>
  <c r="W215" i="1" s="1"/>
  <c r="X211" i="1"/>
  <c r="AG211" i="1"/>
  <c r="W211" i="1" s="1"/>
  <c r="AG208" i="1"/>
  <c r="U208" i="1" s="1"/>
  <c r="X208" i="1"/>
  <c r="W207" i="1"/>
  <c r="T152" i="1"/>
  <c r="AG152" i="1"/>
  <c r="AI152" i="1" s="1"/>
  <c r="X147" i="1"/>
  <c r="AA146" i="1"/>
  <c r="W146" i="1" s="1"/>
  <c r="T144" i="1"/>
  <c r="AG144" i="1"/>
  <c r="AI144" i="1" s="1"/>
  <c r="X139" i="1"/>
  <c r="AA138" i="1"/>
  <c r="W138" i="1" s="1"/>
  <c r="T136" i="1"/>
  <c r="AG136" i="1"/>
  <c r="AI136" i="1" s="1"/>
  <c r="T118" i="1"/>
  <c r="X119" i="1"/>
  <c r="X118" i="1"/>
  <c r="AG118" i="1"/>
  <c r="T187" i="1"/>
  <c r="U187" i="1" s="1"/>
  <c r="S187" i="1" s="1"/>
  <c r="W181" i="1"/>
  <c r="T179" i="1"/>
  <c r="U179" i="1" s="1"/>
  <c r="S179" i="1" s="1"/>
  <c r="W173" i="1"/>
  <c r="T171" i="1"/>
  <c r="U171" i="1" s="1"/>
  <c r="S171" i="1" s="1"/>
  <c r="W165" i="1"/>
  <c r="T163" i="1"/>
  <c r="U163" i="1" s="1"/>
  <c r="S163" i="1" s="1"/>
  <c r="AI161" i="1"/>
  <c r="W232" i="1"/>
  <c r="AA231" i="1"/>
  <c r="AA218" i="1"/>
  <c r="AA217" i="1"/>
  <c r="T212" i="1"/>
  <c r="U212" i="1" s="1"/>
  <c r="S212" i="1" s="1"/>
  <c r="AA210" i="1"/>
  <c r="W210" i="1" s="1"/>
  <c r="AA209" i="1"/>
  <c r="T155" i="1"/>
  <c r="T150" i="1"/>
  <c r="T142" i="1"/>
  <c r="T134" i="1"/>
  <c r="T130" i="1"/>
  <c r="AG130" i="1"/>
  <c r="AG127" i="1"/>
  <c r="X127" i="1"/>
  <c r="T127" i="1"/>
  <c r="W126" i="1"/>
  <c r="AA202" i="1"/>
  <c r="W202" i="1" s="1"/>
  <c r="AA201" i="1"/>
  <c r="W201" i="1" s="1"/>
  <c r="AA198" i="1"/>
  <c r="W198" i="1" s="1"/>
  <c r="AA190" i="1"/>
  <c r="W190" i="1" s="1"/>
  <c r="AG186" i="1"/>
  <c r="AA182" i="1"/>
  <c r="W182" i="1" s="1"/>
  <c r="AG178" i="1"/>
  <c r="AA174" i="1"/>
  <c r="W174" i="1" s="1"/>
  <c r="AG170" i="1"/>
  <c r="AA166" i="1"/>
  <c r="W166" i="1" s="1"/>
  <c r="AG162" i="1"/>
  <c r="AA233" i="1"/>
  <c r="W233" i="1" s="1"/>
  <c r="W226" i="1"/>
  <c r="W219" i="1"/>
  <c r="U216" i="1"/>
  <c r="S216" i="1" s="1"/>
  <c r="AA155" i="1"/>
  <c r="AA150" i="1"/>
  <c r="W150" i="1" s="1"/>
  <c r="T148" i="1"/>
  <c r="AG148" i="1"/>
  <c r="AI148" i="1" s="1"/>
  <c r="AA142" i="1"/>
  <c r="W142" i="1" s="1"/>
  <c r="T140" i="1"/>
  <c r="AG140" i="1"/>
  <c r="AI140" i="1" s="1"/>
  <c r="AA134" i="1"/>
  <c r="W134" i="1" s="1"/>
  <c r="T132" i="1"/>
  <c r="AG132" i="1"/>
  <c r="AI132" i="1" s="1"/>
  <c r="T124" i="1"/>
  <c r="AG124" i="1"/>
  <c r="AI124" i="1" s="1"/>
  <c r="AA130" i="1"/>
  <c r="AA129" i="1"/>
  <c r="AA127" i="1"/>
  <c r="AG122" i="1"/>
  <c r="AA118" i="1"/>
  <c r="AA117" i="1"/>
  <c r="W117" i="1" s="1"/>
  <c r="AG113" i="1"/>
  <c r="W113" i="1" s="1"/>
  <c r="AA111" i="1"/>
  <c r="X76" i="1"/>
  <c r="U75" i="1"/>
  <c r="W71" i="1"/>
  <c r="X60" i="1"/>
  <c r="U59" i="1"/>
  <c r="W44" i="1"/>
  <c r="U41" i="1"/>
  <c r="S41" i="1" s="1"/>
  <c r="W36" i="1"/>
  <c r="W31" i="1"/>
  <c r="W20" i="1"/>
  <c r="T85" i="1"/>
  <c r="AA82" i="1"/>
  <c r="T81" i="1"/>
  <c r="AI77" i="1"/>
  <c r="X72" i="1"/>
  <c r="AG71" i="1"/>
  <c r="U71" i="1" s="1"/>
  <c r="AG69" i="1"/>
  <c r="AI69" i="1" s="1"/>
  <c r="AA67" i="1"/>
  <c r="AA64" i="1"/>
  <c r="W64" i="1" s="1"/>
  <c r="T64" i="1"/>
  <c r="AI61" i="1"/>
  <c r="X56" i="1"/>
  <c r="AG55" i="1"/>
  <c r="U55" i="1" s="1"/>
  <c r="AG53" i="1"/>
  <c r="AI53" i="1" s="1"/>
  <c r="AA51" i="1"/>
  <c r="W51" i="1" s="1"/>
  <c r="AA46" i="1"/>
  <c r="AG43" i="1"/>
  <c r="X41" i="1"/>
  <c r="AA39" i="1"/>
  <c r="AA38" i="1"/>
  <c r="AG35" i="1"/>
  <c r="AA32" i="1"/>
  <c r="T32" i="1"/>
  <c r="AG29" i="1"/>
  <c r="W29" i="1" s="1"/>
  <c r="X29" i="1"/>
  <c r="AA27" i="1"/>
  <c r="AA26" i="1"/>
  <c r="AA25" i="1"/>
  <c r="W25" i="1" s="1"/>
  <c r="AG24" i="1"/>
  <c r="U24" i="1" s="1"/>
  <c r="X24" i="1"/>
  <c r="T21" i="1"/>
  <c r="AG17" i="1"/>
  <c r="X17" i="1"/>
  <c r="AA206" i="1"/>
  <c r="AA122" i="1"/>
  <c r="W122" i="1" s="1"/>
  <c r="AA121" i="1"/>
  <c r="AG109" i="1"/>
  <c r="AA107" i="1"/>
  <c r="W107" i="1" s="1"/>
  <c r="AG105" i="1"/>
  <c r="AA103" i="1"/>
  <c r="W103" i="1" s="1"/>
  <c r="AG101" i="1"/>
  <c r="AA99" i="1"/>
  <c r="W99" i="1" s="1"/>
  <c r="AG97" i="1"/>
  <c r="AA95" i="1"/>
  <c r="W95" i="1" s="1"/>
  <c r="AG93" i="1"/>
  <c r="AA91" i="1"/>
  <c r="W91" i="1" s="1"/>
  <c r="AG89" i="1"/>
  <c r="AA87" i="1"/>
  <c r="W87" i="1" s="1"/>
  <c r="AG85" i="1"/>
  <c r="W85" i="1" s="1"/>
  <c r="AG84" i="1"/>
  <c r="U84" i="1" s="1"/>
  <c r="S84" i="1" s="1"/>
  <c r="AA78" i="1"/>
  <c r="AA76" i="1"/>
  <c r="T76" i="1"/>
  <c r="X68" i="1"/>
  <c r="AG67" i="1"/>
  <c r="U67" i="1" s="1"/>
  <c r="AG65" i="1"/>
  <c r="AI65" i="1" s="1"/>
  <c r="W63" i="1"/>
  <c r="AA62" i="1"/>
  <c r="AA60" i="1"/>
  <c r="T60" i="1"/>
  <c r="X52" i="1"/>
  <c r="U45" i="1"/>
  <c r="S45" i="1" s="1"/>
  <c r="W40" i="1"/>
  <c r="U37" i="1"/>
  <c r="S37" i="1" s="1"/>
  <c r="W28" i="1"/>
  <c r="W23" i="1"/>
  <c r="W16" i="1"/>
  <c r="W115" i="1"/>
  <c r="X88" i="1"/>
  <c r="T86" i="1"/>
  <c r="W75" i="1"/>
  <c r="AA74" i="1"/>
  <c r="AA72" i="1"/>
  <c r="W72" i="1" s="1"/>
  <c r="T72" i="1"/>
  <c r="X64" i="1"/>
  <c r="W59" i="1"/>
  <c r="AA58" i="1"/>
  <c r="AA56" i="1"/>
  <c r="T56" i="1"/>
  <c r="AA43" i="1"/>
  <c r="W43" i="1" s="1"/>
  <c r="AA42" i="1"/>
  <c r="AG39" i="1"/>
  <c r="AA35" i="1"/>
  <c r="AA34" i="1"/>
  <c r="AA33" i="1"/>
  <c r="W33" i="1" s="1"/>
  <c r="AG32" i="1"/>
  <c r="U32" i="1" s="1"/>
  <c r="AG27" i="1"/>
  <c r="AA24" i="1"/>
  <c r="W24" i="1" s="1"/>
  <c r="AG21" i="1"/>
  <c r="W21" i="1" s="1"/>
  <c r="W220" i="1"/>
  <c r="AI228" i="1"/>
  <c r="X225" i="1"/>
  <c r="AG224" i="1"/>
  <c r="AI233" i="1"/>
  <c r="S225" i="1"/>
  <c r="X224" i="1"/>
  <c r="AG223" i="1"/>
  <c r="AI229" i="1"/>
  <c r="S221" i="1"/>
  <c r="X220" i="1"/>
  <c r="T220" i="1"/>
  <c r="U220" i="1" s="1"/>
  <c r="S220" i="1" s="1"/>
  <c r="AG205" i="1"/>
  <c r="T204" i="1"/>
  <c r="U204" i="1" s="1"/>
  <c r="S204" i="1" s="1"/>
  <c r="X204" i="1"/>
  <c r="X223" i="1"/>
  <c r="X205" i="1"/>
  <c r="S202" i="1"/>
  <c r="AI224" i="1"/>
  <c r="AI223" i="1"/>
  <c r="T200" i="1"/>
  <c r="X200" i="1"/>
  <c r="AG200" i="1"/>
  <c r="X221" i="1"/>
  <c r="U198" i="1"/>
  <c r="S198" i="1" s="1"/>
  <c r="U194" i="1"/>
  <c r="S194" i="1" s="1"/>
  <c r="U190" i="1"/>
  <c r="S190" i="1" s="1"/>
  <c r="U186" i="1"/>
  <c r="S186" i="1" s="1"/>
  <c r="U182" i="1"/>
  <c r="S182" i="1" s="1"/>
  <c r="U178" i="1"/>
  <c r="S178" i="1" s="1"/>
  <c r="U174" i="1"/>
  <c r="S174" i="1" s="1"/>
  <c r="U170" i="1"/>
  <c r="S170" i="1" s="1"/>
  <c r="U166" i="1"/>
  <c r="S166" i="1" s="1"/>
  <c r="U162" i="1"/>
  <c r="S162" i="1" s="1"/>
  <c r="U233" i="1"/>
  <c r="S233" i="1" s="1"/>
  <c r="U229" i="1"/>
  <c r="S229" i="1" s="1"/>
  <c r="U219" i="1"/>
  <c r="S219" i="1" s="1"/>
  <c r="U215" i="1"/>
  <c r="S215" i="1" s="1"/>
  <c r="U211" i="1"/>
  <c r="S211" i="1" s="1"/>
  <c r="U207" i="1"/>
  <c r="S207" i="1" s="1"/>
  <c r="AA158" i="1"/>
  <c r="U155" i="1"/>
  <c r="S155" i="1" s="1"/>
  <c r="AI155" i="1"/>
  <c r="W127" i="1"/>
  <c r="U124" i="1"/>
  <c r="S124" i="1" s="1"/>
  <c r="U123" i="1"/>
  <c r="S123" i="1" s="1"/>
  <c r="AI123" i="1"/>
  <c r="U197" i="1"/>
  <c r="S197" i="1" s="1"/>
  <c r="U193" i="1"/>
  <c r="S193" i="1" s="1"/>
  <c r="U189" i="1"/>
  <c r="S189" i="1" s="1"/>
  <c r="U185" i="1"/>
  <c r="S185" i="1" s="1"/>
  <c r="U181" i="1"/>
  <c r="S181" i="1" s="1"/>
  <c r="U177" i="1"/>
  <c r="S177" i="1" s="1"/>
  <c r="U173" i="1"/>
  <c r="S173" i="1" s="1"/>
  <c r="U169" i="1"/>
  <c r="S169" i="1" s="1"/>
  <c r="U165" i="1"/>
  <c r="S165" i="1" s="1"/>
  <c r="U161" i="1"/>
  <c r="S161" i="1" s="1"/>
  <c r="U232" i="1"/>
  <c r="S232" i="1" s="1"/>
  <c r="U228" i="1"/>
  <c r="S228" i="1" s="1"/>
  <c r="U218" i="1"/>
  <c r="S218" i="1" s="1"/>
  <c r="U214" i="1"/>
  <c r="S214" i="1" s="1"/>
  <c r="U210" i="1"/>
  <c r="S210" i="1" s="1"/>
  <c r="S208" i="1"/>
  <c r="X207" i="1"/>
  <c r="AG206" i="1"/>
  <c r="W206" i="1" s="1"/>
  <c r="T158" i="1"/>
  <c r="T157" i="1"/>
  <c r="X157" i="1"/>
  <c r="AI154" i="1"/>
  <c r="U127" i="1"/>
  <c r="S127" i="1"/>
  <c r="AI127" i="1"/>
  <c r="X201" i="1"/>
  <c r="AI220" i="1"/>
  <c r="X197" i="1"/>
  <c r="AG196" i="1"/>
  <c r="AI216" i="1"/>
  <c r="X193" i="1"/>
  <c r="AG192" i="1"/>
  <c r="AI212" i="1"/>
  <c r="X189" i="1"/>
  <c r="AG188" i="1"/>
  <c r="W188" i="1" s="1"/>
  <c r="AI208" i="1"/>
  <c r="X185" i="1"/>
  <c r="AG184" i="1"/>
  <c r="W184" i="1" s="1"/>
  <c r="AI204" i="1"/>
  <c r="X181" i="1"/>
  <c r="AG180" i="1"/>
  <c r="AI200" i="1"/>
  <c r="X177" i="1"/>
  <c r="AG176" i="1"/>
  <c r="AI196" i="1"/>
  <c r="X173" i="1"/>
  <c r="AG172" i="1"/>
  <c r="W172" i="1" s="1"/>
  <c r="AI192" i="1"/>
  <c r="X169" i="1"/>
  <c r="AG168" i="1"/>
  <c r="W168" i="1" s="1"/>
  <c r="AI188" i="1"/>
  <c r="X165" i="1"/>
  <c r="AG164" i="1"/>
  <c r="AI184" i="1"/>
  <c r="X161" i="1"/>
  <c r="AG160" i="1"/>
  <c r="AI180" i="1"/>
  <c r="X232" i="1"/>
  <c r="AG231" i="1"/>
  <c r="W231" i="1" s="1"/>
  <c r="AI176" i="1"/>
  <c r="X228" i="1"/>
  <c r="AG227" i="1"/>
  <c r="W227" i="1" s="1"/>
  <c r="AI172" i="1"/>
  <c r="X218" i="1"/>
  <c r="AG217" i="1"/>
  <c r="AI217" i="1" s="1"/>
  <c r="AI168" i="1"/>
  <c r="X214" i="1"/>
  <c r="AG213" i="1"/>
  <c r="AI213" i="1" s="1"/>
  <c r="AI164" i="1"/>
  <c r="X210" i="1"/>
  <c r="AG209" i="1"/>
  <c r="AI160" i="1"/>
  <c r="X206" i="1"/>
  <c r="AG158" i="1"/>
  <c r="AI157" i="1"/>
  <c r="U154" i="1"/>
  <c r="S154" i="1" s="1"/>
  <c r="U152" i="1"/>
  <c r="S152" i="1" s="1"/>
  <c r="U151" i="1"/>
  <c r="S151" i="1" s="1"/>
  <c r="AI151" i="1"/>
  <c r="U148" i="1"/>
  <c r="S148" i="1" s="1"/>
  <c r="U147" i="1"/>
  <c r="S147" i="1" s="1"/>
  <c r="AI147" i="1"/>
  <c r="U144" i="1"/>
  <c r="S144" i="1" s="1"/>
  <c r="U143" i="1"/>
  <c r="S143" i="1" s="1"/>
  <c r="AI143" i="1"/>
  <c r="U140" i="1"/>
  <c r="S140" i="1" s="1"/>
  <c r="U139" i="1"/>
  <c r="S139" i="1" s="1"/>
  <c r="AI139" i="1"/>
  <c r="U136" i="1"/>
  <c r="AI135" i="1"/>
  <c r="U132" i="1"/>
  <c r="S132" i="1" s="1"/>
  <c r="U131" i="1"/>
  <c r="S131" i="1" s="1"/>
  <c r="AI131" i="1"/>
  <c r="U119" i="1"/>
  <c r="S119" i="1" s="1"/>
  <c r="AI119" i="1"/>
  <c r="AI219" i="1"/>
  <c r="X196" i="1"/>
  <c r="AI215" i="1"/>
  <c r="X192" i="1"/>
  <c r="AI211" i="1"/>
  <c r="X188" i="1"/>
  <c r="AI207" i="1"/>
  <c r="X184" i="1"/>
  <c r="AI203" i="1"/>
  <c r="X180" i="1"/>
  <c r="AI199" i="1"/>
  <c r="X176" i="1"/>
  <c r="AI195" i="1"/>
  <c r="X172" i="1"/>
  <c r="AI191" i="1"/>
  <c r="X168" i="1"/>
  <c r="AI187" i="1"/>
  <c r="X164" i="1"/>
  <c r="AI183" i="1"/>
  <c r="X160" i="1"/>
  <c r="AI179" i="1"/>
  <c r="X231" i="1"/>
  <c r="AI175" i="1"/>
  <c r="X227" i="1"/>
  <c r="AI171" i="1"/>
  <c r="X217" i="1"/>
  <c r="AI167" i="1"/>
  <c r="X213" i="1"/>
  <c r="AI163" i="1"/>
  <c r="X209" i="1"/>
  <c r="U157" i="1"/>
  <c r="S157" i="1" s="1"/>
  <c r="W155" i="1"/>
  <c r="AA154" i="1"/>
  <c r="W154" i="1" s="1"/>
  <c r="U120" i="1"/>
  <c r="S120" i="1" s="1"/>
  <c r="U150" i="1"/>
  <c r="S150" i="1" s="1"/>
  <c r="U146" i="1"/>
  <c r="S146" i="1" s="1"/>
  <c r="U142" i="1"/>
  <c r="S142" i="1" s="1"/>
  <c r="U138" i="1"/>
  <c r="S138" i="1" s="1"/>
  <c r="U134" i="1"/>
  <c r="S134" i="1" s="1"/>
  <c r="U130" i="1"/>
  <c r="S130" i="1" s="1"/>
  <c r="U126" i="1"/>
  <c r="S126" i="1" s="1"/>
  <c r="U122" i="1"/>
  <c r="S122" i="1" s="1"/>
  <c r="S117" i="1"/>
  <c r="X116" i="1"/>
  <c r="U112" i="1"/>
  <c r="S112" i="1" s="1"/>
  <c r="AI112" i="1"/>
  <c r="W111" i="1"/>
  <c r="X154" i="1"/>
  <c r="AG153" i="1"/>
  <c r="W153" i="1" s="1"/>
  <c r="X150" i="1"/>
  <c r="AG149" i="1"/>
  <c r="X146" i="1"/>
  <c r="AG145" i="1"/>
  <c r="X142" i="1"/>
  <c r="AG141" i="1"/>
  <c r="X138" i="1"/>
  <c r="AG137" i="1"/>
  <c r="W137" i="1" s="1"/>
  <c r="X134" i="1"/>
  <c r="AG133" i="1"/>
  <c r="X130" i="1"/>
  <c r="AG129" i="1"/>
  <c r="X126" i="1"/>
  <c r="AG125" i="1"/>
  <c r="X122" i="1"/>
  <c r="AG121" i="1"/>
  <c r="W121" i="1" s="1"/>
  <c r="S111" i="1"/>
  <c r="AI111" i="1"/>
  <c r="W108" i="1"/>
  <c r="W104" i="1"/>
  <c r="W100" i="1"/>
  <c r="W96" i="1"/>
  <c r="W92" i="1"/>
  <c r="W88" i="1"/>
  <c r="X153" i="1"/>
  <c r="AI150" i="1"/>
  <c r="X149" i="1"/>
  <c r="AI146" i="1"/>
  <c r="X145" i="1"/>
  <c r="AI142" i="1"/>
  <c r="X141" i="1"/>
  <c r="AI138" i="1"/>
  <c r="X137" i="1"/>
  <c r="AI134" i="1"/>
  <c r="X133" i="1"/>
  <c r="AI130" i="1"/>
  <c r="X129" i="1"/>
  <c r="AI126" i="1"/>
  <c r="X125" i="1"/>
  <c r="AI122" i="1"/>
  <c r="X121" i="1"/>
  <c r="AI118" i="1"/>
  <c r="AI117" i="1"/>
  <c r="W116" i="1"/>
  <c r="T116" i="1"/>
  <c r="U116" i="1" s="1"/>
  <c r="S116" i="1" s="1"/>
  <c r="U115" i="1"/>
  <c r="S115" i="1" s="1"/>
  <c r="T114" i="1"/>
  <c r="X114" i="1"/>
  <c r="AG114" i="1"/>
  <c r="X115" i="1"/>
  <c r="U108" i="1"/>
  <c r="S108" i="1" s="1"/>
  <c r="AI108" i="1"/>
  <c r="U104" i="1"/>
  <c r="S104" i="1" s="1"/>
  <c r="AI104" i="1"/>
  <c r="U100" i="1"/>
  <c r="S100" i="1" s="1"/>
  <c r="AI100" i="1"/>
  <c r="U96" i="1"/>
  <c r="S96" i="1"/>
  <c r="AI96" i="1"/>
  <c r="U92" i="1"/>
  <c r="S92" i="1" s="1"/>
  <c r="AI92" i="1"/>
  <c r="U88" i="1"/>
  <c r="S88" i="1" s="1"/>
  <c r="AI88" i="1"/>
  <c r="X156" i="1"/>
  <c r="X152" i="1"/>
  <c r="X148" i="1"/>
  <c r="X144" i="1"/>
  <c r="X140" i="1"/>
  <c r="X136" i="1"/>
  <c r="X132" i="1"/>
  <c r="X128" i="1"/>
  <c r="X124" i="1"/>
  <c r="X120" i="1"/>
  <c r="AI116" i="1"/>
  <c r="S107" i="1"/>
  <c r="S91" i="1"/>
  <c r="U107" i="1"/>
  <c r="U103" i="1"/>
  <c r="S103" i="1" s="1"/>
  <c r="U99" i="1"/>
  <c r="S99" i="1" s="1"/>
  <c r="U95" i="1"/>
  <c r="S95" i="1" s="1"/>
  <c r="U91" i="1"/>
  <c r="T83" i="1"/>
  <c r="X83" i="1"/>
  <c r="U73" i="1"/>
  <c r="S73" i="1" s="1"/>
  <c r="U72" i="1"/>
  <c r="S72" i="1" s="1"/>
  <c r="AI72" i="1"/>
  <c r="U57" i="1"/>
  <c r="S57" i="1" s="1"/>
  <c r="U56" i="1"/>
  <c r="S56" i="1" s="1"/>
  <c r="AI56" i="1"/>
  <c r="W52" i="1"/>
  <c r="X111" i="1"/>
  <c r="AG110" i="1"/>
  <c r="W110" i="1" s="1"/>
  <c r="X107" i="1"/>
  <c r="AG106" i="1"/>
  <c r="X103" i="1"/>
  <c r="AG102" i="1"/>
  <c r="W102" i="1" s="1"/>
  <c r="X99" i="1"/>
  <c r="AG98" i="1"/>
  <c r="X95" i="1"/>
  <c r="AG94" i="1"/>
  <c r="W94" i="1" s="1"/>
  <c r="X91" i="1"/>
  <c r="AG90" i="1"/>
  <c r="U86" i="1"/>
  <c r="S86" i="1" s="1"/>
  <c r="AI84" i="1"/>
  <c r="X84" i="1"/>
  <c r="AG83" i="1"/>
  <c r="U69" i="1"/>
  <c r="S69" i="1" s="1"/>
  <c r="U68" i="1"/>
  <c r="S68" i="1" s="1"/>
  <c r="AI68" i="1"/>
  <c r="U53" i="1"/>
  <c r="S53" i="1" s="1"/>
  <c r="U52" i="1"/>
  <c r="S52" i="1" s="1"/>
  <c r="AI52" i="1"/>
  <c r="X110" i="1"/>
  <c r="AI107" i="1"/>
  <c r="X106" i="1"/>
  <c r="AI103" i="1"/>
  <c r="X102" i="1"/>
  <c r="AI99" i="1"/>
  <c r="X98" i="1"/>
  <c r="AI95" i="1"/>
  <c r="X94" i="1"/>
  <c r="AI91" i="1"/>
  <c r="X90" i="1"/>
  <c r="AI87" i="1"/>
  <c r="U81" i="1"/>
  <c r="S81" i="1" s="1"/>
  <c r="AI80" i="1"/>
  <c r="W76" i="1"/>
  <c r="U65" i="1"/>
  <c r="S65" i="1" s="1"/>
  <c r="U64" i="1"/>
  <c r="S64" i="1" s="1"/>
  <c r="AI64" i="1"/>
  <c r="W60" i="1"/>
  <c r="X117" i="1"/>
  <c r="X113" i="1"/>
  <c r="X109" i="1"/>
  <c r="X105" i="1"/>
  <c r="X101" i="1"/>
  <c r="X97" i="1"/>
  <c r="X93" i="1"/>
  <c r="X89" i="1"/>
  <c r="T87" i="1"/>
  <c r="U87" i="1" s="1"/>
  <c r="S87" i="1" s="1"/>
  <c r="X87" i="1"/>
  <c r="AA84" i="1"/>
  <c r="W84" i="1" s="1"/>
  <c r="AA83" i="1"/>
  <c r="T82" i="1"/>
  <c r="X82" i="1"/>
  <c r="AG82" i="1"/>
  <c r="AG79" i="1"/>
  <c r="W79" i="1" s="1"/>
  <c r="X80" i="1"/>
  <c r="T79" i="1"/>
  <c r="X79" i="1"/>
  <c r="U76" i="1"/>
  <c r="S76" i="1" s="1"/>
  <c r="AI76" i="1"/>
  <c r="U60" i="1"/>
  <c r="S60" i="1" s="1"/>
  <c r="AI60" i="1"/>
  <c r="W56" i="1"/>
  <c r="AG78" i="1"/>
  <c r="W78" i="1" s="1"/>
  <c r="X75" i="1"/>
  <c r="AG74" i="1"/>
  <c r="X71" i="1"/>
  <c r="AG70" i="1"/>
  <c r="W70" i="1" s="1"/>
  <c r="X67" i="1"/>
  <c r="AG66" i="1"/>
  <c r="X63" i="1"/>
  <c r="AG62" i="1"/>
  <c r="W62" i="1" s="1"/>
  <c r="X59" i="1"/>
  <c r="AG58" i="1"/>
  <c r="X55" i="1"/>
  <c r="AG54" i="1"/>
  <c r="W54" i="1" s="1"/>
  <c r="AG48" i="1"/>
  <c r="X48" i="1"/>
  <c r="AI47" i="1"/>
  <c r="W18" i="1"/>
  <c r="U16" i="1"/>
  <c r="X78" i="1"/>
  <c r="AI75" i="1"/>
  <c r="S75" i="1"/>
  <c r="X74" i="1"/>
  <c r="AI71" i="1"/>
  <c r="S71" i="1"/>
  <c r="X70" i="1"/>
  <c r="AI67" i="1"/>
  <c r="S67" i="1"/>
  <c r="X66" i="1"/>
  <c r="AI63" i="1"/>
  <c r="S63" i="1"/>
  <c r="X62" i="1"/>
  <c r="AI59" i="1"/>
  <c r="S59" i="1"/>
  <c r="X58" i="1"/>
  <c r="AI55" i="1"/>
  <c r="S55" i="1"/>
  <c r="X54" i="1"/>
  <c r="AI51" i="1"/>
  <c r="T50" i="1"/>
  <c r="U50" i="1" s="1"/>
  <c r="S50" i="1" s="1"/>
  <c r="W46" i="1"/>
  <c r="X77" i="1"/>
  <c r="X73" i="1"/>
  <c r="X69" i="1"/>
  <c r="X65" i="1"/>
  <c r="X61" i="1"/>
  <c r="X57" i="1"/>
  <c r="X53" i="1"/>
  <c r="T51" i="1"/>
  <c r="U51" i="1" s="1"/>
  <c r="S51" i="1" s="1"/>
  <c r="X51" i="1"/>
  <c r="X50" i="1"/>
  <c r="X49" i="1"/>
  <c r="AA48" i="1"/>
  <c r="W47" i="1"/>
  <c r="U20" i="1"/>
  <c r="S20" i="1" s="1"/>
  <c r="W14" i="1"/>
  <c r="T47" i="1"/>
  <c r="U47" i="1" s="1"/>
  <c r="S47" i="1" s="1"/>
  <c r="X47" i="1"/>
  <c r="U43" i="1"/>
  <c r="S43" i="1" s="1"/>
  <c r="U39" i="1"/>
  <c r="S39" i="1" s="1"/>
  <c r="U35" i="1"/>
  <c r="S35" i="1" s="1"/>
  <c r="U31" i="1"/>
  <c r="S31" i="1" s="1"/>
  <c r="U27" i="1"/>
  <c r="S27" i="1" s="1"/>
  <c r="U23" i="1"/>
  <c r="S23" i="1" s="1"/>
  <c r="X20" i="1"/>
  <c r="AG19" i="1"/>
  <c r="X16" i="1"/>
  <c r="AG15" i="1"/>
  <c r="W15" i="1" s="1"/>
  <c r="AG46" i="1"/>
  <c r="AI44" i="1"/>
  <c r="S44" i="1"/>
  <c r="X43" i="1"/>
  <c r="AG42" i="1"/>
  <c r="W42" i="1" s="1"/>
  <c r="AI40" i="1"/>
  <c r="S40" i="1"/>
  <c r="X39" i="1"/>
  <c r="AG38" i="1"/>
  <c r="AI36" i="1"/>
  <c r="S36" i="1"/>
  <c r="X35" i="1"/>
  <c r="AG34" i="1"/>
  <c r="W34" i="1" s="1"/>
  <c r="AI32" i="1"/>
  <c r="S32" i="1"/>
  <c r="X31" i="1"/>
  <c r="AG30" i="1"/>
  <c r="AI28" i="1"/>
  <c r="S28" i="1"/>
  <c r="X27" i="1"/>
  <c r="AG26" i="1"/>
  <c r="W26" i="1" s="1"/>
  <c r="AI24" i="1"/>
  <c r="S24" i="1"/>
  <c r="X23" i="1"/>
  <c r="AG22" i="1"/>
  <c r="W22" i="1" s="1"/>
  <c r="AI20" i="1"/>
  <c r="X19" i="1"/>
  <c r="AG18" i="1"/>
  <c r="AI16" i="1"/>
  <c r="S16" i="1"/>
  <c r="X15" i="1"/>
  <c r="AG14" i="1"/>
  <c r="X46" i="1"/>
  <c r="AI43" i="1"/>
  <c r="X42" i="1"/>
  <c r="AI39" i="1"/>
  <c r="X38" i="1"/>
  <c r="AI35" i="1"/>
  <c r="X34" i="1"/>
  <c r="AI31" i="1"/>
  <c r="X30" i="1"/>
  <c r="AI27" i="1"/>
  <c r="X26" i="1"/>
  <c r="AI23" i="1"/>
  <c r="X22" i="1"/>
  <c r="X18" i="1"/>
  <c r="AD30" i="3"/>
  <c r="AD31" i="3"/>
  <c r="AD12" i="3"/>
  <c r="Y24" i="3"/>
  <c r="Y9" i="3"/>
  <c r="AD23" i="3"/>
  <c r="Y15" i="3"/>
  <c r="AD34" i="3"/>
  <c r="Y28" i="3"/>
  <c r="AC19" i="3"/>
  <c r="AD39" i="3"/>
  <c r="AD35" i="3"/>
  <c r="Y19" i="3"/>
  <c r="AD26" i="3"/>
  <c r="AD7" i="3"/>
  <c r="Y27" i="3"/>
  <c r="AD8" i="3"/>
  <c r="Y13" i="3"/>
  <c r="AD20" i="3"/>
  <c r="AD25" i="3"/>
  <c r="AD19" i="3"/>
  <c r="AD24" i="3"/>
  <c r="AD18" i="3"/>
  <c r="AD11" i="3"/>
  <c r="AD9" i="3"/>
  <c r="AD37" i="3"/>
  <c r="AD32" i="3"/>
  <c r="AD27" i="3"/>
  <c r="AD15" i="3"/>
  <c r="AD14" i="3"/>
  <c r="AD29" i="3"/>
  <c r="AD13" i="3"/>
  <c r="AD28" i="3"/>
  <c r="AD22" i="3"/>
  <c r="AC26" i="3"/>
  <c r="Y36" i="3"/>
  <c r="Y33" i="3"/>
  <c r="Y35" i="3"/>
  <c r="Y12" i="3"/>
  <c r="Y38" i="3"/>
  <c r="Y17" i="3"/>
  <c r="Y26" i="3"/>
  <c r="Y16" i="3"/>
  <c r="Y10" i="3"/>
  <c r="Y7" i="3"/>
  <c r="Y23" i="3"/>
  <c r="Y31" i="3"/>
  <c r="Y30" i="3"/>
  <c r="Y8" i="3"/>
  <c r="Y34" i="3"/>
  <c r="Y39" i="3"/>
  <c r="AC21" i="3"/>
  <c r="U230" i="1" l="1"/>
  <c r="S230" i="1" s="1"/>
  <c r="W230" i="1"/>
  <c r="W218" i="1"/>
  <c r="U159" i="1"/>
  <c r="S159" i="1" s="1"/>
  <c r="W194" i="1"/>
  <c r="U33" i="1"/>
  <c r="S33" i="1" s="1"/>
  <c r="AI33" i="1"/>
  <c r="U25" i="1"/>
  <c r="S25" i="1" s="1"/>
  <c r="AI25" i="1"/>
  <c r="W162" i="1"/>
  <c r="W83" i="1"/>
  <c r="W37" i="1"/>
  <c r="W45" i="1"/>
  <c r="W205" i="1"/>
  <c r="AI205" i="1"/>
  <c r="U89" i="1"/>
  <c r="S89" i="1" s="1"/>
  <c r="AI89" i="1"/>
  <c r="U97" i="1"/>
  <c r="S97" i="1" s="1"/>
  <c r="AI97" i="1"/>
  <c r="U105" i="1"/>
  <c r="S105" i="1" s="1"/>
  <c r="AI105" i="1"/>
  <c r="W39" i="1"/>
  <c r="W69" i="1"/>
  <c r="W186" i="1"/>
  <c r="W136" i="1"/>
  <c r="W175" i="1"/>
  <c r="W209" i="1"/>
  <c r="AI209" i="1"/>
  <c r="U21" i="1"/>
  <c r="S21" i="1" s="1"/>
  <c r="AI21" i="1"/>
  <c r="W27" i="1"/>
  <c r="W32" i="1"/>
  <c r="W65" i="1"/>
  <c r="U113" i="1"/>
  <c r="S113" i="1" s="1"/>
  <c r="AI113" i="1"/>
  <c r="W97" i="1"/>
  <c r="W124" i="1"/>
  <c r="W105" i="1"/>
  <c r="U118" i="1"/>
  <c r="S118" i="1" s="1"/>
  <c r="W144" i="1"/>
  <c r="U156" i="1"/>
  <c r="S156" i="1" s="1"/>
  <c r="AI156" i="1"/>
  <c r="W132" i="1"/>
  <c r="U222" i="1"/>
  <c r="S222" i="1" s="1"/>
  <c r="U85" i="1"/>
  <c r="S85" i="1" s="1"/>
  <c r="AI85" i="1"/>
  <c r="U93" i="1"/>
  <c r="S93" i="1" s="1"/>
  <c r="AI93" i="1"/>
  <c r="U101" i="1"/>
  <c r="S101" i="1" s="1"/>
  <c r="AI101" i="1"/>
  <c r="U109" i="1"/>
  <c r="S109" i="1" s="1"/>
  <c r="AI109" i="1"/>
  <c r="W55" i="1"/>
  <c r="W89" i="1"/>
  <c r="W53" i="1"/>
  <c r="W170" i="1"/>
  <c r="U183" i="1"/>
  <c r="S183" i="1" s="1"/>
  <c r="W152" i="1"/>
  <c r="W208" i="1"/>
  <c r="AI201" i="1"/>
  <c r="U201" i="1"/>
  <c r="S201" i="1" s="1"/>
  <c r="W148" i="1"/>
  <c r="W159" i="1"/>
  <c r="W222" i="1"/>
  <c r="W48" i="1"/>
  <c r="W35" i="1"/>
  <c r="U17" i="1"/>
  <c r="S17" i="1" s="1"/>
  <c r="AI17" i="1"/>
  <c r="U29" i="1"/>
  <c r="S29" i="1" s="1"/>
  <c r="AI29" i="1"/>
  <c r="W67" i="1"/>
  <c r="W17" i="1"/>
  <c r="W93" i="1"/>
  <c r="W118" i="1"/>
  <c r="W130" i="1"/>
  <c r="W109" i="1"/>
  <c r="U226" i="1"/>
  <c r="S226" i="1" s="1"/>
  <c r="AI226" i="1"/>
  <c r="W178" i="1"/>
  <c r="W101" i="1"/>
  <c r="W140" i="1"/>
  <c r="W167" i="1"/>
  <c r="AI18" i="1"/>
  <c r="U18" i="1"/>
  <c r="S18" i="1" s="1"/>
  <c r="AI26" i="1"/>
  <c r="U26" i="1"/>
  <c r="S26" i="1" s="1"/>
  <c r="AI30" i="1"/>
  <c r="U30" i="1"/>
  <c r="S30" i="1" s="1"/>
  <c r="AI38" i="1"/>
  <c r="U38" i="1"/>
  <c r="S38" i="1" s="1"/>
  <c r="U46" i="1"/>
  <c r="S46" i="1" s="1"/>
  <c r="AI46" i="1"/>
  <c r="AI19" i="1"/>
  <c r="U19" i="1"/>
  <c r="S19" i="1" s="1"/>
  <c r="W38" i="1"/>
  <c r="AI114" i="1"/>
  <c r="U114" i="1"/>
  <c r="S114" i="1" s="1"/>
  <c r="AI15" i="1"/>
  <c r="U15" i="1"/>
  <c r="S15" i="1" s="1"/>
  <c r="W30" i="1"/>
  <c r="AI48" i="1"/>
  <c r="U48" i="1"/>
  <c r="S48" i="1" s="1"/>
  <c r="AI58" i="1"/>
  <c r="U58" i="1"/>
  <c r="S58" i="1" s="1"/>
  <c r="S66" i="1"/>
  <c r="AI66" i="1"/>
  <c r="U66" i="1"/>
  <c r="AI74" i="1"/>
  <c r="U74" i="1"/>
  <c r="S74" i="1" s="1"/>
  <c r="W58" i="1"/>
  <c r="W74" i="1"/>
  <c r="U82" i="1"/>
  <c r="S82" i="1" s="1"/>
  <c r="AI82" i="1"/>
  <c r="W66" i="1"/>
  <c r="AI94" i="1"/>
  <c r="U94" i="1"/>
  <c r="S94" i="1" s="1"/>
  <c r="AI102" i="1"/>
  <c r="U102" i="1"/>
  <c r="S102" i="1" s="1"/>
  <c r="AI110" i="1"/>
  <c r="U110" i="1"/>
  <c r="S110" i="1" s="1"/>
  <c r="W114" i="1"/>
  <c r="AI125" i="1"/>
  <c r="U125" i="1"/>
  <c r="S125" i="1" s="1"/>
  <c r="AI133" i="1"/>
  <c r="U133" i="1"/>
  <c r="S133" i="1" s="1"/>
  <c r="AI141" i="1"/>
  <c r="U141" i="1"/>
  <c r="S141" i="1" s="1"/>
  <c r="AI149" i="1"/>
  <c r="U149" i="1"/>
  <c r="S149" i="1" s="1"/>
  <c r="W125" i="1"/>
  <c r="U217" i="1"/>
  <c r="S217" i="1"/>
  <c r="AI170" i="1"/>
  <c r="U164" i="1"/>
  <c r="S164" i="1" s="1"/>
  <c r="AI186" i="1"/>
  <c r="U180" i="1"/>
  <c r="S180" i="1" s="1"/>
  <c r="AI202" i="1"/>
  <c r="U196" i="1"/>
  <c r="S196" i="1" s="1"/>
  <c r="AI218" i="1"/>
  <c r="W133" i="1"/>
  <c r="W149" i="1"/>
  <c r="AI83" i="1"/>
  <c r="U83" i="1"/>
  <c r="S83" i="1" s="1"/>
  <c r="W82" i="1"/>
  <c r="U213" i="1"/>
  <c r="S213" i="1" s="1"/>
  <c r="AI166" i="1"/>
  <c r="U160" i="1"/>
  <c r="S160" i="1" s="1"/>
  <c r="AI182" i="1"/>
  <c r="U176" i="1"/>
  <c r="S176" i="1" s="1"/>
  <c r="AI198" i="1"/>
  <c r="U192" i="1"/>
  <c r="S192" i="1" s="1"/>
  <c r="AI214" i="1"/>
  <c r="U200" i="1"/>
  <c r="S200" i="1" s="1"/>
  <c r="AI222" i="1"/>
  <c r="AI227" i="1"/>
  <c r="U205" i="1"/>
  <c r="S205" i="1" s="1"/>
  <c r="W19" i="1"/>
  <c r="AI54" i="1"/>
  <c r="U54" i="1"/>
  <c r="S54" i="1" s="1"/>
  <c r="AI62" i="1"/>
  <c r="U62" i="1"/>
  <c r="S62" i="1" s="1"/>
  <c r="AI70" i="1"/>
  <c r="U70" i="1"/>
  <c r="S70" i="1" s="1"/>
  <c r="AI78" i="1"/>
  <c r="U78" i="1"/>
  <c r="S78" i="1" s="1"/>
  <c r="AI90" i="1"/>
  <c r="U90" i="1"/>
  <c r="S90" i="1" s="1"/>
  <c r="AI98" i="1"/>
  <c r="U98" i="1"/>
  <c r="S98" i="1" s="1"/>
  <c r="AI106" i="1"/>
  <c r="U106" i="1"/>
  <c r="S106" i="1" s="1"/>
  <c r="AI121" i="1"/>
  <c r="U121" i="1"/>
  <c r="S121" i="1" s="1"/>
  <c r="AI129" i="1"/>
  <c r="U129" i="1"/>
  <c r="S129" i="1" s="1"/>
  <c r="AI137" i="1"/>
  <c r="U137" i="1"/>
  <c r="S137" i="1" s="1"/>
  <c r="AI145" i="1"/>
  <c r="U145" i="1"/>
  <c r="S145" i="1" s="1"/>
  <c r="S153" i="1"/>
  <c r="AI153" i="1"/>
  <c r="U153" i="1"/>
  <c r="U209" i="1"/>
  <c r="S209" i="1" s="1"/>
  <c r="AI162" i="1"/>
  <c r="U231" i="1"/>
  <c r="S231" i="1" s="1"/>
  <c r="AI178" i="1"/>
  <c r="U172" i="1"/>
  <c r="S172" i="1" s="1"/>
  <c r="AI194" i="1"/>
  <c r="U188" i="1"/>
  <c r="S188" i="1"/>
  <c r="AI210" i="1"/>
  <c r="W141" i="1"/>
  <c r="W200" i="1"/>
  <c r="AI231" i="1"/>
  <c r="U223" i="1"/>
  <c r="S223" i="1" s="1"/>
  <c r="AI232" i="1"/>
  <c r="U224" i="1"/>
  <c r="S224" i="1" s="1"/>
  <c r="W223" i="1"/>
  <c r="AI14" i="1"/>
  <c r="U14" i="1"/>
  <c r="S14" i="1" s="1"/>
  <c r="AI22" i="1"/>
  <c r="U22" i="1"/>
  <c r="S22" i="1" s="1"/>
  <c r="AI34" i="1"/>
  <c r="U34" i="1"/>
  <c r="S34" i="1" s="1"/>
  <c r="AI42" i="1"/>
  <c r="U42" i="1"/>
  <c r="S42" i="1" s="1"/>
  <c r="U79" i="1"/>
  <c r="S79" i="1" s="1"/>
  <c r="AI79" i="1"/>
  <c r="W90" i="1"/>
  <c r="W98" i="1"/>
  <c r="W106" i="1"/>
  <c r="U158" i="1"/>
  <c r="S158" i="1" s="1"/>
  <c r="AI158" i="1"/>
  <c r="U227" i="1"/>
  <c r="S227" i="1"/>
  <c r="AI174" i="1"/>
  <c r="U168" i="1"/>
  <c r="S168" i="1" s="1"/>
  <c r="AI190" i="1"/>
  <c r="U184" i="1"/>
  <c r="S184" i="1" s="1"/>
  <c r="AI206" i="1"/>
  <c r="W145" i="1"/>
  <c r="AI159" i="1"/>
  <c r="U206" i="1"/>
  <c r="S206" i="1" s="1"/>
  <c r="W129" i="1"/>
  <c r="W158" i="1"/>
  <c r="W217" i="1"/>
  <c r="W164" i="1"/>
  <c r="W180" i="1"/>
  <c r="W196" i="1"/>
  <c r="W213" i="1"/>
  <c r="W160" i="1"/>
  <c r="W176" i="1"/>
  <c r="W192" i="1"/>
  <c r="W224" i="1"/>
  <c r="AD21" i="3"/>
  <c r="G3" i="4"/>
  <c r="G4" i="4"/>
  <c r="G5" i="4"/>
  <c r="G6" i="4"/>
  <c r="G7" i="4"/>
  <c r="G8" i="4"/>
  <c r="G9" i="4"/>
  <c r="N22" i="3" s="1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N36" i="3" l="1"/>
  <c r="N35" i="3"/>
  <c r="N12" i="3"/>
  <c r="N11" i="3"/>
  <c r="N26" i="3"/>
  <c r="N15" i="3"/>
  <c r="N14" i="3"/>
  <c r="N28" i="3"/>
  <c r="N20" i="3"/>
  <c r="N19" i="3"/>
  <c r="N23" i="3"/>
  <c r="N13" i="3"/>
  <c r="N38" i="3"/>
  <c r="N18" i="3"/>
  <c r="N17" i="3"/>
  <c r="N37" i="3"/>
  <c r="N21" i="3"/>
  <c r="N7" i="3"/>
  <c r="N30" i="3"/>
  <c r="N29" i="3"/>
  <c r="N34" i="3"/>
  <c r="N39" i="3"/>
  <c r="N33" i="3"/>
  <c r="N25" i="3"/>
  <c r="N24" i="3"/>
  <c r="N9" i="3"/>
  <c r="N16" i="3"/>
  <c r="N10" i="3"/>
  <c r="N27" i="3"/>
  <c r="N32" i="3"/>
  <c r="N31" i="3"/>
  <c r="N8" i="3"/>
  <c r="L13" i="1"/>
  <c r="B5" i="6" l="1"/>
  <c r="H5" i="6" s="1"/>
  <c r="K5" i="6"/>
  <c r="B6" i="6"/>
  <c r="F6" i="6" s="1"/>
  <c r="K6" i="6"/>
  <c r="B7" i="6"/>
  <c r="G7" i="6" s="1"/>
  <c r="K7" i="6"/>
  <c r="B8" i="6"/>
  <c r="H8" i="6" s="1"/>
  <c r="K8" i="6"/>
  <c r="B9" i="6"/>
  <c r="H9" i="6" s="1"/>
  <c r="K9" i="6"/>
  <c r="F7" i="6" l="1"/>
  <c r="J8" i="6"/>
  <c r="I5" i="6"/>
  <c r="G9" i="6"/>
  <c r="J9" i="6"/>
  <c r="F9" i="6"/>
  <c r="I8" i="6"/>
  <c r="G5" i="6"/>
  <c r="G8" i="6"/>
  <c r="J7" i="6"/>
  <c r="J5" i="6"/>
  <c r="F5" i="6"/>
  <c r="I9" i="6"/>
  <c r="F8" i="6"/>
  <c r="I7" i="6"/>
  <c r="I6" i="6"/>
  <c r="H6" i="6"/>
  <c r="H7" i="6"/>
  <c r="G6" i="6"/>
  <c r="J6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S22" i="3" l="1"/>
  <c r="S21" i="3"/>
  <c r="R22" i="3"/>
  <c r="R21" i="3"/>
  <c r="T13" i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U13" i="1"/>
  <c r="S13" i="1" s="1"/>
  <c r="B3" i="6" l="1"/>
  <c r="K3" i="6"/>
  <c r="B4" i="6"/>
  <c r="K4" i="6"/>
  <c r="I4" i="6" l="1"/>
  <c r="F3" i="6"/>
  <c r="J3" i="6"/>
  <c r="J4" i="6"/>
  <c r="F4" i="6"/>
  <c r="I3" i="6"/>
  <c r="M30" i="5" l="1"/>
  <c r="M29" i="5"/>
  <c r="M27" i="5"/>
  <c r="G3" i="6" l="1"/>
  <c r="F250" i="4"/>
  <c r="F251" i="4"/>
  <c r="G4" i="6" l="1"/>
  <c r="H3" i="6"/>
  <c r="H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2" i="4" l="1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<sst xmlns="http://schemas.openxmlformats.org/spreadsheetml/2006/main" count="2574" uniqueCount="939">
  <si>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</si>
  <si>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</si>
  <si>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</si>
  <si>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</si>
  <si>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</si>
  <si>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</si>
  <si>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</si>
  <si>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</si>
  <si>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</si>
  <si>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</si>
  <si>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</si>
  <si>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</si>
  <si>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</si>
  <si>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</si>
  <si>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</si>
  <si>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</si>
  <si>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</si>
  <si>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</si>
  <si>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</si>
  <si>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</si>
  <si>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</si>
  <si>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</si>
  <si>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</si>
  <si>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</si>
  <si>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</si>
  <si>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</si>
  <si>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</si>
  <si>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</si>
  <si>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</si>
  <si>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</si>
  <si>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</si>
  <si>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</si>
  <si>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</si>
  <si>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</si>
  <si>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</si>
  <si>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</si>
  <si>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</si>
  <si>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</si>
  <si>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</si>
  <si>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</si>
  <si>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</si>
  <si>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</si>
  <si>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</si>
  <si>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</si>
  <si>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</si>
  <si>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</si>
  <si>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</si>
  <si>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</si>
  <si>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</si>
  <si>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</si>
  <si>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</si>
  <si>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</si>
  <si>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</si>
  <si>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</si>
  <si>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</si>
  <si>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</si>
  <si>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</si>
  <si>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</si>
  <si>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</si>
  <si>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</si>
  <si>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</si>
  <si>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</si>
  <si>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</si>
  <si>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</si>
  <si>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</si>
  <si>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</si>
  <si>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</si>
  <si>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</si>
  <si>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</si>
  <si>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</si>
  <si>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</si>
  <si>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</si>
  <si>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</si>
  <si>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</si>
  <si>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</si>
  <si>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</si>
  <si>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</si>
  <si>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</si>
  <si>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</si>
  <si>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</si>
  <si>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</si>
  <si>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</si>
  <si>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</si>
  <si>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</si>
  <si>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</si>
  <si>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</si>
  <si>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</si>
  <si>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</si>
  <si>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</si>
  <si>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</si>
  <si>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</si>
  <si>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</si>
  <si>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</si>
  <si>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</si>
  <si>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</si>
  <si>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</si>
  <si>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</si>
  <si>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</si>
  <si>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</si>
  <si>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</si>
  <si>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</si>
  <si>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</si>
  <si>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</si>
  <si>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</si>
  <si>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</si>
  <si>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</si>
  <si>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</si>
  <si>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</si>
  <si>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</si>
  <si>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</si>
  <si>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</si>
  <si>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</si>
  <si>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</si>
  <si>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</si>
  <si>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</si>
  <si>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</si>
  <si>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</si>
  <si>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</si>
  <si>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</si>
  <si>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</si>
  <si>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</si>
  <si>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</si>
  <si>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</si>
  <si>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</si>
  <si>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</si>
  <si>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</si>
  <si>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</si>
  <si>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</si>
  <si>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</si>
  <si>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</si>
  <si>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</si>
  <si>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</si>
  <si>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</si>
  <si>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</si>
  <si>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</si>
  <si>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</si>
  <si>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</si>
  <si>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</si>
  <si>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</si>
  <si>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</si>
  <si>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</si>
  <si>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</si>
  <si>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</si>
  <si>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</si>
  <si>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</si>
  <si>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</si>
  <si>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</si>
  <si>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</si>
  <si>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</si>
  <si>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</si>
  <si>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</si>
  <si>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</si>
  <si>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</si>
  <si>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</si>
  <si>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</si>
  <si>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</si>
  <si>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</si>
  <si>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</si>
  <si>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</si>
  <si>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</si>
  <si>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</si>
  <si>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</si>
  <si>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</si>
  <si>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</si>
  <si>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</si>
  <si>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</si>
  <si>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</si>
  <si>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</si>
  <si>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</si>
  <si>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</si>
  <si>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</si>
  <si>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</si>
  <si>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</si>
  <si>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</si>
  <si>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</si>
  <si>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</si>
  <si>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</si>
  <si>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</si>
  <si>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</si>
  <si>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</si>
  <si>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</si>
  <si>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</si>
  <si>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</si>
  <si>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</si>
  <si>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</si>
  <si>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</si>
  <si>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</si>
  <si>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</si>
  <si>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</si>
  <si>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</si>
  <si>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</si>
  <si>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</si>
  <si>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</si>
  <si>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</si>
  <si>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</si>
  <si>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</si>
  <si>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</si>
  <si>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</si>
  <si>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</si>
  <si>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</si>
  <si>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</si>
  <si>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</si>
  <si>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</si>
  <si>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</si>
  <si>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</si>
  <si>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</si>
  <si>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</si>
  <si>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rtdc.l.rtdc.4011:itc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</si>
  <si>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</si>
  <si>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</si>
  <si>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</si>
  <si>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</si>
  <si>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</si>
  <si>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</si>
  <si>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</si>
  <si>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</si>
  <si>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</si>
  <si>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</si>
  <si>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</si>
  <si>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</si>
  <si>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</si>
  <si>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</si>
  <si>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</si>
  <si>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</si>
  <si>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</si>
  <si>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</si>
  <si>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</si>
  <si>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</si>
  <si>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</si>
  <si>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</si>
  <si>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204:449</t>
  </si>
  <si>
    <t>204:141</t>
  </si>
  <si>
    <t>rtdc.l.rtdc.4014:itc</t>
  </si>
  <si>
    <t>rtdc.l.rtdc.4013:itc</t>
  </si>
  <si>
    <t>CLI Grep2 (for slice disagreement)</t>
  </si>
  <si>
    <t>Y</t>
  </si>
  <si>
    <t>204:147</t>
  </si>
  <si>
    <t>204:232993</t>
  </si>
  <si>
    <t>204:165</t>
  </si>
  <si>
    <t>204:455</t>
  </si>
  <si>
    <t>rtdc.l.rtdc.4031:itc</t>
  </si>
  <si>
    <t>204:442</t>
  </si>
  <si>
    <t>rtdc.l.rtdc.4046:itc</t>
  </si>
  <si>
    <t>204:161</t>
  </si>
  <si>
    <t>204:460</t>
  </si>
  <si>
    <t>204:233302</t>
  </si>
  <si>
    <t>204:457</t>
  </si>
  <si>
    <t>204:471</t>
  </si>
  <si>
    <t>rtdc.l.rtdc.4042:itc</t>
  </si>
  <si>
    <t>rtdc.l.rtdc.4041:itc</t>
  </si>
  <si>
    <t>DAVIDSON</t>
  </si>
  <si>
    <t>SAFIEF</t>
  </si>
  <si>
    <t>204:233307</t>
  </si>
  <si>
    <t>204:233308</t>
  </si>
  <si>
    <t>rtdc.l.rtdc.4004:itc</t>
  </si>
  <si>
    <t>204:232989</t>
  </si>
  <si>
    <t>rtdc.l.rtdc.4010:itc</t>
  </si>
  <si>
    <t>204:232988</t>
  </si>
  <si>
    <t>204:145</t>
  </si>
  <si>
    <t>204:467</t>
  </si>
  <si>
    <t>204:233298</t>
  </si>
  <si>
    <t>rtdc.l.rtdc.4032:itc</t>
  </si>
  <si>
    <t>242-25</t>
  </si>
  <si>
    <t>CHANDLER</t>
  </si>
  <si>
    <t>LALONDE</t>
  </si>
  <si>
    <t>81-25</t>
  </si>
  <si>
    <t>80-25</t>
  </si>
  <si>
    <t>245-25</t>
  </si>
  <si>
    <t>309-25</t>
  </si>
  <si>
    <t>244-25</t>
  </si>
  <si>
    <t>311-25</t>
  </si>
  <si>
    <t>246-25</t>
  </si>
  <si>
    <t>313-25</t>
  </si>
  <si>
    <t>315-25</t>
  </si>
  <si>
    <t>204:233301</t>
  </si>
  <si>
    <t>partly-cloudy-night</t>
  </si>
  <si>
    <t>partly-cloudy-day</t>
  </si>
  <si>
    <t>204:160</t>
  </si>
  <si>
    <t>204:232982</t>
  </si>
  <si>
    <t>204:458</t>
  </si>
  <si>
    <t>rtdc.l.rtdc.4016:itc</t>
  </si>
  <si>
    <t>rtdc.l.rtdc.4001:itc</t>
  </si>
  <si>
    <t>LEVERE</t>
  </si>
  <si>
    <t>COOLAHAN</t>
  </si>
  <si>
    <t>204:163</t>
  </si>
  <si>
    <t>204:233289</t>
  </si>
  <si>
    <t>204:233297</t>
  </si>
  <si>
    <t>:.+((SYSTEM_STATE.+slice.+state.+changed )|(ment ac)|(multiple cpu faults)|(system.+state.+changed )|(\[timeout)|(PRM\|1\|D)|(kpr)|(kdp)|(\|lc)|(penalty))</t>
  </si>
  <si>
    <t>YANAI</t>
  </si>
  <si>
    <t>Partly Cloudy</t>
  </si>
  <si>
    <t>204:438</t>
  </si>
  <si>
    <t>204:971</t>
  </si>
  <si>
    <t>300:58623</t>
  </si>
  <si>
    <t>rtdc.l.rtdc.4030:itc</t>
  </si>
  <si>
    <t>GRADE CROSSING</t>
  </si>
  <si>
    <t>Bulletin (2)</t>
  </si>
  <si>
    <t>rtdc.l.rtdc.4029:itc</t>
  </si>
  <si>
    <t>rtdc.l.rtdc.4021:itc</t>
  </si>
  <si>
    <t>rtdc.l.rtdc.4043:itc</t>
  </si>
  <si>
    <t>204:233310</t>
  </si>
  <si>
    <t>204:233312</t>
  </si>
  <si>
    <t>204:232969</t>
  </si>
  <si>
    <t>204:169</t>
  </si>
  <si>
    <t>204:446</t>
  </si>
  <si>
    <t>204:232987</t>
  </si>
  <si>
    <t>204:233015</t>
  </si>
  <si>
    <t>204:232991</t>
  </si>
  <si>
    <t>JOHN</t>
  </si>
  <si>
    <t>IAN</t>
  </si>
  <si>
    <t>MICHAEL</t>
  </si>
  <si>
    <t>DAVID</t>
  </si>
  <si>
    <t>CRAIG</t>
  </si>
  <si>
    <t>SCOTT</t>
  </si>
  <si>
    <t>JAMES</t>
  </si>
  <si>
    <t>Last + First</t>
  </si>
  <si>
    <t>Employee First Name</t>
  </si>
  <si>
    <t>rtdc.l.rtdc.4017:itc</t>
  </si>
  <si>
    <t>242-01</t>
  </si>
  <si>
    <t>240-01</t>
  </si>
  <si>
    <t>ROBINSON</t>
  </si>
  <si>
    <t>KADDIBA</t>
  </si>
  <si>
    <t>rtdc.l.rtdc.4028:itc</t>
  </si>
  <si>
    <t>rtdc.l.rtdc.4027:itc</t>
  </si>
  <si>
    <t>YORK</t>
  </si>
  <si>
    <t>EDGAR</t>
  </si>
  <si>
    <t>rtdc.l.rtdc.4019:itc</t>
  </si>
  <si>
    <t>SHOOK</t>
  </si>
  <si>
    <t>rtdc.l.rtdc.4020:itc</t>
  </si>
  <si>
    <t>rtdc.l.rtdc.4018:itc</t>
  </si>
  <si>
    <t>908-01</t>
  </si>
  <si>
    <t>237-01</t>
  </si>
  <si>
    <t>234-01</t>
  </si>
  <si>
    <t>236-01</t>
  </si>
  <si>
    <t>239-01</t>
  </si>
  <si>
    <t>238-01</t>
  </si>
  <si>
    <t>241-01</t>
  </si>
  <si>
    <t>243-01</t>
  </si>
  <si>
    <t>309-01</t>
  </si>
  <si>
    <t>311-01</t>
  </si>
  <si>
    <t>244-01</t>
  </si>
  <si>
    <t>313-01</t>
  </si>
  <si>
    <t>204:469</t>
  </si>
  <si>
    <t>204:233282</t>
  </si>
  <si>
    <t>204:232978</t>
  </si>
  <si>
    <t>204:232967</t>
  </si>
  <si>
    <t>204:127</t>
  </si>
  <si>
    <t>300:58619</t>
  </si>
  <si>
    <t>204:974</t>
  </si>
  <si>
    <t>300:58621</t>
  </si>
  <si>
    <t>KELVIN</t>
  </si>
  <si>
    <t>KILLION</t>
  </si>
  <si>
    <t>CLARK</t>
  </si>
  <si>
    <t>KATHLEEN</t>
  </si>
  <si>
    <t>STEWART</t>
  </si>
  <si>
    <t>BARTLETT</t>
  </si>
  <si>
    <t>KIANDRA</t>
  </si>
  <si>
    <t>BRUDER</t>
  </si>
  <si>
    <t>RICHARD</t>
  </si>
  <si>
    <t>HAITHCOX</t>
  </si>
  <si>
    <t>NEWELL</t>
  </si>
  <si>
    <t>clear-night</t>
  </si>
  <si>
    <t>Clear</t>
  </si>
  <si>
    <t>204:453</t>
  </si>
  <si>
    <t>204:444</t>
  </si>
  <si>
    <t>204:233315</t>
  </si>
  <si>
    <t>204:232986</t>
  </si>
  <si>
    <t>204:233291</t>
  </si>
  <si>
    <t>204:475</t>
  </si>
  <si>
    <t>204:233293</t>
  </si>
  <si>
    <t>204:232985</t>
  </si>
  <si>
    <t>204:440</t>
  </si>
  <si>
    <t>204:233295</t>
  </si>
  <si>
    <t>204:689</t>
  </si>
  <si>
    <t>204:480</t>
  </si>
  <si>
    <t>204:134</t>
  </si>
  <si>
    <t>204:744</t>
  </si>
  <si>
    <t>300:23299</t>
  </si>
  <si>
    <t>STARKS</t>
  </si>
  <si>
    <t>ANGELINA</t>
  </si>
  <si>
    <t>YOUNG</t>
  </si>
  <si>
    <t>ELIZABETH</t>
  </si>
  <si>
    <t>ROMERO</t>
  </si>
  <si>
    <t>CHAD</t>
  </si>
  <si>
    <t>rtdc.l.rtdc.4054:itc</t>
  </si>
  <si>
    <t>rtdc.l.rtdc.4053:itc</t>
  </si>
  <si>
    <t>242-04</t>
  </si>
  <si>
    <t>311-04</t>
  </si>
  <si>
    <t>244-04</t>
  </si>
  <si>
    <t>313-04</t>
  </si>
  <si>
    <t>315-04</t>
  </si>
  <si>
    <t>204:152</t>
  </si>
  <si>
    <t>204:233304</t>
  </si>
  <si>
    <t>204:232973</t>
  </si>
  <si>
    <t>204:139</t>
  </si>
  <si>
    <t>204:232983</t>
  </si>
  <si>
    <t>204:233285</t>
  </si>
  <si>
    <t>204:233278</t>
  </si>
  <si>
    <t>204:232955</t>
  </si>
  <si>
    <t>204:464</t>
  </si>
  <si>
    <t>204:232981</t>
  </si>
  <si>
    <t>204:233004</t>
  </si>
  <si>
    <t>204:233300</t>
  </si>
  <si>
    <t>204:233321</t>
  </si>
  <si>
    <t>204:233322</t>
  </si>
  <si>
    <t>204:232990</t>
  </si>
  <si>
    <t>204:473</t>
  </si>
  <si>
    <t>204:801</t>
  </si>
  <si>
    <t>300:58943</t>
  </si>
  <si>
    <t>300:58958</t>
  </si>
  <si>
    <t>300:58944</t>
  </si>
  <si>
    <t>300:58624</t>
  </si>
  <si>
    <t>300:58939</t>
  </si>
  <si>
    <t>204:680</t>
  </si>
  <si>
    <t>300:58950</t>
  </si>
  <si>
    <t>204:936</t>
  </si>
  <si>
    <t>300:58941</t>
  </si>
  <si>
    <t>204:232994</t>
  </si>
  <si>
    <t>204:233284</t>
  </si>
  <si>
    <t>204:233280</t>
  </si>
  <si>
    <t>204:232972</t>
  </si>
  <si>
    <t>204:233281</t>
  </si>
  <si>
    <t>300:22843</t>
  </si>
  <si>
    <t>Onboard in-route failure</t>
  </si>
  <si>
    <t>Pena 4S STOP</t>
  </si>
  <si>
    <t>40th 4S STOP</t>
  </si>
  <si>
    <t>Wi-MAX data drop</t>
  </si>
  <si>
    <t>101-05</t>
  </si>
  <si>
    <t>901-05</t>
  </si>
  <si>
    <t>rtdc.l.rtdc.4015:itc</t>
  </si>
  <si>
    <t>800-05</t>
  </si>
  <si>
    <t>801-05</t>
  </si>
  <si>
    <t>112-05</t>
  </si>
  <si>
    <t>129-05</t>
  </si>
  <si>
    <t>806-05</t>
  </si>
  <si>
    <t>126-05</t>
  </si>
  <si>
    <t>810-05</t>
  </si>
  <si>
    <t>128-05</t>
  </si>
  <si>
    <t>137-05</t>
  </si>
  <si>
    <t>814-05</t>
  </si>
  <si>
    <t>SWITCH UNKNOWN</t>
  </si>
  <si>
    <t>Track device (7)</t>
  </si>
  <si>
    <t>149-05</t>
  </si>
  <si>
    <t>154-05</t>
  </si>
  <si>
    <t>rtdc.l.rtdc.4007:itc</t>
  </si>
  <si>
    <t>57-05</t>
  </si>
  <si>
    <t>164-05</t>
  </si>
  <si>
    <t>170-05</t>
  </si>
  <si>
    <t>821-05</t>
  </si>
  <si>
    <t>179-05</t>
  </si>
  <si>
    <t>174-05</t>
  </si>
  <si>
    <t>178-05</t>
  </si>
  <si>
    <t>904-05</t>
  </si>
  <si>
    <t>193-05</t>
  </si>
  <si>
    <t>192-05</t>
  </si>
  <si>
    <t>188-05</t>
  </si>
  <si>
    <t>829-05</t>
  </si>
  <si>
    <t>203-05</t>
  </si>
  <si>
    <t>836-05</t>
  </si>
  <si>
    <t>214-05</t>
  </si>
  <si>
    <t>847-05</t>
  </si>
  <si>
    <t>302-05</t>
  </si>
  <si>
    <t>103-05</t>
  </si>
  <si>
    <t>MAGEE</t>
  </si>
  <si>
    <t>KENYA</t>
  </si>
  <si>
    <t>304-05</t>
  </si>
  <si>
    <t>306-05</t>
  </si>
  <si>
    <t>102-05</t>
  </si>
  <si>
    <t>308-05</t>
  </si>
  <si>
    <t>ISHMAEL</t>
  </si>
  <si>
    <t>JOSEPH</t>
  </si>
  <si>
    <t>105-05</t>
  </si>
  <si>
    <t>310-05</t>
  </si>
  <si>
    <t>107-05</t>
  </si>
  <si>
    <t>109-05</t>
  </si>
  <si>
    <t>104-05</t>
  </si>
  <si>
    <t>DAVIS</t>
  </si>
  <si>
    <t>WENDY</t>
  </si>
  <si>
    <t>106-05</t>
  </si>
  <si>
    <t>113-05</t>
  </si>
  <si>
    <t>111-05</t>
  </si>
  <si>
    <t>108-05</t>
  </si>
  <si>
    <t>110-05</t>
  </si>
  <si>
    <t>115-05</t>
  </si>
  <si>
    <t>117-05</t>
  </si>
  <si>
    <t>119-05</t>
  </si>
  <si>
    <t>902-05</t>
  </si>
  <si>
    <t>AEIMEN</t>
  </si>
  <si>
    <t>114-05</t>
  </si>
  <si>
    <t>121-05</t>
  </si>
  <si>
    <t>802-05</t>
  </si>
  <si>
    <t>803-05</t>
  </si>
  <si>
    <t>116-05</t>
  </si>
  <si>
    <t>123-05</t>
  </si>
  <si>
    <t>118-05</t>
  </si>
  <si>
    <t>804-05</t>
  </si>
  <si>
    <t>125-05</t>
  </si>
  <si>
    <t>805-05</t>
  </si>
  <si>
    <t>120-05</t>
  </si>
  <si>
    <t>127-05</t>
  </si>
  <si>
    <t>122-05</t>
  </si>
  <si>
    <t>807-05</t>
  </si>
  <si>
    <t>DE LA ROSA</t>
  </si>
  <si>
    <t>ALEX</t>
  </si>
  <si>
    <t>124-05</t>
  </si>
  <si>
    <t>131-05</t>
  </si>
  <si>
    <t>133-05</t>
  </si>
  <si>
    <t>809-05</t>
  </si>
  <si>
    <t>808-05</t>
  </si>
  <si>
    <t>135-05</t>
  </si>
  <si>
    <t>130-05</t>
  </si>
  <si>
    <t>811-05</t>
  </si>
  <si>
    <t>132-05</t>
  </si>
  <si>
    <t>139-05</t>
  </si>
  <si>
    <t>903-05</t>
  </si>
  <si>
    <t>134-05</t>
  </si>
  <si>
    <t>812-05</t>
  </si>
  <si>
    <t>141-05</t>
  </si>
  <si>
    <t>136-05</t>
  </si>
  <si>
    <t>138-05</t>
  </si>
  <si>
    <t>143-05</t>
  </si>
  <si>
    <t>145-05</t>
  </si>
  <si>
    <t>813-05</t>
  </si>
  <si>
    <t>140-05</t>
  </si>
  <si>
    <t>147-05</t>
  </si>
  <si>
    <t>142-05</t>
  </si>
  <si>
    <t>144-05</t>
  </si>
  <si>
    <t>151-05</t>
  </si>
  <si>
    <t>815-05</t>
  </si>
  <si>
    <t>146-05</t>
  </si>
  <si>
    <t>153-05</t>
  </si>
  <si>
    <t>148-05</t>
  </si>
  <si>
    <t>155-05</t>
  </si>
  <si>
    <t>50-05</t>
  </si>
  <si>
    <t>150-05</t>
  </si>
  <si>
    <t>152-05</t>
  </si>
  <si>
    <t>816-05</t>
  </si>
  <si>
    <t>157-05</t>
  </si>
  <si>
    <t>rtdc.l.rtdc.4008:itc</t>
  </si>
  <si>
    <t>52-05</t>
  </si>
  <si>
    <t>CRAYTON</t>
  </si>
  <si>
    <t>QUNTRELL</t>
  </si>
  <si>
    <t>159-05</t>
  </si>
  <si>
    <t>161-05</t>
  </si>
  <si>
    <t>817-05</t>
  </si>
  <si>
    <t>55-05</t>
  </si>
  <si>
    <t>GRASTON</t>
  </si>
  <si>
    <t>MATHEU</t>
  </si>
  <si>
    <t>156-05</t>
  </si>
  <si>
    <t>158-05</t>
  </si>
  <si>
    <t>163-05</t>
  </si>
  <si>
    <t>BONDS</t>
  </si>
  <si>
    <t>REYNALDO</t>
  </si>
  <si>
    <t>165-05</t>
  </si>
  <si>
    <t>818-05</t>
  </si>
  <si>
    <t>160-05</t>
  </si>
  <si>
    <t>167-05</t>
  </si>
  <si>
    <t>819-05</t>
  </si>
  <si>
    <t>162-05</t>
  </si>
  <si>
    <t>169-05</t>
  </si>
  <si>
    <t>HELVIE</t>
  </si>
  <si>
    <t>ADAM</t>
  </si>
  <si>
    <t>820-05</t>
  </si>
  <si>
    <t>166-05</t>
  </si>
  <si>
    <t>171-05</t>
  </si>
  <si>
    <t>168-05</t>
  </si>
  <si>
    <t>173-05</t>
  </si>
  <si>
    <t>175-05</t>
  </si>
  <si>
    <t>177-05</t>
  </si>
  <si>
    <t>172-05</t>
  </si>
  <si>
    <t>822-05</t>
  </si>
  <si>
    <t>181-05</t>
  </si>
  <si>
    <t>176-05</t>
  </si>
  <si>
    <t>183-05</t>
  </si>
  <si>
    <t>185-05</t>
  </si>
  <si>
    <t>823-05</t>
  </si>
  <si>
    <t>180-05</t>
  </si>
  <si>
    <t>187-05</t>
  </si>
  <si>
    <t>182-05</t>
  </si>
  <si>
    <t>824-05</t>
  </si>
  <si>
    <t>189-05</t>
  </si>
  <si>
    <t>184-05</t>
  </si>
  <si>
    <t>191-05</t>
  </si>
  <si>
    <t>186-05</t>
  </si>
  <si>
    <t>825-05</t>
  </si>
  <si>
    <t>195-05</t>
  </si>
  <si>
    <t>190-05</t>
  </si>
  <si>
    <t>826-05</t>
  </si>
  <si>
    <t>197-05</t>
  </si>
  <si>
    <t>827-05</t>
  </si>
  <si>
    <t>199-05</t>
  </si>
  <si>
    <t>194-05</t>
  </si>
  <si>
    <t>828-05</t>
  </si>
  <si>
    <t>201-05</t>
  </si>
  <si>
    <t>196-05</t>
  </si>
  <si>
    <t>198-05</t>
  </si>
  <si>
    <t>830-05</t>
  </si>
  <si>
    <t>205-05</t>
  </si>
  <si>
    <t>831-05</t>
  </si>
  <si>
    <t>200-05</t>
  </si>
  <si>
    <t>207-05</t>
  </si>
  <si>
    <t>202-05</t>
  </si>
  <si>
    <t>73-05</t>
  </si>
  <si>
    <t>832-05</t>
  </si>
  <si>
    <t>74-05</t>
  </si>
  <si>
    <t>209-05</t>
  </si>
  <si>
    <t>204-05</t>
  </si>
  <si>
    <t>833-05</t>
  </si>
  <si>
    <t>211-05</t>
  </si>
  <si>
    <t>206-05</t>
  </si>
  <si>
    <t>834-05</t>
  </si>
  <si>
    <t>213-05</t>
  </si>
  <si>
    <t>KAMDEN</t>
  </si>
  <si>
    <t>835-05</t>
  </si>
  <si>
    <t>208-05</t>
  </si>
  <si>
    <t>76-05</t>
  </si>
  <si>
    <t>NELSON</t>
  </si>
  <si>
    <t>ARIANE</t>
  </si>
  <si>
    <t>215-05</t>
  </si>
  <si>
    <t>75-05</t>
  </si>
  <si>
    <t>210-05</t>
  </si>
  <si>
    <t>217-05</t>
  </si>
  <si>
    <t>837-05</t>
  </si>
  <si>
    <t>212-05</t>
  </si>
  <si>
    <t>219-05</t>
  </si>
  <si>
    <t>838-05</t>
  </si>
  <si>
    <t>839-05</t>
  </si>
  <si>
    <t>216-05</t>
  </si>
  <si>
    <t>221-05</t>
  </si>
  <si>
    <t>DELGADO</t>
  </si>
  <si>
    <t>DIANAH</t>
  </si>
  <si>
    <t>303-05</t>
  </si>
  <si>
    <t>218-05</t>
  </si>
  <si>
    <t>906-05</t>
  </si>
  <si>
    <t>220-05</t>
  </si>
  <si>
    <t>305-05</t>
  </si>
  <si>
    <t>841-05</t>
  </si>
  <si>
    <t>GREGORY</t>
  </si>
  <si>
    <t>223-05</t>
  </si>
  <si>
    <t>840-05</t>
  </si>
  <si>
    <t>307-05</t>
  </si>
  <si>
    <t>222-05</t>
  </si>
  <si>
    <t>225-05</t>
  </si>
  <si>
    <t>843-05</t>
  </si>
  <si>
    <t>227-05</t>
  </si>
  <si>
    <t>224-05</t>
  </si>
  <si>
    <t>842-05</t>
  </si>
  <si>
    <t>226-05</t>
  </si>
  <si>
    <t>229-05</t>
  </si>
  <si>
    <t>845-05</t>
  </si>
  <si>
    <t>228-05</t>
  </si>
  <si>
    <t>231-05</t>
  </si>
  <si>
    <t>844-05</t>
  </si>
  <si>
    <t>230-05</t>
  </si>
  <si>
    <t>233-05</t>
  </si>
  <si>
    <t>235-05</t>
  </si>
  <si>
    <t>232-05</t>
  </si>
  <si>
    <t>908-05</t>
  </si>
  <si>
    <t>234-05</t>
  </si>
  <si>
    <t>237-05</t>
  </si>
  <si>
    <t>236-05</t>
  </si>
  <si>
    <t>239-05</t>
  </si>
  <si>
    <t>238-05</t>
  </si>
  <si>
    <t>241-05</t>
  </si>
  <si>
    <t>243-05</t>
  </si>
  <si>
    <t>240-05</t>
  </si>
  <si>
    <t>309-05</t>
  </si>
  <si>
    <t>242-05</t>
  </si>
  <si>
    <t>311-05</t>
  </si>
  <si>
    <t>244-05</t>
  </si>
  <si>
    <t>313-05</t>
  </si>
  <si>
    <t>315-05</t>
  </si>
  <si>
    <t>clear-day</t>
  </si>
  <si>
    <t>204:770</t>
  </si>
  <si>
    <t>204:233128</t>
  </si>
  <si>
    <t>204:232709</t>
  </si>
  <si>
    <t>204:739</t>
  </si>
  <si>
    <t>204:232668</t>
  </si>
  <si>
    <t>204:232677</t>
  </si>
  <si>
    <t>204:36412</t>
  </si>
  <si>
    <t>204:232974</t>
  </si>
  <si>
    <t>204:233309</t>
  </si>
  <si>
    <t>204:180</t>
  </si>
  <si>
    <t>204:706</t>
  </si>
  <si>
    <t>204:233270</t>
  </si>
  <si>
    <t>204:232938</t>
  </si>
  <si>
    <t>204:232976</t>
  </si>
  <si>
    <t>204:484</t>
  </si>
  <si>
    <t>204:233329</t>
  </si>
  <si>
    <t>204:233011</t>
  </si>
  <si>
    <t>204:489</t>
  </si>
  <si>
    <t>204:220</t>
  </si>
  <si>
    <t>204:232971</t>
  </si>
  <si>
    <t>204:125</t>
  </si>
  <si>
    <t>204:462</t>
  </si>
  <si>
    <t>204:233319</t>
  </si>
  <si>
    <t>204:233303</t>
  </si>
  <si>
    <t>204:232996</t>
  </si>
  <si>
    <t>204:232970</t>
  </si>
  <si>
    <t>204:522</t>
  </si>
  <si>
    <t>204:232738</t>
  </si>
  <si>
    <t>204:498</t>
  </si>
  <si>
    <t>204:1188</t>
  </si>
  <si>
    <t>204:233249</t>
  </si>
  <si>
    <t>204:232919</t>
  </si>
  <si>
    <t>204:19145</t>
  </si>
  <si>
    <t>204:233288</t>
  </si>
  <si>
    <t>204:5978</t>
  </si>
  <si>
    <t>204:37190</t>
  </si>
  <si>
    <t>204:233366</t>
  </si>
  <si>
    <t>204:233049</t>
  </si>
  <si>
    <t>204:223</t>
  </si>
  <si>
    <t>204:181</t>
  </si>
  <si>
    <t>204:193622</t>
  </si>
  <si>
    <t>204:233325</t>
  </si>
  <si>
    <t>204:502</t>
  </si>
  <si>
    <t>204:232992</t>
  </si>
  <si>
    <t>204:233230</t>
  </si>
  <si>
    <t>204:232921</t>
  </si>
  <si>
    <t>204:488</t>
  </si>
  <si>
    <t>204:233005</t>
  </si>
  <si>
    <t>204:478</t>
  </si>
  <si>
    <t>204:232953</t>
  </si>
  <si>
    <t>204:233276</t>
  </si>
  <si>
    <t>204:211</t>
  </si>
  <si>
    <t>204:233330</t>
  </si>
  <si>
    <t>204:233327</t>
  </si>
  <si>
    <t>204:231814</t>
  </si>
  <si>
    <t>204:233324</t>
  </si>
  <si>
    <t>204:233009</t>
  </si>
  <si>
    <t>204:232957</t>
  </si>
  <si>
    <t>204:127858</t>
  </si>
  <si>
    <t>204:86353</t>
  </si>
  <si>
    <t>204:138</t>
  </si>
  <si>
    <t>204:123</t>
  </si>
  <si>
    <t>204:233306</t>
  </si>
  <si>
    <t>204:232966</t>
  </si>
  <si>
    <t>204:437</t>
  </si>
  <si>
    <t>204:232964</t>
  </si>
  <si>
    <t>204:236</t>
  </si>
  <si>
    <t>300:23025</t>
  </si>
  <si>
    <t>204:504</t>
  </si>
  <si>
    <t>300:23312</t>
  </si>
  <si>
    <t>300:22346</t>
  </si>
  <si>
    <t>300:22854</t>
  </si>
  <si>
    <t>300:23283</t>
  </si>
  <si>
    <t>300:23316</t>
  </si>
  <si>
    <t>300:23163</t>
  </si>
  <si>
    <t>300:22225</t>
  </si>
  <si>
    <t>300:22848</t>
  </si>
  <si>
    <t>300:23427</t>
  </si>
  <si>
    <t>300:23308</t>
  </si>
  <si>
    <t>300:22852</t>
  </si>
  <si>
    <t>204:517</t>
  </si>
  <si>
    <t>300:23259</t>
  </si>
  <si>
    <t>300:22115</t>
  </si>
  <si>
    <t>204:148</t>
  </si>
  <si>
    <t>300:23184</t>
  </si>
  <si>
    <t>204:893</t>
  </si>
  <si>
    <t>300:24246</t>
  </si>
  <si>
    <t>204:1904</t>
  </si>
  <si>
    <t>204:4084</t>
  </si>
  <si>
    <t>204:1492</t>
  </si>
  <si>
    <t>300:23301</t>
  </si>
  <si>
    <t>300:23610</t>
  </si>
  <si>
    <t>204:142</t>
  </si>
  <si>
    <t>300:24231</t>
  </si>
  <si>
    <t>300:22180</t>
  </si>
  <si>
    <t>204:897</t>
  </si>
  <si>
    <t>300:58692</t>
  </si>
  <si>
    <t>204:684</t>
  </si>
  <si>
    <t>204:978</t>
  </si>
  <si>
    <t>300:58088</t>
  </si>
  <si>
    <t>300:58709</t>
  </si>
  <si>
    <t>204:629</t>
  </si>
  <si>
    <t>204:957</t>
  </si>
  <si>
    <t>204:922</t>
  </si>
  <si>
    <t>300:26580</t>
  </si>
  <si>
    <t>300:58724</t>
  </si>
  <si>
    <t>204:652</t>
  </si>
  <si>
    <t>204:953</t>
  </si>
  <si>
    <t>300:39078</t>
  </si>
  <si>
    <t>300:58640</t>
  </si>
  <si>
    <t>204:682</t>
  </si>
  <si>
    <t>300:29176</t>
  </si>
  <si>
    <t>300:58707</t>
  </si>
  <si>
    <t>204:969</t>
  </si>
  <si>
    <t>300:58924</t>
  </si>
  <si>
    <t>300:58606</t>
  </si>
  <si>
    <t>204:671</t>
  </si>
  <si>
    <t>300:58600</t>
  </si>
  <si>
    <t>204:958</t>
  </si>
  <si>
    <t>204:962</t>
  </si>
  <si>
    <t>300:58911</t>
  </si>
  <si>
    <t>204:668</t>
  </si>
  <si>
    <t>204:964</t>
  </si>
  <si>
    <t>300:58632</t>
  </si>
  <si>
    <t>204:694</t>
  </si>
  <si>
    <t>300:58935</t>
  </si>
  <si>
    <t>204:678</t>
  </si>
  <si>
    <t>204:960</t>
  </si>
  <si>
    <t>300:58929</t>
  </si>
  <si>
    <t>204:699</t>
  </si>
  <si>
    <t>204:887</t>
  </si>
  <si>
    <t>300:58988</t>
  </si>
  <si>
    <t>300:58672</t>
  </si>
  <si>
    <t>204:691</t>
  </si>
  <si>
    <t>204:685</t>
  </si>
  <si>
    <t>300:58984</t>
  </si>
  <si>
    <t>300:58668</t>
  </si>
  <si>
    <t>204:621</t>
  </si>
  <si>
    <t>204:967</t>
  </si>
  <si>
    <t>204:929</t>
  </si>
  <si>
    <t>300:58978</t>
  </si>
  <si>
    <t>300:58660</t>
  </si>
  <si>
    <t>300:58613</t>
  </si>
  <si>
    <t>204:666</t>
  </si>
  <si>
    <t>300:58971</t>
  </si>
  <si>
    <t>204:677</t>
  </si>
  <si>
    <t>204:965</t>
  </si>
  <si>
    <t>300:58457</t>
  </si>
  <si>
    <t>300:58973</t>
  </si>
  <si>
    <t>300:30898</t>
  </si>
  <si>
    <t>300:59005</t>
  </si>
  <si>
    <t>300:22161</t>
  </si>
  <si>
    <t>204:661</t>
  </si>
  <si>
    <t>204:911</t>
  </si>
  <si>
    <t>300:25461</t>
  </si>
  <si>
    <t>300:22601</t>
  </si>
  <si>
    <t>204:614</t>
  </si>
  <si>
    <t>300:23389</t>
  </si>
  <si>
    <t>300:58641</t>
  </si>
  <si>
    <t>300:21714</t>
  </si>
  <si>
    <t>aws s3 cp s3://rtdc.mdm.uploadarchive.raw/RTDC4001/ "%USERPROFILE%\AppData\Local\Temp\OnboardLogs"\RTDC4001\2016-12-05 --exclude "*" --recursive --include "*20161205*" &amp; "%USERPROFILE%\Documents\GitHub\mrs-test-scripts\Headless Mode &amp; Sideloading\WalkAndUnGZ.bat" "%USERPROFILE%\AppData\Local\Temp\OnboardLogs"\RTDC4001\2016-12-05 &amp; aws s3 cp s3://rtdc.mdm.uploadarchive.raw/RTDC4001/ "%USERPROFILE%\AppData\Local\Temp\OnboardLogs"\RTDC4001\2016-12-06 --exclude "*" --recursive --include "*20161206*" &amp; "%USERPROFILE%\Documents\GitHub\mrs-test-scripts\Headless Mode &amp; Sideloading\WalkAndUnGZ.bat" "%USERPROFILE%\AppData\Local\Temp\OnboardLogs"\RTDC4001\2016-12-06</t>
  </si>
  <si>
    <t>aws s3 cp s3://rtdc.mdm.uploadarchive.raw/RTDC4040/ "%USERPROFILE%\AppData\Local\Temp\OnboardLogs"\RTDC4040\2016-12-05 --exclude "*" --recursive --include "*20161205*" &amp; "%USERPROFILE%\Documents\GitHub\mrs-test-scripts\Headless Mode &amp; Sideloading\WalkAndUnGZ.bat" "%USERPROFILE%\AppData\Local\Temp\OnboardLogs"\RTDC4040\2016-12-05 &amp; aws s3 cp s3://rtdc.mdm.uploadarchive.raw/RTDC4040/ "%USERPROFILE%\AppData\Local\Temp\OnboardLogs"\RTDC4040\2016-12-06 --exclude "*" --recursive --include "*20161206*" &amp; "%USERPROFILE%\Documents\GitHub\mrs-test-scripts\Headless Mode &amp; Sideloading\WalkAndUnGZ.bat" "%USERPROFILE%\AppData\Local\Temp\OnboardLogs"\RTDC4040\2016-12-06</t>
  </si>
  <si>
    <t>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 &amp; aws s3 cp s3://rtdc.mdm.uploadarchive.raw/RTDC4038/ "%USERPROFILE%\AppData\Local\Temp\OnboardLogs"\RTDC4038\2016-12-06 --exclude "*" --recursive --include "*20161206*" &amp; "%USERPROFILE%\Documents\GitHub\mrs-test-scripts\Headless Mode &amp; Sideloading\WalkAndUnGZ.bat" "%USERPROFILE%\AppData\Local\Temp\OnboardLogs"\RTDC4038\2016-12-06</t>
  </si>
  <si>
    <t>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 &amp; 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</t>
  </si>
  <si>
    <t>aws s3 cp s3://rtdc.mdm.uploadarchive.raw/RTDC4039/ "%USERPROFILE%\AppData\Local\Temp\OnboardLogs"\RTDC4039\2016-12-05 --exclude "*" --recursive --include "*20161205*" &amp; "%USERPROFILE%\Documents\GitHub\mrs-test-scripts\Headless Mode &amp; Sideloading\WalkAndUnGZ.bat" "%USERPROFILE%\AppData\Local\Temp\OnboardLogs"\RTDC4039\2016-12-05 &amp; aws s3 cp s3://rtdc.mdm.uploadarchive.raw/RTDC4039/ "%USERPROFILE%\AppData\Local\Temp\OnboardLogs"\RTDC4039\2016-12-06 --exclude "*" --recursive --include "*20161206*" &amp; "%USERPROFILE%\Documents\GitHub\mrs-test-scripts\Headless Mode &amp; Sideloading\WalkAndUnGZ.bat" "%USERPROFILE%\AppData\Local\Temp\OnboardLogs"\RTDC4039\2016-12-06</t>
  </si>
  <si>
    <t>aws s3 cp s3://rtdc.mdm.uploadarchive.raw/RTDC4016/ "%USERPROFILE%\AppData\Local\Temp\OnboardLogs"\RTDC4016\2016-12-05 --exclude "*" --recursive --include "*20161205*" &amp; "%USERPROFILE%\Documents\GitHub\mrs-test-scripts\Headless Mode &amp; Sideloading\WalkAndUnGZ.bat" "%USERPROFILE%\AppData\Local\Temp\OnboardLogs"\RTDC4016\2016-12-05 &amp; 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</t>
  </si>
  <si>
    <t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t>
  </si>
  <si>
    <t>aws s3 cp s3://rtdc.mdm.uploadarchive.raw/RTDC4002/ "%USERPROFILE%\AppData\Local\Temp\OnboardLogs"\RTDC4002\2016-12-05 --exclude "*" --recursive --include "*20161205*" &amp; "%USERPROFILE%\Documents\GitHub\mrs-test-scripts\Headless Mode &amp; Sideloading\WalkAndUnGZ.bat" "%USERPROFILE%\AppData\Local\Temp\OnboardLogs"\RTDC4002\2016-12-05 &amp; aws s3 cp s3://rtdc.mdm.uploadarchive.raw/RTDC4002/ "%USERPROFILE%\AppData\Local\Temp\OnboardLogs"\RTDC4002\2016-12-06 --exclude "*" --recursive --include "*20161206*" &amp; "%USERPROFILE%\Documents\GitHub\mrs-test-scripts\Headless Mode &amp; Sideloading\WalkAndUnGZ.bat" "%USERPROFILE%\AppData\Local\Temp\OnboardLogs"\RTDC4002\2016-12-06</t>
  </si>
  <si>
    <t>aws s3 cp s3://rtdc.mdm.uploadarchive.raw/RTDC4021/ "%USERPROFILE%\AppData\Local\Temp\OnboardLogs"\RTDC4021\2016-12-05 --exclude "*" --recursive --include "*20161205*" &amp; "%USERPROFILE%\Documents\GitHub\mrs-test-scripts\Headless Mode &amp; Sideloading\WalkAndUnGZ.bat" "%USERPROFILE%\AppData\Local\Temp\OnboardLogs"\RTDC4021\2016-12-05 &amp; 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</t>
  </si>
  <si>
    <t>aws s3 cp s3://rtdc.mdm.uploadarchive.raw/RTDC4010/ "%USERPROFILE%\AppData\Local\Temp\OnboardLogs"\RTDC4010\2016-12-05 --exclude "*" --recursive --include "*20161205*" &amp; "%USERPROFILE%\Documents\GitHub\mrs-test-scripts\Headless Mode &amp; Sideloading\WalkAndUnGZ.bat" "%USERPROFILE%\AppData\Local\Temp\OnboardLogs"\RTDC4010\2016-12-05 &amp; 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</t>
  </si>
  <si>
    <t>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 &amp; aws s3 cp s3://rtdc.mdm.uploadarchive.raw/RTDC4037/ "%USERPROFILE%\AppData\Local\Temp\OnboardLogs"\RTDC4037\2016-12-06 --exclude "*" --recursive --include "*20161206*" &amp; "%USERPROFILE%\Documents\GitHub\mrs-test-scripts\Headless Mode &amp; Sideloading\WalkAndUnGZ.bat" "%USERPROFILE%\AppData\Local\Temp\OnboardLogs"\RTDC4037\2016-12-06</t>
  </si>
  <si>
    <t>aws s3 cp s3://rtdc.mdm.uploadarchive.raw/RTDC4011/ "%USERPROFILE%\AppData\Local\Temp\OnboardLogs"\RTDC4011\2016-12-05 --exclude "*" --recursive --include "*20161205*" &amp; "%USERPROFILE%\Documents\GitHub\mrs-test-scripts\Headless Mode &amp; Sideloading\WalkAndUnGZ.bat" "%USERPROFILE%\AppData\Local\Temp\OnboardLogs"\RTDC4011\2016-12-05 &amp; 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</t>
  </si>
  <si>
    <t>aws s3 cp s3://rtdc.mdm.uploadarchive.raw/RTDC4042/ "%USERPROFILE%\AppData\Local\Temp\OnboardLogs"\RTDC4042\2016-12-05 --exclude "*" --recursive --include "*20161205*" &amp; "%USERPROFILE%\Documents\GitHub\mrs-test-scripts\Headless Mode &amp; Sideloading\WalkAndUnGZ.bat" "%USERPROFILE%\AppData\Local\Temp\OnboardLogs"\RTDC4042\2016-12-05 &amp; aws s3 cp s3://rtdc.mdm.uploadarchive.raw/RTDC4042/ "%USERPROFILE%\AppData\Local\Temp\OnboardLogs"\RTDC4042\2016-12-06 --exclude "*" --recursive --include "*20161206*" &amp; "%USERPROFILE%\Documents\GitHub\mrs-test-scripts\Headless Mode &amp; Sideloading\WalkAndUnGZ.bat" "%USERPROFILE%\AppData\Local\Temp\OnboardLogs"\RTDC4042\2016-12-06</t>
  </si>
  <si>
    <t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t>
  </si>
  <si>
    <t>aws s3 cp s3://rtdc.mdm.uploadarchive.raw/RTDC4015/ "%USERPROFILE%\AppData\Local\Temp\OnboardLogs"\RTDC4015\2016-12-05 --exclude "*" --recursive --include "*20161205*" &amp; "%USERPROFILE%\Documents\GitHub\mrs-test-scripts\Headless Mode &amp; Sideloading\WalkAndUnGZ.bat" "%USERPROFILE%\AppData\Local\Temp\OnboardLogs"\RTDC4015\2016-12-05 &amp; 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</t>
  </si>
  <si>
    <t>Onboard in-route failure (but system self-recovered) - unrelated to phase break incident</t>
  </si>
  <si>
    <t>CCROC/crew/equipment mismatch</t>
  </si>
  <si>
    <t>Premature downgrade at Pena 2N</t>
  </si>
  <si>
    <t>At 14:03:56, Pena 2N suddenly downgraded from Proceed Cab to STOP. This seems like it was unintended and caused a PTC braking event. Do the logs indicate any issues at this time?</t>
  </si>
  <si>
    <t>TMDS Freeze? No clear controls sent to CRMFN 2N</t>
  </si>
  <si>
    <t>TMDS Freeze? No clear controls sent to Pecos 4N</t>
  </si>
  <si>
    <t>TMDS Freeze? No clear controls sent to CRMFN 4N</t>
  </si>
  <si>
    <t>Delayed by Train 73 delay (yard entry issue)</t>
  </si>
  <si>
    <t>Early arrival</t>
  </si>
  <si>
    <t>http://stevetu21.github.io/eaglep3/load_kml.html?kml=http://rtdc.gmaps-snips.s3.amazonaws.com/e3813321-47b1-4317-8f58-22842c09edf3.kml</t>
  </si>
  <si>
    <t>SYS :2016/12/05 10:51:18.527:ENFORCEMENT:Predictive Enforcement Action:  Target Number: 00001002  Target Speed:   0.0  Current Speed:  15.4</t>
  </si>
  <si>
    <t>SYS :2016/12/05 10:51:18.978:ENFORCEMENT:Predictive Enforcement Action:  Target Number: 00001002  Target Speed:   0.0  Current Speed:  15.4</t>
  </si>
  <si>
    <t>SYS :2016/12/05 10:52:01.527:ENFORCEMENT:Predictive Enforcement Action:  Target Number: 00001002  Target Speed:   0.0  Current Speed:   6.0</t>
  </si>
  <si>
    <t>SYS :2016/12/05 10:52:01.980:ENFORCEMENT:Predictive Enforcement Action:  Target Number: 00001002  Target Speed:   0.0  Current Speed:   6.0</t>
  </si>
  <si>
    <t>SYS :2016/12/05 12:04:53.159:ENFORCEMENT:Predictive Enforcement Action:  Target Number: 00001037  Target Speed:   0.0  Current Speed:   0.6</t>
  </si>
  <si>
    <t>SYS :2016/12/05 12:04:53.336:ENFORCEMENT:Predictive Enforcement Action:  Target Number: 00001036  Target Speed:   0.0  Current Speed:   0.6</t>
  </si>
  <si>
    <t>SYS :2016/12/05 12:25:29.924:ENFORCEMENT:Predictive Enforcement Action:  Target Number: 00001035  Target Speed:   0.0  Current Speed:   4.4</t>
  </si>
  <si>
    <t>SYS :2016/12/05 12:25:30.360:ENFORCEMENT:Predictive Enforcement Action:  Target Number: 00001012  Target Speed:   0.0  Current Speed:   4.4</t>
  </si>
  <si>
    <t>SYS :2016/12/05 12:25:31.345:ENFORCEMENT:Predictive Enforcement Action:  Target Number: 00001024  Target Speed:   0.0  Current Speed:   4.4</t>
  </si>
  <si>
    <t>SYS :2016/12/05 13:06:40.156:ENFORCEMENT:Reactive Enforcement Action:  Target Number: 00001039  Target Speed:   0.0  Current Speed:   0.7</t>
  </si>
  <si>
    <t>SYS :2016/12/05 13:06:41.336:ENFORCEMENT:Reactive Enforcement Action:  Target Number: 00001038  Target Speed:   0.0  Current Speed:   0.7</t>
  </si>
  <si>
    <t>SYS :2016/12/05 13:39:30.305:ENFORCEMENT:Predictive Enforcement Action:  Target Number: 00001003  Target Speed:   0.0  Current Speed:   5.0</t>
  </si>
  <si>
    <t>SYS :2016/12/05 13:39:30.340:ENFORCEMENT:Predictive Enforcement Action:  Target Number: 00001003  Target Speed:   0.0  Current Speed:   5.0</t>
  </si>
  <si>
    <t>SYS :2016/12/05 14:18:27.083:ENFORCEMENT:Predictive Enforcement Action:  Target Number: 0001005E  Target Speed:  40.0  Current Speed:  55.5</t>
  </si>
  <si>
    <t>SYS :2016/12/05 14:18:27.086:ENFORCEMENT:Predictive Enforcement Action:  Target Number: 00010056  Target Speed:  40.0  Current Speed:  55.5</t>
  </si>
  <si>
    <t>SYS :2016/12/05 14:18:27.463:ENFORCEMENT:Predictive Enforcement Action:  Target Number: 0001005E  Target Speed:  40.0  Current Speed:  55.5</t>
  </si>
  <si>
    <t>SYS :2016/12/05 14:36:39.921:ENFORCEMENT:Predictive Enforcement Action:  Target Number: 0000103D  Target Speed:   0.0  Current Speed:   6.4</t>
  </si>
  <si>
    <t>SYS :2016/12/05 14:36:39.968:ENFORCEMENT:Predictive Enforcement Action:  Target Number: 00001002  Target Speed:   0.0  Current Speed:   6.4</t>
  </si>
  <si>
    <t>SYS :2016/12/05 14:36:40.372:ENFORCEMENT:Predictive Enforcement Action:  Target Number: 0000101A  Target Speed:   0.0  Current Speed:   6.4</t>
  </si>
  <si>
    <t>SYS :2016/12/05 14:38:40.884:ENFORCEMENT:Predictive Enforcement Action:  Target Number: 00001002  Target Speed:   0.0  Current Speed:   1.9</t>
  </si>
  <si>
    <t>SYS :2016/12/05 14:38:40.922:ENFORCEMENT:Predictive Enforcement Action:  Target Number: 0000103D  Target Speed:   0.0  Current Speed:   1.9</t>
  </si>
  <si>
    <t>SYS :2016/12/05 14:38:41.375:ENFORCEMENT:Predictive Enforcement Action:  Target Number: 0000101A  Target Speed:   0.0  Current Speed:   2.0</t>
  </si>
  <si>
    <t>SYS :2016/12/05 15:19:44.821:ENFORCEMENT:Predictive Enforcement Action:  Target Number: 00001001  Target Speed:   0.0  Current Speed:   6.7</t>
  </si>
  <si>
    <t>SYS :2016/12/05 15:19:45.306:ENFORCEMENT:Predictive Enforcement Action:  Target Number: 00001005  Target Speed:   0.0  Current Speed:   6.7</t>
  </si>
  <si>
    <t>SYS :2016/12/05 15:19:45.350:ENFORCEMENT:Predictive Enforcement Action:  Target Number: 00001005  Target Speed:   0.0  Current Speed:   6.7</t>
  </si>
  <si>
    <t>SYS :2016/12/05 15:32:30.923:ENFORCEMENT:Predictive Enforcement Action:  Target Number: 00001042  Target Speed:   0.0  Current Speed:   1.9</t>
  </si>
  <si>
    <t>SYS :2016/12/05 15:32:31.365:ENFORCEMENT:Predictive Enforcement Action:  Target Number: 0000101F  Target Speed:   0.0  Current Speed:   1.9</t>
  </si>
  <si>
    <t>SYS :2016/12/05 15:32:31.394:ENFORCEMENT:Predictive Enforcement Action:  Target Number: 00001007  Target Speed:   0.0  Current Speed:   1.9</t>
  </si>
  <si>
    <t>SYS :2016/12/05 15:37:01.130:ENFORCEMENT:Predictive Enforcement Action:  Target Number: 0000100A  Target Speed:   0.0  Current Speed:   4.4</t>
  </si>
  <si>
    <t>SYS :2016/12/05 15:37:01.336:ENFORCEMENT:Predictive Enforcement Action:  Target Number: 0000100A  Target Speed:   0.0  Current Speed:   4.3</t>
  </si>
  <si>
    <t>SYS :2016/12/05 15:49:55.584:ENFORCEMENT:Predictive Enforcement Action:  Target Number: 00001043  Target Speed:   0.0  Current Speed:  15.6</t>
  </si>
  <si>
    <t>SYS :2016/12/05 15:49:55.874:ENFORCEMENT:Predictive Enforcement Action:  Target Number: 00001043  Target Speed:   0.0  Current Speed:  15.5</t>
  </si>
  <si>
    <t>SYS :2016/12/05 15:49:55.891:ENFORCEMENT:Predictive Enforcement Action:  Target Number: 0000101A  Target Speed:   0.0  Current Speed:  15.5</t>
  </si>
  <si>
    <t>SYS :2016/12/05 16:53:28.514:ENFORCEMENT:Reactive Enforcement Action:  Target Number: 00004208  Target Speed:   0.0  Current Speed:   3.6</t>
  </si>
  <si>
    <t>SYS :2016/12/05 16:53:28.546:ENFORCEMENT:Reactive Enforcement Action:  Target Number: 00004207  Target Speed:   0.0  Current Speed:   3.6</t>
  </si>
  <si>
    <t>SYS :2016/12/05 16:53:29.000:ENFORCEMENT:Reactive Enforcement Action:  Target Number: 00004208  Target Speed:   0.0  Current Speed:   2.1</t>
  </si>
  <si>
    <t>SYS :2016/12/05 16:53:33.527:ENFORCEMENT:Predictive Enforcement Action:  Target Number: 00017052  Target Speed:   6.0  Current Speed:  31.5</t>
  </si>
  <si>
    <t>SYS :2016/12/05 16:53:33.916:ENFORCEMENT:Predictive Enforcement Action:  Target Number: 00017052  Target Speed:   6.0  Current Speed:  31.5</t>
  </si>
  <si>
    <t>SYS :2016/12/05 16:53:34.668:ENFORCEMENT:Predictive Enforcement Action:  Target Number: 00017052  Target Speed:   6.0  Current Speed:  31.2</t>
  </si>
  <si>
    <t>SYS :2016/12/05 16:54:44.012:ENFORCEMENT:Predictive Enforcement Action:  Target Number: 00001033  Target Speed:   0.0  Current Speed:  12.0</t>
  </si>
  <si>
    <t>SYS :2016/12/05 16:55:14.520:ENFORCEMENT:Predictive Enforcement Action:  Target Number: 00001033  Target Speed:   0.0  Current Speed:   3.3</t>
  </si>
  <si>
    <t>SYS :2016/12/05 16:55:14.554:ENFORCEMENT:Predictive Enforcement Action:  Target Number: 00001033  Target Speed:   0.0  Current Speed:   3.3</t>
  </si>
  <si>
    <t>SYS :2016/12/05 17:08:16.924:ENFORCEMENT:Reactive Enforcement Action:  Target Number: 0001704C  Target Speed:  17.0  Current Speed:  22.4</t>
  </si>
  <si>
    <t>SYS :2016/12/05 18:24:04.303:ENFORCEMENT:Predictive Enforcement Action:  Target Number: 0000611E  Target Speed:   0.0  Current Speed:   6.4</t>
  </si>
  <si>
    <t>SYS :2016/12/05 18:24:04.352:ENFORCEMENT:Predictive Enforcement Action:  Target Number: 0000611E  Target Speed:   0.0  Current Speed:   6.4</t>
  </si>
  <si>
    <t>SYS :2016/12/05 18:43:24.313:ENFORCEMENT:Predictive Enforcement Action:  Target Number: 00010085  Target Speed:  30.0  Current Speed:  39.3</t>
  </si>
  <si>
    <t>SYS :2016/12/05 19:06:52.861:ENFORCEMENT:Predictive Enforcement Action:  Target Number: 00001007  Target Speed:   0.0  Current Speed:   4.2</t>
  </si>
  <si>
    <t>SYS :2016/12/05 20:09:59.393:ENFORCEMENT:Predictive Enforcement Action:  Target Number: 00001004  Target Speed:   0.0  Current Speed:   4.5</t>
  </si>
  <si>
    <t>SYS :2016/12/05 20:09:59.772:ENFORCEMENT:Predictive Enforcement Action:  Target Number: 0000100A  Target Speed:   0.0  Current Speed:   4.4</t>
  </si>
  <si>
    <t>SYS :2016/12/05 20:10:00.014:ENFORCEMENT:Predictive Enforcement Action:  Target Number: 0000100C  Target Speed:   0.0  Current Speed:   4.5</t>
  </si>
  <si>
    <t>SYS :2016/12/05 20:13:02.876:ENFORCEMENT:Reactive Enforcement Action:  Target Number: 00010060  Target Speed:  35.0  Current Speed:  40.1</t>
  </si>
  <si>
    <t>SYS :2016/12/05 20:13:03.339:ENFORCEMENT:Reactive Enforcement Action:  Target Number: 000100C8  Target Speed:  35.0  Current Speed:  40.1</t>
  </si>
  <si>
    <t>SYS :2016/12/05 20:13:04.148:ENFORCEMENT:Reactive Enforcement Action:  Target Number: 000100C8  Target Speed:  35.0  Current Speed:  40.1</t>
  </si>
  <si>
    <t>SYS :2016/12/05 20:31:36.889:ENFORCEMENT:Predictive Enforcement Action:  Target Number: 0001033F  Target Speed:  15.0  Current Speed:  35.7</t>
  </si>
  <si>
    <t>SYS :2016/12/05 20:31:36.972:ENFORCEMENT:Predictive Enforcement Action:  Target Number: 00010346  Target Speed:  15.0  Current Speed:  35.7</t>
  </si>
  <si>
    <t>SYS :2016/12/05 21:03:57.596:ENFORCEMENT:Reactive Enforcement Action:  Target Number: 000063E9  Target Speed:   0.0  Current Speed:  60.6</t>
  </si>
  <si>
    <t>SYS :2016/12/05 21:03:57.900:ENFORCEMENT:Reactive Enforcement Action:  Target Number: 0000640E  Target Speed:   0.0  Current Speed:  60.6</t>
  </si>
  <si>
    <t>SYS :2016/12/05 21:20:57.137:ENFORCEMENT:Predictive Enforcement Action:  Target Number: 00001010  Target Speed:   0.0  Current Speed:   7.3</t>
  </si>
  <si>
    <t>SYS :2016/12/05 21:20:57.312:ENFORCEMENT:Predictive Enforcement Action:  Target Number: 00001010  Target Speed:   0.0  Current Speed:   7.3</t>
  </si>
  <si>
    <t>SYS :2016/12/05 21:20:57.448:ENFORCEMENT:Predictive Enforcement Action:  Target Number: 00001011  Target Speed:   0.0  Current Speed:   7.3</t>
  </si>
  <si>
    <t>SYS :2016/12/05 21:49:02.769:ENFORCEMENT:Predictive Enforcement Action:  Target Number: 0000100D  Target Speed:   0.0  Current Speed:   4.6</t>
  </si>
  <si>
    <t>SYS :2016/12/05 22:51:46.585:ENFORCEMENT:Predictive Enforcement Action:  Target Number: 0000104C  Target Speed:   0.0  Current Speed:   8.2</t>
  </si>
  <si>
    <t>SYS :2016/12/05 22:51:46.641:ENFORCEMENT:Predictive Enforcement Action:  Target Number: 00001002  Target Speed:   0.0  Current Speed:   8.2</t>
  </si>
  <si>
    <t>SYS :2016/12/05 22:51:46.885:ENFORCEMENT:Predictive Enforcement Action:  Target Number: 0000104C  Target Speed:   0.0  Current Speed:   8.2</t>
  </si>
  <si>
    <t>SYS :2016/12/05 23:01:43.774:ENFORCEMENT:Predictive Enforcement Action:  Target Number: 000061AC  Target Speed:   0.0  Current Speed:  38.6</t>
  </si>
  <si>
    <t>SYS :2016/12/05 23:01:44.401:ENFORCEMENT:Predictive Enforcement Action:  Target Number: 000060BC  Target Speed:   0.0  Current Speed:  37.7</t>
  </si>
  <si>
    <t>SYS :2016/12/05 23:01:45.017:ENFORCEMENT:Predictive Enforcement Action:  Target Number: 00006215  Target Speed:   0.0  Current Speed:  37.7</t>
  </si>
  <si>
    <t>SYS :2016/12/05 23:04:51.447:ENFORCEMENT:Predictive Enforcement Action:  Target Number: 00001014  Target Speed:   0.0  Current Speed:   5.4</t>
  </si>
  <si>
    <t>SYS :2016/12/05 23:04:52.133:ENFORCEMENT:Predictive Enforcement Action:  Target Number: 00001013  Target Speed:   0.0  Current Speed:   5.4</t>
  </si>
  <si>
    <t>SYS :2016/12/05 23:04:52.305:ENFORCEMENT:Predictive Enforcement Action:  Target Number: 00001013  Target Speed:   0.0  Current Speed:   5.4</t>
  </si>
  <si>
    <t>SYS :2016/12/05 23:34:15.887:ENFORCEMENT:Predictive Enforcement Action:  Target Number: 00001040  Target Speed:   0.0  Current Speed:   4.9</t>
  </si>
  <si>
    <t>SYS :2016/12/05 23:34:15.962:ENFORCEMENT:Predictive Enforcement Action:  Target Number: 00001041  Target Speed:   0.0  Current Speed:   4.9</t>
  </si>
  <si>
    <t>SYS :2016/12/06 00:07:05.874:ENFORCEMENT:Predictive Enforcement Action:  Target Number: 00001010  Target Speed:   0.0  Current Speed:   7.7</t>
  </si>
  <si>
    <t>SYS :2016/12/06 00:07:05.879:ENFORCEMENT:Predictive Enforcement Action:  Target Number: 00001010  Target Speed:   0.0  Current Speed:   7.7</t>
  </si>
  <si>
    <t>SYS :2016/12/06 01:36:19.391:ENFORCEMENT:Predictive Enforcement Action:  Target Number: 00001017  Target Speed:   0.0  Current Speed:   3.7</t>
  </si>
  <si>
    <t>SYS :2016/12/06 01:36:19.926:ENFORCEMENT:Predictive Enforcement Action:  Target Number: 00001052  Target Speed:   0.0  Current Speed:   3.7</t>
  </si>
  <si>
    <t>SYS :2016/12/06 02:18:20.955:ENFORCEMENT:Predictive Enforcement Action:  Target Number: 00001014  Target Speed:   0.0  Current Speed:   5.6</t>
  </si>
  <si>
    <t>SYS :2016/12/06 02:18:21.361:ENFORCEMENT:Predictive Enforcement Action:  Target Number: 00001015  Target Speed:   0.0  Current Speed:   5.6</t>
  </si>
  <si>
    <t>SYS :2016/12/06 05:34:19.878:ENFORCEMENT:Predictive Enforcement Action:  Target Number: 0000104F  Target Speed:   0.0  Current Speed:   4.1</t>
  </si>
  <si>
    <t>SYS :2016/12/06 05:34:20.964:ENFORCEMENT:Predictive Enforcement Action:  Target Number: 00001050  Target Speed:   0.0  Current Speed:   4.1</t>
  </si>
  <si>
    <t>CPU1 commanded brake, others did not</t>
  </si>
  <si>
    <t>Banner without braking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</si>
</sst>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20" fillId="0" borderId="0" xfId="4" applyFill="1"/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52"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e3813321-47b1-4317-8f58-22842c09edf3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4"/>
  <sheetViews>
    <sheetView tabSelected="1" zoomScaleNormal="100" workbookViewId="0">
      <selection activeCell="R20" sqref="R20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9.5703125" style="40" customWidth="1"/>
    <col min="14" max="14" width="2.85546875" style="41" customWidth="1"/>
    <col min="15" max="15" width="3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42709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42709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COUNTIFS($N$13:$N$9368,"&gt;0",$AG$13:$AG$9368,I1)</f>
        <v>140</v>
      </c>
      <c r="K5" s="44"/>
      <c r="L5" s="44"/>
      <c r="M5" s="45">
        <f>AVERAGEIFS($N$13:$N$9368,$AG$13:$AG$9368,I1)</f>
        <v>37.899285714773995</v>
      </c>
      <c r="N5" s="43">
        <f t="array" ref="N5">MIN(IF($AG$13:$AG$9368=I1,IF(ISNUMBER($N$13:$N$9368),IF($N$13:$N$9368&gt;0,$N$13:$N$9368))))</f>
        <v>33.450000003213063</v>
      </c>
      <c r="O5" s="3">
        <f t="array" ref="O5">MAX(IF($AG$13:$AG$9368=I1,IF(ISNUMBER($N$13:$N$9368),IF($N$13:$N$9368&gt;0,$N$13:$N$9368))))</f>
        <v>45.03333333064802</v>
      </c>
      <c r="P5" s="2"/>
      <c r="R5" s="80" t="s">
        <v>17</v>
      </c>
      <c r="S5" s="55">
        <f>COUNTIFS($N$13:$N$9368,"&gt;0",$AG$13:$AG$9368,R1)</f>
        <v>44</v>
      </c>
      <c r="T5" s="44"/>
      <c r="U5" s="169"/>
      <c r="V5" s="45">
        <f>AVERAGEIFS($N$13:$N$9368,$AG$13:$AG$9368,R1)</f>
        <v>15.334090908687688</v>
      </c>
      <c r="W5" s="43">
        <f t="array" ref="W5">MIN(IF($AG$13:$AG$9368=R1,IF(ISNUMBER($N$13:$N$9368),IF($N$13:$N$9368&gt;0,$N$13:$N$9368))))</f>
        <v>12.316666664555669</v>
      </c>
      <c r="X5" s="173">
        <f t="array" ref="X5">MAX(IF($AG$13:$AG$9368=R1,IF(ISNUMBER($N$13:$N$9368),IF($N$13:$N$9368&gt;0,$N$13:$N$9368))))</f>
        <v>27.149999997345731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COUNT($O$13:$O$153)</f>
        <v>0</v>
      </c>
      <c r="K6" s="44"/>
      <c r="L6" s="44"/>
      <c r="M6" s="45">
        <f>IFERROR(AVERAGE($O$13:$O$153),0)</f>
        <v>0</v>
      </c>
      <c r="N6" s="43">
        <f>MIN($O$13:$O$153)</f>
        <v>0</v>
      </c>
      <c r="O6" s="3">
        <f>MAX($O$13:$O$153)</f>
        <v>0</v>
      </c>
      <c r="P6" s="2"/>
      <c r="R6" s="81" t="s">
        <v>43</v>
      </c>
      <c r="S6" s="55">
        <f>COUNT($O$13:$O$153)</f>
        <v>0</v>
      </c>
      <c r="T6" s="44"/>
      <c r="U6" s="169"/>
      <c r="V6" s="45">
        <f>IFERROR(AVERAGE($O$13:$O$153),0)</f>
        <v>0</v>
      </c>
      <c r="W6" s="43">
        <f>MIN($O$13:$O$153)</f>
        <v>0</v>
      </c>
      <c r="X6" s="173">
        <f>MAX($O$13:$O$153)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COUNTIFS($P$13:$P$9368,"&gt;0",$AG$13:$AG$9368,I1)</f>
        <v>4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COUNTIFS($P$13:$P$9368,"&gt;0",$AG$13:$AG$9368,R1)</f>
        <v>3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140</v>
      </c>
      <c r="K8" s="44"/>
      <c r="L8" s="44"/>
      <c r="M8" s="45">
        <f>M5</f>
        <v>37.899285714773995</v>
      </c>
      <c r="N8" s="43">
        <f>N5</f>
        <v>33.450000003213063</v>
      </c>
      <c r="O8" s="3">
        <f>O5</f>
        <v>45.03333333064802</v>
      </c>
      <c r="P8" s="2"/>
      <c r="R8" s="80" t="s">
        <v>16</v>
      </c>
      <c r="S8" s="55">
        <f>S5</f>
        <v>44</v>
      </c>
      <c r="T8" s="44"/>
      <c r="U8" s="169"/>
      <c r="V8" s="45">
        <f>V5</f>
        <v>15.334090908687688</v>
      </c>
      <c r="W8" s="43">
        <f>W5</f>
        <v>12.316666664555669</v>
      </c>
      <c r="X8" s="173">
        <f>X5</f>
        <v>27.149999997345731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0.97222222222222221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0.93617021276595747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3" t="str">
        <f>"Eagle P3 System Performance - "&amp;TEXT(Variables!A2,"yyyy-mm-dd")</f>
        <v>Eagle P3 System Performance - 2016-12-05</v>
      </c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S11" s="69">
        <f>AVERAGE(S13:S104)</f>
        <v>0.99725274725274726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426</v>
      </c>
      <c r="B13" s="7">
        <v>4011</v>
      </c>
      <c r="C13" s="22" t="s">
        <v>208</v>
      </c>
      <c r="D13" s="22" t="s">
        <v>672</v>
      </c>
      <c r="E13" s="13">
        <v>42709.131249999999</v>
      </c>
      <c r="F13" s="13">
        <v>42709.135613425926</v>
      </c>
      <c r="G13" s="7">
        <v>1</v>
      </c>
      <c r="H13" s="22" t="s">
        <v>673</v>
      </c>
      <c r="I13" s="13">
        <v>42709.160405092596</v>
      </c>
      <c r="J13" s="7">
        <v>2</v>
      </c>
      <c r="K13" s="109" t="str">
        <f>IF(ISEVEN(B13),(B13-1)&amp;"/"&amp;B13,B13&amp;"/"&amp;(B13+1))</f>
        <v>4011/4012</v>
      </c>
      <c r="L13" s="22" t="str">
        <f>VLOOKUP(A13,'Trips&amp;Operators'!$C$1:$G$99999,5,FALSE)</f>
        <v>KILLION DAVID</v>
      </c>
      <c r="M13" s="6">
        <f>I13-F13</f>
        <v>2.4791666670353152E-2</v>
      </c>
      <c r="N13" s="7">
        <f>24*60*SUM($M13:$M13)</f>
        <v>35.700000005308539</v>
      </c>
      <c r="O13" s="7"/>
      <c r="P13" s="7"/>
      <c r="Q13" s="23"/>
      <c r="R13" s="23"/>
      <c r="S13" s="35">
        <f>SUM(U13:U13)/IF(AG13="EC",12,1)</f>
        <v>1</v>
      </c>
      <c r="T13" s="50" t="str">
        <f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https://search-rtdc-monitor-bjffxe2xuh6vdkpspy63sjmuny.us-east-1.es.amazonaws.com/_plugin/kibana/#/discover/Steve-Slow-Train-Analysis-(2080s-and-2083s)?_g=(refreshInterval:(display:Off,section:0,value:0),time:(from:'2016-12-05 02:09:00-700',mode:absolute,to:'2016-12-05 04:50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" s="52" t="str">
        <f>IF(AA13&lt;IF(AG13="EC",23,5.65),"Y","N")</f>
        <v>N</v>
      </c>
      <c r="X13" s="177" t="e">
        <f>VALUE(LEFT(AD13,4))-VALUE(LEFT(AD12,4))</f>
        <v>#VALUE!</v>
      </c>
      <c r="Y13" s="67">
        <f>RIGHT(D13,LEN(D13)-4)/10000</f>
        <v>7.6999999999999999E-2</v>
      </c>
      <c r="Z13" s="67">
        <f>RIGHT(H13,LEN(H13)-4)/10000</f>
        <v>23.312799999999999</v>
      </c>
      <c r="AA13" s="67">
        <f>ABS(Z13-Y13)</f>
        <v>23.235799999999998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>IF(LEN(A13)=6,"0"&amp;A13,A13)</f>
        <v>0101-05</v>
      </c>
      <c r="AE13" s="91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s3://rtdc.mdm.uploadarchive.raw/RTDC4011/ "%USERPROFILE%\AppData\Local\Temp\OnboardLogs"\RTDC4011\2016-12-05 --exclude "*" --recursive --include "*20161205*" &amp; "%USERPROFILE%\Documents\GitHub\mrs-test-scripts\Headless Mode &amp; Sideloading\WalkAndUnGZ.bat" "%USERPROFILE%\AppData\Local\Temp\OnboardLogs"\RTDC4011\2016-12-05 &amp; 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</v>
      </c>
      <c r="AF13" s="88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/stypes="app*4011*20161205*" /stext=" 10:.+((SYSTEM_STATE.+slice.+state.+changed )|(ment ac)|(multiple cpu faults)|(system.+state.+changed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92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101-05 --locoid 4011 --swversion DE.1.0.8.0 --startMP 204:770 --initTime 2016-12-05T03:09:00 --startdatetime 2016-12-05T03:15:17 --delay 1 --endMP 204:233128 --enddatetime 2016-12-05T03:50:59 --enforcementcount 2 &gt;&gt;C:\Users\stu\Documents\GitHub\eaglep3-reporting\EC\2016-12-05-refined-times.txt</v>
      </c>
      <c r="AI13" s="11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{"issue":{"subject":"","project_id":79,"tracker_id":40,"status_id":1,"priority_id":2,"assigned_to_id":23,"start_date":"2016-12-05","description":"","custom_fields":[{"id":1,"name":"Subdivision","value":"EC"},{"id":4,"name":"Milepost","value":"23.3128"},{"id":17,"name":"Train ID","value":"101-05"},{"id":16,"name":"Locomotive ID","value":"4011"},{"id":130,"name":"Impact","value":""},{"id":150,"name":"Time of Event (Mountain Time)","value":"03:50:59"},{"id":151,"name":"Denver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466</v>
      </c>
      <c r="B14" s="7">
        <v>4021</v>
      </c>
      <c r="C14" s="22" t="s">
        <v>208</v>
      </c>
      <c r="D14" s="22" t="s">
        <v>674</v>
      </c>
      <c r="E14" s="13">
        <v>42709.167442129627</v>
      </c>
      <c r="F14" s="13">
        <v>42709.174525462964</v>
      </c>
      <c r="G14" s="7">
        <v>1</v>
      </c>
      <c r="H14" s="22" t="s">
        <v>228</v>
      </c>
      <c r="I14" s="13">
        <v>42709.202685185184</v>
      </c>
      <c r="J14" s="7">
        <v>2</v>
      </c>
      <c r="K14" s="109" t="str">
        <f>IF(ISEVEN(B14),(B14-1)&amp;"/"&amp;B14,B14&amp;"/"&amp;(B14+1))</f>
        <v>4021/4022</v>
      </c>
      <c r="L14" s="22" t="str">
        <f>VLOOKUP(A14,'Trips&amp;Operators'!$C$1:$G$99999,5,FALSE)</f>
        <v>KILLION DAVID</v>
      </c>
      <c r="M14" s="6">
        <f>I14-F14</f>
        <v>2.8159722220152617E-2</v>
      </c>
      <c r="N14" s="7">
        <f>24*60*SUM($M14:$M14)</f>
        <v>40.549999997019768</v>
      </c>
      <c r="O14" s="7"/>
      <c r="P14" s="7"/>
      <c r="Q14" s="23"/>
      <c r="R14" s="23"/>
      <c r="S14" s="35">
        <f>SUM(U14:U14)/IF(AG14="EC",12,1)</f>
        <v>1</v>
      </c>
      <c r="T14" s="50" t="str">
        <f>IF(ISEVEN(LEFT(AD14,4)),"Southbound","NorthBound")</f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hh:mm:ss")&amp;utc_offset&amp;"00',mode:absolute,to:'"&amp;TEXT(I14+1/24,"yyyy-MM-DD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https://search-rtdc-monitor-bjffxe2xuh6vdkpspy63sjmuny.us-east-1.es.amazonaws.com/_plugin/kibana/#/discover/Steve-Slow-Train-Analysis-(2080s-and-2083s)?_g=(refreshInterval:(display:Off,section:0,value:0),time:(from:'2016-12-05 03:01:07-700',mode:absolute,to:'2016-12-05 05:51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" s="52" t="str">
        <f>IF(AA14&lt;IF(AG14="EC",23,5.65),"Y","N")</f>
        <v>N</v>
      </c>
      <c r="X14" s="177">
        <f>VALUE(LEFT(AD14,4))-VALUE(LEFT(AD13,4))</f>
        <v>1</v>
      </c>
      <c r="Y14" s="67">
        <f>RIGHT(D14,LEN(D14)-4)/10000</f>
        <v>23.270900000000001</v>
      </c>
      <c r="Z14" s="67">
        <f>RIGHT(H14,LEN(H14)-4)/10000</f>
        <v>1.54E-2</v>
      </c>
      <c r="AA14" s="67">
        <f>ABS(Z14-Y14)</f>
        <v>23.255500000000001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>IF(LEN(A14)=6,"0"&amp;A14,A14)</f>
        <v>0102-05</v>
      </c>
      <c r="AE14" s="91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s3://rtdc.mdm.uploadarchive.raw/RTDC4021/ "%USERPROFILE%\AppData\Local\Temp\OnboardLogs"\RTDC4021\2016-12-05 --exclude "*" --recursive --include "*20161205*" &amp; "%USERPROFILE%\Documents\GitHub\mrs-test-scripts\Headless Mode &amp; Sideloading\WalkAndUnGZ.bat" "%USERPROFILE%\AppData\Local\Temp\OnboardLogs"\RTDC4021\2016-12-05 &amp; 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</v>
      </c>
      <c r="AF14" s="88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/stypes="app*4021*20161205*" /stext=" 11:.+((SYSTEM_STATE.+slice.+state.+changed )|(ment ac)|(multiple cpu faults)|(system.+state.+changed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92" t="str">
        <f t="shared" ref="AH14:AH77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102-05 --locoid 4021 --swversion DE.1.0.8.0 --startMP 204:232709 --initTime 2016-12-05T04:01:07 --startdatetime 2016-12-05T04:11:19 --delay 1 --endMP 204:154 --enddatetime 2016-12-05T04:51:52 --enforcementcount 2 &gt;&gt;C:\Users\stu\Documents\GitHub\eaglep3-reporting\EC\2016-12-05-refined-times.txt</v>
      </c>
      <c r="AI14" s="119" t="str">
        <f t="shared" ref="AI14:AI77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{"issue":{"subject":"","project_id":79,"tracker_id":40,"status_id":1,"priority_id":2,"assigned_to_id":23,"start_date":"2016-12-05","description":"","custom_fields":[{"id":1,"name":"Subdivision","value":"EC"},{"id":4,"name":"Milepost","value":"0.0154"},{"id":17,"name":"Train ID","value":"102-05"},{"id":16,"name":"Locomotive ID","value":"4021"},{"id":130,"name":"Impact","value":""},{"id":150,"name":"Time of Event (Mountain Time)","value":"04:51:52"},{"id":151,"name":"Denver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461</v>
      </c>
      <c r="B15" s="7">
        <v>4038</v>
      </c>
      <c r="C15" s="22" t="s">
        <v>208</v>
      </c>
      <c r="D15" s="22" t="s">
        <v>675</v>
      </c>
      <c r="E15" s="13">
        <v>42709.153090277781</v>
      </c>
      <c r="F15" s="13">
        <v>42709.156458333331</v>
      </c>
      <c r="G15" s="7">
        <v>1</v>
      </c>
      <c r="H15" s="22" t="s">
        <v>300</v>
      </c>
      <c r="I15" s="13">
        <v>42709.183368055557</v>
      </c>
      <c r="J15" s="7">
        <v>2</v>
      </c>
      <c r="K15" s="109" t="str">
        <f>IF(ISEVEN(B15),(B15-1)&amp;"/"&amp;B15,B15&amp;"/"&amp;(B15+1))</f>
        <v>4037/4038</v>
      </c>
      <c r="L15" s="22" t="str">
        <f>VLOOKUP(A15,'Trips&amp;Operators'!$C$1:$G$99999,5,FALSE)</f>
        <v>MAGEE KENYA</v>
      </c>
      <c r="M15" s="6">
        <f>I15-F15</f>
        <v>2.6909722226264421E-2</v>
      </c>
      <c r="N15" s="7">
        <f>24*60*SUM($M15:$M15)</f>
        <v>38.750000005820766</v>
      </c>
      <c r="O15" s="7"/>
      <c r="P15" s="7"/>
      <c r="Q15" s="23"/>
      <c r="R15" s="23"/>
      <c r="S15" s="35">
        <f>SUM(U15:U15)/IF(AG15="EC",12,1)</f>
        <v>1</v>
      </c>
      <c r="T15" s="50" t="str">
        <f>IF(ISEVEN(LEFT(AD15,4)),"Southbound","NorthBound")</f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hh:mm:ss")&amp;utc_offset&amp;"00',mode:absolute,to:'"&amp;TEXT(I15+1/24,"yyyy-MM-DD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https://search-rtdc-monitor-bjffxe2xuh6vdkpspy63sjmuny.us-east-1.es.amazonaws.com/_plugin/kibana/#/discover/Steve-Slow-Train-Analysis-(2080s-and-2083s)?_g=(refreshInterval:(display:Off,section:0,value:0),time:(from:'2016-12-05 02:40:27-700',mode:absolute,to:'2016-12-05 05:24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" s="52" t="str">
        <f>IF(AA15&lt;IF(AG15="EC",23,5.65),"Y","N")</f>
        <v>N</v>
      </c>
      <c r="X15" s="177">
        <f>VALUE(LEFT(AD15,4))-VALUE(LEFT(AD14,4))</f>
        <v>1</v>
      </c>
      <c r="Y15" s="67">
        <f>RIGHT(D15,LEN(D15)-4)/10000</f>
        <v>7.3899999999999993E-2</v>
      </c>
      <c r="Z15" s="67">
        <f>RIGHT(H15,LEN(H15)-4)/10000</f>
        <v>23.331199999999999</v>
      </c>
      <c r="AA15" s="67">
        <f>ABS(Z15-Y15)</f>
        <v>23.257300000000001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>IF(LEN(A15)=6,"0"&amp;A15,A15)</f>
        <v>0103-05</v>
      </c>
      <c r="AE15" s="91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 &amp; aws s3 cp s3://rtdc.mdm.uploadarchive.raw/RTDC4038/ "%USERPROFILE%\AppData\Local\Temp\OnboardLogs"\RTDC4038\2016-12-06 --exclude "*" --recursive --include "*20161206*" &amp; "%USERPROFILE%\Documents\GitHub\mrs-test-scripts\Headless Mode &amp; Sideloading\WalkAndUnGZ.bat" "%USERPROFILE%\AppData\Local\Temp\OnboardLogs"\RTDC4038\2016-12-06</v>
      </c>
      <c r="AF15" s="88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/stypes="app*4038*20161205*" /stext=" 11:.+((SYSTEM_STATE.+slice.+state.+changed )|(ment ac)|(multiple cpu faults)|(system.+state.+changed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92" t="str">
        <f t="shared" si="2"/>
        <v>"%USERPROFILE%\Documents\GitHub\eaglep3\Utilities\RefineRTDCRunTimes.py" --tripid 103-05 --locoid 4038 --swversion DE.1.0.8.0 --startMP 204:739 --initTime 2016-12-05T03:40:27 --startdatetime 2016-12-05T03:45:18 --delay 1 --endMP 204:233312 --enddatetime 2016-12-05T04:24:03 --enforcementcount 2 &gt;&gt;C:\Users\stu\Documents\GitHub\eaglep3-reporting\EC\2016-12-05-refined-times.txt</v>
      </c>
      <c r="AI15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{"issue":{"subject":"","project_id":79,"tracker_id":40,"status_id":1,"priority_id":2,"assigned_to_id":23,"start_date":"2016-12-05","description":"","custom_fields":[{"id":1,"name":"Subdivision","value":"EC"},{"id":4,"name":"Milepost","value":"23.3312"},{"id":17,"name":"Train ID","value":"103-05"},{"id":16,"name":"Locomotive ID","value":"4038"},{"id":130,"name":"Impact","value":""},{"id":150,"name":"Time of Event (Mountain Time)","value":"04:24:03"},{"id":151,"name":"Denver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474</v>
      </c>
      <c r="B16" s="7">
        <v>4019</v>
      </c>
      <c r="C16" s="22" t="s">
        <v>208</v>
      </c>
      <c r="D16" s="22" t="s">
        <v>676</v>
      </c>
      <c r="E16" s="13">
        <v>42709.19021990741</v>
      </c>
      <c r="F16" s="13">
        <v>42709.195416666669</v>
      </c>
      <c r="G16" s="7">
        <v>1</v>
      </c>
      <c r="H16" s="22" t="s">
        <v>277</v>
      </c>
      <c r="I16" s="13">
        <v>42709.225104166668</v>
      </c>
      <c r="J16" s="7">
        <v>2</v>
      </c>
      <c r="K16" s="109" t="str">
        <f>IF(ISEVEN(B16),(B16-1)&amp;"/"&amp;B16,B16&amp;"/"&amp;(B16+1))</f>
        <v>4019/4020</v>
      </c>
      <c r="L16" s="22" t="str">
        <f>VLOOKUP(A16,'Trips&amp;Operators'!$C$1:$G$99999,5,FALSE)</f>
        <v>MAGEE KENYA</v>
      </c>
      <c r="M16" s="6">
        <f>I16-F16</f>
        <v>2.9687499998544808E-2</v>
      </c>
      <c r="N16" s="7">
        <f>24*60*SUM($M16:$M16)</f>
        <v>42.749999997904524</v>
      </c>
      <c r="O16" s="7"/>
      <c r="P16" s="7"/>
      <c r="Q16" s="23"/>
      <c r="R16" s="23"/>
      <c r="S16" s="35">
        <f>SUM(U16:U16)/IF(AG16="EC",12,1)</f>
        <v>1</v>
      </c>
      <c r="T16" s="50" t="str">
        <f>IF(ISEVEN(LEFT(AD16,4)),"Southbound","NorthBound")</f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hh:mm:ss")&amp;utc_offset&amp;"00',mode:absolute,to:'"&amp;TEXT(I16+1/24,"yyyy-MM-DD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https://search-rtdc-monitor-bjffxe2xuh6vdkpspy63sjmuny.us-east-1.es.amazonaws.com/_plugin/kibana/#/discover/Steve-Slow-Train-Analysis-(2080s-and-2083s)?_g=(refreshInterval:(display:Off,section:0,value:0),time:(from:'2016-12-05 03:33:55-700',mode:absolute,to:'2016-12-05 06:24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6" s="52" t="str">
        <f>IF(AA16&lt;IF(AG16="EC",23,5.65),"Y","N")</f>
        <v>N</v>
      </c>
      <c r="X16" s="177">
        <f>VALUE(LEFT(AD16,4))-VALUE(LEFT(AD15,4))</f>
        <v>1</v>
      </c>
      <c r="Y16" s="67">
        <f>RIGHT(D16,LEN(D16)-4)/10000</f>
        <v>23.2668</v>
      </c>
      <c r="Z16" s="67">
        <f>RIGHT(H16,LEN(H16)-4)/10000</f>
        <v>1.6E-2</v>
      </c>
      <c r="AA16" s="67">
        <f>ABS(Z16-Y16)</f>
        <v>23.250800000000002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>IF(LEN(A16)=6,"0"&amp;A16,A16)</f>
        <v>0104-05</v>
      </c>
      <c r="AE16" s="91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s3://rtdc.mdm.uploadarchive.raw/RTDC4019/ "%USERPROFILE%\AppData\Local\Temp\OnboardLogs"\RTDC4019\2016-12-05 --exclude "*" --recursive --include "*20161205*" &amp; "%USERPROFILE%\Documents\GitHub\mrs-test-scripts\Headless Mode &amp; Sideloading\WalkAndUnGZ.bat" "%USERPROFILE%\AppData\Local\Temp\OnboardLogs"\RTDC4019\2016-12-05 &amp; 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</v>
      </c>
      <c r="AF16" s="88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/stypes="app*4019*20161205*" /stext=" 12:.+((SYSTEM_STATE.+slice.+state.+changed )|(ment ac)|(multiple cpu faults)|(system.+state.+changed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92" t="str">
        <f t="shared" si="2"/>
        <v>"%USERPROFILE%\Documents\GitHub\eaglep3\Utilities\RefineRTDCRunTimes.py" --tripid 104-05 --locoid 4019 --swversion DE.1.0.8.0 --startMP 204:232668 --initTime 2016-12-05T04:33:55 --startdatetime 2016-12-05T04:41:24 --delay 1 --endMP 204:160 --enddatetime 2016-12-05T05:24:09 --enforcementcount 2 &gt;&gt;C:\Users\stu\Documents\GitHub\eaglep3-reporting\EC\2016-12-05-refined-times.txt</v>
      </c>
      <c r="AI16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{"issue":{"subject":"","project_id":79,"tracker_id":40,"status_id":1,"priority_id":2,"assigned_to_id":23,"start_date":"2016-12-05","description":"","custom_fields":[{"id":1,"name":"Subdivision","value":"EC"},{"id":4,"name":"Milepost","value":"0.016"},{"id":17,"name":"Train ID","value":"104-05"},{"id":16,"name":"Locomotive ID","value":"4019"},{"id":130,"name":"Impact","value":""},{"id":150,"name":"Time of Event (Mountain Time)","value":"05:24:09"},{"id":151,"name":"Denver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470</v>
      </c>
      <c r="B17" s="7">
        <v>4042</v>
      </c>
      <c r="C17" s="22" t="s">
        <v>208</v>
      </c>
      <c r="D17" s="22" t="s">
        <v>406</v>
      </c>
      <c r="E17" s="13">
        <v>42709.17019675926</v>
      </c>
      <c r="F17" s="13">
        <v>42709.177430555559</v>
      </c>
      <c r="G17" s="7">
        <v>1</v>
      </c>
      <c r="H17" s="22" t="s">
        <v>300</v>
      </c>
      <c r="I17" s="13">
        <v>42709.202453703707</v>
      </c>
      <c r="J17" s="7">
        <v>2</v>
      </c>
      <c r="K17" s="109" t="str">
        <f>IF(ISEVEN(B17),(B17-1)&amp;"/"&amp;B17,B17&amp;"/"&amp;(B17+1))</f>
        <v>4041/4042</v>
      </c>
      <c r="L17" s="22" t="str">
        <f>VLOOKUP(A17,'Trips&amp;Operators'!$C$1:$G$99999,5,FALSE)</f>
        <v>DAVIDSON DAVID</v>
      </c>
      <c r="M17" s="6">
        <f>I17-F17</f>
        <v>2.5023148147738539E-2</v>
      </c>
      <c r="N17" s="7">
        <f>24*60*SUM($M17:$M17)</f>
        <v>36.033333332743496</v>
      </c>
      <c r="O17" s="7"/>
      <c r="P17" s="7"/>
      <c r="Q17" s="23"/>
      <c r="R17" s="23"/>
      <c r="S17" s="35">
        <f>SUM(U17:U17)/IF(AG17="EC",12,1)</f>
        <v>1</v>
      </c>
      <c r="T17" s="50" t="str">
        <f>IF(ISEVEN(LEFT(AD17,4)),"Southbound","NorthBound")</f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hh:mm:ss")&amp;utc_offset&amp;"00',mode:absolute,to:'"&amp;TEXT(I17+1/24,"yyyy-MM-DD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https://search-rtdc-monitor-bjffxe2xuh6vdkpspy63sjmuny.us-east-1.es.amazonaws.com/_plugin/kibana/#/discover/Steve-Slow-Train-Analysis-(2080s-and-2083s)?_g=(refreshInterval:(display:Off,section:0,value:0),time:(from:'2016-12-05 03:05:05-700',mode:absolute,to:'2016-12-05 05:51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" s="52" t="str">
        <f>IF(AA17&lt;IF(AG17="EC",23,5.65),"Y","N")</f>
        <v>N</v>
      </c>
      <c r="X17" s="177">
        <f>VALUE(LEFT(AD17,4))-VALUE(LEFT(AD16,4))</f>
        <v>1</v>
      </c>
      <c r="Y17" s="67">
        <f>RIGHT(D17,LEN(D17)-4)/10000</f>
        <v>8.0100000000000005E-2</v>
      </c>
      <c r="Z17" s="67">
        <f>RIGHT(H17,LEN(H17)-4)/10000</f>
        <v>23.331199999999999</v>
      </c>
      <c r="AA17" s="67">
        <f>ABS(Z17-Y17)</f>
        <v>23.251099999999997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>IF(LEN(A17)=6,"0"&amp;A17,A17)</f>
        <v>0105-05</v>
      </c>
      <c r="AE17" s="91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s3://rtdc.mdm.uploadarchive.raw/RTDC4042/ "%USERPROFILE%\AppData\Local\Temp\OnboardLogs"\RTDC4042\2016-12-05 --exclude "*" --recursive --include "*20161205*" &amp; "%USERPROFILE%\Documents\GitHub\mrs-test-scripts\Headless Mode &amp; Sideloading\WalkAndUnGZ.bat" "%USERPROFILE%\AppData\Local\Temp\OnboardLogs"\RTDC4042\2016-12-05 &amp; aws s3 cp s3://rtdc.mdm.uploadarchive.raw/RTDC4042/ "%USERPROFILE%\AppData\Local\Temp\OnboardLogs"\RTDC4042\2016-12-06 --exclude "*" --recursive --include "*20161206*" &amp; "%USERPROFILE%\Documents\GitHub\mrs-test-scripts\Headless Mode &amp; Sideloading\WalkAndUnGZ.bat" "%USERPROFILE%\AppData\Local\Temp\OnboardLogs"\RTDC4042\2016-12-06</v>
      </c>
      <c r="AF17" s="88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/stypes="app*4042*20161205*" /stext=" 11:.+((SYSTEM_STATE.+slice.+state.+changed )|(ment ac)|(multiple cpu faults)|(system.+state.+changed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92" t="str">
        <f t="shared" si="2"/>
        <v>"%USERPROFILE%\Documents\GitHub\eaglep3\Utilities\RefineRTDCRunTimes.py" --tripid 105-05 --locoid 4042 --swversion DE.1.0.8.0 --startMP 204:801 --initTime 2016-12-05T04:05:05 --startdatetime 2016-12-05T04:15:30 --delay 1 --endMP 204:233312 --enddatetime 2016-12-05T04:51:32 --enforcementcount 2 &gt;&gt;C:\Users\stu\Documents\GitHub\eaglep3-reporting\EC\2016-12-05-refined-times.txt</v>
      </c>
      <c r="AI17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{"issue":{"subject":"","project_id":79,"tracker_id":40,"status_id":1,"priority_id":2,"assigned_to_id":23,"start_date":"2016-12-05","description":"","custom_fields":[{"id":1,"name":"Subdivision","value":"EC"},{"id":4,"name":"Milepost","value":"23.3312"},{"id":17,"name":"Train ID","value":"105-05"},{"id":16,"name":"Locomotive ID","value":"4042"},{"id":130,"name":"Impact","value":""},{"id":150,"name":"Time of Event (Mountain Time)","value":"04:51:32"},{"id":151,"name":"Denver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477</v>
      </c>
      <c r="B18" s="7">
        <v>4010</v>
      </c>
      <c r="C18" s="22" t="s">
        <v>208</v>
      </c>
      <c r="D18" s="22" t="s">
        <v>677</v>
      </c>
      <c r="E18" s="13">
        <v>42709.204432870371</v>
      </c>
      <c r="F18" s="13">
        <v>42709.216145833336</v>
      </c>
      <c r="G18" s="7">
        <v>1</v>
      </c>
      <c r="H18" s="22" t="s">
        <v>215</v>
      </c>
      <c r="I18" s="13">
        <v>42709.24486111111</v>
      </c>
      <c r="J18" s="7">
        <v>2</v>
      </c>
      <c r="K18" s="109" t="str">
        <f>IF(ISEVEN(B18),(B18-1)&amp;"/"&amp;B18,B18&amp;"/"&amp;(B18+1))</f>
        <v>4009/4010</v>
      </c>
      <c r="L18" s="22" t="str">
        <f>VLOOKUP(A18,'Trips&amp;Operators'!$C$1:$G$99999,5,FALSE)</f>
        <v>DAVIDSON DAVID</v>
      </c>
      <c r="M18" s="6">
        <f>I18-F18</f>
        <v>2.8715277774608694E-2</v>
      </c>
      <c r="N18" s="7">
        <f>24*60*SUM($M18:$M18)</f>
        <v>41.349999995436519</v>
      </c>
      <c r="O18" s="7"/>
      <c r="P18" s="7"/>
      <c r="Q18" s="23"/>
      <c r="R18" s="23"/>
      <c r="S18" s="35">
        <f>SUM(U18:U18)/IF(AG18="EC",12,1)</f>
        <v>1</v>
      </c>
      <c r="T18" s="50" t="str">
        <f>IF(ISEVEN(LEFT(AD18,4)),"Southbound","NorthBound")</f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hh:mm:ss")&amp;utc_offset&amp;"00',mode:absolute,to:'"&amp;TEXT(I18+1/24,"yyyy-MM-DD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https://search-rtdc-monitor-bjffxe2xuh6vdkpspy63sjmuny.us-east-1.es.amazonaws.com/_plugin/kibana/#/discover/Steve-Slow-Train-Analysis-(2080s-and-2083s)?_g=(refreshInterval:(display:Off,section:0,value:0),time:(from:'2016-12-05 03:54:23-700',mode:absolute,to:'2016-12-05 06:52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" s="52" t="str">
        <f>IF(AA18&lt;IF(AG18="EC",23,5.65),"Y","N")</f>
        <v>N</v>
      </c>
      <c r="X18" s="177">
        <f>VALUE(LEFT(AD18,4))-VALUE(LEFT(AD17,4))</f>
        <v>1</v>
      </c>
      <c r="Y18" s="67">
        <f>RIGHT(D18,LEN(D18)-4)/10000</f>
        <v>23.267700000000001</v>
      </c>
      <c r="Z18" s="67">
        <f>RIGHT(H18,LEN(H18)-4)/10000</f>
        <v>1.4999999999999999E-2</v>
      </c>
      <c r="AA18" s="67">
        <f>ABS(Z18-Y18)</f>
        <v>23.252700000000001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>IF(LEN(A18)=6,"0"&amp;A18,A18)</f>
        <v>0106-05</v>
      </c>
      <c r="AE18" s="91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s3://rtdc.mdm.uploadarchive.raw/RTDC4010/ "%USERPROFILE%\AppData\Local\Temp\OnboardLogs"\RTDC4010\2016-12-05 --exclude "*" --recursive --include "*20161205*" &amp; "%USERPROFILE%\Documents\GitHub\mrs-test-scripts\Headless Mode &amp; Sideloading\WalkAndUnGZ.bat" "%USERPROFILE%\AppData\Local\Temp\OnboardLogs"\RTDC4010\2016-12-05 &amp; 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</v>
      </c>
      <c r="AF18" s="88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/stypes="app*4010*20161205*" /stext=" 12:.+((SYSTEM_STATE.+slice.+state.+changed )|(ment ac)|(multiple cpu faults)|(system.+state.+changed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92" t="str">
        <f t="shared" si="2"/>
        <v>"%USERPROFILE%\Documents\GitHub\eaglep3\Utilities\RefineRTDCRunTimes.py" --tripid 106-05 --locoid 4010 --swversion DE.1.0.8.0 --startMP 204:232677 --initTime 2016-12-05T04:54:23 --startdatetime 2016-12-05T05:11:15 --delay 1 --endMP 204:150 --enddatetime 2016-12-05T05:52:36 --enforcementcount 2 &gt;&gt;C:\Users\stu\Documents\GitHub\eaglep3-reporting\EC\2016-12-05-refined-times.txt</v>
      </c>
      <c r="AI18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{"issue":{"subject":"","project_id":79,"tracker_id":40,"status_id":1,"priority_id":2,"assigned_to_id":23,"start_date":"2016-12-05","description":"","custom_fields":[{"id":1,"name":"Subdivision","value":"EC"},{"id":4,"name":"Milepost","value":"0.015"},{"id":17,"name":"Train ID","value":"106-05"},{"id":16,"name":"Locomotive ID","value":"4010"},{"id":130,"name":"Impact","value":""},{"id":150,"name":"Time of Event (Mountain Time)","value":"05:52:36"},{"id":151,"name":"Denver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472</v>
      </c>
      <c r="B19" s="7">
        <v>4002</v>
      </c>
      <c r="C19" s="22" t="s">
        <v>208</v>
      </c>
      <c r="D19" s="22" t="s">
        <v>398</v>
      </c>
      <c r="E19" s="13">
        <v>42709.180393518516</v>
      </c>
      <c r="F19" s="13">
        <v>42709.187685185185</v>
      </c>
      <c r="G19" s="7">
        <v>1</v>
      </c>
      <c r="H19" s="22" t="s">
        <v>274</v>
      </c>
      <c r="I19" s="13">
        <v>42709.21303240741</v>
      </c>
      <c r="J19" s="7">
        <v>2</v>
      </c>
      <c r="K19" s="109" t="str">
        <f>IF(ISEVEN(B19),(B19-1)&amp;"/"&amp;B19,B19&amp;"/"&amp;(B19+1))</f>
        <v>4001/4002</v>
      </c>
      <c r="L19" s="22" t="str">
        <f>VLOOKUP(A19,'Trips&amp;Operators'!$C$1:$G$99999,5,FALSE)</f>
        <v>ISHMAEL JOSEPH</v>
      </c>
      <c r="M19" s="6">
        <f>I19-F19</f>
        <v>2.5347222224809229E-2</v>
      </c>
      <c r="N19" s="7">
        <f>24*60*SUM($M19:$M19)</f>
        <v>36.50000000372529</v>
      </c>
      <c r="O19" s="7"/>
      <c r="P19" s="7"/>
      <c r="Q19" s="23"/>
      <c r="R19" s="23"/>
      <c r="S19" s="35">
        <f>SUM(U19:U19)/IF(AG19="EC",12,1)</f>
        <v>1</v>
      </c>
      <c r="T19" s="50" t="str">
        <f>IF(ISEVEN(LEFT(AD19,4)),"Southbound","NorthBound")</f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hh:mm:ss")&amp;utc_offset&amp;"00',mode:absolute,to:'"&amp;TEXT(I19+1/24,"yyyy-MM-DD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https://search-rtdc-monitor-bjffxe2xuh6vdkpspy63sjmuny.us-east-1.es.amazonaws.com/_plugin/kibana/#/discover/Steve-Slow-Train-Analysis-(2080s-and-2083s)?_g=(refreshInterval:(display:Off,section:0,value:0),time:(from:'2016-12-05 03:19:46-700',mode:absolute,to:'2016-12-05 06:06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" s="52" t="str">
        <f>IF(AA19&lt;IF(AG19="EC",23,5.65),"Y","N")</f>
        <v>N</v>
      </c>
      <c r="X19" s="177">
        <f>VALUE(LEFT(AD19,4))-VALUE(LEFT(AD18,4))</f>
        <v>1</v>
      </c>
      <c r="Y19" s="67">
        <f>RIGHT(D19,LEN(D19)-4)/10000</f>
        <v>4.6399999999999997E-2</v>
      </c>
      <c r="Z19" s="67">
        <f>RIGHT(H19,LEN(H19)-4)/10000</f>
        <v>23.330100000000002</v>
      </c>
      <c r="AA19" s="67">
        <f>ABS(Z19-Y19)</f>
        <v>23.283700000000003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>IF(LEN(A19)=6,"0"&amp;A19,A19)</f>
        <v>0107-05</v>
      </c>
      <c r="AE19" s="91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s3://rtdc.mdm.uploadarchive.raw/RTDC4002/ "%USERPROFILE%\AppData\Local\Temp\OnboardLogs"\RTDC4002\2016-12-05 --exclude "*" --recursive --include "*20161205*" &amp; "%USERPROFILE%\Documents\GitHub\mrs-test-scripts\Headless Mode &amp; Sideloading\WalkAndUnGZ.bat" "%USERPROFILE%\AppData\Local\Temp\OnboardLogs"\RTDC4002\2016-12-05 &amp; aws s3 cp s3://rtdc.mdm.uploadarchive.raw/RTDC4002/ "%USERPROFILE%\AppData\Local\Temp\OnboardLogs"\RTDC4002\2016-12-06 --exclude "*" --recursive --include "*20161206*" &amp; "%USERPROFILE%\Documents\GitHub\mrs-test-scripts\Headless Mode &amp; Sideloading\WalkAndUnGZ.bat" "%USERPROFILE%\AppData\Local\Temp\OnboardLogs"\RTDC4002\2016-12-06</v>
      </c>
      <c r="AF19" s="88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/stypes="app*4002*20161205*" /stext=" 12:.+((SYSTEM_STATE.+slice.+state.+changed )|(ment ac)|(multiple cpu faults)|(system.+state.+changed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92" t="str">
        <f t="shared" si="2"/>
        <v>"%USERPROFILE%\Documents\GitHub\eaglep3\Utilities\RefineRTDCRunTimes.py" --tripid 107-05 --locoid 4002 --swversion DE.1.0.8.0 --startMP 204:464 --initTime 2016-12-05T04:19:46 --startdatetime 2016-12-05T04:30:16 --delay 1 --endMP 204:233301 --enddatetime 2016-12-05T05:06:46 --enforcementcount 2 &gt;&gt;C:\Users\stu\Documents\GitHub\eaglep3-reporting\EC\2016-12-05-refined-times.txt</v>
      </c>
      <c r="AI19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{"issue":{"subject":"","project_id":79,"tracker_id":40,"status_id":1,"priority_id":2,"assigned_to_id":23,"start_date":"2016-12-05","description":"","custom_fields":[{"id":1,"name":"Subdivision","value":"EC"},{"id":4,"name":"Milepost","value":"23.3301"},{"id":17,"name":"Train ID","value":"107-05"},{"id":16,"name":"Locomotive ID","value":"4002"},{"id":130,"name":"Impact","value":""},{"id":150,"name":"Time of Event (Mountain Time)","value":"05:06:46"},{"id":151,"name":"Denver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480</v>
      </c>
      <c r="B20" s="7">
        <v>4001</v>
      </c>
      <c r="C20" s="22" t="s">
        <v>208</v>
      </c>
      <c r="D20" s="22" t="s">
        <v>392</v>
      </c>
      <c r="E20" s="13">
        <v>42709.218460648146</v>
      </c>
      <c r="F20" s="13">
        <v>42709.2265625</v>
      </c>
      <c r="G20" s="7">
        <v>1</v>
      </c>
      <c r="H20" s="22" t="s">
        <v>678</v>
      </c>
      <c r="I20" s="13">
        <v>42709.254363425927</v>
      </c>
      <c r="J20" s="7">
        <v>2</v>
      </c>
      <c r="K20" s="109" t="str">
        <f>IF(ISEVEN(B20),(B20-1)&amp;"/"&amp;B20,B20&amp;"/"&amp;(B20+1))</f>
        <v>4001/4002</v>
      </c>
      <c r="L20" s="22" t="str">
        <f>VLOOKUP(A20,'Trips&amp;Operators'!$C$1:$G$99999,5,FALSE)</f>
        <v>ISHMAEL JOSEPH</v>
      </c>
      <c r="M20" s="6">
        <f>I20-F20</f>
        <v>2.7800925927294884E-2</v>
      </c>
      <c r="N20" s="7">
        <f>24*60*SUM($M20:$M20)</f>
        <v>40.033333335304633</v>
      </c>
      <c r="O20" s="7"/>
      <c r="P20" s="7"/>
      <c r="Q20" s="23"/>
      <c r="R20" s="23" t="s">
        <v>847</v>
      </c>
      <c r="S20" s="35">
        <f>SUM(U20:U20)/IF(AG20="EC",12,1)</f>
        <v>1</v>
      </c>
      <c r="T20" s="50" t="str">
        <f>IF(ISEVEN(LEFT(AD20,4)),"Southbound","NorthBound")</f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hh:mm:ss")&amp;utc_offset&amp;"00',mode:absolute,to:'"&amp;TEXT(I20+1/24,"yyyy-MM-DD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https://search-rtdc-monitor-bjffxe2xuh6vdkpspy63sjmuny.us-east-1.es.amazonaws.com/_plugin/kibana/#/discover/Steve-Slow-Train-Analysis-(2080s-and-2083s)?_g=(refreshInterval:(display:Off,section:0,value:0),time:(from:'2016-12-05 04:14:35-700',mode:absolute,to:'2016-12-05 07:06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" s="52" t="str">
        <f>IF(AA20&lt;IF(AG20="EC",23,5.65),"Y","N")</f>
        <v>N</v>
      </c>
      <c r="X20" s="177">
        <f>VALUE(LEFT(AD20,4))-VALUE(LEFT(AD19,4))</f>
        <v>1</v>
      </c>
      <c r="Y20" s="67">
        <f>RIGHT(D20,LEN(D20)-4)/10000</f>
        <v>23.2973</v>
      </c>
      <c r="Z20" s="67">
        <v>0.04</v>
      </c>
      <c r="AA20" s="67">
        <f>ABS(Z20-Y20)</f>
        <v>23.257300000000001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>IF(LEN(A20)=6,"0"&amp;A20,A20)</f>
        <v>0108-05</v>
      </c>
      <c r="AE20" s="91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s3://rtdc.mdm.uploadarchive.raw/RTDC4001/ "%USERPROFILE%\AppData\Local\Temp\OnboardLogs"\RTDC4001\2016-12-05 --exclude "*" --recursive --include "*20161205*" &amp; "%USERPROFILE%\Documents\GitHub\mrs-test-scripts\Headless Mode &amp; Sideloading\WalkAndUnGZ.bat" "%USERPROFILE%\AppData\Local\Temp\OnboardLogs"\RTDC4001\2016-12-05 &amp; aws s3 cp s3://rtdc.mdm.uploadarchive.raw/RTDC4001/ "%USERPROFILE%\AppData\Local\Temp\OnboardLogs"\RTDC4001\2016-12-06 --exclude "*" --recursive --include "*20161206*" &amp; "%USERPROFILE%\Documents\GitHub\mrs-test-scripts\Headless Mode &amp; Sideloading\WalkAndUnGZ.bat" "%USERPROFILE%\AppData\Local\Temp\OnboardLogs"\RTDC4001\2016-12-06</v>
      </c>
      <c r="AF20" s="88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/stypes="app*4001*20161205*" /stext=" 13:.+((SYSTEM_STATE.+slice.+state.+changed )|(ment ac)|(multiple cpu faults)|(system.+state.+changed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92" t="str">
        <f t="shared" si="2"/>
        <v>"%USERPROFILE%\Documents\GitHub\eaglep3\Utilities\RefineRTDCRunTimes.py" --tripid 108-05 --locoid 4001 --swversion DE.1.0.8.0 --startMP 204:232973 --initTime 2016-12-05T05:14:35 --startdatetime 2016-12-05T05:26:15 --delay 1 --endMP 204:36412 --enddatetime 2016-12-05T06:06:17 --enforcementcount 2 &gt;&gt;C:\Users\stu\Documents\GitHub\eaglep3-reporting\EC\2016-12-05-refined-times.txt</v>
      </c>
      <c r="AI20" s="119" t="str">
        <f t="shared" si="3"/>
        <v>echo {"issue":{"subject":"Onboard in-route failure (but system self-recovered) - unrelated to phase break incident","project_id":79,"tracker_id":40,"status_id":1,"priority_id":2,"assigned_to_id":23,"start_date":"2016-12-05","description":"","custom_fields":[{"id":1,"name":"Subdivision","value":"EC"},{"id":4,"name":"Milepost","value":"0.04"},{"id":17,"name":"Train ID","value":"108-05"},{"id":16,"name":"Locomotive ID","value":"4001"},{"id":130,"name":"Impact","value":""},{"id":150,"name":"Time of Event (Mountain Time)","value":"06:06:17"},{"id":151,"name":"Denver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473</v>
      </c>
      <c r="B21" s="7">
        <v>4044</v>
      </c>
      <c r="C21" s="22" t="s">
        <v>208</v>
      </c>
      <c r="D21" s="22" t="s">
        <v>405</v>
      </c>
      <c r="E21" s="13">
        <v>42709.188240740739</v>
      </c>
      <c r="F21" s="13">
        <v>42709.198761574073</v>
      </c>
      <c r="G21" s="7">
        <v>1</v>
      </c>
      <c r="H21" s="22" t="s">
        <v>395</v>
      </c>
      <c r="I21" s="13">
        <v>42709.221990740742</v>
      </c>
      <c r="J21" s="7">
        <v>2</v>
      </c>
      <c r="K21" s="109" t="str">
        <f>IF(ISEVEN(B21),(B21-1)&amp;"/"&amp;B21,B21&amp;"/"&amp;(B21+1))</f>
        <v>4043/4044</v>
      </c>
      <c r="L21" s="22" t="str">
        <f>VLOOKUP(A21,'Trips&amp;Operators'!$C$1:$G$99999,5,FALSE)</f>
        <v>YORK EDGAR</v>
      </c>
      <c r="M21" s="6">
        <f>I21-F21</f>
        <v>2.322916666889796E-2</v>
      </c>
      <c r="N21" s="7">
        <f>24*60*SUM($M21:$M21)</f>
        <v>33.450000003213063</v>
      </c>
      <c r="O21" s="7"/>
      <c r="P21" s="7"/>
      <c r="Q21" s="23"/>
      <c r="R21" s="23"/>
      <c r="S21" s="35">
        <f>SUM(U21:U21)/IF(AG21="EC",12,1)</f>
        <v>1</v>
      </c>
      <c r="T21" s="50" t="str">
        <f>IF(ISEVEN(LEFT(AD21,4)),"Southbound","NorthBound")</f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hh:mm:ss")&amp;utc_offset&amp;"00',mode:absolute,to:'"&amp;TEXT(I21+1/24,"yyyy-MM-DD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https://search-rtdc-monitor-bjffxe2xuh6vdkpspy63sjmuny.us-east-1.es.amazonaws.com/_plugin/kibana/#/discover/Steve-Slow-Train-Analysis-(2080s-and-2083s)?_g=(refreshInterval:(display:Off,section:0,value:0),time:(from:'2016-12-05 03:31:04-700',mode:absolute,to:'2016-12-05 06:19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" s="52" t="str">
        <f>IF(AA21&lt;IF(AG21="EC",23,5.65),"Y","N")</f>
        <v>N</v>
      </c>
      <c r="X21" s="177">
        <f>VALUE(LEFT(AD21,4))-VALUE(LEFT(AD20,4))</f>
        <v>1</v>
      </c>
      <c r="Y21" s="67">
        <f>RIGHT(D21,LEN(D21)-4)/10000</f>
        <v>4.7300000000000002E-2</v>
      </c>
      <c r="Z21" s="67">
        <f>RIGHT(H21,LEN(H21)-4)/10000</f>
        <v>23.328499999999998</v>
      </c>
      <c r="AA21" s="67">
        <f>ABS(Z21-Y21)</f>
        <v>23.281199999999998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>IF(LEN(A21)=6,"0"&amp;A21,A21)</f>
        <v>0109-05</v>
      </c>
      <c r="AE21" s="91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 &amp; 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</v>
      </c>
      <c r="AF21" s="88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/stypes="app*4044*20161205*" /stext=" 12:.+((SYSTEM_STATE.+slice.+state.+changed )|(ment ac)|(multiple cpu faults)|(system.+state.+changed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92" t="str">
        <f t="shared" si="2"/>
        <v>"%USERPROFILE%\Documents\GitHub\eaglep3\Utilities\RefineRTDCRunTimes.py" --tripid 109-05 --locoid 4044 --swversion DE.1.0.8.0 --startMP 204:473 --initTime 2016-12-05T04:31:04 --startdatetime 2016-12-05T04:46:13 --delay 1 --endMP 204:233285 --enddatetime 2016-12-05T05:19:40 --enforcementcount 2 &gt;&gt;C:\Users\stu\Documents\GitHub\eaglep3-reporting\EC\2016-12-05-refined-times.txt</v>
      </c>
      <c r="AI21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{"issue":{"subject":"","project_id":79,"tracker_id":40,"status_id":1,"priority_id":2,"assigned_to_id":23,"start_date":"2016-12-05","description":"","custom_fields":[{"id":1,"name":"Subdivision","value":"EC"},{"id":4,"name":"Milepost","value":"23.3285"},{"id":17,"name":"Train ID","value":"109-05"},{"id":16,"name":"Locomotive ID","value":"4044"},{"id":130,"name":"Impact","value":""},{"id":150,"name":"Time of Event (Mountain Time)","value":"05:19:40"},{"id":151,"name":"Denver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481</v>
      </c>
      <c r="B22" s="7">
        <v>4043</v>
      </c>
      <c r="C22" s="22" t="s">
        <v>208</v>
      </c>
      <c r="D22" s="22" t="s">
        <v>679</v>
      </c>
      <c r="E22" s="13">
        <v>42709.224398148152</v>
      </c>
      <c r="F22" s="13">
        <v>42709.237268518518</v>
      </c>
      <c r="G22" s="7">
        <v>1</v>
      </c>
      <c r="H22" s="22" t="s">
        <v>236</v>
      </c>
      <c r="I22" s="13">
        <v>42709.264131944445</v>
      </c>
      <c r="J22" s="7">
        <v>2</v>
      </c>
      <c r="K22" s="109" t="str">
        <f>IF(ISEVEN(B22),(B22-1)&amp;"/"&amp;B22,B22&amp;"/"&amp;(B22+1))</f>
        <v>4043/4044</v>
      </c>
      <c r="L22" s="22" t="str">
        <f>VLOOKUP(A22,'Trips&amp;Operators'!$C$1:$G$99999,5,FALSE)</f>
        <v>YORK EDGAR</v>
      </c>
      <c r="M22" s="6">
        <f>I22-F22</f>
        <v>2.6863425926421769E-2</v>
      </c>
      <c r="N22" s="7">
        <f>24*60*SUM($M22:$M22)</f>
        <v>38.683333334047347</v>
      </c>
      <c r="O22" s="7"/>
      <c r="P22" s="7"/>
      <c r="Q22" s="23"/>
      <c r="R22" s="23"/>
      <c r="S22" s="35">
        <f>SUM(U22:U22)/IF(AG22="EC",12,1)</f>
        <v>1</v>
      </c>
      <c r="T22" s="50" t="str">
        <f>IF(ISEVEN(LEFT(AD22,4)),"Southbound","NorthBound")</f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hh:mm:ss")&amp;utc_offset&amp;"00',mode:absolute,to:'"&amp;TEXT(I22+1/24,"yyyy-MM-DD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https://search-rtdc-monitor-bjffxe2xuh6vdkpspy63sjmuny.us-east-1.es.amazonaws.com/_plugin/kibana/#/discover/Steve-Slow-Train-Analysis-(2080s-and-2083s)?_g=(refreshInterval:(display:Off,section:0,value:0),time:(from:'2016-12-05 04:23:08-700',mode:absolute,to:'2016-12-05 07:20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" s="52" t="str">
        <f>IF(AA22&lt;IF(AG22="EC",23,5.65),"Y","N")</f>
        <v>N</v>
      </c>
      <c r="X22" s="177">
        <f>VALUE(LEFT(AD22,4))-VALUE(LEFT(AD21,4))</f>
        <v>1</v>
      </c>
      <c r="Y22" s="67">
        <f>RIGHT(D22,LEN(D22)-4)/10000</f>
        <v>23.2974</v>
      </c>
      <c r="Z22" s="67">
        <f>RIGHT(H22,LEN(H22)-4)/10000</f>
        <v>1.47E-2</v>
      </c>
      <c r="AA22" s="67">
        <f>ABS(Z22-Y22)</f>
        <v>23.282699999999998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>IF(LEN(A22)=6,"0"&amp;A22,A22)</f>
        <v>0110-05</v>
      </c>
      <c r="AE22" s="91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 &amp; 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</v>
      </c>
      <c r="AF22" s="88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/stypes="app*4043*20161205*" /stext=" 13:.+((SYSTEM_STATE.+slice.+state.+changed )|(ment ac)|(multiple cpu faults)|(system.+state.+changed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92" t="str">
        <f t="shared" si="2"/>
        <v>"%USERPROFILE%\Documents\GitHub\eaglep3\Utilities\RefineRTDCRunTimes.py" --tripid 110-05 --locoid 4043 --swversion DE.1.0.8.0 --startMP 204:232974 --initTime 2016-12-05T05:23:08 --startdatetime 2016-12-05T05:41:40 --delay 1 --endMP 204:147 --enddatetime 2016-12-05T06:20:21 --enforcementcount 2 &gt;&gt;C:\Users\stu\Documents\GitHub\eaglep3-reporting\EC\2016-12-05-refined-times.txt</v>
      </c>
      <c r="AI22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{"issue":{"subject":"","project_id":79,"tracker_id":40,"status_id":1,"priority_id":2,"assigned_to_id":23,"start_date":"2016-12-05","description":"","custom_fields":[{"id":1,"name":"Subdivision","value":"EC"},{"id":4,"name":"Milepost","value":"0.0147"},{"id":17,"name":"Train ID","value":"110-05"},{"id":16,"name":"Locomotive ID","value":"4043"},{"id":130,"name":"Impact","value":""},{"id":150,"name":"Time of Event (Mountain Time)","value":"06:20:21"},{"id":151,"name":"Denver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479</v>
      </c>
      <c r="B23" s="7">
        <v>4040</v>
      </c>
      <c r="C23" s="22" t="s">
        <v>208</v>
      </c>
      <c r="D23" s="22" t="s">
        <v>341</v>
      </c>
      <c r="E23" s="13">
        <v>42709.209479166668</v>
      </c>
      <c r="F23" s="13">
        <v>42709.211724537039</v>
      </c>
      <c r="G23" s="7">
        <v>1</v>
      </c>
      <c r="H23" s="22" t="s">
        <v>680</v>
      </c>
      <c r="I23" s="13">
        <v>42709.240659722222</v>
      </c>
      <c r="J23" s="7">
        <v>2</v>
      </c>
      <c r="K23" s="109" t="str">
        <f>IF(ISEVEN(B23),(B23-1)&amp;"/"&amp;B23,B23&amp;"/"&amp;(B23+1))</f>
        <v>4039/4040</v>
      </c>
      <c r="L23" s="22" t="str">
        <f>VLOOKUP(A23,'Trips&amp;Operators'!$C$1:$G$99999,5,FALSE)</f>
        <v>STARKS ANGELINA</v>
      </c>
      <c r="M23" s="6">
        <f>I23-F23</f>
        <v>2.8935185182490386E-2</v>
      </c>
      <c r="N23" s="7">
        <f>24*60*SUM($M23:$M23)</f>
        <v>41.666666662786156</v>
      </c>
      <c r="O23" s="7"/>
      <c r="P23" s="7"/>
      <c r="Q23" s="23"/>
      <c r="R23" s="23"/>
      <c r="S23" s="35">
        <f>SUM(U23:U23)/IF(AG23="EC",12,1)</f>
        <v>1</v>
      </c>
      <c r="T23" s="50" t="str">
        <f>IF(ISEVEN(LEFT(AD23,4)),"Southbound","NorthBound")</f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hh:mm:ss")&amp;utc_offset&amp;"00',mode:absolute,to:'"&amp;TEXT(I23+1/24,"yyyy-MM-DD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https://search-rtdc-monitor-bjffxe2xuh6vdkpspy63sjmuny.us-east-1.es.amazonaws.com/_plugin/kibana/#/discover/Steve-Slow-Train-Analysis-(2080s-and-2083s)?_g=(refreshInterval:(display:Off,section:0,value:0),time:(from:'2016-12-05 04:01:39-700',mode:absolute,to:'2016-12-05 06:46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3" s="52" t="str">
        <f>IF(AA23&lt;IF(AG23="EC",23,5.65),"Y","N")</f>
        <v>N</v>
      </c>
      <c r="X23" s="177">
        <f>VALUE(LEFT(AD23,4))-VALUE(LEFT(AD22,4))</f>
        <v>1</v>
      </c>
      <c r="Y23" s="67">
        <f>RIGHT(D23,LEN(D23)-4)/10000</f>
        <v>4.6899999999999997E-2</v>
      </c>
      <c r="Z23" s="67">
        <f>RIGHT(H23,LEN(H23)-4)/10000</f>
        <v>23.3309</v>
      </c>
      <c r="AA23" s="67">
        <f>ABS(Z23-Y23)</f>
        <v>23.283999999999999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>IF(LEN(A23)=6,"0"&amp;A23,A23)</f>
        <v>0111-05</v>
      </c>
      <c r="AE23" s="91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s3://rtdc.mdm.uploadarchive.raw/RTDC4040/ "%USERPROFILE%\AppData\Local\Temp\OnboardLogs"\RTDC4040\2016-12-05 --exclude "*" --recursive --include "*20161205*" &amp; "%USERPROFILE%\Documents\GitHub\mrs-test-scripts\Headless Mode &amp; Sideloading\WalkAndUnGZ.bat" "%USERPROFILE%\AppData\Local\Temp\OnboardLogs"\RTDC4040\2016-12-05 &amp; aws s3 cp s3://rtdc.mdm.uploadarchive.raw/RTDC4040/ "%USERPROFILE%\AppData\Local\Temp\OnboardLogs"\RTDC4040\2016-12-06 --exclude "*" --recursive --include "*20161206*" &amp; "%USERPROFILE%\Documents\GitHub\mrs-test-scripts\Headless Mode &amp; Sideloading\WalkAndUnGZ.bat" "%USERPROFILE%\AppData\Local\Temp\OnboardLogs"\RTDC4040\2016-12-06</v>
      </c>
      <c r="AF23" s="88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/stypes="app*4040*20161205*" /stext=" 12:.+((SYSTEM_STATE.+slice.+state.+changed )|(ment ac)|(multiple cpu faults)|(system.+state.+changed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92" t="str">
        <f t="shared" si="2"/>
        <v>"%USERPROFILE%\Documents\GitHub\eaglep3\Utilities\RefineRTDCRunTimes.py" --tripid 111-05 --locoid 4040 --swversion DE.1.0.8.0 --startMP 204:469 --initTime 2016-12-05T05:01:39 --startdatetime 2016-12-05T05:04:53 --delay 1 --endMP 204:233309 --enddatetime 2016-12-05T05:46:33 --enforcementcount 2 &gt;&gt;C:\Users\stu\Documents\GitHub\eaglep3-reporting\EC\2016-12-05-refined-times.txt</v>
      </c>
      <c r="AI23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{"issue":{"subject":"","project_id":79,"tracker_id":40,"status_id":1,"priority_id":2,"assigned_to_id":23,"start_date":"2016-12-05","description":"","custom_fields":[{"id":1,"name":"Subdivision","value":"EC"},{"id":4,"name":"Milepost","value":"23.3309"},{"id":17,"name":"Train ID","value":"111-05"},{"id":16,"name":"Locomotive ID","value":"4040"},{"id":130,"name":"Impact","value":""},{"id":150,"name":"Time of Event (Mountain Time)","value":"05:46:33"},{"id":151,"name":"Denver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431</v>
      </c>
      <c r="B24" s="7">
        <v>4039</v>
      </c>
      <c r="C24" s="22" t="s">
        <v>208</v>
      </c>
      <c r="D24" s="22" t="s">
        <v>257</v>
      </c>
      <c r="E24" s="13">
        <v>42709.246261574073</v>
      </c>
      <c r="F24" s="13">
        <v>42709.247916666667</v>
      </c>
      <c r="G24" s="7">
        <v>1</v>
      </c>
      <c r="H24" s="22" t="s">
        <v>681</v>
      </c>
      <c r="I24" s="13">
        <v>42709.277488425927</v>
      </c>
      <c r="J24" s="7">
        <v>2</v>
      </c>
      <c r="K24" s="109" t="str">
        <f>IF(ISEVEN(B24),(B24-1)&amp;"/"&amp;B24,B24&amp;"/"&amp;(B24+1))</f>
        <v>4039/4040</v>
      </c>
      <c r="L24" s="22" t="str">
        <f>VLOOKUP(A24,'Trips&amp;Operators'!$C$1:$G$99999,5,FALSE)</f>
        <v>STARKS ANGELINA</v>
      </c>
      <c r="M24" s="6">
        <f>I24-F24</f>
        <v>2.9571759259852115E-2</v>
      </c>
      <c r="N24" s="7">
        <f>24*60*SUM($M24:$M24)</f>
        <v>42.583333334187046</v>
      </c>
      <c r="O24" s="7"/>
      <c r="P24" s="7"/>
      <c r="Q24" s="23"/>
      <c r="R24" s="23"/>
      <c r="S24" s="35">
        <f>SUM(U24:U24)/IF(AG24="EC",12,1)</f>
        <v>1</v>
      </c>
      <c r="T24" s="50" t="str">
        <f>IF(ISEVEN(LEFT(AD24,4)),"Southbound","NorthBound")</f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hh:mm:ss")&amp;utc_offset&amp;"00',mode:absolute,to:'"&amp;TEXT(I24+1/24,"yyyy-MM-DD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https://search-rtdc-monitor-bjffxe2xuh6vdkpspy63sjmuny.us-east-1.es.amazonaws.com/_plugin/kibana/#/discover/Steve-Slow-Train-Analysis-(2080s-and-2083s)?_g=(refreshInterval:(display:Off,section:0,value:0),time:(from:'2016-12-05 04:54:37-700',mode:absolute,to:'2016-12-05 07:39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4" s="52" t="str">
        <f>IF(AA24&lt;IF(AG24="EC",23,5.65),"Y","N")</f>
        <v>N</v>
      </c>
      <c r="X24" s="177">
        <f>VALUE(LEFT(AD24,4))-VALUE(LEFT(AD23,4))</f>
        <v>1</v>
      </c>
      <c r="Y24" s="67">
        <f>RIGHT(D24,LEN(D24)-4)/10000</f>
        <v>23.2988</v>
      </c>
      <c r="Z24" s="67">
        <f>RIGHT(H24,LEN(H24)-4)/10000</f>
        <v>1.7999999999999999E-2</v>
      </c>
      <c r="AA24" s="67">
        <f>ABS(Z24-Y24)</f>
        <v>23.280799999999999</v>
      </c>
      <c r="AB24" s="64" t="str">
        <f>VLOOKUP(A24,Enforcements!$C$7:$K$20,8,0)</f>
        <v>Form based authority (4)</v>
      </c>
      <c r="AC24" s="60" t="str">
        <f>VLOOKUP(A24,Enforcements!$C$7:$E$20,3,0)</f>
        <v>TRACK WARRANT AUTHORITY</v>
      </c>
      <c r="AD24" s="61" t="str">
        <f>IF(LEN(A24)=6,"0"&amp;A24,A24)</f>
        <v>0112-05</v>
      </c>
      <c r="AE24" s="91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s3://rtdc.mdm.uploadarchive.raw/RTDC4039/ "%USERPROFILE%\AppData\Local\Temp\OnboardLogs"\RTDC4039\2016-12-05 --exclude "*" --recursive --include "*20161205*" &amp; "%USERPROFILE%\Documents\GitHub\mrs-test-scripts\Headless Mode &amp; Sideloading\WalkAndUnGZ.bat" "%USERPROFILE%\AppData\Local\Temp\OnboardLogs"\RTDC4039\2016-12-05 &amp; aws s3 cp s3://rtdc.mdm.uploadarchive.raw/RTDC4039/ "%USERPROFILE%\AppData\Local\Temp\OnboardLogs"\RTDC4039\2016-12-06 --exclude "*" --recursive --include "*20161206*" &amp; "%USERPROFILE%\Documents\GitHub\mrs-test-scripts\Headless Mode &amp; Sideloading\WalkAndUnGZ.bat" "%USERPROFILE%\AppData\Local\Temp\OnboardLogs"\RTDC4039\2016-12-06</v>
      </c>
      <c r="AF24" s="88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/stypes="app*4039*20161205*" /stext=" 13:.+((SYSTEM_STATE.+slice.+state.+changed )|(ment ac)|(multiple cpu faults)|(system.+state.+changed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92" t="str">
        <f t="shared" si="2"/>
        <v>"%USERPROFILE%\Documents\GitHub\eaglep3\Utilities\RefineRTDCRunTimes.py" --tripid 112-05 --locoid 4039 --swversion DE.1.0.8.0 --startMP 204:232988 --initTime 2016-12-05T05:54:37 --startdatetime 2016-12-05T05:57:00 --delay 1 --endMP 204:180 --enddatetime 2016-12-05T06:39:35 --enforcementcount 2 &gt;&gt;C:\Users\stu\Documents\GitHub\eaglep3-reporting\EC\2016-12-05-refined-times.txt</v>
      </c>
      <c r="AI24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{"issue":{"subject":"","project_id":79,"tracker_id":40,"status_id":1,"priority_id":2,"assigned_to_id":23,"start_date":"2016-12-05","description":"","custom_fields":[{"id":1,"name":"Subdivision","value":"EC"},{"id":4,"name":"Milepost","value":"0.018"},{"id":17,"name":"Train ID","value":"112-05"},{"id":16,"name":"Locomotive ID","value":"4039"},{"id":130,"name":"Impact","value":""},{"id":150,"name":"Time of Event (Mountain Time)","value":"06:39:35"},{"id":151,"name":"Denver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478</v>
      </c>
      <c r="B25" s="7">
        <v>4022</v>
      </c>
      <c r="C25" s="22" t="s">
        <v>208</v>
      </c>
      <c r="D25" s="22" t="s">
        <v>247</v>
      </c>
      <c r="E25" s="13">
        <v>42709.206041666665</v>
      </c>
      <c r="F25" s="13">
        <v>42709.218923611108</v>
      </c>
      <c r="G25" s="7">
        <v>1</v>
      </c>
      <c r="H25" s="22" t="s">
        <v>420</v>
      </c>
      <c r="I25" s="13">
        <v>42709.245162037034</v>
      </c>
      <c r="J25" s="7">
        <v>2</v>
      </c>
      <c r="K25" s="109" t="str">
        <f>IF(ISEVEN(B25),(B25-1)&amp;"/"&amp;B25,B25&amp;"/"&amp;(B25+1))</f>
        <v>4021/4022</v>
      </c>
      <c r="L25" s="22" t="str">
        <f>VLOOKUP(A25,'Trips&amp;Operators'!$C$1:$G$99999,5,FALSE)</f>
        <v>KILLION DAVID</v>
      </c>
      <c r="M25" s="6">
        <f>I25-F25</f>
        <v>2.6238425925839692E-2</v>
      </c>
      <c r="N25" s="7">
        <f>24*60*SUM($M25:$M25)</f>
        <v>37.783333333209157</v>
      </c>
      <c r="O25" s="7"/>
      <c r="P25" s="7"/>
      <c r="Q25" s="23"/>
      <c r="R25" s="23"/>
      <c r="S25" s="35">
        <f>SUM(U25:U25)/IF(AG25="EC",12,1)</f>
        <v>1</v>
      </c>
      <c r="T25" s="50" t="str">
        <f>IF(ISEVEN(LEFT(AD25,4)),"Southbound","NorthBound")</f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hh:mm:ss")&amp;utc_offset&amp;"00',mode:absolute,to:'"&amp;TEXT(I25+1/24,"yyyy-MM-DD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https://search-rtdc-monitor-bjffxe2xuh6vdkpspy63sjmuny.us-east-1.es.amazonaws.com/_plugin/kibana/#/discover/Steve-Slow-Train-Analysis-(2080s-and-2083s)?_g=(refreshInterval:(display:Off,section:0,value:0),time:(from:'2016-12-05 03:56:42-700',mode:absolute,to:'2016-12-05 06:53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5" s="52" t="str">
        <f>IF(AA25&lt;IF(AG25="EC",23,5.65),"Y","N")</f>
        <v>N</v>
      </c>
      <c r="X25" s="177">
        <f>VALUE(LEFT(AD25,4))-VALUE(LEFT(AD24,4))</f>
        <v>1</v>
      </c>
      <c r="Y25" s="67">
        <f>RIGHT(D25,LEN(D25)-4)/10000</f>
        <v>4.7100000000000003E-2</v>
      </c>
      <c r="Z25" s="67">
        <f>RIGHT(H25,LEN(H25)-4)/10000</f>
        <v>23.328099999999999</v>
      </c>
      <c r="AA25" s="67">
        <f>ABS(Z25-Y25)</f>
        <v>23.280999999999999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>IF(LEN(A25)=6,"0"&amp;A25,A25)</f>
        <v>0113-05</v>
      </c>
      <c r="AE25" s="91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s3://rtdc.mdm.uploadarchive.raw/RTDC4022/ "%USERPROFILE%\AppData\Local\Temp\OnboardLogs"\RTDC4022\2016-12-05 --exclude "*" --recursive --include "*20161205*" &amp; "%USERPROFILE%\Documents\GitHub\mrs-test-scripts\Headless Mode &amp; Sideloading\WalkAndUnGZ.bat" "%USERPROFILE%\AppData\Local\Temp\OnboardLogs"\RTDC4022\2016-12-05 &amp; 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</v>
      </c>
      <c r="AF25" s="88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/stypes="app*4022*20161205*" /stext=" 12:.+((SYSTEM_STATE.+slice.+state.+changed )|(ment ac)|(multiple cpu faults)|(system.+state.+changed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92" t="str">
        <f t="shared" si="2"/>
        <v>"%USERPROFILE%\Documents\GitHub\eaglep3\Utilities\RefineRTDCRunTimes.py" --tripid 113-05 --locoid 4022 --swversion DE.1.0.8.0 --startMP 204:471 --initTime 2016-12-05T04:56:42 --startdatetime 2016-12-05T05:15:15 --delay 1 --endMP 204:233281 --enddatetime 2016-12-05T05:53:02 --enforcementcount 2 &gt;&gt;C:\Users\stu\Documents\GitHub\eaglep3-reporting\EC\2016-12-05-refined-times.txt</v>
      </c>
      <c r="AI25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{"issue":{"subject":"","project_id":79,"tracker_id":40,"status_id":1,"priority_id":2,"assigned_to_id":23,"start_date":"2016-12-05","description":"","custom_fields":[{"id":1,"name":"Subdivision","value":"EC"},{"id":4,"name":"Milepost","value":"23.3281"},{"id":17,"name":"Train ID","value":"113-05"},{"id":16,"name":"Locomotive ID","value":"4022"},{"id":130,"name":"Impact","value":""},{"id":150,"name":"Time of Event (Mountain Time)","value":"05:53:02"},{"id":151,"name":"Denver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487</v>
      </c>
      <c r="B26" s="7">
        <v>4021</v>
      </c>
      <c r="C26" s="22" t="s">
        <v>208</v>
      </c>
      <c r="D26" s="22" t="s">
        <v>419</v>
      </c>
      <c r="E26" s="13">
        <v>42709.252418981479</v>
      </c>
      <c r="F26" s="13">
        <v>42709.257870370369</v>
      </c>
      <c r="G26" s="7">
        <v>1</v>
      </c>
      <c r="H26" s="22" t="s">
        <v>206</v>
      </c>
      <c r="I26" s="13">
        <v>42709.286145833335</v>
      </c>
      <c r="J26" s="7">
        <v>2</v>
      </c>
      <c r="K26" s="109" t="str">
        <f>IF(ISEVEN(B26),(B26-1)&amp;"/"&amp;B26,B26&amp;"/"&amp;(B26+1))</f>
        <v>4021/4022</v>
      </c>
      <c r="L26" s="22" t="str">
        <f>VLOOKUP(A26,'Trips&amp;Operators'!$C$1:$G$99999,5,FALSE)</f>
        <v>KILLION DAVID</v>
      </c>
      <c r="M26" s="6">
        <f>I26-F26</f>
        <v>2.8275462966121268E-2</v>
      </c>
      <c r="N26" s="7">
        <f>24*60*SUM($M26:$M26)</f>
        <v>40.716666671214625</v>
      </c>
      <c r="O26" s="7"/>
      <c r="P26" s="7"/>
      <c r="Q26" s="23"/>
      <c r="R26" s="23"/>
      <c r="S26" s="35">
        <f>SUM(U26:U26)/IF(AG26="EC",12,1)</f>
        <v>1</v>
      </c>
      <c r="T26" s="50" t="str">
        <f>IF(ISEVEN(LEFT(AD26,4)),"Southbound","NorthBound")</f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hh:mm:ss")&amp;utc_offset&amp;"00',mode:absolute,to:'"&amp;TEXT(I26+1/24,"yyyy-MM-DD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https://search-rtdc-monitor-bjffxe2xuh6vdkpspy63sjmuny.us-east-1.es.amazonaws.com/_plugin/kibana/#/discover/Steve-Slow-Train-Analysis-(2080s-and-2083s)?_g=(refreshInterval:(display:Off,section:0,value:0),time:(from:'2016-12-05 05:03:29-700',mode:absolute,to:'2016-12-05 07:52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6" s="52" t="str">
        <f>IF(AA26&lt;IF(AG26="EC",23,5.65),"Y","N")</f>
        <v>N</v>
      </c>
      <c r="X26" s="177">
        <f>VALUE(LEFT(AD26,4))-VALUE(LEFT(AD25,4))</f>
        <v>1</v>
      </c>
      <c r="Y26" s="67">
        <f>RIGHT(D26,LEN(D26)-4)/10000</f>
        <v>23.2972</v>
      </c>
      <c r="Z26" s="67">
        <f>RIGHT(H26,LEN(H26)-4)/10000</f>
        <v>1.5599999999999999E-2</v>
      </c>
      <c r="AA26" s="67">
        <f>ABS(Z26-Y26)</f>
        <v>23.281600000000001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>IF(LEN(A26)=6,"0"&amp;A26,A26)</f>
        <v>0114-05</v>
      </c>
      <c r="AE26" s="91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s3://rtdc.mdm.uploadarchive.raw/RTDC4021/ "%USERPROFILE%\AppData\Local\Temp\OnboardLogs"\RTDC4021\2016-12-05 --exclude "*" --recursive --include "*20161205*" &amp; "%USERPROFILE%\Documents\GitHub\mrs-test-scripts\Headless Mode &amp; Sideloading\WalkAndUnGZ.bat" "%USERPROFILE%\AppData\Local\Temp\OnboardLogs"\RTDC4021\2016-12-05 &amp; 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</v>
      </c>
      <c r="AF26" s="88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/stypes="app*4021*20161205*" /stext=" 13:.+((SYSTEM_STATE.+slice.+state.+changed )|(ment ac)|(multiple cpu faults)|(system.+state.+changed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92" t="str">
        <f t="shared" si="2"/>
        <v>"%USERPROFILE%\Documents\GitHub\eaglep3\Utilities\RefineRTDCRunTimes.py" --tripid 114-05 --locoid 4021 --swversion DE.1.0.8.0 --startMP 204:232972 --initTime 2016-12-05T06:03:29 --startdatetime 2016-12-05T06:11:20 --delay 1 --endMP 204:156 --enddatetime 2016-12-05T06:52:03 --enforcementcount 2 &gt;&gt;C:\Users\stu\Documents\GitHub\eaglep3-reporting\EC\2016-12-05-refined-times.txt</v>
      </c>
      <c r="AI26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{"issue":{"subject":"","project_id":79,"tracker_id":40,"status_id":1,"priority_id":2,"assigned_to_id":23,"start_date":"2016-12-05","description":"","custom_fields":[{"id":1,"name":"Subdivision","value":"EC"},{"id":4,"name":"Milepost","value":"0.0156"},{"id":17,"name":"Train ID","value":"114-05"},{"id":16,"name":"Locomotive ID","value":"4021"},{"id":130,"name":"Impact","value":""},{"id":150,"name":"Time of Event (Mountain Time)","value":"06:52:03"},{"id":151,"name":"Denver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482</v>
      </c>
      <c r="B27" s="7">
        <v>4038</v>
      </c>
      <c r="C27" s="22" t="s">
        <v>208</v>
      </c>
      <c r="D27" s="22" t="s">
        <v>682</v>
      </c>
      <c r="E27" s="13">
        <v>42709.231134259258</v>
      </c>
      <c r="F27" s="13">
        <v>42709.233240740738</v>
      </c>
      <c r="G27" s="7">
        <v>1</v>
      </c>
      <c r="H27" s="22" t="s">
        <v>683</v>
      </c>
      <c r="I27" s="13">
        <v>42709.257187499999</v>
      </c>
      <c r="J27" s="7">
        <v>2</v>
      </c>
      <c r="K27" s="109" t="str">
        <f>IF(ISEVEN(B27),(B27-1)&amp;"/"&amp;B27,B27&amp;"/"&amp;(B27+1))</f>
        <v>4037/4038</v>
      </c>
      <c r="L27" s="22" t="str">
        <f>VLOOKUP(A27,'Trips&amp;Operators'!$C$1:$G$99999,5,FALSE)</f>
        <v>ROBINSON KADDIBA</v>
      </c>
      <c r="M27" s="6">
        <f>I27-F27</f>
        <v>2.3946759261889383E-2</v>
      </c>
      <c r="N27" s="7">
        <f>24*60*SUM($M27:$M27)</f>
        <v>34.483333337120712</v>
      </c>
      <c r="O27" s="7"/>
      <c r="P27" s="7"/>
      <c r="Q27" s="23"/>
      <c r="R27" s="23"/>
      <c r="S27" s="35">
        <f>SUM(U27:U27)/IF(AG27="EC",12,1)</f>
        <v>1</v>
      </c>
      <c r="T27" s="50" t="str">
        <f>IF(ISEVEN(LEFT(AD27,4)),"Southbound","NorthBound")</f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hh:mm:ss")&amp;utc_offset&amp;"00',mode:absolute,to:'"&amp;TEXT(I27+1/24,"yyyy-MM-DD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https://search-rtdc-monitor-bjffxe2xuh6vdkpspy63sjmuny.us-east-1.es.amazonaws.com/_plugin/kibana/#/discover/Steve-Slow-Train-Analysis-(2080s-and-2083s)?_g=(refreshInterval:(display:Off,section:0,value:0),time:(from:'2016-12-05 04:32:50-700',mode:absolute,to:'2016-12-05 07:10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7" s="52" t="str">
        <f>IF(AA27&lt;IF(AG27="EC",23,5.65),"Y","N")</f>
        <v>N</v>
      </c>
      <c r="X27" s="177">
        <f>VALUE(LEFT(AD27,4))-VALUE(LEFT(AD26,4))</f>
        <v>1</v>
      </c>
      <c r="Y27" s="67">
        <f>RIGHT(D27,LEN(D27)-4)/10000</f>
        <v>7.0599999999999996E-2</v>
      </c>
      <c r="Z27" s="67">
        <f>RIGHT(H27,LEN(H27)-4)/10000</f>
        <v>23.327000000000002</v>
      </c>
      <c r="AA27" s="67">
        <f>ABS(Z27-Y27)</f>
        <v>23.256400000000003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>IF(LEN(A27)=6,"0"&amp;A27,A27)</f>
        <v>0115-05</v>
      </c>
      <c r="AE27" s="91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 &amp; aws s3 cp s3://rtdc.mdm.uploadarchive.raw/RTDC4038/ "%USERPROFILE%\AppData\Local\Temp\OnboardLogs"\RTDC4038\2016-12-06 --exclude "*" --recursive --include "*20161206*" &amp; "%USERPROFILE%\Documents\GitHub\mrs-test-scripts\Headless Mode &amp; Sideloading\WalkAndUnGZ.bat" "%USERPROFILE%\AppData\Local\Temp\OnboardLogs"\RTDC4038\2016-12-06</v>
      </c>
      <c r="AF27" s="88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/stypes="app*4038*20161205*" /stext=" 13:.+((SYSTEM_STATE.+slice.+state.+changed )|(ment ac)|(multiple cpu faults)|(system.+state.+changed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92" t="str">
        <f t="shared" si="2"/>
        <v>"%USERPROFILE%\Documents\GitHub\eaglep3\Utilities\RefineRTDCRunTimes.py" --tripid 115-05 --locoid 4038 --swversion DE.1.0.8.0 --startMP 204:706 --initTime 2016-12-05T05:32:50 --startdatetime 2016-12-05T05:35:52 --delay 1 --endMP 204:233270 --enddatetime 2016-12-05T06:10:21 --enforcementcount 2 &gt;&gt;C:\Users\stu\Documents\GitHub\eaglep3-reporting\EC\2016-12-05-refined-times.txt</v>
      </c>
      <c r="AI27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{"issue":{"subject":"","project_id":79,"tracker_id":40,"status_id":1,"priority_id":2,"assigned_to_id":23,"start_date":"2016-12-05","description":"","custom_fields":[{"id":1,"name":"Subdivision","value":"EC"},{"id":4,"name":"Milepost","value":"23.327"},{"id":17,"name":"Train ID","value":"115-05"},{"id":16,"name":"Locomotive ID","value":"4038"},{"id":130,"name":"Impact","value":""},{"id":150,"name":"Time of Event (Mountain Time)","value":"06:10:21"},{"id":151,"name":"Denver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491</v>
      </c>
      <c r="B28" s="7">
        <v>4037</v>
      </c>
      <c r="C28" s="22" t="s">
        <v>208</v>
      </c>
      <c r="D28" s="22" t="s">
        <v>684</v>
      </c>
      <c r="E28" s="13">
        <v>42709.260462962964</v>
      </c>
      <c r="F28" s="13">
        <v>42709.268449074072</v>
      </c>
      <c r="G28" s="7">
        <v>1</v>
      </c>
      <c r="H28" s="22" t="s">
        <v>193</v>
      </c>
      <c r="I28" s="13">
        <v>42709.296655092592</v>
      </c>
      <c r="J28" s="7">
        <v>2</v>
      </c>
      <c r="K28" s="109" t="str">
        <f>IF(ISEVEN(B28),(B28-1)&amp;"/"&amp;B28,B28&amp;"/"&amp;(B28+1))</f>
        <v>4037/4038</v>
      </c>
      <c r="L28" s="22" t="str">
        <f>VLOOKUP(A28,'Trips&amp;Operators'!$C$1:$G$99999,5,FALSE)</f>
        <v>ROBINSON KADDIBA</v>
      </c>
      <c r="M28" s="6">
        <f>I28-F28</f>
        <v>2.8206018519995268E-2</v>
      </c>
      <c r="N28" s="7">
        <f>24*60*SUM($M28:$M28)</f>
        <v>40.616666668793187</v>
      </c>
      <c r="O28" s="7"/>
      <c r="P28" s="7"/>
      <c r="Q28" s="23"/>
      <c r="R28" s="23"/>
      <c r="S28" s="35">
        <f>SUM(U28:U28)/IF(AG28="EC",12,1)</f>
        <v>1</v>
      </c>
      <c r="T28" s="50" t="str">
        <f>IF(ISEVEN(LEFT(AD28,4)),"Southbound","NorthBound")</f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hh:mm:ss")&amp;utc_offset&amp;"00',mode:absolute,to:'"&amp;TEXT(I28+1/24,"yyyy-MM-DD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https://search-rtdc-monitor-bjffxe2xuh6vdkpspy63sjmuny.us-east-1.es.amazonaws.com/_plugin/kibana/#/discover/Steve-Slow-Train-Analysis-(2080s-and-2083s)?_g=(refreshInterval:(display:Off,section:0,value:0),time:(from:'2016-12-05 05:15:04-700',mode:absolute,to:'2016-12-05 08:07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8" s="52" t="str">
        <f>IF(AA28&lt;IF(AG28="EC",23,5.65),"Y","N")</f>
        <v>N</v>
      </c>
      <c r="X28" s="177">
        <f>VALUE(LEFT(AD28,4))-VALUE(LEFT(AD27,4))</f>
        <v>1</v>
      </c>
      <c r="Y28" s="67">
        <f>RIGHT(D28,LEN(D28)-4)/10000</f>
        <v>23.293800000000001</v>
      </c>
      <c r="Z28" s="67">
        <f>RIGHT(H28,LEN(H28)-4)/10000</f>
        <v>1.43E-2</v>
      </c>
      <c r="AA28" s="67">
        <f>ABS(Z28-Y28)</f>
        <v>23.279500000000002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>IF(LEN(A28)=6,"0"&amp;A28,A28)</f>
        <v>0116-05</v>
      </c>
      <c r="AE28" s="91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 &amp; aws s3 cp s3://rtdc.mdm.uploadarchive.raw/RTDC4037/ "%USERPROFILE%\AppData\Local\Temp\OnboardLogs"\RTDC4037\2016-12-06 --exclude "*" --recursive --include "*20161206*" &amp; "%USERPROFILE%\Documents\GitHub\mrs-test-scripts\Headless Mode &amp; Sideloading\WalkAndUnGZ.bat" "%USERPROFILE%\AppData\Local\Temp\OnboardLogs"\RTDC4037\2016-12-06</v>
      </c>
      <c r="AF28" s="88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/stypes="app*4037*20161205*" /stext=" 14:.+((SYSTEM_STATE.+slice.+state.+changed )|(ment ac)|(multiple cpu faults)|(system.+state.+changed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92" t="str">
        <f t="shared" si="2"/>
        <v>"%USERPROFILE%\Documents\GitHub\eaglep3\Utilities\RefineRTDCRunTimes.py" --tripid 116-05 --locoid 4037 --swversion DE.1.0.8.0 --startMP 204:232938 --initTime 2016-12-05T06:15:04 --startdatetime 2016-12-05T06:26:34 --delay 1 --endMP 204:143 --enddatetime 2016-12-05T07:07:11 --enforcementcount 2 &gt;&gt;C:\Users\stu\Documents\GitHub\eaglep3-reporting\EC\2016-12-05-refined-times.txt</v>
      </c>
      <c r="AI28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{"issue":{"subject":"","project_id":79,"tracker_id":40,"status_id":1,"priority_id":2,"assigned_to_id":23,"start_date":"2016-12-05","description":"","custom_fields":[{"id":1,"name":"Subdivision","value":"EC"},{"id":4,"name":"Milepost","value":"0.0143"},{"id":17,"name":"Train ID","value":"116-05"},{"id":16,"name":"Locomotive ID","value":"4037"},{"id":130,"name":"Impact","value":""},{"id":150,"name":"Time of Event (Mountain Time)","value":"07:07:11"},{"id":151,"name":"Denver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483</v>
      </c>
      <c r="B29" s="7">
        <v>4020</v>
      </c>
      <c r="C29" s="22" t="s">
        <v>208</v>
      </c>
      <c r="D29" s="22" t="s">
        <v>370</v>
      </c>
      <c r="E29" s="13">
        <v>42709.234930555554</v>
      </c>
      <c r="F29" s="13">
        <v>42709.239861111113</v>
      </c>
      <c r="G29" s="7">
        <v>1</v>
      </c>
      <c r="H29" s="22" t="s">
        <v>396</v>
      </c>
      <c r="I29" s="13">
        <v>42709.265798611108</v>
      </c>
      <c r="J29" s="7">
        <v>2</v>
      </c>
      <c r="K29" s="109" t="str">
        <f>IF(ISEVEN(B29),(B29-1)&amp;"/"&amp;B29,B29&amp;"/"&amp;(B29+1))</f>
        <v>4019/4020</v>
      </c>
      <c r="L29" s="22" t="str">
        <f>VLOOKUP(A29,'Trips&amp;Operators'!$C$1:$G$99999,5,FALSE)</f>
        <v>MAGEE KENYA</v>
      </c>
      <c r="M29" s="6">
        <f>I29-F29</f>
        <v>2.5937499995052349E-2</v>
      </c>
      <c r="N29" s="7">
        <f>24*60*SUM($M29:$M29)</f>
        <v>37.349999992875382</v>
      </c>
      <c r="O29" s="7"/>
      <c r="P29" s="7"/>
      <c r="Q29" s="23"/>
      <c r="R29" s="23"/>
      <c r="S29" s="35">
        <f>SUM(U29:U29)/IF(AG29="EC",12,1)</f>
        <v>1</v>
      </c>
      <c r="T29" s="50" t="str">
        <f>IF(ISEVEN(LEFT(AD29,4)),"Southbound","NorthBound")</f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hh:mm:ss")&amp;utc_offset&amp;"00',mode:absolute,to:'"&amp;TEXT(I29+1/24,"yyyy-MM-DD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https://search-rtdc-monitor-bjffxe2xuh6vdkpspy63sjmuny.us-east-1.es.amazonaws.com/_plugin/kibana/#/discover/Steve-Slow-Train-Analysis-(2080s-and-2083s)?_g=(refreshInterval:(display:Off,section:0,value:0),time:(from:'2016-12-05 04:38:18-700',mode:absolute,to:'2016-12-05 07:22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9" s="52" t="str">
        <f>IF(AA29&lt;IF(AG29="EC",23,5.65),"Y","N")</f>
        <v>N</v>
      </c>
      <c r="X29" s="177">
        <f>VALUE(LEFT(AD29,4))-VALUE(LEFT(AD28,4))</f>
        <v>1</v>
      </c>
      <c r="Y29" s="67">
        <f>RIGHT(D29,LEN(D29)-4)/10000</f>
        <v>4.3999999999999997E-2</v>
      </c>
      <c r="Z29" s="67">
        <f>RIGHT(H29,LEN(H29)-4)/10000</f>
        <v>23.3278</v>
      </c>
      <c r="AA29" s="67">
        <f>ABS(Z29-Y29)</f>
        <v>23.283799999999999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>IF(LEN(A29)=6,"0"&amp;A29,A29)</f>
        <v>0117-05</v>
      </c>
      <c r="AE29" s="91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s3://rtdc.mdm.uploadarchive.raw/RTDC4020/ "%USERPROFILE%\AppData\Local\Temp\OnboardLogs"\RTDC4020\2016-12-05 --exclude "*" --recursive --include "*20161205*" &amp; "%USERPROFILE%\Documents\GitHub\mrs-test-scripts\Headless Mode &amp; Sideloading\WalkAndUnGZ.bat" "%USERPROFILE%\AppData\Local\Temp\OnboardLogs"\RTDC4020\2016-12-05 &amp; 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</v>
      </c>
      <c r="AF29" s="88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/stypes="app*4020*20161205*" /stext=" 13:.+((SYSTEM_STATE.+slice.+state.+changed )|(ment ac)|(multiple cpu faults)|(system.+state.+changed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92" t="str">
        <f t="shared" si="2"/>
        <v>"%USERPROFILE%\Documents\GitHub\eaglep3\Utilities\RefineRTDCRunTimes.py" --tripid 117-05 --locoid 4020 --swversion DE.1.0.8.0 --startMP 204:440 --initTime 2016-12-05T05:38:18 --startdatetime 2016-12-05T05:45:24 --delay 1 --endMP 204:233278 --enddatetime 2016-12-05T06:22:45 --enforcementcount 2 &gt;&gt;C:\Users\stu\Documents\GitHub\eaglep3-reporting\EC\2016-12-05-refined-times.txt</v>
      </c>
      <c r="AI29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{"issue":{"subject":"","project_id":79,"tracker_id":40,"status_id":1,"priority_id":2,"assigned_to_id":23,"start_date":"2016-12-05","description":"","custom_fields":[{"id":1,"name":"Subdivision","value":"EC"},{"id":4,"name":"Milepost","value":"23.3278"},{"id":17,"name":"Train ID","value":"117-05"},{"id":16,"name":"Locomotive ID","value":"4020"},{"id":130,"name":"Impact","value":""},{"id":150,"name":"Time of Event (Mountain Time)","value":"06:22:45"},{"id":151,"name":"Denver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493</v>
      </c>
      <c r="B30" s="7">
        <v>4019</v>
      </c>
      <c r="C30" s="22" t="s">
        <v>208</v>
      </c>
      <c r="D30" s="22" t="s">
        <v>685</v>
      </c>
      <c r="E30" s="13">
        <v>42709.273657407408</v>
      </c>
      <c r="F30" s="13">
        <v>42709.278680555559</v>
      </c>
      <c r="G30" s="7">
        <v>1</v>
      </c>
      <c r="H30" s="22" t="s">
        <v>192</v>
      </c>
      <c r="I30" s="13">
        <v>42709.308553240742</v>
      </c>
      <c r="J30" s="7">
        <v>2</v>
      </c>
      <c r="K30" s="109" t="str">
        <f>IF(ISEVEN(B30),(B30-1)&amp;"/"&amp;B30,B30&amp;"/"&amp;(B30+1))</f>
        <v>4019/4020</v>
      </c>
      <c r="L30" s="22" t="str">
        <f>VLOOKUP(A30,'Trips&amp;Operators'!$C$1:$G$99999,5,FALSE)</f>
        <v>MAGEE KENYA</v>
      </c>
      <c r="M30" s="6">
        <f>I30-F30</f>
        <v>2.9872685183363501E-2</v>
      </c>
      <c r="N30" s="7">
        <f>24*60*SUM($M30:$M30)</f>
        <v>43.016666664043441</v>
      </c>
      <c r="O30" s="7"/>
      <c r="P30" s="7"/>
      <c r="Q30" s="23"/>
      <c r="R30" s="23"/>
      <c r="S30" s="35">
        <f>SUM(U30:U30)/IF(AG30="EC",12,1)</f>
        <v>1</v>
      </c>
      <c r="T30" s="50" t="str">
        <f>IF(ISEVEN(LEFT(AD30,4)),"Southbound","NorthBound")</f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hh:mm:ss")&amp;utc_offset&amp;"00',mode:absolute,to:'"&amp;TEXT(I30+1/24,"yyyy-MM-DD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https://search-rtdc-monitor-bjffxe2xuh6vdkpspy63sjmuny.us-east-1.es.amazonaws.com/_plugin/kibana/#/discover/Steve-Slow-Train-Analysis-(2080s-and-2083s)?_g=(refreshInterval:(display:Off,section:0,value:0),time:(from:'2016-12-05 05:34:04-700',mode:absolute,to:'2016-12-05 08:24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0" s="52" t="str">
        <f>IF(AA30&lt;IF(AG30="EC",23,5.65),"Y","N")</f>
        <v>N</v>
      </c>
      <c r="X30" s="177">
        <f>VALUE(LEFT(AD30,4))-VALUE(LEFT(AD29,4))</f>
        <v>1</v>
      </c>
      <c r="Y30" s="67">
        <f>RIGHT(D30,LEN(D30)-4)/10000</f>
        <v>23.297599999999999</v>
      </c>
      <c r="Z30" s="67">
        <f>RIGHT(H30,LEN(H30)-4)/10000</f>
        <v>1.49E-2</v>
      </c>
      <c r="AA30" s="67">
        <f>ABS(Z30-Y30)</f>
        <v>23.282699999999998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>IF(LEN(A30)=6,"0"&amp;A30,A30)</f>
        <v>0118-05</v>
      </c>
      <c r="AE30" s="91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s3://rtdc.mdm.uploadarchive.raw/RTDC4019/ "%USERPROFILE%\AppData\Local\Temp\OnboardLogs"\RTDC4019\2016-12-05 --exclude "*" --recursive --include "*20161205*" &amp; "%USERPROFILE%\Documents\GitHub\mrs-test-scripts\Headless Mode &amp; Sideloading\WalkAndUnGZ.bat" "%USERPROFILE%\AppData\Local\Temp\OnboardLogs"\RTDC4019\2016-12-05 &amp; 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</v>
      </c>
      <c r="AF30" s="88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/stypes="app*4019*20161205*" /stext=" 14:.+((SYSTEM_STATE.+slice.+state.+changed )|(ment ac)|(multiple cpu faults)|(system.+state.+changed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92" t="str">
        <f t="shared" si="2"/>
        <v>"%USERPROFILE%\Documents\GitHub\eaglep3\Utilities\RefineRTDCRunTimes.py" --tripid 118-05 --locoid 4019 --swversion DE.1.0.8.0 --startMP 204:232976 --initTime 2016-12-05T06:34:04 --startdatetime 2016-12-05T06:41:18 --delay 1 --endMP 204:149 --enddatetime 2016-12-05T07:24:19 --enforcementcount 2 &gt;&gt;C:\Users\stu\Documents\GitHub\eaglep3-reporting\EC\2016-12-05-refined-times.txt</v>
      </c>
      <c r="AI30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{"issue":{"subject":"","project_id":79,"tracker_id":40,"status_id":1,"priority_id":2,"assigned_to_id":23,"start_date":"2016-12-05","description":"","custom_fields":[{"id":1,"name":"Subdivision","value":"EC"},{"id":4,"name":"Milepost","value":"0.0149"},{"id":17,"name":"Train ID","value":"118-05"},{"id":16,"name":"Locomotive ID","value":"4019"},{"id":130,"name":"Impact","value":""},{"id":150,"name":"Time of Event (Mountain Time)","value":"07:24:19"},{"id":151,"name":"Denver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484</v>
      </c>
      <c r="B31" s="7">
        <v>4042</v>
      </c>
      <c r="C31" s="22" t="s">
        <v>208</v>
      </c>
      <c r="D31" s="22" t="s">
        <v>375</v>
      </c>
      <c r="E31" s="13">
        <v>42709.247986111113</v>
      </c>
      <c r="F31" s="13">
        <v>42709.250462962962</v>
      </c>
      <c r="G31" s="7">
        <v>1</v>
      </c>
      <c r="H31" s="22" t="s">
        <v>396</v>
      </c>
      <c r="I31" s="13">
        <v>42709.276932870373</v>
      </c>
      <c r="J31" s="7">
        <v>2</v>
      </c>
      <c r="K31" s="109" t="str">
        <f>IF(ISEVEN(B31),(B31-1)&amp;"/"&amp;B31,B31&amp;"/"&amp;(B31+1))</f>
        <v>4041/4042</v>
      </c>
      <c r="L31" s="22" t="str">
        <f>VLOOKUP(A31,'Trips&amp;Operators'!$C$1:$G$99999,5,FALSE)</f>
        <v>DAVIDSON DAVID</v>
      </c>
      <c r="M31" s="6">
        <f>I31-F31</f>
        <v>2.6469907410501037E-2</v>
      </c>
      <c r="N31" s="7">
        <f>24*60*SUM($M31:$M31)</f>
        <v>38.116666671121493</v>
      </c>
      <c r="O31" s="7"/>
      <c r="P31" s="7"/>
      <c r="Q31" s="23"/>
      <c r="R31" s="23"/>
      <c r="S31" s="35">
        <f>SUM(U31:U31)/IF(AG31="EC",12,1)</f>
        <v>1</v>
      </c>
      <c r="T31" s="50" t="str">
        <f>IF(ISEVEN(LEFT(AD31,4)),"Southbound","NorthBound")</f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hh:mm:ss")&amp;utc_offset&amp;"00',mode:absolute,to:'"&amp;TEXT(I31+1/24,"yyyy-MM-DD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https://search-rtdc-monitor-bjffxe2xuh6vdkpspy63sjmuny.us-east-1.es.amazonaws.com/_plugin/kibana/#/discover/Steve-Slow-Train-Analysis-(2080s-and-2083s)?_g=(refreshInterval:(display:Off,section:0,value:0),time:(from:'2016-12-05 04:57:06-700',mode:absolute,to:'2016-12-05 07:38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1" s="52" t="str">
        <f>IF(AA31&lt;IF(AG31="EC",23,5.65),"Y","N")</f>
        <v>N</v>
      </c>
      <c r="X31" s="177">
        <f>VALUE(LEFT(AD31,4))-VALUE(LEFT(AD30,4))</f>
        <v>1</v>
      </c>
      <c r="Y31" s="67">
        <f>RIGHT(D31,LEN(D31)-4)/10000</f>
        <v>7.4399999999999994E-2</v>
      </c>
      <c r="Z31" s="67">
        <f>RIGHT(H31,LEN(H31)-4)/10000</f>
        <v>23.3278</v>
      </c>
      <c r="AA31" s="67">
        <f>ABS(Z31-Y31)</f>
        <v>23.253399999999999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>IF(LEN(A31)=6,"0"&amp;A31,A31)</f>
        <v>0119-05</v>
      </c>
      <c r="AE31" s="91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s3://rtdc.mdm.uploadarchive.raw/RTDC4042/ "%USERPROFILE%\AppData\Local\Temp\OnboardLogs"\RTDC4042\2016-12-05 --exclude "*" --recursive --include "*20161205*" &amp; "%USERPROFILE%\Documents\GitHub\mrs-test-scripts\Headless Mode &amp; Sideloading\WalkAndUnGZ.bat" "%USERPROFILE%\AppData\Local\Temp\OnboardLogs"\RTDC4042\2016-12-05 &amp; aws s3 cp s3://rtdc.mdm.uploadarchive.raw/RTDC4042/ "%USERPROFILE%\AppData\Local\Temp\OnboardLogs"\RTDC4042\2016-12-06 --exclude "*" --recursive --include "*20161206*" &amp; "%USERPROFILE%\Documents\GitHub\mrs-test-scripts\Headless Mode &amp; Sideloading\WalkAndUnGZ.bat" "%USERPROFILE%\AppData\Local\Temp\OnboardLogs"\RTDC4042\2016-12-06</v>
      </c>
      <c r="AF31" s="88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/stypes="app*4042*20161205*" /stext=" 13:.+((SYSTEM_STATE.+slice.+state.+changed )|(ment ac)|(multiple cpu faults)|(system.+state.+changed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92" t="str">
        <f t="shared" si="2"/>
        <v>"%USERPROFILE%\Documents\GitHub\eaglep3\Utilities\RefineRTDCRunTimes.py" --tripid 119-05 --locoid 4042 --swversion DE.1.0.8.0 --startMP 204:744 --initTime 2016-12-05T05:57:06 --startdatetime 2016-12-05T06:00:40 --delay 1 --endMP 204:233278 --enddatetime 2016-12-05T06:38:47 --enforcementcount 2 &gt;&gt;C:\Users\stu\Documents\GitHub\eaglep3-reporting\EC\2016-12-05-refined-times.txt</v>
      </c>
      <c r="AI31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{"issue":{"subject":"","project_id":79,"tracker_id":40,"status_id":1,"priority_id":2,"assigned_to_id":23,"start_date":"2016-12-05","description":"","custom_fields":[{"id":1,"name":"Subdivision","value":"EC"},{"id":4,"name":"Milepost","value":"23.3278"},{"id":17,"name":"Train ID","value":"119-05"},{"id":16,"name":"Locomotive ID","value":"4042"},{"id":130,"name":"Impact","value":""},{"id":150,"name":"Time of Event (Mountain Time)","value":"06:38:47"},{"id":151,"name":"Denver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497</v>
      </c>
      <c r="B32" s="7">
        <v>4041</v>
      </c>
      <c r="C32" s="22" t="s">
        <v>208</v>
      </c>
      <c r="D32" s="22" t="s">
        <v>392</v>
      </c>
      <c r="E32" s="13">
        <v>42709.286574074074</v>
      </c>
      <c r="F32" s="13">
        <v>42709.289131944446</v>
      </c>
      <c r="G32" s="7">
        <v>1</v>
      </c>
      <c r="H32" s="22" t="s">
        <v>243</v>
      </c>
      <c r="I32" s="13">
        <v>42709.317488425928</v>
      </c>
      <c r="J32" s="7">
        <v>2</v>
      </c>
      <c r="K32" s="109" t="str">
        <f>IF(ISEVEN(B32),(B32-1)&amp;"/"&amp;B32,B32&amp;"/"&amp;(B32+1))</f>
        <v>4041/4042</v>
      </c>
      <c r="L32" s="22" t="str">
        <f>VLOOKUP(A32,'Trips&amp;Operators'!$C$1:$G$99999,5,FALSE)</f>
        <v>DAVIDSON DAVID</v>
      </c>
      <c r="M32" s="6">
        <f>I32-F32</f>
        <v>2.8356481481750961E-2</v>
      </c>
      <c r="N32" s="7">
        <f>24*60*SUM($M32:$M32)</f>
        <v>40.833333333721384</v>
      </c>
      <c r="O32" s="7"/>
      <c r="P32" s="7"/>
      <c r="Q32" s="23"/>
      <c r="R32" s="23"/>
      <c r="S32" s="35">
        <f>SUM(U32:U32)/IF(AG32="EC",12,1)</f>
        <v>1</v>
      </c>
      <c r="T32" s="50" t="str">
        <f>IF(ISEVEN(LEFT(AD32,4)),"Southbound","NorthBound")</f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hh:mm:ss")&amp;utc_offset&amp;"00',mode:absolute,to:'"&amp;TEXT(I32+1/24,"yyyy-MM-DD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https://search-rtdc-monitor-bjffxe2xuh6vdkpspy63sjmuny.us-east-1.es.amazonaws.com/_plugin/kibana/#/discover/Steve-Slow-Train-Analysis-(2080s-and-2083s)?_g=(refreshInterval:(display:Off,section:0,value:0),time:(from:'2016-12-05 05:52:40-700',mode:absolute,to:'2016-12-05 08:37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2" s="52" t="str">
        <f>IF(AA32&lt;IF(AG32="EC",23,5.65),"Y","N")</f>
        <v>N</v>
      </c>
      <c r="X32" s="177">
        <f>VALUE(LEFT(AD32,4))-VALUE(LEFT(AD31,4))</f>
        <v>1</v>
      </c>
      <c r="Y32" s="67">
        <f>RIGHT(D32,LEN(D32)-4)/10000</f>
        <v>23.2973</v>
      </c>
      <c r="Z32" s="67">
        <f>RIGHT(H32,LEN(H32)-4)/10000</f>
        <v>1.61E-2</v>
      </c>
      <c r="AA32" s="67">
        <f>ABS(Z32-Y32)</f>
        <v>23.281199999999998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>IF(LEN(A32)=6,"0"&amp;A32,A32)</f>
        <v>0120-05</v>
      </c>
      <c r="AE32" s="91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 &amp; aws s3 cp s3://rtdc.mdm.uploadarchive.raw/RTDC4041/ "%USERPROFILE%\AppData\Local\Temp\OnboardLogs"\RTDC4041\2016-12-06 --exclude "*" --recursive --include "*20161206*" &amp; "%USERPROFILE%\Documents\GitHub\mrs-test-scripts\Headless Mode &amp; Sideloading\WalkAndUnGZ.bat" "%USERPROFILE%\AppData\Local\Temp\OnboardLogs"\RTDC4041\2016-12-06</v>
      </c>
      <c r="AF32" s="88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/stypes="app*4041*20161205*" /stext=" 14:.+((SYSTEM_STATE.+slice.+state.+changed )|(ment ac)|(multiple cpu faults)|(system.+state.+changed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92" t="str">
        <f t="shared" si="2"/>
        <v>"%USERPROFILE%\Documents\GitHub\eaglep3\Utilities\RefineRTDCRunTimes.py" --tripid 120-05 --locoid 4041 --swversion DE.1.0.8.0 --startMP 204:232973 --initTime 2016-12-05T06:52:40 --startdatetime 2016-12-05T06:56:21 --delay 1 --endMP 204:161 --enddatetime 2016-12-05T07:37:11 --enforcementcount 2 &gt;&gt;C:\Users\stu\Documents\GitHub\eaglep3-reporting\EC\2016-12-05-refined-times.txt</v>
      </c>
      <c r="AI32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{"issue":{"subject":"","project_id":79,"tracker_id":40,"status_id":1,"priority_id":2,"assigned_to_id":23,"start_date":"2016-12-05","description":"","custom_fields":[{"id":1,"name":"Subdivision","value":"EC"},{"id":4,"name":"Milepost","value":"0.0161"},{"id":17,"name":"Train ID","value":"120-05"},{"id":16,"name":"Locomotive ID","value":"4041"},{"id":130,"name":"Impact","value":""},{"id":150,"name":"Time of Event (Mountain Time)","value":"07:37:11"},{"id":151,"name":"Denver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488</v>
      </c>
      <c r="B33" s="7">
        <v>4002</v>
      </c>
      <c r="C33" s="22" t="s">
        <v>208</v>
      </c>
      <c r="D33" s="22" t="s">
        <v>686</v>
      </c>
      <c r="E33" s="13">
        <v>42709.255856481483</v>
      </c>
      <c r="F33" s="13">
        <v>42709.260833333334</v>
      </c>
      <c r="G33" s="7">
        <v>1</v>
      </c>
      <c r="H33" s="22" t="s">
        <v>687</v>
      </c>
      <c r="I33" s="13">
        <v>42709.285902777781</v>
      </c>
      <c r="J33" s="7">
        <v>2</v>
      </c>
      <c r="K33" s="109" t="str">
        <f>IF(ISEVEN(B33),(B33-1)&amp;"/"&amp;B33,B33&amp;"/"&amp;(B33+1))</f>
        <v>4001/4002</v>
      </c>
      <c r="L33" s="22" t="str">
        <f>VLOOKUP(A33,'Trips&amp;Operators'!$C$1:$G$99999,5,FALSE)</f>
        <v>ISHMAEL JOSEPH</v>
      </c>
      <c r="M33" s="6">
        <f>I33-F33</f>
        <v>2.5069444447581191E-2</v>
      </c>
      <c r="N33" s="7">
        <f>24*60*SUM($M33:$M33)</f>
        <v>36.100000004516914</v>
      </c>
      <c r="O33" s="7"/>
      <c r="P33" s="7"/>
      <c r="Q33" s="23"/>
      <c r="R33" s="23"/>
      <c r="S33" s="35">
        <f>SUM(U33:U33)/IF(AG33="EC",12,1)</f>
        <v>1</v>
      </c>
      <c r="T33" s="50" t="str">
        <f>IF(ISEVEN(LEFT(AD33,4)),"Southbound","NorthBound")</f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hh:mm:ss")&amp;utc_offset&amp;"00',mode:absolute,to:'"&amp;TEXT(I33+1/24,"yyyy-MM-DD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https://search-rtdc-monitor-bjffxe2xuh6vdkpspy63sjmuny.us-east-1.es.amazonaws.com/_plugin/kibana/#/discover/Steve-Slow-Train-Analysis-(2080s-and-2083s)?_g=(refreshInterval:(display:Off,section:0,value:0),time:(from:'2016-12-05 05:08:26-700',mode:absolute,to:'2016-12-05 07:51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3" s="52" t="str">
        <f>IF(AA33&lt;IF(AG33="EC",23,5.65),"Y","N")</f>
        <v>N</v>
      </c>
      <c r="X33" s="177">
        <f>VALUE(LEFT(AD33,4))-VALUE(LEFT(AD32,4))</f>
        <v>1</v>
      </c>
      <c r="Y33" s="67">
        <f>RIGHT(D33,LEN(D33)-4)/10000</f>
        <v>4.8399999999999999E-2</v>
      </c>
      <c r="Z33" s="67">
        <f>RIGHT(H33,LEN(H33)-4)/10000</f>
        <v>23.332899999999999</v>
      </c>
      <c r="AA33" s="67">
        <f>ABS(Z33-Y33)</f>
        <v>23.284499999999998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>IF(LEN(A33)=6,"0"&amp;A33,A33)</f>
        <v>0121-05</v>
      </c>
      <c r="AE33" s="91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s3://rtdc.mdm.uploadarchive.raw/RTDC4002/ "%USERPROFILE%\AppData\Local\Temp\OnboardLogs"\RTDC4002\2016-12-05 --exclude "*" --recursive --include "*20161205*" &amp; "%USERPROFILE%\Documents\GitHub\mrs-test-scripts\Headless Mode &amp; Sideloading\WalkAndUnGZ.bat" "%USERPROFILE%\AppData\Local\Temp\OnboardLogs"\RTDC4002\2016-12-05 &amp; aws s3 cp s3://rtdc.mdm.uploadarchive.raw/RTDC4002/ "%USERPROFILE%\AppData\Local\Temp\OnboardLogs"\RTDC4002\2016-12-06 --exclude "*" --recursive --include "*20161206*" &amp; "%USERPROFILE%\Documents\GitHub\mrs-test-scripts\Headless Mode &amp; Sideloading\WalkAndUnGZ.bat" "%USERPROFILE%\AppData\Local\Temp\OnboardLogs"\RTDC4002\2016-12-06</v>
      </c>
      <c r="AF33" s="88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/stypes="app*4002*20161205*" /stext=" 13:.+((SYSTEM_STATE.+slice.+state.+changed )|(ment ac)|(multiple cpu faults)|(system.+state.+changed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92" t="str">
        <f t="shared" si="2"/>
        <v>"%USERPROFILE%\Documents\GitHub\eaglep3\Utilities\RefineRTDCRunTimes.py" --tripid 121-05 --locoid 4002 --swversion DE.1.0.8.0 --startMP 204:484 --initTime 2016-12-05T06:08:26 --startdatetime 2016-12-05T06:15:36 --delay 1 --endMP 204:233329 --enddatetime 2016-12-05T06:51:42 --enforcementcount 2 &gt;&gt;C:\Users\stu\Documents\GitHub\eaglep3-reporting\EC\2016-12-05-refined-times.txt</v>
      </c>
      <c r="AI33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{"issue":{"subject":"","project_id":79,"tracker_id":40,"status_id":1,"priority_id":2,"assigned_to_id":23,"start_date":"2016-12-05","description":"","custom_fields":[{"id":1,"name":"Subdivision","value":"EC"},{"id":4,"name":"Milepost","value":"23.3329"},{"id":17,"name":"Train ID","value":"121-05"},{"id":16,"name":"Locomotive ID","value":"4002"},{"id":130,"name":"Impact","value":""},{"id":150,"name":"Time of Event (Mountain Time)","value":"06:51:42"},{"id":151,"name":"Denver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499</v>
      </c>
      <c r="B34" s="7">
        <v>4001</v>
      </c>
      <c r="C34" s="22" t="s">
        <v>208</v>
      </c>
      <c r="D34" s="22" t="s">
        <v>688</v>
      </c>
      <c r="E34" s="13">
        <v>42709.292337962965</v>
      </c>
      <c r="F34" s="13">
        <v>42709.299780092595</v>
      </c>
      <c r="G34" s="7">
        <v>1</v>
      </c>
      <c r="H34" s="22" t="s">
        <v>228</v>
      </c>
      <c r="I34" s="13">
        <v>42709.327314814815</v>
      </c>
      <c r="J34" s="7">
        <v>2</v>
      </c>
      <c r="K34" s="109" t="str">
        <f>IF(ISEVEN(B34),(B34-1)&amp;"/"&amp;B34,B34&amp;"/"&amp;(B34+1))</f>
        <v>4001/4002</v>
      </c>
      <c r="L34" s="22" t="str">
        <f>VLOOKUP(A34,'Trips&amp;Operators'!$C$1:$G$99999,5,FALSE)</f>
        <v>ISHMAEL JOSEPH</v>
      </c>
      <c r="M34" s="6">
        <f>I34-F34</f>
        <v>2.753472221957054E-2</v>
      </c>
      <c r="N34" s="7">
        <f>24*60*SUM($M34:$M34)</f>
        <v>39.649999996181577</v>
      </c>
      <c r="O34" s="7"/>
      <c r="P34" s="7"/>
      <c r="Q34" s="23"/>
      <c r="R34" s="23"/>
      <c r="S34" s="35">
        <f>SUM(U34:U34)/IF(AG34="EC",12,1)</f>
        <v>1</v>
      </c>
      <c r="T34" s="50" t="str">
        <f>IF(ISEVEN(LEFT(AD34,4)),"Southbound","NorthBound")</f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hh:mm:ss")&amp;utc_offset&amp;"00',mode:absolute,to:'"&amp;TEXT(I34+1/24,"yyyy-MM-DD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https://search-rtdc-monitor-bjffxe2xuh6vdkpspy63sjmuny.us-east-1.es.amazonaws.com/_plugin/kibana/#/discover/Steve-Slow-Train-Analysis-(2080s-and-2083s)?_g=(refreshInterval:(display:Off,section:0,value:0),time:(from:'2016-12-05 06:00:58-700',mode:absolute,to:'2016-12-05 08:51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4" s="52" t="str">
        <f>IF(AA34&lt;IF(AG34="EC",23,5.65),"Y","N")</f>
        <v>N</v>
      </c>
      <c r="X34" s="177">
        <f>VALUE(LEFT(AD34,4))-VALUE(LEFT(AD33,4))</f>
        <v>1</v>
      </c>
      <c r="Y34" s="67">
        <f>RIGHT(D34,LEN(D34)-4)/10000</f>
        <v>23.301100000000002</v>
      </c>
      <c r="Z34" s="67">
        <f>RIGHT(H34,LEN(H34)-4)/10000</f>
        <v>1.54E-2</v>
      </c>
      <c r="AA34" s="67">
        <f>ABS(Z34-Y34)</f>
        <v>23.285700000000002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>IF(LEN(A34)=6,"0"&amp;A34,A34)</f>
        <v>0122-05</v>
      </c>
      <c r="AE34" s="91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s3://rtdc.mdm.uploadarchive.raw/RTDC4001/ "%USERPROFILE%\AppData\Local\Temp\OnboardLogs"\RTDC4001\2016-12-05 --exclude "*" --recursive --include "*20161205*" &amp; "%USERPROFILE%\Documents\GitHub\mrs-test-scripts\Headless Mode &amp; Sideloading\WalkAndUnGZ.bat" "%USERPROFILE%\AppData\Local\Temp\OnboardLogs"\RTDC4001\2016-12-05 &amp; aws s3 cp s3://rtdc.mdm.uploadarchive.raw/RTDC4001/ "%USERPROFILE%\AppData\Local\Temp\OnboardLogs"\RTDC4001\2016-12-06 --exclude "*" --recursive --include "*20161206*" &amp; "%USERPROFILE%\Documents\GitHub\mrs-test-scripts\Headless Mode &amp; Sideloading\WalkAndUnGZ.bat" "%USERPROFILE%\AppData\Local\Temp\OnboardLogs"\RTDC4001\2016-12-06</v>
      </c>
      <c r="AF34" s="88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/stypes="app*4001*20161205*" /stext=" 14:.+((SYSTEM_STATE.+slice.+state.+changed )|(ment ac)|(multiple cpu faults)|(system.+state.+changed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92" t="str">
        <f t="shared" si="2"/>
        <v>"%USERPROFILE%\Documents\GitHub\eaglep3\Utilities\RefineRTDCRunTimes.py" --tripid 122-05 --locoid 4001 --swversion DE.1.0.8.0 --startMP 204:233011 --initTime 2016-12-05T07:00:58 --startdatetime 2016-12-05T07:11:41 --delay 1 --endMP 204:154 --enddatetime 2016-12-05T07:51:20 --enforcementcount 2 &gt;&gt;C:\Users\stu\Documents\GitHub\eaglep3-reporting\EC\2016-12-05-refined-times.txt</v>
      </c>
      <c r="AI34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{"issue":{"subject":"","project_id":79,"tracker_id":40,"status_id":1,"priority_id":2,"assigned_to_id":23,"start_date":"2016-12-05","description":"","custom_fields":[{"id":1,"name":"Subdivision","value":"EC"},{"id":4,"name":"Milepost","value":"0.0154"},{"id":17,"name":"Train ID","value":"122-05"},{"id":16,"name":"Locomotive ID","value":"4001"},{"id":130,"name":"Impact","value":""},{"id":150,"name":"Time of Event (Mountain Time)","value":"07:51:20"},{"id":151,"name":"Denver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492</v>
      </c>
      <c r="B35" s="7">
        <v>4044</v>
      </c>
      <c r="C35" s="22" t="s">
        <v>208</v>
      </c>
      <c r="D35" s="22" t="s">
        <v>230</v>
      </c>
      <c r="E35" s="13">
        <v>42709.26525462963</v>
      </c>
      <c r="F35" s="13">
        <v>42709.271469907406</v>
      </c>
      <c r="G35" s="7">
        <v>1</v>
      </c>
      <c r="H35" s="22" t="s">
        <v>368</v>
      </c>
      <c r="I35" s="13">
        <v>42709.295995370368</v>
      </c>
      <c r="J35" s="7">
        <v>2</v>
      </c>
      <c r="K35" s="109" t="str">
        <f>IF(ISEVEN(B35),(B35-1)&amp;"/"&amp;B35,B35&amp;"/"&amp;(B35+1))</f>
        <v>4043/4044</v>
      </c>
      <c r="L35" s="22" t="str">
        <f>VLOOKUP(A35,'Trips&amp;Operators'!$C$1:$G$99999,5,FALSE)</f>
        <v>YORK EDGAR</v>
      </c>
      <c r="M35" s="6">
        <f>I35-F35</f>
        <v>2.4525462962628808E-2</v>
      </c>
      <c r="N35" s="7">
        <f>24*60*SUM($M35:$M35)</f>
        <v>35.316666666185483</v>
      </c>
      <c r="O35" s="7"/>
      <c r="P35" s="7"/>
      <c r="Q35" s="23"/>
      <c r="R35" s="23"/>
      <c r="S35" s="35">
        <f>SUM(U35:U35)/IF(AG35="EC",12,1)</f>
        <v>1</v>
      </c>
      <c r="T35" s="50" t="str">
        <f>IF(ISEVEN(LEFT(AD35,4)),"Southbound","NorthBound")</f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hh:mm:ss")&amp;utc_offset&amp;"00',mode:absolute,to:'"&amp;TEXT(I35+1/24,"yyyy-MM-DD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https://search-rtdc-monitor-bjffxe2xuh6vdkpspy63sjmuny.us-east-1.es.amazonaws.com/_plugin/kibana/#/discover/Steve-Slow-Train-Analysis-(2080s-and-2083s)?_g=(refreshInterval:(display:Off,section:0,value:0),time:(from:'2016-12-05 05:21:58-700',mode:absolute,to:'2016-12-05 08:06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5" s="52" t="str">
        <f>IF(AA35&lt;IF(AG35="EC",23,5.65),"Y","N")</f>
        <v>N</v>
      </c>
      <c r="X35" s="177">
        <f>VALUE(LEFT(AD35,4))-VALUE(LEFT(AD34,4))</f>
        <v>1</v>
      </c>
      <c r="Y35" s="67">
        <f>RIGHT(D35,LEN(D35)-4)/10000</f>
        <v>4.4900000000000002E-2</v>
      </c>
      <c r="Z35" s="67">
        <f>RIGHT(H35,LEN(H35)-4)/10000</f>
        <v>23.3293</v>
      </c>
      <c r="AA35" s="67">
        <f>ABS(Z35-Y35)</f>
        <v>23.284400000000002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>IF(LEN(A35)=6,"0"&amp;A35,A35)</f>
        <v>0123-05</v>
      </c>
      <c r="AE35" s="91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 &amp; 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</v>
      </c>
      <c r="AF35" s="88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/stypes="app*4044*20161205*" /stext=" 14:.+((SYSTEM_STATE.+slice.+state.+changed )|(ment ac)|(multiple cpu faults)|(system.+state.+changed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92" t="str">
        <f t="shared" si="2"/>
        <v>"%USERPROFILE%\Documents\GitHub\eaglep3\Utilities\RefineRTDCRunTimes.py" --tripid 123-05 --locoid 4044 --swversion DE.1.0.8.0 --startMP 204:449 --initTime 2016-12-05T06:21:58 --startdatetime 2016-12-05T06:30:55 --delay 1 --endMP 204:233293 --enddatetime 2016-12-05T07:06:14 --enforcementcount 2 &gt;&gt;C:\Users\stu\Documents\GitHub\eaglep3-reporting\EC\2016-12-05-refined-times.txt</v>
      </c>
      <c r="AI35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{"issue":{"subject":"","project_id":79,"tracker_id":40,"status_id":1,"priority_id":2,"assigned_to_id":23,"start_date":"2016-12-05","description":"","custom_fields":[{"id":1,"name":"Subdivision","value":"EC"},{"id":4,"name":"Milepost","value":"23.3293"},{"id":17,"name":"Train ID","value":"123-05"},{"id":16,"name":"Locomotive ID","value":"4044"},{"id":130,"name":"Impact","value":""},{"id":150,"name":"Time of Event (Mountain Time)","value":"07:06:14"},{"id":151,"name":"Denver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503</v>
      </c>
      <c r="B36" s="7">
        <v>4043</v>
      </c>
      <c r="C36" s="22" t="s">
        <v>208</v>
      </c>
      <c r="D36" s="22" t="s">
        <v>204</v>
      </c>
      <c r="E36" s="13">
        <v>42709.297025462962</v>
      </c>
      <c r="F36" s="13">
        <v>42709.31013888889</v>
      </c>
      <c r="G36" s="7">
        <v>0</v>
      </c>
      <c r="H36" s="22" t="s">
        <v>206</v>
      </c>
      <c r="I36" s="13">
        <v>42709.336736111109</v>
      </c>
      <c r="J36" s="7">
        <v>2</v>
      </c>
      <c r="K36" s="109" t="str">
        <f>IF(ISEVEN(B36),(B36-1)&amp;"/"&amp;B36,B36&amp;"/"&amp;(B36+1))</f>
        <v>4043/4044</v>
      </c>
      <c r="L36" s="22" t="str">
        <f>VLOOKUP(A36,'Trips&amp;Operators'!$C$1:$G$99999,5,FALSE)</f>
        <v>YORK EDGAR</v>
      </c>
      <c r="M36" s="6">
        <f>I36-F36</f>
        <v>2.6597222218697425E-2</v>
      </c>
      <c r="N36" s="7">
        <f>24*60*SUM($M36:$M36)</f>
        <v>38.299999994924292</v>
      </c>
      <c r="O36" s="7"/>
      <c r="P36" s="7"/>
      <c r="Q36" s="23"/>
      <c r="R36" s="23"/>
      <c r="S36" s="35">
        <f>SUM(U36:U36)/IF(AG36="EC",12,1)</f>
        <v>1</v>
      </c>
      <c r="T36" s="50" t="str">
        <f>IF(ISEVEN(LEFT(AD36,4)),"Southbound","NorthBound")</f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hh:mm:ss")&amp;utc_offset&amp;"00',mode:absolute,to:'"&amp;TEXT(I36+1/24,"yyyy-MM-DD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https://search-rtdc-monitor-bjffxe2xuh6vdkpspy63sjmuny.us-east-1.es.amazonaws.com/_plugin/kibana/#/discover/Steve-Slow-Train-Analysis-(2080s-and-2083s)?_g=(refreshInterval:(display:Off,section:0,value:0),time:(from:'2016-12-05 06:07:43-700',mode:absolute,to:'2016-12-05 09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6" s="52" t="str">
        <f>IF(AA36&lt;IF(AG36="EC",23,5.65),"Y","N")</f>
        <v>N</v>
      </c>
      <c r="X36" s="177">
        <f>VALUE(LEFT(AD36,4))-VALUE(LEFT(AD35,4))</f>
        <v>1</v>
      </c>
      <c r="Y36" s="67">
        <f>RIGHT(D36,LEN(D36)-4)/10000</f>
        <v>23.297699999999999</v>
      </c>
      <c r="Z36" s="67">
        <f>RIGHT(H36,LEN(H36)-4)/10000</f>
        <v>1.5599999999999999E-2</v>
      </c>
      <c r="AA36" s="67">
        <f>ABS(Z36-Y36)</f>
        <v>23.2821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>IF(LEN(A36)=6,"0"&amp;A36,A36)</f>
        <v>0124-05</v>
      </c>
      <c r="AE36" s="91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 &amp; 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</v>
      </c>
      <c r="AF36" s="88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/stypes="app*4043*20161205*" /stext=" 15:.+((SYSTEM_STATE.+slice.+state.+changed )|(ment ac)|(multiple cpu faults)|(system.+state.+changed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92" t="str">
        <f t="shared" si="2"/>
        <v>"%USERPROFILE%\Documents\GitHub\eaglep3\Utilities\RefineRTDCRunTimes.py" --tripid 124-05 --locoid 4043 --swversion DE.1.0.8.0 --startMP 204:232977 --initTime 2016-12-05T07:07:43 --startdatetime 2016-12-05T07:26:36 --delay 0 --endMP 204:156 --enddatetime 2016-12-05T08:04:54 --enforcementcount 2 &gt;&gt;C:\Users\stu\Documents\GitHub\eaglep3-reporting\EC\2016-12-05-refined-times.txt</v>
      </c>
      <c r="AI36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{"issue":{"subject":"","project_id":79,"tracker_id":40,"status_id":1,"priority_id":2,"assigned_to_id":23,"start_date":"2016-12-05","description":"","custom_fields":[{"id":1,"name":"Subdivision","value":"EC"},{"id":4,"name":"Milepost","value":"0.0156"},{"id":17,"name":"Train ID","value":"124-05"},{"id":16,"name":"Locomotive ID","value":"4043"},{"id":130,"name":"Impact","value":""},{"id":150,"name":"Time of Event (Mountain Time)","value":"08:04:54"},{"id":151,"name":"Denver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495</v>
      </c>
      <c r="B37" s="7">
        <v>4040</v>
      </c>
      <c r="C37" s="22" t="s">
        <v>208</v>
      </c>
      <c r="D37" s="22" t="s">
        <v>689</v>
      </c>
      <c r="E37" s="13">
        <v>42709.280462962961</v>
      </c>
      <c r="F37" s="13">
        <v>42709.281527777777</v>
      </c>
      <c r="G37" s="7">
        <v>0</v>
      </c>
      <c r="H37" s="22" t="s">
        <v>253</v>
      </c>
      <c r="I37" s="13">
        <v>42709.30740740741</v>
      </c>
      <c r="J37" s="7">
        <v>2</v>
      </c>
      <c r="K37" s="109" t="str">
        <f>IF(ISEVEN(B37),(B37-1)&amp;"/"&amp;B37,B37&amp;"/"&amp;(B37+1))</f>
        <v>4039/4040</v>
      </c>
      <c r="L37" s="22" t="str">
        <f>VLOOKUP(A37,'Trips&amp;Operators'!$C$1:$G$99999,5,FALSE)</f>
        <v>STARKS ANGELINA</v>
      </c>
      <c r="M37" s="6">
        <f>I37-F37</f>
        <v>2.587962963298196E-2</v>
      </c>
      <c r="N37" s="7">
        <f>24*60*SUM($M37:$M37)</f>
        <v>37.266666671494022</v>
      </c>
      <c r="O37" s="7"/>
      <c r="P37" s="7"/>
      <c r="Q37" s="23"/>
      <c r="R37" s="23"/>
      <c r="S37" s="35">
        <f>SUM(U37:U37)/IF(AG37="EC",12,1)</f>
        <v>1</v>
      </c>
      <c r="T37" s="50" t="str">
        <f>IF(ISEVEN(LEFT(AD37,4)),"Southbound","NorthBound")</f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hh:mm:ss")&amp;utc_offset&amp;"00',mode:absolute,to:'"&amp;TEXT(I37+1/24,"yyyy-MM-DD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https://search-rtdc-monitor-bjffxe2xuh6vdkpspy63sjmuny.us-east-1.es.amazonaws.com/_plugin/kibana/#/discover/Steve-Slow-Train-Analysis-(2080s-and-2083s)?_g=(refreshInterval:(display:Off,section:0,value:0),time:(from:'2016-12-05 05:43:52-700',mode:absolute,to:'2016-12-05 08:22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7" s="52" t="str">
        <f>IF(AA37&lt;IF(AG37="EC",23,5.65),"Y","N")</f>
        <v>N</v>
      </c>
      <c r="X37" s="177">
        <f>VALUE(LEFT(AD37,4))-VALUE(LEFT(AD36,4))</f>
        <v>1</v>
      </c>
      <c r="Y37" s="67">
        <f>RIGHT(D37,LEN(D37)-4)/10000</f>
        <v>4.8899999999999999E-2</v>
      </c>
      <c r="Z37" s="67">
        <f>RIGHT(H37,LEN(H37)-4)/10000</f>
        <v>23.3308</v>
      </c>
      <c r="AA37" s="67">
        <f>ABS(Z37-Y37)</f>
        <v>23.2819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>IF(LEN(A37)=6,"0"&amp;A37,A37)</f>
        <v>0125-05</v>
      </c>
      <c r="AE37" s="91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s3://rtdc.mdm.uploadarchive.raw/RTDC4040/ "%USERPROFILE%\AppData\Local\Temp\OnboardLogs"\RTDC4040\2016-12-05 --exclude "*" --recursive --include "*20161205*" &amp; "%USERPROFILE%\Documents\GitHub\mrs-test-scripts\Headless Mode &amp; Sideloading\WalkAndUnGZ.bat" "%USERPROFILE%\AppData\Local\Temp\OnboardLogs"\RTDC4040\2016-12-05 &amp; aws s3 cp s3://rtdc.mdm.uploadarchive.raw/RTDC4040/ "%USERPROFILE%\AppData\Local\Temp\OnboardLogs"\RTDC4040\2016-12-06 --exclude "*" --recursive --include "*20161206*" &amp; "%USERPROFILE%\Documents\GitHub\mrs-test-scripts\Headless Mode &amp; Sideloading\WalkAndUnGZ.bat" "%USERPROFILE%\AppData\Local\Temp\OnboardLogs"\RTDC4040\2016-12-06</v>
      </c>
      <c r="AF37" s="88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/stypes="app*4040*20161205*" /stext=" 14:.+((SYSTEM_STATE.+slice.+state.+changed )|(ment ac)|(multiple cpu faults)|(system.+state.+changed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92" t="str">
        <f t="shared" si="2"/>
        <v>"%USERPROFILE%\Documents\GitHub\eaglep3\Utilities\RefineRTDCRunTimes.py" --tripid 125-05 --locoid 4040 --swversion DE.1.0.8.0 --startMP 204:489 --initTime 2016-12-05T06:43:52 --startdatetime 2016-12-05T06:45:24 --delay 0 --endMP 204:233308 --enddatetime 2016-12-05T07:22:40 --enforcementcount 2 &gt;&gt;C:\Users\stu\Documents\GitHub\eaglep3-reporting\EC\2016-12-05-refined-times.txt</v>
      </c>
      <c r="AI37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{"issue":{"subject":"","project_id":79,"tracker_id":40,"status_id":1,"priority_id":2,"assigned_to_id":23,"start_date":"2016-12-05","description":"","custom_fields":[{"id":1,"name":"Subdivision","value":"EC"},{"id":4,"name":"Milepost","value":"23.3308"},{"id":17,"name":"Train ID","value":"125-05"},{"id":16,"name":"Locomotive ID","value":"4040"},{"id":130,"name":"Impact","value":""},{"id":150,"name":"Time of Event (Mountain Time)","value":"07:22:40"},{"id":151,"name":"Denver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434</v>
      </c>
      <c r="B38" s="7">
        <v>4039</v>
      </c>
      <c r="C38" s="22" t="s">
        <v>208</v>
      </c>
      <c r="D38" s="22" t="s">
        <v>416</v>
      </c>
      <c r="E38" s="13">
        <v>42709.318043981482</v>
      </c>
      <c r="F38" s="13">
        <v>42709.320462962962</v>
      </c>
      <c r="G38" s="7">
        <v>1</v>
      </c>
      <c r="H38" s="22" t="s">
        <v>690</v>
      </c>
      <c r="I38" s="13">
        <v>42709.347118055557</v>
      </c>
      <c r="J38" s="7">
        <v>2</v>
      </c>
      <c r="K38" s="109" t="str">
        <f>IF(ISEVEN(B38),(B38-1)&amp;"/"&amp;B38,B38&amp;"/"&amp;(B38+1))</f>
        <v>4039/4040</v>
      </c>
      <c r="L38" s="22" t="str">
        <f>VLOOKUP(A38,'Trips&amp;Operators'!$C$1:$G$99999,5,FALSE)</f>
        <v>STARKS ANGELINA</v>
      </c>
      <c r="M38" s="6">
        <f>I38-F38</f>
        <v>2.6655092595319729E-2</v>
      </c>
      <c r="N38" s="7">
        <f>24*60*SUM($M38:$M38)</f>
        <v>38.38333333726041</v>
      </c>
      <c r="O38" s="7"/>
      <c r="P38" s="7"/>
      <c r="Q38" s="23"/>
      <c r="R38" s="23"/>
      <c r="S38" s="35">
        <f>SUM(U38:U38)/IF(AG38="EC",12,1)</f>
        <v>1</v>
      </c>
      <c r="T38" s="50" t="str">
        <f>IF(ISEVEN(LEFT(AD38,4)),"Southbound","NorthBound")</f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hh:mm:ss")&amp;utc_offset&amp;"00',mode:absolute,to:'"&amp;TEXT(I38+1/24,"yyyy-MM-DD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https://search-rtdc-monitor-bjffxe2xuh6vdkpspy63sjmuny.us-east-1.es.amazonaws.com/_plugin/kibana/#/discover/Steve-Slow-Train-Analysis-(2080s-and-2083s)?_g=(refreshInterval:(display:Off,section:0,value:0),time:(from:'2016-12-05 06:37:59-700',mode:absolute,to:'2016-12-05 09:19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8" s="52" t="str">
        <f>IF(AA38&lt;IF(AG38="EC",23,5.65),"Y","N")</f>
        <v>N</v>
      </c>
      <c r="X38" s="177">
        <f>VALUE(LEFT(AD38,4))-VALUE(LEFT(AD37,4))</f>
        <v>1</v>
      </c>
      <c r="Y38" s="67">
        <f>RIGHT(D38,LEN(D38)-4)/10000</f>
        <v>23.299399999999999</v>
      </c>
      <c r="Z38" s="67">
        <f>RIGHT(H38,LEN(H38)-4)/10000</f>
        <v>2.1999999999999999E-2</v>
      </c>
      <c r="AA38" s="67">
        <f>ABS(Z38-Y38)</f>
        <v>23.2774</v>
      </c>
      <c r="AB38" s="64" t="str">
        <f>VLOOKUP(A38,Enforcements!$C$7:$K$20,8,0)</f>
        <v>Form based authority (4)</v>
      </c>
      <c r="AC38" s="60" t="str">
        <f>VLOOKUP(A38,Enforcements!$C$7:$E$20,3,0)</f>
        <v>TRACK WARRANT AUTHORITY</v>
      </c>
      <c r="AD38" s="61" t="str">
        <f>IF(LEN(A38)=6,"0"&amp;A38,A38)</f>
        <v>0126-05</v>
      </c>
      <c r="AE38" s="91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s3://rtdc.mdm.uploadarchive.raw/RTDC4039/ "%USERPROFILE%\AppData\Local\Temp\OnboardLogs"\RTDC4039\2016-12-05 --exclude "*" --recursive --include "*20161205*" &amp; "%USERPROFILE%\Documents\GitHub\mrs-test-scripts\Headless Mode &amp; Sideloading\WalkAndUnGZ.bat" "%USERPROFILE%\AppData\Local\Temp\OnboardLogs"\RTDC4039\2016-12-05 &amp; aws s3 cp s3://rtdc.mdm.uploadarchive.raw/RTDC4039/ "%USERPROFILE%\AppData\Local\Temp\OnboardLogs"\RTDC4039\2016-12-06 --exclude "*" --recursive --include "*20161206*" &amp; "%USERPROFILE%\Documents\GitHub\mrs-test-scripts\Headless Mode &amp; Sideloading\WalkAndUnGZ.bat" "%USERPROFILE%\AppData\Local\Temp\OnboardLogs"\RTDC4039\2016-12-06</v>
      </c>
      <c r="AF38" s="88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/stypes="app*4039*20161205*" /stext=" 15:.+((SYSTEM_STATE.+slice.+state.+changed )|(ment ac)|(multiple cpu faults)|(system.+state.+changed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92" t="str">
        <f t="shared" si="2"/>
        <v>"%USERPROFILE%\Documents\GitHub\eaglep3\Utilities\RefineRTDCRunTimes.py" --tripid 126-05 --locoid 4039 --swversion DE.1.0.8.0 --startMP 204:232994 --initTime 2016-12-05T07:37:59 --startdatetime 2016-12-05T07:41:28 --delay 1 --endMP 204:220 --enddatetime 2016-12-05T08:19:51 --enforcementcount 2 &gt;&gt;C:\Users\stu\Documents\GitHub\eaglep3-reporting\EC\2016-12-05-refined-times.txt</v>
      </c>
      <c r="AI38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{"issue":{"subject":"","project_id":79,"tracker_id":40,"status_id":1,"priority_id":2,"assigned_to_id":23,"start_date":"2016-12-05","description":"","custom_fields":[{"id":1,"name":"Subdivision","value":"EC"},{"id":4,"name":"Milepost","value":"0.022"},{"id":17,"name":"Train ID","value":"126-05"},{"id":16,"name":"Locomotive ID","value":"4039"},{"id":130,"name":"Impact","value":""},{"id":150,"name":"Time of Event (Mountain Time)","value":"08:19:51"},{"id":151,"name":"Denver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498</v>
      </c>
      <c r="B39" s="7">
        <v>4022</v>
      </c>
      <c r="C39" s="22" t="s">
        <v>208</v>
      </c>
      <c r="D39" s="22" t="s">
        <v>362</v>
      </c>
      <c r="E39" s="13">
        <v>42709.287615740737</v>
      </c>
      <c r="F39" s="13">
        <v>42709.291967592595</v>
      </c>
      <c r="G39" s="7">
        <v>1</v>
      </c>
      <c r="H39" s="22" t="s">
        <v>368</v>
      </c>
      <c r="I39" s="13">
        <v>42709.317418981482</v>
      </c>
      <c r="J39" s="7">
        <v>2</v>
      </c>
      <c r="K39" s="109" t="str">
        <f>IF(ISEVEN(B39),(B39-1)&amp;"/"&amp;B39,B39&amp;"/"&amp;(B39+1))</f>
        <v>4021/4022</v>
      </c>
      <c r="L39" s="22" t="str">
        <f>VLOOKUP(A39,'Trips&amp;Operators'!$C$1:$G$99999,5,FALSE)</f>
        <v>KILLION DAVID</v>
      </c>
      <c r="M39" s="6">
        <f>I39-F39</f>
        <v>2.545138888672227E-2</v>
      </c>
      <c r="N39" s="7">
        <f>24*60*SUM($M39:$M39)</f>
        <v>36.649999996880069</v>
      </c>
      <c r="O39" s="7"/>
      <c r="P39" s="7"/>
      <c r="Q39" s="23"/>
      <c r="R39" s="23"/>
      <c r="S39" s="35">
        <f>SUM(U39:U39)/IF(AG39="EC",12,1)</f>
        <v>1</v>
      </c>
      <c r="T39" s="50" t="str">
        <f>IF(ISEVEN(LEFT(AD39,4)),"Southbound","NorthBound")</f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hh:mm:ss")&amp;utc_offset&amp;"00',mode:absolute,to:'"&amp;TEXT(I39+1/24,"yyyy-MM-DD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https://search-rtdc-monitor-bjffxe2xuh6vdkpspy63sjmuny.us-east-1.es.amazonaws.com/_plugin/kibana/#/discover/Steve-Slow-Train-Analysis-(2080s-and-2083s)?_g=(refreshInterval:(display:Off,section:0,value:0),time:(from:'2016-12-05 05:54:10-700',mode:absolute,to:'2016-12-05 08:37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9" s="52" t="str">
        <f>IF(AA39&lt;IF(AG39="EC",23,5.65),"Y","N")</f>
        <v>N</v>
      </c>
      <c r="X39" s="177">
        <f>VALUE(LEFT(AD39,4))-VALUE(LEFT(AD38,4))</f>
        <v>1</v>
      </c>
      <c r="Y39" s="67">
        <f>RIGHT(D39,LEN(D39)-4)/10000</f>
        <v>4.53E-2</v>
      </c>
      <c r="Z39" s="67">
        <f>RIGHT(H39,LEN(H39)-4)/10000</f>
        <v>23.3293</v>
      </c>
      <c r="AA39" s="67">
        <f>ABS(Z39-Y39)</f>
        <v>23.283999999999999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>IF(LEN(A39)=6,"0"&amp;A39,A39)</f>
        <v>0127-05</v>
      </c>
      <c r="AE39" s="91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s3://rtdc.mdm.uploadarchive.raw/RTDC4022/ "%USERPROFILE%\AppData\Local\Temp\OnboardLogs"\RTDC4022\2016-12-05 --exclude "*" --recursive --include "*20161205*" &amp; "%USERPROFILE%\Documents\GitHub\mrs-test-scripts\Headless Mode &amp; Sideloading\WalkAndUnGZ.bat" "%USERPROFILE%\AppData\Local\Temp\OnboardLogs"\RTDC4022\2016-12-05 &amp; 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</v>
      </c>
      <c r="AF39" s="88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/stypes="app*4022*20161205*" /stext=" 14:.+((SYSTEM_STATE.+slice.+state.+changed )|(ment ac)|(multiple cpu faults)|(system.+state.+changed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92" t="str">
        <f t="shared" si="2"/>
        <v>"%USERPROFILE%\Documents\GitHub\eaglep3\Utilities\RefineRTDCRunTimes.py" --tripid 127-05 --locoid 4022 --swversion DE.1.0.8.0 --startMP 204:453 --initTime 2016-12-05T06:54:10 --startdatetime 2016-12-05T07:00:26 --delay 1 --endMP 204:233293 --enddatetime 2016-12-05T07:37:05 --enforcementcount 2 &gt;&gt;C:\Users\stu\Documents\GitHub\eaglep3-reporting\EC\2016-12-05-refined-times.txt</v>
      </c>
      <c r="AI39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{"issue":{"subject":"","project_id":79,"tracker_id":40,"status_id":1,"priority_id":2,"assigned_to_id":23,"start_date":"2016-12-05","description":"","custom_fields":[{"id":1,"name":"Subdivision","value":"EC"},{"id":4,"name":"Milepost","value":"23.3293"},{"id":17,"name":"Train ID","value":"127-05"},{"id":16,"name":"Locomotive ID","value":"4022"},{"id":130,"name":"Impact","value":""},{"id":150,"name":"Time of Event (Mountain Time)","value":"07:37:05"},{"id":151,"name":"Denver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436</v>
      </c>
      <c r="B40" s="7">
        <v>4021</v>
      </c>
      <c r="C40" s="22" t="s">
        <v>208</v>
      </c>
      <c r="D40" s="22" t="s">
        <v>691</v>
      </c>
      <c r="E40" s="13">
        <v>42709.326678240737</v>
      </c>
      <c r="F40" s="13">
        <v>42709.33079861111</v>
      </c>
      <c r="G40" s="7">
        <v>1</v>
      </c>
      <c r="H40" s="22" t="s">
        <v>692</v>
      </c>
      <c r="I40" s="13">
        <v>42709.359097222223</v>
      </c>
      <c r="J40" s="7">
        <v>2</v>
      </c>
      <c r="K40" s="109" t="str">
        <f>IF(ISEVEN(B40),(B40-1)&amp;"/"&amp;B40,B40&amp;"/"&amp;(B40+1))</f>
        <v>4021/4022</v>
      </c>
      <c r="L40" s="22" t="str">
        <f>VLOOKUP(A40,'Trips&amp;Operators'!$C$1:$G$99999,5,FALSE)</f>
        <v>KILLION DAVID</v>
      </c>
      <c r="M40" s="6">
        <f>I40-F40</f>
        <v>2.8298611112404615E-2</v>
      </c>
      <c r="N40" s="7">
        <f>24*60*SUM($M40:$M40)</f>
        <v>40.750000001862645</v>
      </c>
      <c r="O40" s="7"/>
      <c r="P40" s="7"/>
      <c r="Q40" s="23"/>
      <c r="R40" s="23"/>
      <c r="S40" s="35">
        <f>SUM(U40:U40)/IF(AG40="EC",12,1)</f>
        <v>1</v>
      </c>
      <c r="T40" s="50" t="str">
        <f>IF(ISEVEN(LEFT(AD40,4)),"Southbound","NorthBound")</f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hh:mm:ss")&amp;utc_offset&amp;"00',mode:absolute,to:'"&amp;TEXT(I40+1/24,"yyyy-MM-DD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https://search-rtdc-monitor-bjffxe2xuh6vdkpspy63sjmuny.us-east-1.es.amazonaws.com/_plugin/kibana/#/discover/Steve-Slow-Train-Analysis-(2080s-and-2083s)?_g=(refreshInterval:(display:Off,section:0,value:0),time:(from:'2016-12-05 06:50:25-700',mode:absolute,to:'2016-12-05 09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0" s="52" t="str">
        <f>IF(AA40&lt;IF(AG40="EC",23,5.65),"Y","N")</f>
        <v>N</v>
      </c>
      <c r="X40" s="177">
        <f>VALUE(LEFT(AD40,4))-VALUE(LEFT(AD39,4))</f>
        <v>1</v>
      </c>
      <c r="Y40" s="67">
        <f>RIGHT(D40,LEN(D40)-4)/10000</f>
        <v>23.2971</v>
      </c>
      <c r="Z40" s="67">
        <f>RIGHT(H40,LEN(H40)-4)/10000</f>
        <v>1.2500000000000001E-2</v>
      </c>
      <c r="AA40" s="67">
        <f>ABS(Z40-Y40)</f>
        <v>23.284600000000001</v>
      </c>
      <c r="AB40" s="64" t="str">
        <f>VLOOKUP(A40,Enforcements!$C$7:$K$20,8,0)</f>
        <v>Form based authority (4)</v>
      </c>
      <c r="AC40" s="60" t="str">
        <f>VLOOKUP(A40,Enforcements!$C$7:$E$20,3,0)</f>
        <v>TRACK WARRANT AUTHORITY</v>
      </c>
      <c r="AD40" s="61" t="str">
        <f>IF(LEN(A40)=6,"0"&amp;A40,A40)</f>
        <v>0128-05</v>
      </c>
      <c r="AE40" s="91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s3://rtdc.mdm.uploadarchive.raw/RTDC4021/ "%USERPROFILE%\AppData\Local\Temp\OnboardLogs"\RTDC4021\2016-12-05 --exclude "*" --recursive --include "*20161205*" &amp; "%USERPROFILE%\Documents\GitHub\mrs-test-scripts\Headless Mode &amp; Sideloading\WalkAndUnGZ.bat" "%USERPROFILE%\AppData\Local\Temp\OnboardLogs"\RTDC4021\2016-12-05 &amp; 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</v>
      </c>
      <c r="AF40" s="88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/stypes="app*4021*20161205*" /stext=" 15:.+((SYSTEM_STATE.+slice.+state.+changed )|(ment ac)|(multiple cpu faults)|(system.+state.+changed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92" t="str">
        <f t="shared" si="2"/>
        <v>"%USERPROFILE%\Documents\GitHub\eaglep3\Utilities\RefineRTDCRunTimes.py" --tripid 128-05 --locoid 4021 --swversion DE.1.0.8.0 --startMP 204:232971 --initTime 2016-12-05T07:50:25 --startdatetime 2016-12-05T07:56:21 --delay 1 --endMP 204:125 --enddatetime 2016-12-05T08:37:06 --enforcementcount 2 &gt;&gt;C:\Users\stu\Documents\GitHub\eaglep3-reporting\EC\2016-12-05-refined-times.txt</v>
      </c>
      <c r="AI40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{"issue":{"subject":"","project_id":79,"tracker_id":40,"status_id":1,"priority_id":2,"assigned_to_id":23,"start_date":"2016-12-05","description":"","custom_fields":[{"id":1,"name":"Subdivision","value":"EC"},{"id":4,"name":"Milepost","value":"0.0125"},{"id":17,"name":"Train ID","value":"128-05"},{"id":16,"name":"Locomotive ID","value":"4021"},{"id":130,"name":"Impact","value":""},{"id":150,"name":"Time of Event (Mountain Time)","value":"08:37:06"},{"id":151,"name":"Denver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432</v>
      </c>
      <c r="B41" s="7">
        <v>4038</v>
      </c>
      <c r="C41" s="22" t="s">
        <v>208</v>
      </c>
      <c r="D41" s="22" t="s">
        <v>693</v>
      </c>
      <c r="E41" s="13">
        <v>42709.298495370371</v>
      </c>
      <c r="F41" s="13">
        <v>42709.302615740744</v>
      </c>
      <c r="G41" s="7">
        <v>1</v>
      </c>
      <c r="H41" s="22" t="s">
        <v>694</v>
      </c>
      <c r="I41" s="13">
        <v>42709.32708333333</v>
      </c>
      <c r="J41" s="7">
        <v>2</v>
      </c>
      <c r="K41" s="109" t="str">
        <f>IF(ISEVEN(B41),(B41-1)&amp;"/"&amp;B41,B41&amp;"/"&amp;(B41+1))</f>
        <v>4037/4038</v>
      </c>
      <c r="L41" s="22" t="str">
        <f>VLOOKUP(A41,'Trips&amp;Operators'!$C$1:$G$99999,5,FALSE)</f>
        <v>ROBINSON KADDIBA</v>
      </c>
      <c r="M41" s="6">
        <f>I41-F41</f>
        <v>2.4467592586006504E-2</v>
      </c>
      <c r="N41" s="7">
        <f>24*60*SUM($M41:$M41)</f>
        <v>35.233333323849365</v>
      </c>
      <c r="O41" s="7"/>
      <c r="P41" s="7"/>
      <c r="Q41" s="23"/>
      <c r="R41" s="23"/>
      <c r="S41" s="35">
        <f>SUM(U41:U41)/IF(AG41="EC",12,1)</f>
        <v>1</v>
      </c>
      <c r="T41" s="50" t="str">
        <f>IF(ISEVEN(LEFT(AD41,4)),"Southbound","NorthBound")</f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hh:mm:ss")&amp;utc_offset&amp;"00',mode:absolute,to:'"&amp;TEXT(I41+1/24,"yyyy-MM-DD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https://search-rtdc-monitor-bjffxe2xuh6vdkpspy63sjmuny.us-east-1.es.amazonaws.com/_plugin/kibana/#/discover/Steve-Slow-Train-Analysis-(2080s-and-2083s)?_g=(refreshInterval:(display:Off,section:0,value:0),time:(from:'2016-12-05 06:09:50-700',mode:absolute,to:'2016-12-05 08:51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1" s="52" t="str">
        <f>IF(AA41&lt;IF(AG41="EC",23,5.65),"Y","N")</f>
        <v>N</v>
      </c>
      <c r="X41" s="177">
        <f>VALUE(LEFT(AD41,4))-VALUE(LEFT(AD40,4))</f>
        <v>1</v>
      </c>
      <c r="Y41" s="67">
        <f>RIGHT(D41,LEN(D41)-4)/10000</f>
        <v>4.6199999999999998E-2</v>
      </c>
      <c r="Z41" s="67">
        <f>RIGHT(H41,LEN(H41)-4)/10000</f>
        <v>23.331900000000001</v>
      </c>
      <c r="AA41" s="67">
        <f>ABS(Z41-Y41)</f>
        <v>23.285700000000002</v>
      </c>
      <c r="AB41" s="64" t="str">
        <f>VLOOKUP(A41,Enforcements!$C$7:$K$20,8,0)</f>
        <v>Speed (6)</v>
      </c>
      <c r="AC41" s="60" t="str">
        <f>VLOOKUP(A41,Enforcements!$C$7:$E$20,3,0)</f>
        <v>PERMANENT SPEED RESTRICTION</v>
      </c>
      <c r="AD41" s="61" t="str">
        <f>IF(LEN(A41)=6,"0"&amp;A41,A41)</f>
        <v>0129-05</v>
      </c>
      <c r="AE41" s="91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 &amp; aws s3 cp s3://rtdc.mdm.uploadarchive.raw/RTDC4038/ "%USERPROFILE%\AppData\Local\Temp\OnboardLogs"\RTDC4038\2016-12-06 --exclude "*" --recursive --include "*20161206*" &amp; "%USERPROFILE%\Documents\GitHub\mrs-test-scripts\Headless Mode &amp; Sideloading\WalkAndUnGZ.bat" "%USERPROFILE%\AppData\Local\Temp\OnboardLogs"\RTDC4038\2016-12-06</v>
      </c>
      <c r="AF41" s="88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/stypes="app*4038*20161205*" /stext=" 14:.+((SYSTEM_STATE.+slice.+state.+changed )|(ment ac)|(multiple cpu faults)|(system.+state.+changed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92" t="str">
        <f t="shared" si="2"/>
        <v>"%USERPROFILE%\Documents\GitHub\eaglep3\Utilities\RefineRTDCRunTimes.py" --tripid 129-05 --locoid 4038 --swversion DE.1.0.8.0 --startMP 204:462 --initTime 2016-12-05T07:09:50 --startdatetime 2016-12-05T07:15:46 --delay 1 --endMP 204:233319 --enddatetime 2016-12-05T07:51:00 --enforcementcount 2 &gt;&gt;C:\Users\stu\Documents\GitHub\eaglep3-reporting\EC\2016-12-05-refined-times.txt</v>
      </c>
      <c r="AI41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{"issue":{"subject":"","project_id":79,"tracker_id":40,"status_id":1,"priority_id":2,"assigned_to_id":23,"start_date":"2016-12-05","description":"","custom_fields":[{"id":1,"name":"Subdivision","value":"EC"},{"id":4,"name":"Milepost","value":"23.3319"},{"id":17,"name":"Train ID","value":"129-05"},{"id":16,"name":"Locomotive ID","value":"4038"},{"id":130,"name":"Impact","value":""},{"id":150,"name":"Time of Event (Mountain Time)","value":"07:51:00"},{"id":151,"name":"Denver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509</v>
      </c>
      <c r="B42" s="7">
        <v>4037</v>
      </c>
      <c r="C42" s="22" t="s">
        <v>208</v>
      </c>
      <c r="D42" s="22" t="s">
        <v>400</v>
      </c>
      <c r="E42" s="13">
        <v>42709.332835648151</v>
      </c>
      <c r="F42" s="13">
        <v>42709.341145833336</v>
      </c>
      <c r="G42" s="7">
        <v>2</v>
      </c>
      <c r="H42" s="22" t="s">
        <v>192</v>
      </c>
      <c r="I42" s="13">
        <v>42709.367337962962</v>
      </c>
      <c r="J42" s="7">
        <v>2</v>
      </c>
      <c r="K42" s="109" t="str">
        <f>IF(ISEVEN(B42),(B42-1)&amp;"/"&amp;B42,B42&amp;"/"&amp;(B42+1))</f>
        <v>4037/4038</v>
      </c>
      <c r="L42" s="22" t="str">
        <f>VLOOKUP(A42,'Trips&amp;Operators'!$C$1:$G$99999,5,FALSE)</f>
        <v>ROBINSON KADDIBA</v>
      </c>
      <c r="M42" s="6">
        <f>I42-F42</f>
        <v>2.619212962599704E-2</v>
      </c>
      <c r="N42" s="7">
        <f>24*60*SUM($M42:$M42)</f>
        <v>37.716666661435738</v>
      </c>
      <c r="O42" s="7"/>
      <c r="P42" s="7"/>
      <c r="Q42" s="23"/>
      <c r="R42" s="23"/>
      <c r="S42" s="35">
        <f>SUM(U42:U42)/IF(AG42="EC",12,1)</f>
        <v>1</v>
      </c>
      <c r="T42" s="50" t="str">
        <f>IF(ISEVEN(LEFT(AD42,4)),"Southbound","NorthBound")</f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hh:mm:ss")&amp;utc_offset&amp;"00',mode:absolute,to:'"&amp;TEXT(I42+1/24,"yyyy-MM-DD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https://search-rtdc-monitor-bjffxe2xuh6vdkpspy63sjmuny.us-east-1.es.amazonaws.com/_plugin/kibana/#/discover/Steve-Slow-Train-Analysis-(2080s-and-2083s)?_g=(refreshInterval:(display:Off,section:0,value:0),time:(from:'2016-12-05 06:59:17-700',mode:absolute,to:'2016-12-05 09:48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2" s="52" t="str">
        <f>IF(AA42&lt;IF(AG42="EC",23,5.65),"Y","N")</f>
        <v>N</v>
      </c>
      <c r="X42" s="177">
        <f>VALUE(LEFT(AD42,4))-VALUE(LEFT(AD41,4))</f>
        <v>1</v>
      </c>
      <c r="Y42" s="67">
        <f>RIGHT(D42,LEN(D42)-4)/10000</f>
        <v>23.3004</v>
      </c>
      <c r="Z42" s="67">
        <f>RIGHT(H42,LEN(H42)-4)/10000</f>
        <v>1.49E-2</v>
      </c>
      <c r="AA42" s="67">
        <f>ABS(Z42-Y42)</f>
        <v>23.285499999999999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>IF(LEN(A42)=6,"0"&amp;A42,A42)</f>
        <v>0130-05</v>
      </c>
      <c r="AE42" s="91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 &amp; aws s3 cp s3://rtdc.mdm.uploadarchive.raw/RTDC4037/ "%USERPROFILE%\AppData\Local\Temp\OnboardLogs"\RTDC4037\2016-12-06 --exclude "*" --recursive --include "*20161206*" &amp; "%USERPROFILE%\Documents\GitHub\mrs-test-scripts\Headless Mode &amp; Sideloading\WalkAndUnGZ.bat" "%USERPROFILE%\AppData\Local\Temp\OnboardLogs"\RTDC4037\2016-12-06</v>
      </c>
      <c r="AF42" s="88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/stypes="app*4037*20161205*" /stext=" 15:.+((SYSTEM_STATE.+slice.+state.+changed )|(ment ac)|(multiple cpu faults)|(system.+state.+changed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92" t="str">
        <f t="shared" si="2"/>
        <v>"%USERPROFILE%\Documents\GitHub\eaglep3\Utilities\RefineRTDCRunTimes.py" --tripid 130-05 --locoid 4037 --swversion DE.1.0.8.0 --startMP 204:233004 --initTime 2016-12-05T07:59:17 --startdatetime 2016-12-05T08:11:15 --delay 2 --endMP 204:149 --enddatetime 2016-12-05T08:48:58 --enforcementcount 2 &gt;&gt;C:\Users\stu\Documents\GitHub\eaglep3-reporting\EC\2016-12-05-refined-times.txt</v>
      </c>
      <c r="AI42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{"issue":{"subject":"","project_id":79,"tracker_id":40,"status_id":1,"priority_id":2,"assigned_to_id":23,"start_date":"2016-12-05","description":"","custom_fields":[{"id":1,"name":"Subdivision","value":"EC"},{"id":4,"name":"Milepost","value":"0.0149"},{"id":17,"name":"Train ID","value":"130-05"},{"id":16,"name":"Locomotive ID","value":"4037"},{"id":130,"name":"Impact","value":""},{"id":150,"name":"Time of Event (Mountain Time)","value":"08:48:58"},{"id":151,"name":"Denver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504</v>
      </c>
      <c r="B43" s="7">
        <v>4020</v>
      </c>
      <c r="C43" s="22" t="s">
        <v>208</v>
      </c>
      <c r="D43" s="22" t="s">
        <v>246</v>
      </c>
      <c r="E43" s="13">
        <v>42709.310162037036</v>
      </c>
      <c r="F43" s="13">
        <v>42709.312708333331</v>
      </c>
      <c r="G43" s="7">
        <v>1</v>
      </c>
      <c r="H43" s="22" t="s">
        <v>695</v>
      </c>
      <c r="I43" s="13">
        <v>42709.338935185187</v>
      </c>
      <c r="J43" s="7">
        <v>2</v>
      </c>
      <c r="K43" s="109" t="str">
        <f>IF(ISEVEN(B43),(B43-1)&amp;"/"&amp;B43,B43&amp;"/"&amp;(B43+1))</f>
        <v>4019/4020</v>
      </c>
      <c r="L43" s="22" t="str">
        <f>VLOOKUP(A43,'Trips&amp;Operators'!$C$1:$G$99999,5,FALSE)</f>
        <v>MAGEE KENYA</v>
      </c>
      <c r="M43" s="6">
        <f>I43-F43</f>
        <v>2.6226851856335998E-2</v>
      </c>
      <c r="N43" s="7">
        <f>24*60*SUM($M43:$M43)</f>
        <v>37.766666673123837</v>
      </c>
      <c r="O43" s="7"/>
      <c r="P43" s="7"/>
      <c r="Q43" s="23"/>
      <c r="R43" s="23"/>
      <c r="S43" s="35">
        <f>SUM(U43:U43)/IF(AG43="EC",12,1)</f>
        <v>1</v>
      </c>
      <c r="T43" s="50" t="str">
        <f>IF(ISEVEN(LEFT(AD43,4)),"Southbound","NorthBound")</f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hh:mm:ss")&amp;utc_offset&amp;"00',mode:absolute,to:'"&amp;TEXT(I43+1/24,"yyyy-MM-DD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https://search-rtdc-monitor-bjffxe2xuh6vdkpspy63sjmuny.us-east-1.es.amazonaws.com/_plugin/kibana/#/discover/Steve-Slow-Train-Analysis-(2080s-and-2083s)?_g=(refreshInterval:(display:Off,section:0,value:0),time:(from:'2016-12-05 06:26:38-700',mode:absolute,to:'2016-12-05 09:08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43" s="52" t="str">
        <f>IF(AA43&lt;IF(AG43="EC",23,5.65),"Y","N")</f>
        <v>N</v>
      </c>
      <c r="X43" s="177">
        <f>VALUE(LEFT(AD43,4))-VALUE(LEFT(AD42,4))</f>
        <v>1</v>
      </c>
      <c r="Y43" s="67">
        <f>RIGHT(D43,LEN(D43)-4)/10000</f>
        <v>4.5699999999999998E-2</v>
      </c>
      <c r="Z43" s="67">
        <f>RIGHT(H43,LEN(H43)-4)/10000</f>
        <v>23.330300000000001</v>
      </c>
      <c r="AA43" s="67">
        <f>ABS(Z43-Y43)</f>
        <v>23.284600000000001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>IF(LEN(A43)=6,"0"&amp;A43,A43)</f>
        <v>0131-05</v>
      </c>
      <c r="AE43" s="91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s3://rtdc.mdm.uploadarchive.raw/RTDC4020/ "%USERPROFILE%\AppData\Local\Temp\OnboardLogs"\RTDC4020\2016-12-05 --exclude "*" --recursive --include "*20161205*" &amp; "%USERPROFILE%\Documents\GitHub\mrs-test-scripts\Headless Mode &amp; Sideloading\WalkAndUnGZ.bat" "%USERPROFILE%\AppData\Local\Temp\OnboardLogs"\RTDC4020\2016-12-05 &amp; 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</v>
      </c>
      <c r="AF43" s="88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/stypes="app*4020*20161205*" /stext=" 15:.+((SYSTEM_STATE.+slice.+state.+changed )|(ment ac)|(multiple cpu faults)|(system.+state.+changed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92" t="str">
        <f t="shared" si="2"/>
        <v>"%USERPROFILE%\Documents\GitHub\eaglep3\Utilities\RefineRTDCRunTimes.py" --tripid 131-05 --locoid 4020 --swversion DE.1.0.8.0 --startMP 204:457 --initTime 2016-12-05T07:26:38 --startdatetime 2016-12-05T07:30:18 --delay 1 --endMP 204:233303 --enddatetime 2016-12-05T08:08:04 --enforcementcount 2 &gt;&gt;C:\Users\stu\Documents\GitHub\eaglep3-reporting\EC\2016-12-05-refined-times.txt</v>
      </c>
      <c r="AI43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{"issue":{"subject":"","project_id":79,"tracker_id":40,"status_id":1,"priority_id":2,"assigned_to_id":23,"start_date":"2016-12-05","description":"","custom_fields":[{"id":1,"name":"Subdivision","value":"EC"},{"id":4,"name":"Milepost","value":"23.3303"},{"id":17,"name":"Train ID","value":"131-05"},{"id":16,"name":"Locomotive ID","value":"4020"},{"id":130,"name":"Impact","value":""},{"id":150,"name":"Time of Event (Mountain Time)","value":"08:08:04"},{"id":151,"name":"Denver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511</v>
      </c>
      <c r="B44" s="7">
        <v>4019</v>
      </c>
      <c r="C44" s="22" t="s">
        <v>208</v>
      </c>
      <c r="D44" s="22" t="s">
        <v>257</v>
      </c>
      <c r="E44" s="13">
        <v>42709.347129629627</v>
      </c>
      <c r="F44" s="13">
        <v>42709.351643518516</v>
      </c>
      <c r="G44" s="7">
        <v>1</v>
      </c>
      <c r="H44" s="22" t="s">
        <v>192</v>
      </c>
      <c r="I44" s="13">
        <v>42709.379351851851</v>
      </c>
      <c r="J44" s="7">
        <v>2</v>
      </c>
      <c r="K44" s="109" t="str">
        <f>IF(ISEVEN(B44),(B44-1)&amp;"/"&amp;B44,B44&amp;"/"&amp;(B44+1))</f>
        <v>4019/4020</v>
      </c>
      <c r="L44" s="22" t="str">
        <f>VLOOKUP(A44,'Trips&amp;Operators'!$C$1:$G$99999,5,FALSE)</f>
        <v>MAGEE KENYA</v>
      </c>
      <c r="M44" s="6">
        <f>I44-F44</f>
        <v>2.7708333334885538E-2</v>
      </c>
      <c r="N44" s="7">
        <f>24*60*SUM($M44:$M44)</f>
        <v>39.900000002235174</v>
      </c>
      <c r="O44" s="7"/>
      <c r="P44" s="7"/>
      <c r="Q44" s="23"/>
      <c r="R44" s="23"/>
      <c r="S44" s="35">
        <f>SUM(U44:U44)/IF(AG44="EC",12,1)</f>
        <v>1</v>
      </c>
      <c r="T44" s="50" t="str">
        <f>IF(ISEVEN(LEFT(AD44,4)),"Southbound","NorthBound")</f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hh:mm:ss")&amp;utc_offset&amp;"00',mode:absolute,to:'"&amp;TEXT(I44+1/24,"yyyy-MM-DD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https://search-rtdc-monitor-bjffxe2xuh6vdkpspy63sjmuny.us-east-1.es.amazonaws.com/_plugin/kibana/#/discover/Steve-Slow-Train-Analysis-(2080s-and-2083s)?_g=(refreshInterval:(display:Off,section:0,value:0),time:(from:'2016-12-05 07:19:52-700',mode:absolute,to:'2016-12-05 10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44" s="52" t="str">
        <f>IF(AA44&lt;IF(AG44="EC",23,5.65),"Y","N")</f>
        <v>N</v>
      </c>
      <c r="X44" s="177">
        <f>VALUE(LEFT(AD44,4))-VALUE(LEFT(AD43,4))</f>
        <v>1</v>
      </c>
      <c r="Y44" s="67">
        <f>RIGHT(D44,LEN(D44)-4)/10000</f>
        <v>23.2988</v>
      </c>
      <c r="Z44" s="67">
        <f>RIGHT(H44,LEN(H44)-4)/10000</f>
        <v>1.49E-2</v>
      </c>
      <c r="AA44" s="67">
        <f>ABS(Z44-Y44)</f>
        <v>23.283899999999999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>IF(LEN(A44)=6,"0"&amp;A44,A44)</f>
        <v>0132-05</v>
      </c>
      <c r="AE44" s="91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s3://rtdc.mdm.uploadarchive.raw/RTDC4019/ "%USERPROFILE%\AppData\Local\Temp\OnboardLogs"\RTDC4019\2016-12-05 --exclude "*" --recursive --include "*20161205*" &amp; "%USERPROFILE%\Documents\GitHub\mrs-test-scripts\Headless Mode &amp; Sideloading\WalkAndUnGZ.bat" "%USERPROFILE%\AppData\Local\Temp\OnboardLogs"\RTDC4019\2016-12-05 &amp; 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</v>
      </c>
      <c r="AF44" s="88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/stypes="app*4019*20161205*" /stext=" 16:.+((SYSTEM_STATE.+slice.+state.+changed )|(ment ac)|(multiple cpu faults)|(system.+state.+changed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92" t="str">
        <f t="shared" si="2"/>
        <v>"%USERPROFILE%\Documents\GitHub\eaglep3\Utilities\RefineRTDCRunTimes.py" --tripid 132-05 --locoid 4019 --swversion DE.1.0.8.0 --startMP 204:232988 --initTime 2016-12-05T08:19:52 --startdatetime 2016-12-05T08:26:22 --delay 1 --endMP 204:149 --enddatetime 2016-12-05T09:06:16 --enforcementcount 2 &gt;&gt;C:\Users\stu\Documents\GitHub\eaglep3-reporting\EC\2016-12-05-refined-times.txt</v>
      </c>
      <c r="AI44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{"issue":{"subject":"","project_id":79,"tracker_id":40,"status_id":1,"priority_id":2,"assigned_to_id":23,"start_date":"2016-12-05","description":"","custom_fields":[{"id":1,"name":"Subdivision","value":"EC"},{"id":4,"name":"Milepost","value":"0.0149"},{"id":17,"name":"Train ID","value":"132-05"},{"id":16,"name":"Locomotive ID","value":"4019"},{"id":130,"name":"Impact","value":""},{"id":150,"name":"Time of Event (Mountain Time)","value":"09:06:16"},{"id":151,"name":"Denver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505</v>
      </c>
      <c r="B45" s="7">
        <v>4042</v>
      </c>
      <c r="C45" s="22" t="s">
        <v>208</v>
      </c>
      <c r="D45" s="22" t="s">
        <v>363</v>
      </c>
      <c r="E45" s="13">
        <v>42709.319884259261</v>
      </c>
      <c r="F45" s="13">
        <v>42709.323298611111</v>
      </c>
      <c r="G45" s="7">
        <v>1</v>
      </c>
      <c r="H45" s="22" t="s">
        <v>253</v>
      </c>
      <c r="I45" s="13">
        <v>42709.349236111113</v>
      </c>
      <c r="J45" s="7">
        <v>2</v>
      </c>
      <c r="K45" s="109" t="str">
        <f>IF(ISEVEN(B45),(B45-1)&amp;"/"&amp;B45,B45&amp;"/"&amp;(B45+1))</f>
        <v>4041/4042</v>
      </c>
      <c r="L45" s="22" t="str">
        <f>VLOOKUP(A45,'Trips&amp;Operators'!$C$1:$G$99999,5,FALSE)</f>
        <v>DAVIDSON DAVID</v>
      </c>
      <c r="M45" s="6">
        <f>I45-F45</f>
        <v>2.5937500002328306E-2</v>
      </c>
      <c r="N45" s="7">
        <f>24*60*SUM($M45:$M45)</f>
        <v>37.350000003352761</v>
      </c>
      <c r="O45" s="7"/>
      <c r="P45" s="7"/>
      <c r="Q45" s="23"/>
      <c r="R45" s="23"/>
      <c r="S45" s="35">
        <f>SUM(U45:U45)/IF(AG45="EC",12,1)</f>
        <v>1</v>
      </c>
      <c r="T45" s="50" t="str">
        <f>IF(ISEVEN(LEFT(AD45,4)),"Southbound","NorthBound")</f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hh:mm:ss")&amp;utc_offset&amp;"00',mode:absolute,to:'"&amp;TEXT(I45+1/24,"yyyy-MM-DD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https://search-rtdc-monitor-bjffxe2xuh6vdkpspy63sjmuny.us-east-1.es.amazonaws.com/_plugin/kibana/#/discover/Steve-Slow-Train-Analysis-(2080s-and-2083s)?_g=(refreshInterval:(display:Off,section:0,value:0),time:(from:'2016-12-05 06:40:38-700',mode:absolute,to:'2016-12-05 09:22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5" s="52" t="str">
        <f>IF(AA45&lt;IF(AG45="EC",23,5.65),"Y","N")</f>
        <v>N</v>
      </c>
      <c r="X45" s="177">
        <f>VALUE(LEFT(AD45,4))-VALUE(LEFT(AD44,4))</f>
        <v>1</v>
      </c>
      <c r="Y45" s="67">
        <f>RIGHT(D45,LEN(D45)-4)/10000</f>
        <v>4.4400000000000002E-2</v>
      </c>
      <c r="Z45" s="67">
        <f>RIGHT(H45,LEN(H45)-4)/10000</f>
        <v>23.3308</v>
      </c>
      <c r="AA45" s="67">
        <f>ABS(Z45-Y45)</f>
        <v>23.2864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>IF(LEN(A45)=6,"0"&amp;A45,A45)</f>
        <v>0133-05</v>
      </c>
      <c r="AE45" s="91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s3://rtdc.mdm.uploadarchive.raw/RTDC4042/ "%USERPROFILE%\AppData\Local\Temp\OnboardLogs"\RTDC4042\2016-12-05 --exclude "*" --recursive --include "*20161205*" &amp; "%USERPROFILE%\Documents\GitHub\mrs-test-scripts\Headless Mode &amp; Sideloading\WalkAndUnGZ.bat" "%USERPROFILE%\AppData\Local\Temp\OnboardLogs"\RTDC4042\2016-12-05 &amp; aws s3 cp s3://rtdc.mdm.uploadarchive.raw/RTDC4042/ "%USERPROFILE%\AppData\Local\Temp\OnboardLogs"\RTDC4042\2016-12-06 --exclude "*" --recursive --include "*20161206*" &amp; "%USERPROFILE%\Documents\GitHub\mrs-test-scripts\Headless Mode &amp; Sideloading\WalkAndUnGZ.bat" "%USERPROFILE%\AppData\Local\Temp\OnboardLogs"\RTDC4042\2016-12-06</v>
      </c>
      <c r="AF45" s="88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/stypes="app*4042*20161205*" /stext=" 15:.+((SYSTEM_STATE.+slice.+state.+changed )|(ment ac)|(multiple cpu faults)|(system.+state.+changed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92" t="str">
        <f t="shared" si="2"/>
        <v>"%USERPROFILE%\Documents\GitHub\eaglep3\Utilities\RefineRTDCRunTimes.py" --tripid 133-05 --locoid 4042 --swversion DE.1.0.8.0 --startMP 204:444 --initTime 2016-12-05T07:40:38 --startdatetime 2016-12-05T07:45:33 --delay 1 --endMP 204:233308 --enddatetime 2016-12-05T08:22:54 --enforcementcount 2 &gt;&gt;C:\Users\stu\Documents\GitHub\eaglep3-reporting\EC\2016-12-05-refined-times.txt</v>
      </c>
      <c r="AI45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{"issue":{"subject":"","project_id":79,"tracker_id":40,"status_id":1,"priority_id":2,"assigned_to_id":23,"start_date":"2016-12-05","description":"","custom_fields":[{"id":1,"name":"Subdivision","value":"EC"},{"id":4,"name":"Milepost","value":"23.3308"},{"id":17,"name":"Train ID","value":"133-05"},{"id":16,"name":"Locomotive ID","value":"4042"},{"id":130,"name":"Impact","value":""},{"id":150,"name":"Time of Event (Mountain Time)","value":"08:22:54"},{"id":151,"name":"Denver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514</v>
      </c>
      <c r="B46" s="7">
        <v>4041</v>
      </c>
      <c r="C46" s="22" t="s">
        <v>208</v>
      </c>
      <c r="D46" s="22" t="s">
        <v>255</v>
      </c>
      <c r="E46" s="13">
        <v>42709.358599537038</v>
      </c>
      <c r="F46" s="13">
        <v>42709.362002314818</v>
      </c>
      <c r="G46" s="7">
        <v>1</v>
      </c>
      <c r="H46" s="22" t="s">
        <v>206</v>
      </c>
      <c r="I46" s="13">
        <v>42709.389490740738</v>
      </c>
      <c r="J46" s="7">
        <v>2</v>
      </c>
      <c r="K46" s="109" t="str">
        <f>IF(ISEVEN(B46),(B46-1)&amp;"/"&amp;B46,B46&amp;"/"&amp;(B46+1))</f>
        <v>4041/4042</v>
      </c>
      <c r="L46" s="22" t="str">
        <f>VLOOKUP(A46,'Trips&amp;Operators'!$C$1:$G$99999,5,FALSE)</f>
        <v>DAVIDSON DAVID</v>
      </c>
      <c r="M46" s="6">
        <f>I46-F46</f>
        <v>2.7488425919727888E-2</v>
      </c>
      <c r="N46" s="7">
        <f>24*60*SUM($M46:$M46)</f>
        <v>39.583333324408159</v>
      </c>
      <c r="O46" s="7"/>
      <c r="P46" s="7"/>
      <c r="Q46" s="23"/>
      <c r="R46" s="23"/>
      <c r="S46" s="35">
        <f>SUM(U46:U46)/IF(AG46="EC",12,1)</f>
        <v>1</v>
      </c>
      <c r="T46" s="50" t="str">
        <f>IF(ISEVEN(LEFT(AD46,4)),"Southbound","NorthBound")</f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hh:mm:ss")&amp;utc_offset&amp;"00',mode:absolute,to:'"&amp;TEXT(I46+1/24,"yyyy-MM-DD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https://search-rtdc-monitor-bjffxe2xuh6vdkpspy63sjmuny.us-east-1.es.amazonaws.com/_plugin/kibana/#/discover/Steve-Slow-Train-Analysis-(2080s-and-2083s)?_g=(refreshInterval:(display:Off,section:0,value:0),time:(from:'2016-12-05 07:36:23-700',mode:absolute,to:'2016-12-05 10:20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6" s="52" t="str">
        <f>IF(AA46&lt;IF(AG46="EC",23,5.65),"Y","N")</f>
        <v>N</v>
      </c>
      <c r="X46" s="177">
        <f>VALUE(LEFT(AD46,4))-VALUE(LEFT(AD45,4))</f>
        <v>1</v>
      </c>
      <c r="Y46" s="67">
        <f>RIGHT(D46,LEN(D46)-4)/10000</f>
        <v>23.2989</v>
      </c>
      <c r="Z46" s="67">
        <f>RIGHT(H46,LEN(H46)-4)/10000</f>
        <v>1.5599999999999999E-2</v>
      </c>
      <c r="AA46" s="67">
        <f>ABS(Z46-Y46)</f>
        <v>23.283300000000001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>IF(LEN(A46)=6,"0"&amp;A46,A46)</f>
        <v>0134-05</v>
      </c>
      <c r="AE46" s="91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 &amp; aws s3 cp s3://rtdc.mdm.uploadarchive.raw/RTDC4041/ "%USERPROFILE%\AppData\Local\Temp\OnboardLogs"\RTDC4041\2016-12-06 --exclude "*" --recursive --include "*20161206*" &amp; "%USERPROFILE%\Documents\GitHub\mrs-test-scripts\Headless Mode &amp; Sideloading\WalkAndUnGZ.bat" "%USERPROFILE%\AppData\Local\Temp\OnboardLogs"\RTDC4041\2016-12-06</v>
      </c>
      <c r="AF46" s="88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/stypes="app*4041*20161205*" /stext=" 16:.+((SYSTEM_STATE.+slice.+state.+changed )|(ment ac)|(multiple cpu faults)|(system.+state.+changed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92" t="str">
        <f t="shared" si="2"/>
        <v>"%USERPROFILE%\Documents\GitHub\eaglep3\Utilities\RefineRTDCRunTimes.py" --tripid 134-05 --locoid 4041 --swversion DE.1.0.8.0 --startMP 204:232989 --initTime 2016-12-05T08:36:23 --startdatetime 2016-12-05T08:41:17 --delay 1 --endMP 204:156 --enddatetime 2016-12-05T09:20:52 --enforcementcount 2 &gt;&gt;C:\Users\stu\Documents\GitHub\eaglep3-reporting\EC\2016-12-05-refined-times.txt</v>
      </c>
      <c r="AI46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{"issue":{"subject":"","project_id":79,"tracker_id":40,"status_id":1,"priority_id":2,"assigned_to_id":23,"start_date":"2016-12-05","description":"","custom_fields":[{"id":1,"name":"Subdivision","value":"EC"},{"id":4,"name":"Milepost","value":"0.0156"},{"id":17,"name":"Train ID","value":"134-05"},{"id":16,"name":"Locomotive ID","value":"4041"},{"id":130,"name":"Impact","value":""},{"id":150,"name":"Time of Event (Mountain Time)","value":"09:20:52"},{"id":151,"name":"Denver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508</v>
      </c>
      <c r="B47" s="7">
        <v>4002</v>
      </c>
      <c r="C47" s="22" t="s">
        <v>208</v>
      </c>
      <c r="D47" s="22" t="s">
        <v>259</v>
      </c>
      <c r="E47" s="13">
        <v>42709.328715277778</v>
      </c>
      <c r="F47" s="13">
        <v>42709.406412037039</v>
      </c>
      <c r="G47" s="7">
        <v>1</v>
      </c>
      <c r="H47" s="22" t="s">
        <v>695</v>
      </c>
      <c r="I47" s="13">
        <v>42709.432696759257</v>
      </c>
      <c r="J47" s="7">
        <v>2</v>
      </c>
      <c r="K47" s="109" t="str">
        <f>IF(ISEVEN(B47),(B47-1)&amp;"/"&amp;B47,B47&amp;"/"&amp;(B47+1))</f>
        <v>4001/4002</v>
      </c>
      <c r="L47" s="22" t="str">
        <f>VLOOKUP(A47,'Trips&amp;Operators'!$C$1:$G$99999,5,FALSE)</f>
        <v>ISHMAEL JOSEPH</v>
      </c>
      <c r="M47" s="6">
        <f>I47-F47</f>
        <v>2.6284722218406387E-2</v>
      </c>
      <c r="N47" s="7">
        <f>24*60*SUM($M47:$M47)</f>
        <v>37.849999994505197</v>
      </c>
      <c r="O47" s="7"/>
      <c r="P47" s="7"/>
      <c r="Q47" s="23"/>
      <c r="R47" s="23"/>
      <c r="S47" s="35">
        <f>SUM(U47:U47)/IF(AG47="EC",12,1)</f>
        <v>1</v>
      </c>
      <c r="T47" s="50" t="str">
        <f>IF(ISEVEN(LEFT(AD47,4)),"Southbound","NorthBound")</f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hh:mm:ss")&amp;utc_offset&amp;"00',mode:absolute,to:'"&amp;TEXT(I47+1/24,"yyyy-MM-DD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https://search-rtdc-monitor-bjffxe2xuh6vdkpspy63sjmuny.us-east-1.es.amazonaws.com/_plugin/kibana/#/discover/Steve-Slow-Train-Analysis-(2080s-and-2083s)?_g=(refreshInterval:(display:Off,section:0,value:0),time:(from:'2016-12-05 06:53:21-700',mode:absolute,to:'2016-12-05 11:23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7" s="52" t="str">
        <f>IF(AA47&lt;IF(AG47="EC",23,5.65),"Y","N")</f>
        <v>N</v>
      </c>
      <c r="X47" s="177">
        <f>VALUE(LEFT(AD47,4))-VALUE(LEFT(AD46,4))</f>
        <v>1</v>
      </c>
      <c r="Y47" s="67">
        <f>RIGHT(D47,LEN(D47)-4)/10000</f>
        <v>4.6699999999999998E-2</v>
      </c>
      <c r="Z47" s="67">
        <f>RIGHT(H47,LEN(H47)-4)/10000</f>
        <v>23.330300000000001</v>
      </c>
      <c r="AA47" s="67">
        <f>ABS(Z47-Y47)</f>
        <v>23.2836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>IF(LEN(A47)=6,"0"&amp;A47,A47)</f>
        <v>0135-05</v>
      </c>
      <c r="AE47" s="91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s3://rtdc.mdm.uploadarchive.raw/RTDC4002/ "%USERPROFILE%\AppData\Local\Temp\OnboardLogs"\RTDC4002\2016-12-05 --exclude "*" --recursive --include "*20161205*" &amp; "%USERPROFILE%\Documents\GitHub\mrs-test-scripts\Headless Mode &amp; Sideloading\WalkAndUnGZ.bat" "%USERPROFILE%\AppData\Local\Temp\OnboardLogs"\RTDC4002\2016-12-05 &amp; aws s3 cp s3://rtdc.mdm.uploadarchive.raw/RTDC4002/ "%USERPROFILE%\AppData\Local\Temp\OnboardLogs"\RTDC4002\2016-12-06 --exclude "*" --recursive --include "*20161206*" &amp; "%USERPROFILE%\Documents\GitHub\mrs-test-scripts\Headless Mode &amp; Sideloading\WalkAndUnGZ.bat" "%USERPROFILE%\AppData\Local\Temp\OnboardLogs"\RTDC4002\2016-12-06</v>
      </c>
      <c r="AF47" s="88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/stypes="app*4002*20161205*" /stext=" 17:.+((SYSTEM_STATE.+slice.+state.+changed )|(ment ac)|(multiple cpu faults)|(system.+state.+changed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92" t="str">
        <f t="shared" si="2"/>
        <v>"%USERPROFILE%\Documents\GitHub\eaglep3\Utilities\RefineRTDCRunTimes.py" --tripid 135-05 --locoid 4002 --swversion DE.1.0.8.0 --startMP 204:467 --initTime 2016-12-05T07:53:21 --startdatetime 2016-12-05T09:45:14 --delay 1 --endMP 204:233303 --enddatetime 2016-12-05T10:23:05 --enforcementcount 2 &gt;&gt;C:\Users\stu\Documents\GitHub\eaglep3-reporting\EC\2016-12-05-refined-times.txt</v>
      </c>
      <c r="AI47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{"issue":{"subject":"","project_id":79,"tracker_id":40,"status_id":1,"priority_id":2,"assigned_to_id":23,"start_date":"2016-12-05","description":"","custom_fields":[{"id":1,"name":"Subdivision","value":"EC"},{"id":4,"name":"Milepost","value":"23.3303"},{"id":17,"name":"Train ID","value":"135-05"},{"id":16,"name":"Locomotive ID","value":"4002"},{"id":130,"name":"Impact","value":""},{"id":150,"name":"Time of Event (Mountain Time)","value":"10:23:05"},{"id":151,"name":"Denver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517</v>
      </c>
      <c r="B48" s="7">
        <v>4001</v>
      </c>
      <c r="C48" s="22" t="s">
        <v>208</v>
      </c>
      <c r="D48" s="22" t="s">
        <v>696</v>
      </c>
      <c r="E48" s="13">
        <v>42709.367638888885</v>
      </c>
      <c r="F48" s="13">
        <v>42709.372430555559</v>
      </c>
      <c r="G48" s="7">
        <v>1</v>
      </c>
      <c r="H48" s="22" t="s">
        <v>206</v>
      </c>
      <c r="I48" s="13">
        <v>42709.399953703702</v>
      </c>
      <c r="J48" s="7">
        <v>2</v>
      </c>
      <c r="K48" s="109" t="str">
        <f>IF(ISEVEN(B48),(B48-1)&amp;"/"&amp;B48,B48&amp;"/"&amp;(B48+1))</f>
        <v>4001/4002</v>
      </c>
      <c r="L48" s="22" t="str">
        <f>VLOOKUP(A48,'Trips&amp;Operators'!$C$1:$G$99999,5,FALSE)</f>
        <v>ISHMAEL JOSEPH</v>
      </c>
      <c r="M48" s="6">
        <f>I48-F48</f>
        <v>2.7523148142790888E-2</v>
      </c>
      <c r="N48" s="7">
        <f>24*60*SUM($M48:$M48)</f>
        <v>39.633333325618878</v>
      </c>
      <c r="O48" s="7"/>
      <c r="P48" s="7"/>
      <c r="Q48" s="23"/>
      <c r="R48" s="23"/>
      <c r="S48" s="35">
        <f>SUM(U48:U48)/IF(AG48="EC",12,1)</f>
        <v>1</v>
      </c>
      <c r="T48" s="50" t="str">
        <f>IF(ISEVEN(LEFT(AD48,4)),"Southbound","NorthBound")</f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hh:mm:ss")&amp;utc_offset&amp;"00',mode:absolute,to:'"&amp;TEXT(I48+1/24,"yyyy-MM-DD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https://search-rtdc-monitor-bjffxe2xuh6vdkpspy63sjmuny.us-east-1.es.amazonaws.com/_plugin/kibana/#/discover/Steve-Slow-Train-Analysis-(2080s-and-2083s)?_g=(refreshInterval:(display:Off,section:0,value:0),time:(from:'2016-12-05 07:49:24-700',mode:absolute,to:'2016-12-05 10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8" s="52" t="str">
        <f>IF(AA48&lt;IF(AG48="EC",23,5.65),"Y","N")</f>
        <v>N</v>
      </c>
      <c r="X48" s="177">
        <f>VALUE(LEFT(AD48,4))-VALUE(LEFT(AD47,4))</f>
        <v>1</v>
      </c>
      <c r="Y48" s="67">
        <f>RIGHT(D48,LEN(D48)-4)/10000</f>
        <v>23.299600000000002</v>
      </c>
      <c r="Z48" s="67">
        <f>RIGHT(H48,LEN(H48)-4)/10000</f>
        <v>1.5599999999999999E-2</v>
      </c>
      <c r="AA48" s="67">
        <f>ABS(Z48-Y48)</f>
        <v>23.284000000000002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>IF(LEN(A48)=6,"0"&amp;A48,A48)</f>
        <v>0136-05</v>
      </c>
      <c r="AE48" s="91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s3://rtdc.mdm.uploadarchive.raw/RTDC4001/ "%USERPROFILE%\AppData\Local\Temp\OnboardLogs"\RTDC4001\2016-12-05 --exclude "*" --recursive --include "*20161205*" &amp; "%USERPROFILE%\Documents\GitHub\mrs-test-scripts\Headless Mode &amp; Sideloading\WalkAndUnGZ.bat" "%USERPROFILE%\AppData\Local\Temp\OnboardLogs"\RTDC4001\2016-12-05 &amp; aws s3 cp s3://rtdc.mdm.uploadarchive.raw/RTDC4001/ "%USERPROFILE%\AppData\Local\Temp\OnboardLogs"\RTDC4001\2016-12-06 --exclude "*" --recursive --include "*20161206*" &amp; "%USERPROFILE%\Documents\GitHub\mrs-test-scripts\Headless Mode &amp; Sideloading\WalkAndUnGZ.bat" "%USERPROFILE%\AppData\Local\Temp\OnboardLogs"\RTDC4001\2016-12-06</v>
      </c>
      <c r="AF48" s="88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/stypes="app*4001*20161205*" /stext=" 16:.+((SYSTEM_STATE.+slice.+state.+changed )|(ment ac)|(multiple cpu faults)|(system.+state.+changed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92" t="str">
        <f t="shared" si="2"/>
        <v>"%USERPROFILE%\Documents\GitHub\eaglep3\Utilities\RefineRTDCRunTimes.py" --tripid 136-05 --locoid 4001 --swversion DE.1.0.8.0 --startMP 204:232996 --initTime 2016-12-05T08:49:24 --startdatetime 2016-12-05T08:56:18 --delay 1 --endMP 204:156 --enddatetime 2016-12-05T09:35:56 --enforcementcount 2 &gt;&gt;C:\Users\stu\Documents\GitHub\eaglep3-reporting\EC\2016-12-05-refined-times.txt</v>
      </c>
      <c r="AI48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{"issue":{"subject":"","project_id":79,"tracker_id":40,"status_id":1,"priority_id":2,"assigned_to_id":23,"start_date":"2016-12-05","description":"","custom_fields":[{"id":1,"name":"Subdivision","value":"EC"},{"id":4,"name":"Milepost","value":"0.0156"},{"id":17,"name":"Train ID","value":"136-05"},{"id":16,"name":"Locomotive ID","value":"4001"},{"id":130,"name":"Impact","value":""},{"id":150,"name":"Time of Event (Mountain Time)","value":"09:35:56"},{"id":151,"name":"Denver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437</v>
      </c>
      <c r="B49" s="7">
        <v>4044</v>
      </c>
      <c r="C49" s="22" t="s">
        <v>208</v>
      </c>
      <c r="D49" s="22" t="s">
        <v>239</v>
      </c>
      <c r="E49" s="13">
        <v>42709.338784722226</v>
      </c>
      <c r="F49" s="13">
        <v>42709.343981481485</v>
      </c>
      <c r="G49" s="7">
        <v>1</v>
      </c>
      <c r="H49" s="22" t="s">
        <v>395</v>
      </c>
      <c r="I49" s="13">
        <v>42709.368831018517</v>
      </c>
      <c r="J49" s="7">
        <v>2</v>
      </c>
      <c r="K49" s="109" t="str">
        <f>IF(ISEVEN(B49),(B49-1)&amp;"/"&amp;B49,B49&amp;"/"&amp;(B49+1))</f>
        <v>4043/4044</v>
      </c>
      <c r="L49" s="22" t="str">
        <f>VLOOKUP(A49,'Trips&amp;Operators'!$C$1:$G$99999,5,FALSE)</f>
        <v>YORK EDGAR</v>
      </c>
      <c r="M49" s="6">
        <f>I49-F49</f>
        <v>2.4849537032423541E-2</v>
      </c>
      <c r="N49" s="7">
        <f>24*60*SUM($M49:$M49)</f>
        <v>35.783333326689899</v>
      </c>
      <c r="O49" s="7"/>
      <c r="P49" s="7"/>
      <c r="Q49" s="23"/>
      <c r="R49" s="23"/>
      <c r="S49" s="35">
        <f>SUM(U49:U49)/IF(AG49="EC",12,1)</f>
        <v>1</v>
      </c>
      <c r="T49" s="50" t="str">
        <f>IF(ISEVEN(LEFT(AD49,4)),"Southbound","NorthBound")</f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hh:mm:ss")&amp;utc_offset&amp;"00',mode:absolute,to:'"&amp;TEXT(I49+1/24,"yyyy-MM-DD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https://search-rtdc-monitor-bjffxe2xuh6vdkpspy63sjmuny.us-east-1.es.amazonaws.com/_plugin/kibana/#/discover/Steve-Slow-Train-Analysis-(2080s-and-2083s)?_g=(refreshInterval:(display:Off,section:0,value:0),time:(from:'2016-12-05 07:07:51-700',mode:absolute,to:'2016-12-05 09:51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9" s="52" t="str">
        <f>IF(AA49&lt;IF(AG49="EC",23,5.65),"Y","N")</f>
        <v>N</v>
      </c>
      <c r="X49" s="177">
        <f>VALUE(LEFT(AD49,4))-VALUE(LEFT(AD48,4))</f>
        <v>1</v>
      </c>
      <c r="Y49" s="67">
        <f>RIGHT(D49,LEN(D49)-4)/10000</f>
        <v>4.5499999999999999E-2</v>
      </c>
      <c r="Z49" s="67">
        <f>RIGHT(H49,LEN(H49)-4)/10000</f>
        <v>23.328499999999998</v>
      </c>
      <c r="AA49" s="67">
        <f>ABS(Z49-Y49)</f>
        <v>23.282999999999998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>IF(LEN(A49)=6,"0"&amp;A49,A49)</f>
        <v>0137-05</v>
      </c>
      <c r="AE49" s="91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 &amp; 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</v>
      </c>
      <c r="AF49" s="88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/stypes="app*4044*20161205*" /stext=" 15:.+((SYSTEM_STATE.+slice.+state.+changed )|(ment ac)|(multiple cpu faults)|(system.+state.+changed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92" t="str">
        <f t="shared" si="2"/>
        <v>"%USERPROFILE%\Documents\GitHub\eaglep3\Utilities\RefineRTDCRunTimes.py" --tripid 137-05 --locoid 4044 --swversion DE.1.0.8.0 --startMP 204:455 --initTime 2016-12-05T08:07:51 --startdatetime 2016-12-05T08:15:20 --delay 1 --endMP 204:233285 --enddatetime 2016-12-05T08:51:07 --enforcementcount 2 &gt;&gt;C:\Users\stu\Documents\GitHub\eaglep3-reporting\EC\2016-12-05-refined-times.txt</v>
      </c>
      <c r="AI49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{"issue":{"subject":"","project_id":79,"tracker_id":40,"status_id":1,"priority_id":2,"assigned_to_id":23,"start_date":"2016-12-05","description":"","custom_fields":[{"id":1,"name":"Subdivision","value":"EC"},{"id":4,"name":"Milepost","value":"23.3285"},{"id":17,"name":"Train ID","value":"137-05"},{"id":16,"name":"Locomotive ID","value":"4044"},{"id":130,"name":"Impact","value":""},{"id":150,"name":"Time of Event (Mountain Time)","value":"08:51:07"},{"id":151,"name":"Denver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518</v>
      </c>
      <c r="B50" s="7">
        <v>4043</v>
      </c>
      <c r="C50" s="22" t="s">
        <v>208</v>
      </c>
      <c r="D50" s="22" t="s">
        <v>697</v>
      </c>
      <c r="E50" s="13">
        <v>42709.369895833333</v>
      </c>
      <c r="F50" s="13">
        <v>42709.383113425924</v>
      </c>
      <c r="G50" s="7">
        <v>1</v>
      </c>
      <c r="H50" s="22" t="s">
        <v>238</v>
      </c>
      <c r="I50" s="13">
        <v>42709.408645833333</v>
      </c>
      <c r="J50" s="7">
        <v>2</v>
      </c>
      <c r="K50" s="109" t="str">
        <f>IF(ISEVEN(B50),(B50-1)&amp;"/"&amp;B50,B50&amp;"/"&amp;(B50+1))</f>
        <v>4043/4044</v>
      </c>
      <c r="L50" s="22" t="str">
        <f>VLOOKUP(A50,'Trips&amp;Operators'!$C$1:$G$99999,5,FALSE)</f>
        <v>YORK EDGAR</v>
      </c>
      <c r="M50" s="6">
        <f>I50-F50</f>
        <v>2.5532407409627922E-2</v>
      </c>
      <c r="N50" s="7">
        <f>24*60*SUM($M50:$M50)</f>
        <v>36.766666669864208</v>
      </c>
      <c r="O50" s="7"/>
      <c r="P50" s="7"/>
      <c r="Q50" s="23"/>
      <c r="R50" s="23"/>
      <c r="S50" s="35">
        <f>SUM(U50:U50)/IF(AG50="EC",12,1)</f>
        <v>1</v>
      </c>
      <c r="T50" s="50" t="str">
        <f>IF(ISEVEN(LEFT(AD50,4)),"Southbound","NorthBound")</f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hh:mm:ss")&amp;utc_offset&amp;"00',mode:absolute,to:'"&amp;TEXT(I50+1/24,"yyyy-MM-DD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https://search-rtdc-monitor-bjffxe2xuh6vdkpspy63sjmuny.us-east-1.es.amazonaws.com/_plugin/kibana/#/discover/Steve-Slow-Train-Analysis-(2080s-and-2083s)?_g=(refreshInterval:(display:Off,section:0,value:0),time:(from:'2016-12-05 07:52:39-700',mode:absolute,to:'2016-12-05 10:48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0" s="52" t="str">
        <f>IF(AA50&lt;IF(AG50="EC",23,5.65),"Y","N")</f>
        <v>N</v>
      </c>
      <c r="X50" s="177">
        <f>VALUE(LEFT(AD50,4))-VALUE(LEFT(AD49,4))</f>
        <v>1</v>
      </c>
      <c r="Y50" s="67">
        <f>RIGHT(D50,LEN(D50)-4)/10000</f>
        <v>23.297000000000001</v>
      </c>
      <c r="Z50" s="67">
        <f>RIGHT(H50,LEN(H50)-4)/10000</f>
        <v>1.6500000000000001E-2</v>
      </c>
      <c r="AA50" s="67">
        <f>ABS(Z50-Y50)</f>
        <v>23.2805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>IF(LEN(A50)=6,"0"&amp;A50,A50)</f>
        <v>0138-05</v>
      </c>
      <c r="AE50" s="91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 &amp; 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</v>
      </c>
      <c r="AF50" s="88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/stypes="app*4043*20161205*" /stext=" 16:.+((SYSTEM_STATE.+slice.+state.+changed )|(ment ac)|(multiple cpu faults)|(system.+state.+changed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92" t="str">
        <f t="shared" si="2"/>
        <v>"%USERPROFILE%\Documents\GitHub\eaglep3\Utilities\RefineRTDCRunTimes.py" --tripid 138-05 --locoid 4043 --swversion DE.1.0.8.0 --startMP 204:232970 --initTime 2016-12-05T08:52:39 --startdatetime 2016-12-05T09:11:41 --delay 1 --endMP 204:165 --enddatetime 2016-12-05T09:48:27 --enforcementcount 2 &gt;&gt;C:\Users\stu\Documents\GitHub\eaglep3-reporting\EC\2016-12-05-refined-times.txt</v>
      </c>
      <c r="AI50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{"issue":{"subject":"","project_id":79,"tracker_id":40,"status_id":1,"priority_id":2,"assigned_to_id":23,"start_date":"2016-12-05","description":"","custom_fields":[{"id":1,"name":"Subdivision","value":"EC"},{"id":4,"name":"Milepost","value":"0.0165"},{"id":17,"name":"Train ID","value":"138-05"},{"id":16,"name":"Locomotive ID","value":"4043"},{"id":130,"name":"Impact","value":""},{"id":150,"name":"Time of Event (Mountain Time)","value":"09:48:27"},{"id":151,"name":"Denver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512</v>
      </c>
      <c r="B51" s="7">
        <v>4040</v>
      </c>
      <c r="C51" s="22" t="s">
        <v>208</v>
      </c>
      <c r="D51" s="22" t="s">
        <v>698</v>
      </c>
      <c r="E51" s="13">
        <v>42709.349293981482</v>
      </c>
      <c r="F51" s="13">
        <v>42709.354363425926</v>
      </c>
      <c r="G51" s="7">
        <v>1</v>
      </c>
      <c r="H51" s="22" t="s">
        <v>342</v>
      </c>
      <c r="I51" s="13">
        <v>42709.379837962966</v>
      </c>
      <c r="J51" s="7">
        <v>2</v>
      </c>
      <c r="K51" s="109" t="str">
        <f>IF(ISEVEN(B51),(B51-1)&amp;"/"&amp;B51,B51&amp;"/"&amp;(B51+1))</f>
        <v>4039/4040</v>
      </c>
      <c r="L51" s="22" t="str">
        <f>VLOOKUP(A51,'Trips&amp;Operators'!$C$1:$G$99999,5,FALSE)</f>
        <v>STARKS ANGELINA</v>
      </c>
      <c r="M51" s="6">
        <f>I51-F51</f>
        <v>2.5474537040281575E-2</v>
      </c>
      <c r="N51" s="7">
        <f>24*60*SUM($M51:$M51)</f>
        <v>36.683333338005468</v>
      </c>
      <c r="O51" s="7"/>
      <c r="P51" s="7"/>
      <c r="Q51" s="23"/>
      <c r="R51" s="23"/>
      <c r="S51" s="35">
        <f>SUM(U51:U51)/IF(AG51="EC",12,1)</f>
        <v>1</v>
      </c>
      <c r="T51" s="50" t="str">
        <f>IF(ISEVEN(LEFT(AD51,4)),"Southbound","NorthBound")</f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hh:mm:ss")&amp;utc_offset&amp;"00',mode:absolute,to:'"&amp;TEXT(I51+1/24,"yyyy-MM-DD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https://search-rtdc-monitor-bjffxe2xuh6vdkpspy63sjmuny.us-east-1.es.amazonaws.com/_plugin/kibana/#/discover/Steve-Slow-Train-Analysis-(2080s-and-2083s)?_g=(refreshInterval:(display:Off,section:0,value:0),time:(from:'2016-12-05 07:22:59-700',mode:absolute,to:'2016-12-05 10:06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1" s="52" t="str">
        <f>IF(AA51&lt;IF(AG51="EC",23,5.65),"Y","N")</f>
        <v>N</v>
      </c>
      <c r="X51" s="177">
        <f>VALUE(LEFT(AD51,4))-VALUE(LEFT(AD50,4))</f>
        <v>1</v>
      </c>
      <c r="Y51" s="67">
        <f>RIGHT(D51,LEN(D51)-4)/10000</f>
        <v>5.2200000000000003E-2</v>
      </c>
      <c r="Z51" s="67">
        <f>RIGHT(H51,LEN(H51)-4)/10000</f>
        <v>23.328199999999999</v>
      </c>
      <c r="AA51" s="67">
        <f>ABS(Z51-Y51)</f>
        <v>23.276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>IF(LEN(A51)=6,"0"&amp;A51,A51)</f>
        <v>0139-05</v>
      </c>
      <c r="AE51" s="91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s3://rtdc.mdm.uploadarchive.raw/RTDC4040/ "%USERPROFILE%\AppData\Local\Temp\OnboardLogs"\RTDC4040\2016-12-05 --exclude "*" --recursive --include "*20161205*" &amp; "%USERPROFILE%\Documents\GitHub\mrs-test-scripts\Headless Mode &amp; Sideloading\WalkAndUnGZ.bat" "%USERPROFILE%\AppData\Local\Temp\OnboardLogs"\RTDC4040\2016-12-05 &amp; aws s3 cp s3://rtdc.mdm.uploadarchive.raw/RTDC4040/ "%USERPROFILE%\AppData\Local\Temp\OnboardLogs"\RTDC4040\2016-12-06 --exclude "*" --recursive --include "*20161206*" &amp; "%USERPROFILE%\Documents\GitHub\mrs-test-scripts\Headless Mode &amp; Sideloading\WalkAndUnGZ.bat" "%USERPROFILE%\AppData\Local\Temp\OnboardLogs"\RTDC4040\2016-12-06</v>
      </c>
      <c r="AF51" s="88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/stypes="app*4040*20161205*" /stext=" 16:.+((SYSTEM_STATE.+slice.+state.+changed )|(ment ac)|(multiple cpu faults)|(system.+state.+changed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92" t="str">
        <f t="shared" si="2"/>
        <v>"%USERPROFILE%\Documents\GitHub\eaglep3\Utilities\RefineRTDCRunTimes.py" --tripid 139-05 --locoid 4040 --swversion DE.1.0.8.0 --startMP 204:522 --initTime 2016-12-05T08:22:59 --startdatetime 2016-12-05T08:30:17 --delay 1 --endMP 204:233282 --enddatetime 2016-12-05T09:06:58 --enforcementcount 2 &gt;&gt;C:\Users\stu\Documents\GitHub\eaglep3-reporting\EC\2016-12-05-refined-times.txt</v>
      </c>
      <c r="AI51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{"issue":{"subject":"","project_id":79,"tracker_id":40,"status_id":1,"priority_id":2,"assigned_to_id":23,"start_date":"2016-12-05","description":"","custom_fields":[{"id":1,"name":"Subdivision","value":"EC"},{"id":4,"name":"Milepost","value":"23.3282"},{"id":17,"name":"Train ID","value":"139-05"},{"id":16,"name":"Locomotive ID","value":"4040"},{"id":130,"name":"Impact","value":""},{"id":150,"name":"Time of Event (Mountain Time)","value":"09:06:58"},{"id":151,"name":"Denver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522</v>
      </c>
      <c r="B52" s="7">
        <v>4039</v>
      </c>
      <c r="C52" s="22" t="s">
        <v>208</v>
      </c>
      <c r="D52" s="22" t="s">
        <v>691</v>
      </c>
      <c r="E52" s="13">
        <v>42709.3905787037</v>
      </c>
      <c r="F52" s="13">
        <v>42709.393368055556</v>
      </c>
      <c r="G52" s="7">
        <v>1</v>
      </c>
      <c r="H52" s="22" t="s">
        <v>277</v>
      </c>
      <c r="I52" s="13">
        <v>42709.420324074075</v>
      </c>
      <c r="J52" s="7">
        <v>2</v>
      </c>
      <c r="K52" s="109" t="str">
        <f>IF(ISEVEN(B52),(B52-1)&amp;"/"&amp;B52,B52&amp;"/"&amp;(B52+1))</f>
        <v>4039/4040</v>
      </c>
      <c r="L52" s="22" t="str">
        <f>VLOOKUP(A52,'Trips&amp;Operators'!$C$1:$G$99999,5,FALSE)</f>
        <v>STARKS ANGELINA</v>
      </c>
      <c r="M52" s="6">
        <f>I52-F52</f>
        <v>2.6956018518831115E-2</v>
      </c>
      <c r="N52" s="7">
        <f>24*60*SUM($M52:$M52)</f>
        <v>38.816666667116806</v>
      </c>
      <c r="O52" s="7"/>
      <c r="P52" s="7"/>
      <c r="Q52" s="23"/>
      <c r="R52" s="23"/>
      <c r="S52" s="35">
        <f>SUM(U52:U52)/IF(AG52="EC",12,1)</f>
        <v>1</v>
      </c>
      <c r="T52" s="50" t="str">
        <f>IF(ISEVEN(LEFT(AD52,4)),"Southbound","NorthBound")</f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hh:mm:ss")&amp;utc_offset&amp;"00',mode:absolute,to:'"&amp;TEXT(I52+1/24,"yyyy-MM-DD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https://search-rtdc-monitor-bjffxe2xuh6vdkpspy63sjmuny.us-east-1.es.amazonaws.com/_plugin/kibana/#/discover/Steve-Slow-Train-Analysis-(2080s-and-2083s)?_g=(refreshInterval:(display:Off,section:0,value:0),time:(from:'2016-12-05 08:22:26-700',mode:absolute,to:'2016-12-05 11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2" s="52" t="str">
        <f>IF(AA52&lt;IF(AG52="EC",23,5.65),"Y","N")</f>
        <v>N</v>
      </c>
      <c r="X52" s="177">
        <f>VALUE(LEFT(AD52,4))-VALUE(LEFT(AD51,4))</f>
        <v>1</v>
      </c>
      <c r="Y52" s="67">
        <f>RIGHT(D52,LEN(D52)-4)/10000</f>
        <v>23.2971</v>
      </c>
      <c r="Z52" s="67">
        <f>RIGHT(H52,LEN(H52)-4)/10000</f>
        <v>1.6E-2</v>
      </c>
      <c r="AA52" s="67">
        <f>ABS(Z52-Y52)</f>
        <v>23.281100000000002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>IF(LEN(A52)=6,"0"&amp;A52,A52)</f>
        <v>0140-05</v>
      </c>
      <c r="AE52" s="91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s3://rtdc.mdm.uploadarchive.raw/RTDC4039/ "%USERPROFILE%\AppData\Local\Temp\OnboardLogs"\RTDC4039\2016-12-05 --exclude "*" --recursive --include "*20161205*" &amp; "%USERPROFILE%\Documents\GitHub\mrs-test-scripts\Headless Mode &amp; Sideloading\WalkAndUnGZ.bat" "%USERPROFILE%\AppData\Local\Temp\OnboardLogs"\RTDC4039\2016-12-05 &amp; aws s3 cp s3://rtdc.mdm.uploadarchive.raw/RTDC4039/ "%USERPROFILE%\AppData\Local\Temp\OnboardLogs"\RTDC4039\2016-12-06 --exclude "*" --recursive --include "*20161206*" &amp; "%USERPROFILE%\Documents\GitHub\mrs-test-scripts\Headless Mode &amp; Sideloading\WalkAndUnGZ.bat" "%USERPROFILE%\AppData\Local\Temp\OnboardLogs"\RTDC4039\2016-12-06</v>
      </c>
      <c r="AF52" s="88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/stypes="app*4039*20161205*" /stext=" 17:.+((SYSTEM_STATE.+slice.+state.+changed )|(ment ac)|(multiple cpu faults)|(system.+state.+changed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92" t="str">
        <f t="shared" si="2"/>
        <v>"%USERPROFILE%\Documents\GitHub\eaglep3\Utilities\RefineRTDCRunTimes.py" --tripid 140-05 --locoid 4039 --swversion DE.1.0.8.0 --startMP 204:232971 --initTime 2016-12-05T09:22:26 --startdatetime 2016-12-05T09:26:27 --delay 1 --endMP 204:160 --enddatetime 2016-12-05T10:05:16 --enforcementcount 2 &gt;&gt;C:\Users\stu\Documents\GitHub\eaglep3-reporting\EC\2016-12-05-refined-times.txt</v>
      </c>
      <c r="AI52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{"issue":{"subject":"","project_id":79,"tracker_id":40,"status_id":1,"priority_id":2,"assigned_to_id":23,"start_date":"2016-12-05","description":"","custom_fields":[{"id":1,"name":"Subdivision","value":"EC"},{"id":4,"name":"Milepost","value":"0.016"},{"id":17,"name":"Train ID","value":"140-05"},{"id":16,"name":"Locomotive ID","value":"4039"},{"id":130,"name":"Impact","value":""},{"id":150,"name":"Time of Event (Mountain Time)","value":"10:05:16"},{"id":151,"name":"Denver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516</v>
      </c>
      <c r="B53" s="7">
        <v>4022</v>
      </c>
      <c r="C53" s="22" t="s">
        <v>208</v>
      </c>
      <c r="D53" s="22" t="s">
        <v>246</v>
      </c>
      <c r="E53" s="13">
        <v>42709.360601851855</v>
      </c>
      <c r="F53" s="13">
        <v>42709.364953703705</v>
      </c>
      <c r="G53" s="7">
        <v>1</v>
      </c>
      <c r="H53" s="22" t="s">
        <v>366</v>
      </c>
      <c r="I53" s="13">
        <v>42709.390925925924</v>
      </c>
      <c r="J53" s="7">
        <v>2</v>
      </c>
      <c r="K53" s="109" t="str">
        <f>IF(ISEVEN(B53),(B53-1)&amp;"/"&amp;B53,B53&amp;"/"&amp;(B53+1))</f>
        <v>4021/4022</v>
      </c>
      <c r="L53" s="22" t="str">
        <f>VLOOKUP(A53,'Trips&amp;Operators'!$C$1:$G$99999,5,FALSE)</f>
        <v>KILLION DAVID</v>
      </c>
      <c r="M53" s="6">
        <f>I53-F53</f>
        <v>2.5972222218115348E-2</v>
      </c>
      <c r="N53" s="7">
        <f>24*60*SUM($M53:$M53)</f>
        <v>37.399999994086102</v>
      </c>
      <c r="O53" s="7"/>
      <c r="P53" s="7"/>
      <c r="Q53" s="23"/>
      <c r="R53" s="23"/>
      <c r="S53" s="35">
        <f>SUM(U53:U53)/IF(AG53="EC",12,1)</f>
        <v>1</v>
      </c>
      <c r="T53" s="50" t="str">
        <f>IF(ISEVEN(LEFT(AD53,4)),"Southbound","NorthBound")</f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hh:mm:ss")&amp;utc_offset&amp;"00',mode:absolute,to:'"&amp;TEXT(I53+1/24,"yyyy-MM-DD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https://search-rtdc-monitor-bjffxe2xuh6vdkpspy63sjmuny.us-east-1.es.amazonaws.com/_plugin/kibana/#/discover/Steve-Slow-Train-Analysis-(2080s-and-2083s)?_g=(refreshInterval:(display:Off,section:0,value:0),time:(from:'2016-12-05 07:39:16-700',mode:absolute,to:'2016-12-05 10:22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3" s="52" t="str">
        <f>IF(AA53&lt;IF(AG53="EC",23,5.65),"Y","N")</f>
        <v>N</v>
      </c>
      <c r="X53" s="177">
        <f>VALUE(LEFT(AD53,4))-VALUE(LEFT(AD52,4))</f>
        <v>1</v>
      </c>
      <c r="Y53" s="67">
        <f>RIGHT(D53,LEN(D53)-4)/10000</f>
        <v>4.5699999999999998E-2</v>
      </c>
      <c r="Z53" s="67">
        <f>RIGHT(H53,LEN(H53)-4)/10000</f>
        <v>23.3291</v>
      </c>
      <c r="AA53" s="67">
        <f>ABS(Z53-Y53)</f>
        <v>23.2834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>IF(LEN(A53)=6,"0"&amp;A53,A53)</f>
        <v>0141-05</v>
      </c>
      <c r="AE53" s="91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s3://rtdc.mdm.uploadarchive.raw/RTDC4022/ "%USERPROFILE%\AppData\Local\Temp\OnboardLogs"\RTDC4022\2016-12-05 --exclude "*" --recursive --include "*20161205*" &amp; "%USERPROFILE%\Documents\GitHub\mrs-test-scripts\Headless Mode &amp; Sideloading\WalkAndUnGZ.bat" "%USERPROFILE%\AppData\Local\Temp\OnboardLogs"\RTDC4022\2016-12-05 &amp; 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</v>
      </c>
      <c r="AF53" s="88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/stypes="app*4022*20161205*" /stext=" 16:.+((SYSTEM_STATE.+slice.+state.+changed )|(ment ac)|(multiple cpu faults)|(system.+state.+changed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92" t="str">
        <f t="shared" si="2"/>
        <v>"%USERPROFILE%\Documents\GitHub\eaglep3\Utilities\RefineRTDCRunTimes.py" --tripid 141-05 --locoid 4022 --swversion DE.1.0.8.0 --startMP 204:457 --initTime 2016-12-05T08:39:16 --startdatetime 2016-12-05T08:45:32 --delay 1 --endMP 204:233291 --enddatetime 2016-12-05T09:22:56 --enforcementcount 2 &gt;&gt;C:\Users\stu\Documents\GitHub\eaglep3-reporting\EC\2016-12-05-refined-times.txt</v>
      </c>
      <c r="AI53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{"issue":{"subject":"","project_id":79,"tracker_id":40,"status_id":1,"priority_id":2,"assigned_to_id":23,"start_date":"2016-12-05","description":"","custom_fields":[{"id":1,"name":"Subdivision","value":"EC"},{"id":4,"name":"Milepost","value":"23.3291"},{"id":17,"name":"Train ID","value":"141-05"},{"id":16,"name":"Locomotive ID","value":"4022"},{"id":130,"name":"Impact","value":""},{"id":150,"name":"Time of Event (Mountain Time)","value":"09:22:56"},{"id":151,"name":"Denver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524</v>
      </c>
      <c r="B54" s="7">
        <v>4021</v>
      </c>
      <c r="C54" s="22" t="s">
        <v>208</v>
      </c>
      <c r="D54" s="22" t="s">
        <v>204</v>
      </c>
      <c r="E54" s="13">
        <v>42709.397858796299</v>
      </c>
      <c r="F54" s="13">
        <v>42709.403900462959</v>
      </c>
      <c r="G54" s="7">
        <v>1</v>
      </c>
      <c r="H54" s="22" t="s">
        <v>236</v>
      </c>
      <c r="I54" s="13">
        <v>42709.430590277778</v>
      </c>
      <c r="J54" s="7">
        <v>2</v>
      </c>
      <c r="K54" s="109" t="str">
        <f>IF(ISEVEN(B54),(B54-1)&amp;"/"&amp;B54,B54&amp;"/"&amp;(B54+1))</f>
        <v>4021/4022</v>
      </c>
      <c r="L54" s="22" t="str">
        <f>VLOOKUP(A54,'Trips&amp;Operators'!$C$1:$G$99999,5,FALSE)</f>
        <v>KILLION DAVID</v>
      </c>
      <c r="M54" s="6">
        <f>I54-F54</f>
        <v>2.6689814818382729E-2</v>
      </c>
      <c r="N54" s="7">
        <f>24*60*SUM($M54:$M54)</f>
        <v>38.43333333847113</v>
      </c>
      <c r="O54" s="7"/>
      <c r="P54" s="7"/>
      <c r="Q54" s="23"/>
      <c r="R54" s="23"/>
      <c r="S54" s="35">
        <f>SUM(U54:U54)/IF(AG54="EC",12,1)</f>
        <v>1</v>
      </c>
      <c r="T54" s="50" t="str">
        <f>IF(ISEVEN(LEFT(AD54,4)),"Southbound","NorthBound")</f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hh:mm:ss")&amp;utc_offset&amp;"00',mode:absolute,to:'"&amp;TEXT(I54+1/24,"yyyy-MM-DD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https://search-rtdc-monitor-bjffxe2xuh6vdkpspy63sjmuny.us-east-1.es.amazonaws.com/_plugin/kibana/#/discover/Steve-Slow-Train-Analysis-(2080s-and-2083s)?_g=(refreshInterval:(display:Off,section:0,value:0),time:(from:'2016-12-05 08:32:55-700',mode:absolute,to:'2016-12-05 11:20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4" s="52" t="str">
        <f>IF(AA54&lt;IF(AG54="EC",23,5.65),"Y","N")</f>
        <v>N</v>
      </c>
      <c r="X54" s="177">
        <f>VALUE(LEFT(AD54,4))-VALUE(LEFT(AD53,4))</f>
        <v>1</v>
      </c>
      <c r="Y54" s="67">
        <f>RIGHT(D54,LEN(D54)-4)/10000</f>
        <v>23.297699999999999</v>
      </c>
      <c r="Z54" s="67">
        <f>RIGHT(H54,LEN(H54)-4)/10000</f>
        <v>1.47E-2</v>
      </c>
      <c r="AA54" s="67">
        <f>ABS(Z54-Y54)</f>
        <v>23.282999999999998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>IF(LEN(A54)=6,"0"&amp;A54,A54)</f>
        <v>0142-05</v>
      </c>
      <c r="AE54" s="91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s3://rtdc.mdm.uploadarchive.raw/RTDC4021/ "%USERPROFILE%\AppData\Local\Temp\OnboardLogs"\RTDC4021\2016-12-05 --exclude "*" --recursive --include "*20161205*" &amp; "%USERPROFILE%\Documents\GitHub\mrs-test-scripts\Headless Mode &amp; Sideloading\WalkAndUnGZ.bat" "%USERPROFILE%\AppData\Local\Temp\OnboardLogs"\RTDC4021\2016-12-05 &amp; 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</v>
      </c>
      <c r="AF54" s="88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/stypes="app*4021*20161205*" /stext=" 17:.+((SYSTEM_STATE.+slice.+state.+changed )|(ment ac)|(multiple cpu faults)|(system.+state.+changed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92" t="str">
        <f t="shared" si="2"/>
        <v>"%USERPROFILE%\Documents\GitHub\eaglep3\Utilities\RefineRTDCRunTimes.py" --tripid 142-05 --locoid 4021 --swversion DE.1.0.8.0 --startMP 204:232977 --initTime 2016-12-05T09:32:55 --startdatetime 2016-12-05T09:41:37 --delay 1 --endMP 204:147 --enddatetime 2016-12-05T10:20:03 --enforcementcount 2 &gt;&gt;C:\Users\stu\Documents\GitHub\eaglep3-reporting\EC\2016-12-05-refined-times.txt</v>
      </c>
      <c r="AI54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{"issue":{"subject":"","project_id":79,"tracker_id":40,"status_id":1,"priority_id":2,"assigned_to_id":23,"start_date":"2016-12-05","description":"","custom_fields":[{"id":1,"name":"Subdivision","value":"EC"},{"id":4,"name":"Milepost","value":"0.0147"},{"id":17,"name":"Train ID","value":"142-05"},{"id":16,"name":"Locomotive ID","value":"4021"},{"id":130,"name":"Impact","value":""},{"id":150,"name":"Time of Event (Mountain Time)","value":"10:20:03"},{"id":151,"name":"Denver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519</v>
      </c>
      <c r="B55" s="7">
        <v>4038</v>
      </c>
      <c r="C55" s="22" t="s">
        <v>208</v>
      </c>
      <c r="D55" s="22" t="s">
        <v>259</v>
      </c>
      <c r="E55" s="13">
        <v>42709.371458333335</v>
      </c>
      <c r="F55" s="13">
        <v>42709.375173611108</v>
      </c>
      <c r="G55" s="7">
        <v>1</v>
      </c>
      <c r="H55" s="22" t="s">
        <v>286</v>
      </c>
      <c r="I55" s="13">
        <v>42709.399791666663</v>
      </c>
      <c r="J55" s="7">
        <v>2</v>
      </c>
      <c r="K55" s="109" t="str">
        <f>IF(ISEVEN(B55),(B55-1)&amp;"/"&amp;B55,B55&amp;"/"&amp;(B55+1))</f>
        <v>4037/4038</v>
      </c>
      <c r="L55" s="22" t="str">
        <f>VLOOKUP(A55,'Trips&amp;Operators'!$C$1:$G$99999,5,FALSE)</f>
        <v>ROBINSON KADDIBA</v>
      </c>
      <c r="M55" s="6">
        <f>I55-F55</f>
        <v>2.4618055555038154E-2</v>
      </c>
      <c r="N55" s="7">
        <f>24*60*SUM($M55:$M55)</f>
        <v>35.449999999254942</v>
      </c>
      <c r="O55" s="7"/>
      <c r="P55" s="7"/>
      <c r="Q55" s="23"/>
      <c r="R55" s="23"/>
      <c r="S55" s="35">
        <f>SUM(U55:U55)/IF(AG55="EC",12,1)</f>
        <v>1</v>
      </c>
      <c r="T55" s="50" t="str">
        <f>IF(ISEVEN(LEFT(AD55,4)),"Southbound","NorthBound")</f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hh:mm:ss")&amp;utc_offset&amp;"00',mode:absolute,to:'"&amp;TEXT(I55+1/24,"yyyy-MM-DD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https://search-rtdc-monitor-bjffxe2xuh6vdkpspy63sjmuny.us-east-1.es.amazonaws.com/_plugin/kibana/#/discover/Steve-Slow-Train-Analysis-(2080s-and-2083s)?_g=(refreshInterval:(display:Off,section:0,value:0),time:(from:'2016-12-05 07:54:54-700',mode:absolute,to:'2016-12-05 10:35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5" s="52" t="str">
        <f>IF(AA55&lt;IF(AG55="EC",23,5.65),"Y","N")</f>
        <v>N</v>
      </c>
      <c r="X55" s="177">
        <f>VALUE(LEFT(AD55,4))-VALUE(LEFT(AD54,4))</f>
        <v>1</v>
      </c>
      <c r="Y55" s="67">
        <f>RIGHT(D55,LEN(D55)-4)/10000</f>
        <v>4.6699999999999998E-2</v>
      </c>
      <c r="Z55" s="67">
        <f>RIGHT(H55,LEN(H55)-4)/10000</f>
        <v>23.329699999999999</v>
      </c>
      <c r="AA55" s="67">
        <f>ABS(Z55-Y55)</f>
        <v>23.282999999999998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>IF(LEN(A55)=6,"0"&amp;A55,A55)</f>
        <v>0143-05</v>
      </c>
      <c r="AE55" s="91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 &amp; aws s3 cp s3://rtdc.mdm.uploadarchive.raw/RTDC4038/ "%USERPROFILE%\AppData\Local\Temp\OnboardLogs"\RTDC4038\2016-12-06 --exclude "*" --recursive --include "*20161206*" &amp; "%USERPROFILE%\Documents\GitHub\mrs-test-scripts\Headless Mode &amp; Sideloading\WalkAndUnGZ.bat" "%USERPROFILE%\AppData\Local\Temp\OnboardLogs"\RTDC4038\2016-12-06</v>
      </c>
      <c r="AF55" s="88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/stypes="app*4038*20161205*" /stext=" 16:.+((SYSTEM_STATE.+slice.+state.+changed )|(ment ac)|(multiple cpu faults)|(system.+state.+changed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92" t="str">
        <f t="shared" si="2"/>
        <v>"%USERPROFILE%\Documents\GitHub\eaglep3\Utilities\RefineRTDCRunTimes.py" --tripid 143-05 --locoid 4038 --swversion DE.1.0.8.0 --startMP 204:467 --initTime 2016-12-05T08:54:54 --startdatetime 2016-12-05T09:00:15 --delay 1 --endMP 204:233297 --enddatetime 2016-12-05T09:35:42 --enforcementcount 2 &gt;&gt;C:\Users\stu\Documents\GitHub\eaglep3-reporting\EC\2016-12-05-refined-times.txt</v>
      </c>
      <c r="AI55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{"issue":{"subject":"","project_id":79,"tracker_id":40,"status_id":1,"priority_id":2,"assigned_to_id":23,"start_date":"2016-12-05","description":"","custom_fields":[{"id":1,"name":"Subdivision","value":"EC"},{"id":4,"name":"Milepost","value":"23.3297"},{"id":17,"name":"Train ID","value":"143-05"},{"id":16,"name":"Locomotive ID","value":"4038"},{"id":130,"name":"Impact","value":""},{"id":150,"name":"Time of Event (Mountain Time)","value":"09:35:42"},{"id":151,"name":"Denver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525</v>
      </c>
      <c r="B56" s="7">
        <v>4037</v>
      </c>
      <c r="C56" s="22" t="s">
        <v>208</v>
      </c>
      <c r="D56" s="22" t="s">
        <v>343</v>
      </c>
      <c r="E56" s="13">
        <v>42709.407268518517</v>
      </c>
      <c r="F56" s="13">
        <v>42709.414039351854</v>
      </c>
      <c r="G56" s="7">
        <v>1</v>
      </c>
      <c r="H56" s="22" t="s">
        <v>206</v>
      </c>
      <c r="I56" s="13">
        <v>42709.440092592595</v>
      </c>
      <c r="J56" s="7">
        <v>2</v>
      </c>
      <c r="K56" s="109" t="str">
        <f>IF(ISEVEN(B56),(B56-1)&amp;"/"&amp;B56,B56&amp;"/"&amp;(B56+1))</f>
        <v>4037/4038</v>
      </c>
      <c r="L56" s="22" t="str">
        <f>VLOOKUP(A56,'Trips&amp;Operators'!$C$1:$G$99999,5,FALSE)</f>
        <v>ROBINSON KADDIBA</v>
      </c>
      <c r="M56" s="6">
        <f>I56-F56</f>
        <v>2.6053240741021E-2</v>
      </c>
      <c r="N56" s="7">
        <f>24*60*SUM($M56:$M56)</f>
        <v>37.51666666707024</v>
      </c>
      <c r="O56" s="7"/>
      <c r="P56" s="7"/>
      <c r="Q56" s="23"/>
      <c r="R56" s="23"/>
      <c r="S56" s="35">
        <f>SUM(U56:U56)/IF(AG56="EC",12,1)</f>
        <v>1</v>
      </c>
      <c r="T56" s="50" t="str">
        <f>IF(ISEVEN(LEFT(AD56,4)),"Southbound","NorthBound")</f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hh:mm:ss")&amp;utc_offset&amp;"00',mode:absolute,to:'"&amp;TEXT(I56+1/24,"yyyy-MM-DD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https://search-rtdc-monitor-bjffxe2xuh6vdkpspy63sjmuny.us-east-1.es.amazonaws.com/_plugin/kibana/#/discover/Steve-Slow-Train-Analysis-(2080s-and-2083s)?_g=(refreshInterval:(display:Off,section:0,value:0),time:(from:'2016-12-05 08:46:28-700',mode:absolute,to:'2016-12-05 11:33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6" s="52" t="str">
        <f>IF(AA56&lt;IF(AG56="EC",23,5.65),"Y","N")</f>
        <v>N</v>
      </c>
      <c r="X56" s="177">
        <f>VALUE(LEFT(AD56,4))-VALUE(LEFT(AD55,4))</f>
        <v>1</v>
      </c>
      <c r="Y56" s="67">
        <f>RIGHT(D56,LEN(D56)-4)/10000</f>
        <v>23.297799999999999</v>
      </c>
      <c r="Z56" s="67">
        <f>RIGHT(H56,LEN(H56)-4)/10000</f>
        <v>1.5599999999999999E-2</v>
      </c>
      <c r="AA56" s="67">
        <f>ABS(Z56-Y56)</f>
        <v>23.2822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>IF(LEN(A56)=6,"0"&amp;A56,A56)</f>
        <v>0144-05</v>
      </c>
      <c r="AE56" s="91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 &amp; aws s3 cp s3://rtdc.mdm.uploadarchive.raw/RTDC4037/ "%USERPROFILE%\AppData\Local\Temp\OnboardLogs"\RTDC4037\2016-12-06 --exclude "*" --recursive --include "*20161206*" &amp; "%USERPROFILE%\Documents\GitHub\mrs-test-scripts\Headless Mode &amp; Sideloading\WalkAndUnGZ.bat" "%USERPROFILE%\AppData\Local\Temp\OnboardLogs"\RTDC4037\2016-12-06</v>
      </c>
      <c r="AF56" s="88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/stypes="app*4037*20161205*" /stext=" 17:.+((SYSTEM_STATE.+slice.+state.+changed )|(ment ac)|(multiple cpu faults)|(system.+state.+changed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92" t="str">
        <f t="shared" si="2"/>
        <v>"%USERPROFILE%\Documents\GitHub\eaglep3\Utilities\RefineRTDCRunTimes.py" --tripid 144-05 --locoid 4037 --swversion DE.1.0.8.0 --startMP 204:232978 --initTime 2016-12-05T09:46:28 --startdatetime 2016-12-05T09:56:13 --delay 1 --endMP 204:156 --enddatetime 2016-12-05T10:33:44 --enforcementcount 2 &gt;&gt;C:\Users\stu\Documents\GitHub\eaglep3-reporting\EC\2016-12-05-refined-times.txt</v>
      </c>
      <c r="AI56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{"issue":{"subject":"","project_id":79,"tracker_id":40,"status_id":1,"priority_id":2,"assigned_to_id":23,"start_date":"2016-12-05","description":"","custom_fields":[{"id":1,"name":"Subdivision","value":"EC"},{"id":4,"name":"Milepost","value":"0.0156"},{"id":17,"name":"Train ID","value":"144-05"},{"id":16,"name":"Locomotive ID","value":"4037"},{"id":130,"name":"Impact","value":""},{"id":150,"name":"Time of Event (Mountain Time)","value":"10:33:44"},{"id":151,"name":"Denver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520</v>
      </c>
      <c r="B57" s="7">
        <v>4020</v>
      </c>
      <c r="C57" s="22" t="s">
        <v>208</v>
      </c>
      <c r="D57" s="22" t="s">
        <v>194</v>
      </c>
      <c r="E57" s="13">
        <v>42709.381932870368</v>
      </c>
      <c r="F57" s="13">
        <v>42709.385752314818</v>
      </c>
      <c r="G57" s="7">
        <v>1</v>
      </c>
      <c r="H57" s="22" t="s">
        <v>299</v>
      </c>
      <c r="I57" s="13">
        <v>42709.411805555559</v>
      </c>
      <c r="J57" s="7">
        <v>2</v>
      </c>
      <c r="K57" s="109" t="str">
        <f>IF(ISEVEN(B57),(B57-1)&amp;"/"&amp;B57,B57&amp;"/"&amp;(B57+1))</f>
        <v>4019/4020</v>
      </c>
      <c r="L57" s="22" t="str">
        <f>VLOOKUP(A57,'Trips&amp;Operators'!$C$1:$G$99999,5,FALSE)</f>
        <v>MAGEE KENYA</v>
      </c>
      <c r="M57" s="6">
        <f>I57-F57</f>
        <v>2.6053240741021E-2</v>
      </c>
      <c r="N57" s="7">
        <f>24*60*SUM($M57:$M57)</f>
        <v>37.51666666707024</v>
      </c>
      <c r="O57" s="7"/>
      <c r="P57" s="7"/>
      <c r="Q57" s="23"/>
      <c r="R57" s="23"/>
      <c r="S57" s="35">
        <f>SUM(U57:U57)/IF(AG57="EC",12,1)</f>
        <v>1</v>
      </c>
      <c r="T57" s="50" t="str">
        <f>IF(ISEVEN(LEFT(AD57,4)),"Southbound","NorthBound")</f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hh:mm:ss")&amp;utc_offset&amp;"00',mode:absolute,to:'"&amp;TEXT(I57+1/24,"yyyy-MM-DD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https://search-rtdc-monitor-bjffxe2xuh6vdkpspy63sjmuny.us-east-1.es.amazonaws.com/_plugin/kibana/#/discover/Steve-Slow-Train-Analysis-(2080s-and-2083s)?_g=(refreshInterval:(display:Off,section:0,value:0),time:(from:'2016-12-05 08:09:59-700',mode:absolute,to:'2016-12-05 10:53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7" s="52" t="str">
        <f>IF(AA57&lt;IF(AG57="EC",23,5.65),"Y","N")</f>
        <v>N</v>
      </c>
      <c r="X57" s="177">
        <f>VALUE(LEFT(AD57,4))-VALUE(LEFT(AD56,4))</f>
        <v>1</v>
      </c>
      <c r="Y57" s="67">
        <f>RIGHT(D57,LEN(D57)-4)/10000</f>
        <v>4.4699999999999997E-2</v>
      </c>
      <c r="Z57" s="67">
        <f>RIGHT(H57,LEN(H57)-4)/10000</f>
        <v>23.331</v>
      </c>
      <c r="AA57" s="67">
        <f>ABS(Z57-Y57)</f>
        <v>23.286300000000001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>IF(LEN(A57)=6,"0"&amp;A57,A57)</f>
        <v>0145-05</v>
      </c>
      <c r="AE57" s="91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s3://rtdc.mdm.uploadarchive.raw/RTDC4020/ "%USERPROFILE%\AppData\Local\Temp\OnboardLogs"\RTDC4020\2016-12-05 --exclude "*" --recursive --include "*20161205*" &amp; "%USERPROFILE%\Documents\GitHub\mrs-test-scripts\Headless Mode &amp; Sideloading\WalkAndUnGZ.bat" "%USERPROFILE%\AppData\Local\Temp\OnboardLogs"\RTDC4020\2016-12-05 &amp; 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</v>
      </c>
      <c r="AF57" s="88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/stypes="app*4020*20161205*" /stext=" 16:.+((SYSTEM_STATE.+slice.+state.+changed )|(ment ac)|(multiple cpu faults)|(system.+state.+changed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92" t="str">
        <f t="shared" si="2"/>
        <v>"%USERPROFILE%\Documents\GitHub\eaglep3\Utilities\RefineRTDCRunTimes.py" --tripid 145-05 --locoid 4020 --swversion DE.1.0.8.0 --startMP 204:447 --initTime 2016-12-05T09:09:59 --startdatetime 2016-12-05T09:15:29 --delay 1 --endMP 204:233310 --enddatetime 2016-12-05T09:53:00 --enforcementcount 2 &gt;&gt;C:\Users\stu\Documents\GitHub\eaglep3-reporting\EC\2016-12-05-refined-times.txt</v>
      </c>
      <c r="AI57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{"issue":{"subject":"","project_id":79,"tracker_id":40,"status_id":1,"priority_id":2,"assigned_to_id":23,"start_date":"2016-12-05","description":"","custom_fields":[{"id":1,"name":"Subdivision","value":"EC"},{"id":4,"name":"Milepost","value":"23.331"},{"id":17,"name":"Train ID","value":"145-05"},{"id":16,"name":"Locomotive ID","value":"4020"},{"id":130,"name":"Impact","value":""},{"id":150,"name":"Time of Event (Mountain Time)","value":"09:53:00"},{"id":151,"name":"Denver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528</v>
      </c>
      <c r="B58" s="7">
        <v>4019</v>
      </c>
      <c r="C58" s="22" t="s">
        <v>208</v>
      </c>
      <c r="D58" s="22" t="s">
        <v>696</v>
      </c>
      <c r="E58" s="13">
        <v>42709.418229166666</v>
      </c>
      <c r="F58" s="13">
        <v>42709.424490740741</v>
      </c>
      <c r="G58" s="7">
        <v>1</v>
      </c>
      <c r="H58" s="22" t="s">
        <v>374</v>
      </c>
      <c r="I58" s="13">
        <v>42709.452060185184</v>
      </c>
      <c r="J58" s="7">
        <v>2</v>
      </c>
      <c r="K58" s="109" t="str">
        <f>IF(ISEVEN(B58),(B58-1)&amp;"/"&amp;B58,B58&amp;"/"&amp;(B58+1))</f>
        <v>4019/4020</v>
      </c>
      <c r="L58" s="22" t="str">
        <f>VLOOKUP(A58,'Trips&amp;Operators'!$C$1:$G$99999,5,FALSE)</f>
        <v>MAGEE KENYA</v>
      </c>
      <c r="M58" s="6">
        <f>I58-F58</f>
        <v>2.7569444442633539E-2</v>
      </c>
      <c r="N58" s="7">
        <f>24*60*SUM($M58:$M58)</f>
        <v>39.699999997392297</v>
      </c>
      <c r="O58" s="7"/>
      <c r="P58" s="7"/>
      <c r="Q58" s="23"/>
      <c r="R58" s="23"/>
      <c r="S58" s="35">
        <f>SUM(U58:U58)/IF(AG58="EC",12,1)</f>
        <v>1</v>
      </c>
      <c r="T58" s="50" t="str">
        <f>IF(ISEVEN(LEFT(AD58,4)),"Southbound","NorthBound")</f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hh:mm:ss")&amp;utc_offset&amp;"00',mode:absolute,to:'"&amp;TEXT(I58+1/24,"yyyy-MM-DD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https://search-rtdc-monitor-bjffxe2xuh6vdkpspy63sjmuny.us-east-1.es.amazonaws.com/_plugin/kibana/#/discover/Steve-Slow-Train-Analysis-(2080s-and-2083s)?_g=(refreshInterval:(display:Off,section:0,value:0),time:(from:'2016-12-05 09:02:15-700',mode:absolute,to:'2016-12-05 11:50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8" s="52" t="str">
        <f>IF(AA58&lt;IF(AG58="EC",23,5.65),"Y","N")</f>
        <v>N</v>
      </c>
      <c r="X58" s="177">
        <f>VALUE(LEFT(AD58,4))-VALUE(LEFT(AD57,4))</f>
        <v>1</v>
      </c>
      <c r="Y58" s="67">
        <f>RIGHT(D58,LEN(D58)-4)/10000</f>
        <v>23.299600000000002</v>
      </c>
      <c r="Z58" s="67">
        <f>RIGHT(H58,LEN(H58)-4)/10000</f>
        <v>1.34E-2</v>
      </c>
      <c r="AA58" s="67">
        <f>ABS(Z58-Y58)</f>
        <v>23.286200000000001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>IF(LEN(A58)=6,"0"&amp;A58,A58)</f>
        <v>0146-05</v>
      </c>
      <c r="AE58" s="91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s3://rtdc.mdm.uploadarchive.raw/RTDC4019/ "%USERPROFILE%\AppData\Local\Temp\OnboardLogs"\RTDC4019\2016-12-05 --exclude "*" --recursive --include "*20161205*" &amp; "%USERPROFILE%\Documents\GitHub\mrs-test-scripts\Headless Mode &amp; Sideloading\WalkAndUnGZ.bat" "%USERPROFILE%\AppData\Local\Temp\OnboardLogs"\RTDC4019\2016-12-05 &amp; 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</v>
      </c>
      <c r="AF58" s="88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/stypes="app*4019*20161205*" /stext=" 17:.+((SYSTEM_STATE.+slice.+state.+changed )|(ment ac)|(multiple cpu faults)|(system.+state.+changed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92" t="str">
        <f t="shared" si="2"/>
        <v>"%USERPROFILE%\Documents\GitHub\eaglep3\Utilities\RefineRTDCRunTimes.py" --tripid 146-05 --locoid 4019 --swversion DE.1.0.8.0 --startMP 204:232996 --initTime 2016-12-05T10:02:15 --startdatetime 2016-12-05T10:11:16 --delay 1 --endMP 204:134 --enddatetime 2016-12-05T10:50:58 --enforcementcount 2 &gt;&gt;C:\Users\stu\Documents\GitHub\eaglep3-reporting\EC\2016-12-05-refined-times.txt</v>
      </c>
      <c r="AI58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{"issue":{"subject":"","project_id":79,"tracker_id":40,"status_id":1,"priority_id":2,"assigned_to_id":23,"start_date":"2016-12-05","description":"","custom_fields":[{"id":1,"name":"Subdivision","value":"EC"},{"id":4,"name":"Milepost","value":"0.0134"},{"id":17,"name":"Train ID","value":"146-05"},{"id":16,"name":"Locomotive ID","value":"4019"},{"id":130,"name":"Impact","value":""},{"id":150,"name":"Time of Event (Mountain Time)","value":"10:50:58"},{"id":151,"name":"Denver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523</v>
      </c>
      <c r="B59" s="7">
        <v>4042</v>
      </c>
      <c r="C59" s="22" t="s">
        <v>208</v>
      </c>
      <c r="D59" s="22" t="s">
        <v>303</v>
      </c>
      <c r="E59" s="13">
        <v>42709.391064814816</v>
      </c>
      <c r="F59" s="13">
        <v>42709.396261574075</v>
      </c>
      <c r="G59" s="7">
        <v>1</v>
      </c>
      <c r="H59" s="22" t="s">
        <v>286</v>
      </c>
      <c r="I59" s="13">
        <v>42709.421793981484</v>
      </c>
      <c r="J59" s="7">
        <v>2</v>
      </c>
      <c r="K59" s="109" t="str">
        <f>IF(ISEVEN(B59),(B59-1)&amp;"/"&amp;B59,B59&amp;"/"&amp;(B59+1))</f>
        <v>4041/4042</v>
      </c>
      <c r="L59" s="22" t="str">
        <f>VLOOKUP(A59,'Trips&amp;Operators'!$C$1:$G$99999,5,FALSE)</f>
        <v>DAVIDSON DAVID</v>
      </c>
      <c r="M59" s="6">
        <f>I59-F59</f>
        <v>2.5532407409627922E-2</v>
      </c>
      <c r="N59" s="7">
        <f>24*60*SUM($M59:$M59)</f>
        <v>36.766666669864208</v>
      </c>
      <c r="O59" s="7"/>
      <c r="P59" s="7"/>
      <c r="Q59" s="23"/>
      <c r="R59" s="23"/>
      <c r="S59" s="35">
        <f>SUM(U59:U59)/IF(AG59="EC",12,1)</f>
        <v>1</v>
      </c>
      <c r="T59" s="50" t="str">
        <f>IF(ISEVEN(LEFT(AD59,4)),"Southbound","NorthBound")</f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hh:mm:ss")&amp;utc_offset&amp;"00',mode:absolute,to:'"&amp;TEXT(I59+1/24,"yyyy-MM-DD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https://search-rtdc-monitor-bjffxe2xuh6vdkpspy63sjmuny.us-east-1.es.amazonaws.com/_plugin/kibana/#/discover/Steve-Slow-Train-Analysis-(2080s-and-2083s)?_g=(refreshInterval:(display:Off,section:0,value:0),time:(from:'2016-12-05 08:23:08-700',mode:absolute,to:'2016-12-05 11:07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9" s="52" t="str">
        <f>IF(AA59&lt;IF(AG59="EC",23,5.65),"Y","N")</f>
        <v>N</v>
      </c>
      <c r="X59" s="177">
        <f>VALUE(LEFT(AD59,4))-VALUE(LEFT(AD58,4))</f>
        <v>1</v>
      </c>
      <c r="Y59" s="67">
        <f>RIGHT(D59,LEN(D59)-4)/10000</f>
        <v>4.4600000000000001E-2</v>
      </c>
      <c r="Z59" s="67">
        <f>RIGHT(H59,LEN(H59)-4)/10000</f>
        <v>23.329699999999999</v>
      </c>
      <c r="AA59" s="67">
        <f>ABS(Z59-Y59)</f>
        <v>23.2851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>IF(LEN(A59)=6,"0"&amp;A59,A59)</f>
        <v>0147-05</v>
      </c>
      <c r="AE59" s="91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s3://rtdc.mdm.uploadarchive.raw/RTDC4042/ "%USERPROFILE%\AppData\Local\Temp\OnboardLogs"\RTDC4042\2016-12-05 --exclude "*" --recursive --include "*20161205*" &amp; "%USERPROFILE%\Documents\GitHub\mrs-test-scripts\Headless Mode &amp; Sideloading\WalkAndUnGZ.bat" "%USERPROFILE%\AppData\Local\Temp\OnboardLogs"\RTDC4042\2016-12-05 &amp; aws s3 cp s3://rtdc.mdm.uploadarchive.raw/RTDC4042/ "%USERPROFILE%\AppData\Local\Temp\OnboardLogs"\RTDC4042\2016-12-06 --exclude "*" --recursive --include "*20161206*" &amp; "%USERPROFILE%\Documents\GitHub\mrs-test-scripts\Headless Mode &amp; Sideloading\WalkAndUnGZ.bat" "%USERPROFILE%\AppData\Local\Temp\OnboardLogs"\RTDC4042\2016-12-06</v>
      </c>
      <c r="AF59" s="88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/stypes="app*4042*20161205*" /stext=" 17:.+((SYSTEM_STATE.+slice.+state.+changed )|(ment ac)|(multiple cpu faults)|(system.+state.+changed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92" t="str">
        <f t="shared" si="2"/>
        <v>"%USERPROFILE%\Documents\GitHub\eaglep3\Utilities\RefineRTDCRunTimes.py" --tripid 147-05 --locoid 4042 --swversion DE.1.0.8.0 --startMP 204:446 --initTime 2016-12-05T09:23:08 --startdatetime 2016-12-05T09:30:37 --delay 1 --endMP 204:233297 --enddatetime 2016-12-05T10:07:23 --enforcementcount 2 &gt;&gt;C:\Users\stu\Documents\GitHub\eaglep3-reporting\EC\2016-12-05-refined-times.txt</v>
      </c>
      <c r="AI59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{"issue":{"subject":"","project_id":79,"tracker_id":40,"status_id":1,"priority_id":2,"assigned_to_id":23,"start_date":"2016-12-05","description":"","custom_fields":[{"id":1,"name":"Subdivision","value":"EC"},{"id":4,"name":"Milepost","value":"23.3297"},{"id":17,"name":"Train ID","value":"147-05"},{"id":16,"name":"Locomotive ID","value":"4042"},{"id":130,"name":"Impact","value":""},{"id":150,"name":"Time of Event (Mountain Time)","value":"10:07:23"},{"id":151,"name":"Denver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530</v>
      </c>
      <c r="B60" s="7">
        <v>4041</v>
      </c>
      <c r="C60" s="22" t="s">
        <v>208</v>
      </c>
      <c r="D60" s="22" t="s">
        <v>344</v>
      </c>
      <c r="E60" s="13">
        <v>42709.426354166666</v>
      </c>
      <c r="F60" s="13">
        <v>42709.434988425928</v>
      </c>
      <c r="G60" s="7">
        <v>1</v>
      </c>
      <c r="H60" s="22" t="s">
        <v>192</v>
      </c>
      <c r="I60" s="13">
        <v>42709.462881944448</v>
      </c>
      <c r="J60" s="7">
        <v>2</v>
      </c>
      <c r="K60" s="109" t="str">
        <f>IF(ISEVEN(B60),(B60-1)&amp;"/"&amp;B60,B60&amp;"/"&amp;(B60+1))</f>
        <v>4041/4042</v>
      </c>
      <c r="L60" s="22" t="str">
        <f>VLOOKUP(A60,'Trips&amp;Operators'!$C$1:$G$99999,5,FALSE)</f>
        <v>DAVIDSON DAVID</v>
      </c>
      <c r="M60" s="6">
        <f>I60-F60</f>
        <v>2.789351851970423E-2</v>
      </c>
      <c r="N60" s="7">
        <f>24*60*SUM($M60:$M60)</f>
        <v>40.166666668374091</v>
      </c>
      <c r="O60" s="7"/>
      <c r="P60" s="7"/>
      <c r="Q60" s="23"/>
      <c r="R60" s="23"/>
      <c r="S60" s="35">
        <f>SUM(U60:U60)/IF(AG60="EC",12,1)</f>
        <v>1</v>
      </c>
      <c r="T60" s="50" t="str">
        <f>IF(ISEVEN(LEFT(AD60,4)),"Southbound","NorthBound")</f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hh:mm:ss")&amp;utc_offset&amp;"00',mode:absolute,to:'"&amp;TEXT(I60+1/24,"yyyy-MM-DD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https://search-rtdc-monitor-bjffxe2xuh6vdkpspy63sjmuny.us-east-1.es.amazonaws.com/_plugin/kibana/#/discover/Steve-Slow-Train-Analysis-(2080s-and-2083s)?_g=(refreshInterval:(display:Off,section:0,value:0),time:(from:'2016-12-05 09:13:57-700',mode:absolute,to:'2016-12-05 12:06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0" s="52" t="str">
        <f>IF(AA60&lt;IF(AG60="EC",23,5.65),"Y","N")</f>
        <v>N</v>
      </c>
      <c r="X60" s="177">
        <f>VALUE(LEFT(AD60,4))-VALUE(LEFT(AD59,4))</f>
        <v>1</v>
      </c>
      <c r="Y60" s="67">
        <f>RIGHT(D60,LEN(D60)-4)/10000</f>
        <v>23.296700000000001</v>
      </c>
      <c r="Z60" s="67">
        <f>RIGHT(H60,LEN(H60)-4)/10000</f>
        <v>1.49E-2</v>
      </c>
      <c r="AA60" s="67">
        <f>ABS(Z60-Y60)</f>
        <v>23.2818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>IF(LEN(A60)=6,"0"&amp;A60,A60)</f>
        <v>0148-05</v>
      </c>
      <c r="AE60" s="91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 &amp; aws s3 cp s3://rtdc.mdm.uploadarchive.raw/RTDC4041/ "%USERPROFILE%\AppData\Local\Temp\OnboardLogs"\RTDC4041\2016-12-06 --exclude "*" --recursive --include "*20161206*" &amp; "%USERPROFILE%\Documents\GitHub\mrs-test-scripts\Headless Mode &amp; Sideloading\WalkAndUnGZ.bat" "%USERPROFILE%\AppData\Local\Temp\OnboardLogs"\RTDC4041\2016-12-06</v>
      </c>
      <c r="AF60" s="88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/stypes="app*4041*20161205*" /stext=" 18:.+((SYSTEM_STATE.+slice.+state.+changed )|(ment ac)|(multiple cpu faults)|(system.+state.+changed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92" t="str">
        <f t="shared" si="2"/>
        <v>"%USERPROFILE%\Documents\GitHub\eaglep3\Utilities\RefineRTDCRunTimes.py" --tripid 148-05 --locoid 4041 --swversion DE.1.0.8.0 --startMP 204:232967 --initTime 2016-12-05T10:13:57 --startdatetime 2016-12-05T10:26:23 --delay 1 --endMP 204:149 --enddatetime 2016-12-05T11:06:33 --enforcementcount 2 &gt;&gt;C:\Users\stu\Documents\GitHub\eaglep3-reporting\EC\2016-12-05-refined-times.txt</v>
      </c>
      <c r="AI60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{"issue":{"subject":"","project_id":79,"tracker_id":40,"status_id":1,"priority_id":2,"assigned_to_id":23,"start_date":"2016-12-05","description":"","custom_fields":[{"id":1,"name":"Subdivision","value":"EC"},{"id":4,"name":"Milepost","value":"0.0149"},{"id":17,"name":"Train ID","value":"148-05"},{"id":16,"name":"Locomotive ID","value":"4041"},{"id":130,"name":"Impact","value":""},{"id":150,"name":"Time of Event (Mountain Time)","value":"11:06:33"},{"id":151,"name":"Denver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441</v>
      </c>
      <c r="B61" s="7">
        <v>4002</v>
      </c>
      <c r="C61" s="22" t="s">
        <v>208</v>
      </c>
      <c r="D61" s="22" t="s">
        <v>370</v>
      </c>
      <c r="E61" s="13">
        <v>42709.402268518519</v>
      </c>
      <c r="F61" s="13">
        <v>42709.406412037039</v>
      </c>
      <c r="G61" s="7">
        <v>1</v>
      </c>
      <c r="H61" s="22" t="s">
        <v>402</v>
      </c>
      <c r="I61" s="13">
        <v>42709.432696759257</v>
      </c>
      <c r="J61" s="7">
        <v>2</v>
      </c>
      <c r="K61" s="109" t="str">
        <f>IF(ISEVEN(B61),(B61-1)&amp;"/"&amp;B61,B61&amp;"/"&amp;(B61+1))</f>
        <v>4001/4002</v>
      </c>
      <c r="L61" s="22" t="str">
        <f>VLOOKUP(A61,'Trips&amp;Operators'!$C$1:$G$99999,5,FALSE)</f>
        <v>ISHMAEL JOSEPH</v>
      </c>
      <c r="M61" s="6">
        <f>I61-F61</f>
        <v>2.6284722218406387E-2</v>
      </c>
      <c r="N61" s="7">
        <f>24*60*SUM($M61:$M61)</f>
        <v>37.849999994505197</v>
      </c>
      <c r="O61" s="7"/>
      <c r="P61" s="7"/>
      <c r="Q61" s="23"/>
      <c r="R61" s="23"/>
      <c r="S61" s="35">
        <f>SUM(U61:U61)/IF(AG61="EC",12,1)</f>
        <v>1</v>
      </c>
      <c r="T61" s="50" t="str">
        <f>IF(ISEVEN(LEFT(AD61,4)),"Southbound","NorthBound")</f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hh:mm:ss")&amp;utc_offset&amp;"00',mode:absolute,to:'"&amp;TEXT(I61+1/24,"yyyy-MM-DD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https://search-rtdc-monitor-bjffxe2xuh6vdkpspy63sjmuny.us-east-1.es.amazonaws.com/_plugin/kibana/#/discover/Steve-Slow-Train-Analysis-(2080s-and-2083s)?_g=(refreshInterval:(display:Off,section:0,value:0),time:(from:'2016-12-05 08:39:16-700',mode:absolute,to:'2016-12-05 11:23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1" s="52" t="str">
        <f>IF(AA61&lt;IF(AG61="EC",23,5.65),"Y","N")</f>
        <v>N</v>
      </c>
      <c r="X61" s="177">
        <f>VALUE(LEFT(AD61,4))-VALUE(LEFT(AD60,4))</f>
        <v>1</v>
      </c>
      <c r="Y61" s="67">
        <f>RIGHT(D61,LEN(D61)-4)/10000</f>
        <v>4.3999999999999997E-2</v>
      </c>
      <c r="Z61" s="67">
        <f>RIGHT(H61,LEN(H61)-4)/10000</f>
        <v>23.332100000000001</v>
      </c>
      <c r="AA61" s="67">
        <f>ABS(Z61-Y61)</f>
        <v>23.2881</v>
      </c>
      <c r="AB61" s="64" t="str">
        <f>VLOOKUP(A61,Enforcements!$C$7:$K$20,8,0)</f>
        <v>Bulletin (2)</v>
      </c>
      <c r="AC61" s="60" t="str">
        <f>VLOOKUP(A61,Enforcements!$C$7:$E$20,3,0)</f>
        <v>GRADE CROSSING</v>
      </c>
      <c r="AD61" s="61" t="str">
        <f>IF(LEN(A61)=6,"0"&amp;A61,A61)</f>
        <v>0149-05</v>
      </c>
      <c r="AE61" s="91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s3://rtdc.mdm.uploadarchive.raw/RTDC4002/ "%USERPROFILE%\AppData\Local\Temp\OnboardLogs"\RTDC4002\2016-12-05 --exclude "*" --recursive --include "*20161205*" &amp; "%USERPROFILE%\Documents\GitHub\mrs-test-scripts\Headless Mode &amp; Sideloading\WalkAndUnGZ.bat" "%USERPROFILE%\AppData\Local\Temp\OnboardLogs"\RTDC4002\2016-12-05 &amp; aws s3 cp s3://rtdc.mdm.uploadarchive.raw/RTDC4002/ "%USERPROFILE%\AppData\Local\Temp\OnboardLogs"\RTDC4002\2016-12-06 --exclude "*" --recursive --include "*20161206*" &amp; "%USERPROFILE%\Documents\GitHub\mrs-test-scripts\Headless Mode &amp; Sideloading\WalkAndUnGZ.bat" "%USERPROFILE%\AppData\Local\Temp\OnboardLogs"\RTDC4002\2016-12-06</v>
      </c>
      <c r="AF61" s="88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/stypes="app*4002*20161205*" /stext=" 17:.+((SYSTEM_STATE.+slice.+state.+changed )|(ment ac)|(multiple cpu faults)|(system.+state.+changed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92" t="str">
        <f t="shared" si="2"/>
        <v>"%USERPROFILE%\Documents\GitHub\eaglep3\Utilities\RefineRTDCRunTimes.py" --tripid 149-05 --locoid 4002 --swversion DE.1.0.8.0 --startMP 204:440 --initTime 2016-12-05T09:39:16 --startdatetime 2016-12-05T09:45:14 --delay 1 --endMP 204:233321 --enddatetime 2016-12-05T10:23:05 --enforcementcount 2 &gt;&gt;C:\Users\stu\Documents\GitHub\eaglep3-reporting\EC\2016-12-05-refined-times.txt</v>
      </c>
      <c r="AI61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{"issue":{"subject":"","project_id":79,"tracker_id":40,"status_id":1,"priority_id":2,"assigned_to_id":23,"start_date":"2016-12-05","description":"","custom_fields":[{"id":1,"name":"Subdivision","value":"EC"},{"id":4,"name":"Milepost","value":"23.3321"},{"id":17,"name":"Train ID","value":"149-05"},{"id":16,"name":"Locomotive ID","value":"4002"},{"id":130,"name":"Impact","value":""},{"id":150,"name":"Time of Event (Mountain Time)","value":"10:23:05"},{"id":151,"name":"Denver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533</v>
      </c>
      <c r="B62" s="7">
        <v>4001</v>
      </c>
      <c r="C62" s="22" t="s">
        <v>208</v>
      </c>
      <c r="D62" s="22" t="s">
        <v>305</v>
      </c>
      <c r="E62" s="13">
        <v>42709.440787037034</v>
      </c>
      <c r="F62" s="13">
        <v>42709.445324074077</v>
      </c>
      <c r="G62" s="7">
        <v>1</v>
      </c>
      <c r="H62" s="22" t="s">
        <v>228</v>
      </c>
      <c r="I62" s="13">
        <v>42709.471666666665</v>
      </c>
      <c r="J62" s="7">
        <v>2</v>
      </c>
      <c r="K62" s="109" t="str">
        <f>IF(ISEVEN(B62),(B62-1)&amp;"/"&amp;B62,B62&amp;"/"&amp;(B62+1))</f>
        <v>4001/4002</v>
      </c>
      <c r="L62" s="22" t="str">
        <f>VLOOKUP(A62,'Trips&amp;Operators'!$C$1:$G$99999,5,FALSE)</f>
        <v>ISHMAEL JOSEPH</v>
      </c>
      <c r="M62" s="6">
        <f>I62-F62</f>
        <v>2.6342592587752733E-2</v>
      </c>
      <c r="N62" s="7">
        <f>24*60*SUM($M62:$M62)</f>
        <v>37.933333326363936</v>
      </c>
      <c r="O62" s="7"/>
      <c r="P62" s="7"/>
      <c r="Q62" s="23"/>
      <c r="R62" s="23"/>
      <c r="S62" s="35">
        <f>SUM(U62:U62)/IF(AG62="EC",12,1)</f>
        <v>1</v>
      </c>
      <c r="T62" s="50" t="str">
        <f>IF(ISEVEN(LEFT(AD62,4)),"Southbound","NorthBound")</f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hh:mm:ss")&amp;utc_offset&amp;"00',mode:absolute,to:'"&amp;TEXT(I62+1/24,"yyyy-MM-DD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https://search-rtdc-monitor-bjffxe2xuh6vdkpspy63sjmuny.us-east-1.es.amazonaws.com/_plugin/kibana/#/discover/Steve-Slow-Train-Analysis-(2080s-and-2083s)?_g=(refreshInterval:(display:Off,section:0,value:0),time:(from:'2016-12-05 09:34:44-700',mode:absolute,to:'2016-12-05 12:19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2" s="52" t="str">
        <f>IF(AA62&lt;IF(AG62="EC",23,5.65),"Y","N")</f>
        <v>N</v>
      </c>
      <c r="X62" s="177">
        <f>VALUE(LEFT(AD62,4))-VALUE(LEFT(AD61,4))</f>
        <v>1</v>
      </c>
      <c r="Y62" s="67">
        <f>RIGHT(D62,LEN(D62)-4)/10000</f>
        <v>23.301500000000001</v>
      </c>
      <c r="Z62" s="67">
        <f>RIGHT(H62,LEN(H62)-4)/10000</f>
        <v>1.54E-2</v>
      </c>
      <c r="AA62" s="67">
        <f>ABS(Z62-Y62)</f>
        <v>23.286100000000001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>IF(LEN(A62)=6,"0"&amp;A62,A62)</f>
        <v>0150-05</v>
      </c>
      <c r="AE62" s="91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s3://rtdc.mdm.uploadarchive.raw/RTDC4001/ "%USERPROFILE%\AppData\Local\Temp\OnboardLogs"\RTDC4001\2016-12-05 --exclude "*" --recursive --include "*20161205*" &amp; "%USERPROFILE%\Documents\GitHub\mrs-test-scripts\Headless Mode &amp; Sideloading\WalkAndUnGZ.bat" "%USERPROFILE%\AppData\Local\Temp\OnboardLogs"\RTDC4001\2016-12-05 &amp; aws s3 cp s3://rtdc.mdm.uploadarchive.raw/RTDC4001/ "%USERPROFILE%\AppData\Local\Temp\OnboardLogs"\RTDC4001\2016-12-06 --exclude "*" --recursive --include "*20161206*" &amp; "%USERPROFILE%\Documents\GitHub\mrs-test-scripts\Headless Mode &amp; Sideloading\WalkAndUnGZ.bat" "%USERPROFILE%\AppData\Local\Temp\OnboardLogs"\RTDC4001\2016-12-06</v>
      </c>
      <c r="AF62" s="88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/stypes="app*4001*20161205*" /stext=" 18:.+((SYSTEM_STATE.+slice.+state.+changed )|(ment ac)|(multiple cpu faults)|(system.+state.+changed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92" t="str">
        <f t="shared" si="2"/>
        <v>"%USERPROFILE%\Documents\GitHub\eaglep3\Utilities\RefineRTDCRunTimes.py" --tripid 150-05 --locoid 4001 --swversion DE.1.0.8.0 --startMP 204:233015 --initTime 2016-12-05T10:34:44 --startdatetime 2016-12-05T10:41:16 --delay 1 --endMP 204:154 --enddatetime 2016-12-05T11:19:12 --enforcementcount 2 &gt;&gt;C:\Users\stu\Documents\GitHub\eaglep3-reporting\EC\2016-12-05-refined-times.txt</v>
      </c>
      <c r="AI62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{"issue":{"subject":"","project_id":79,"tracker_id":40,"status_id":1,"priority_id":2,"assigned_to_id":23,"start_date":"2016-12-05","description":"","custom_fields":[{"id":1,"name":"Subdivision","value":"EC"},{"id":4,"name":"Milepost","value":"0.0154"},{"id":17,"name":"Train ID","value":"150-05"},{"id":16,"name":"Locomotive ID","value":"4001"},{"id":130,"name":"Impact","value":""},{"id":150,"name":"Time of Event (Mountain Time)","value":"11:19:12"},{"id":151,"name":"Denver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526</v>
      </c>
      <c r="B63" s="7">
        <v>4044</v>
      </c>
      <c r="C63" s="22" t="s">
        <v>208</v>
      </c>
      <c r="D63" s="22" t="s">
        <v>341</v>
      </c>
      <c r="E63" s="13">
        <v>42709.41</v>
      </c>
      <c r="F63" s="13">
        <v>42709.417048611111</v>
      </c>
      <c r="G63" s="7">
        <v>1</v>
      </c>
      <c r="H63" s="22" t="s">
        <v>252</v>
      </c>
      <c r="I63" s="13">
        <v>42709.44085648148</v>
      </c>
      <c r="J63" s="7">
        <v>2</v>
      </c>
      <c r="K63" s="109" t="str">
        <f>IF(ISEVEN(B63),(B63-1)&amp;"/"&amp;B63,B63&amp;"/"&amp;(B63+1))</f>
        <v>4043/4044</v>
      </c>
      <c r="L63" s="22" t="str">
        <f>VLOOKUP(A63,'Trips&amp;Operators'!$C$1:$G$99999,5,FALSE)</f>
        <v>YORK EDGAR</v>
      </c>
      <c r="M63" s="6">
        <f>I63-F63</f>
        <v>2.3807870369637385E-2</v>
      </c>
      <c r="N63" s="7">
        <f>24*60*SUM($M63:$M63)</f>
        <v>34.283333332277834</v>
      </c>
      <c r="O63" s="7"/>
      <c r="P63" s="7"/>
      <c r="Q63" s="23"/>
      <c r="R63" s="23"/>
      <c r="S63" s="35">
        <f>SUM(U63:U63)/IF(AG63="EC",12,1)</f>
        <v>1</v>
      </c>
      <c r="T63" s="50" t="str">
        <f>IF(ISEVEN(LEFT(AD63,4)),"Southbound","NorthBound")</f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hh:mm:ss")&amp;utc_offset&amp;"00',mode:absolute,to:'"&amp;TEXT(I63+1/24,"yyyy-MM-DD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https://search-rtdc-monitor-bjffxe2xuh6vdkpspy63sjmuny.us-east-1.es.amazonaws.com/_plugin/kibana/#/discover/Steve-Slow-Train-Analysis-(2080s-and-2083s)?_g=(refreshInterval:(display:Off,section:0,value:0),time:(from:'2016-12-05 08:50:24-700',mode:absolute,to:'2016-12-05 11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3" s="52" t="str">
        <f>IF(AA63&lt;IF(AG63="EC",23,5.65),"Y","N")</f>
        <v>N</v>
      </c>
      <c r="X63" s="177">
        <f>VALUE(LEFT(AD63,4))-VALUE(LEFT(AD62,4))</f>
        <v>1</v>
      </c>
      <c r="Y63" s="67">
        <f>RIGHT(D63,LEN(D63)-4)/10000</f>
        <v>4.6899999999999997E-2</v>
      </c>
      <c r="Z63" s="67">
        <f>RIGHT(H63,LEN(H63)-4)/10000</f>
        <v>23.3307</v>
      </c>
      <c r="AA63" s="67">
        <f>ABS(Z63-Y63)</f>
        <v>23.283799999999999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>IF(LEN(A63)=6,"0"&amp;A63,A63)</f>
        <v>0151-05</v>
      </c>
      <c r="AE63" s="91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 &amp; 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</v>
      </c>
      <c r="AF63" s="88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/stypes="app*4044*20161205*" /stext=" 17:.+((SYSTEM_STATE.+slice.+state.+changed )|(ment ac)|(multiple cpu faults)|(system.+state.+changed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92" t="str">
        <f t="shared" si="2"/>
        <v>"%USERPROFILE%\Documents\GitHub\eaglep3\Utilities\RefineRTDCRunTimes.py" --tripid 151-05 --locoid 4044 --swversion DE.1.0.8.0 --startMP 204:469 --initTime 2016-12-05T09:50:24 --startdatetime 2016-12-05T10:00:33 --delay 1 --endMP 204:233307 --enddatetime 2016-12-05T10:34:50 --enforcementcount 2 &gt;&gt;C:\Users\stu\Documents\GitHub\eaglep3-reporting\EC\2016-12-05-refined-times.txt</v>
      </c>
      <c r="AI63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{"issue":{"subject":"","project_id":79,"tracker_id":40,"status_id":1,"priority_id":2,"assigned_to_id":23,"start_date":"2016-12-05","description":"","custom_fields":[{"id":1,"name":"Subdivision","value":"EC"},{"id":4,"name":"Milepost","value":"23.3307"},{"id":17,"name":"Train ID","value":"151-05"},{"id":16,"name":"Locomotive ID","value":"4044"},{"id":130,"name":"Impact","value":""},{"id":150,"name":"Time of Event (Mountain Time)","value":"10:34:50"},{"id":151,"name":"Denver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534</v>
      </c>
      <c r="B64" s="7">
        <v>4043</v>
      </c>
      <c r="C64" s="22" t="s">
        <v>208</v>
      </c>
      <c r="D64" s="22" t="s">
        <v>257</v>
      </c>
      <c r="E64" s="13">
        <v>42709.441817129627</v>
      </c>
      <c r="F64" s="13">
        <v>42709.455787037034</v>
      </c>
      <c r="G64" s="7">
        <v>0</v>
      </c>
      <c r="H64" s="22" t="s">
        <v>228</v>
      </c>
      <c r="I64" s="13">
        <v>42709.481481481482</v>
      </c>
      <c r="J64" s="7">
        <v>2</v>
      </c>
      <c r="K64" s="109" t="str">
        <f>IF(ISEVEN(B64),(B64-1)&amp;"/"&amp;B64,B64&amp;"/"&amp;(B64+1))</f>
        <v>4043/4044</v>
      </c>
      <c r="L64" s="22" t="str">
        <f>VLOOKUP(A64,'Trips&amp;Operators'!$C$1:$G$99999,5,FALSE)</f>
        <v>YORK EDGAR</v>
      </c>
      <c r="M64" s="6">
        <f>I64-F64</f>
        <v>2.5694444448163267E-2</v>
      </c>
      <c r="N64" s="7">
        <f>24*60*SUM($M64:$M64)</f>
        <v>37.000000005355105</v>
      </c>
      <c r="O64" s="7"/>
      <c r="P64" s="7"/>
      <c r="Q64" s="23"/>
      <c r="R64" s="23"/>
      <c r="S64" s="35">
        <f>SUM(U64:U64)/IF(AG64="EC",12,1)</f>
        <v>1</v>
      </c>
      <c r="T64" s="50" t="str">
        <f>IF(ISEVEN(LEFT(AD64,4)),"Southbound","NorthBound")</f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hh:mm:ss")&amp;utc_offset&amp;"00',mode:absolute,to:'"&amp;TEXT(I64+1/24,"yyyy-MM-DD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https://search-rtdc-monitor-bjffxe2xuh6vdkpspy63sjmuny.us-east-1.es.amazonaws.com/_plugin/kibana/#/discover/Steve-Slow-Train-Analysis-(2080s-and-2083s)?_g=(refreshInterval:(display:Off,section:0,value:0),time:(from:'2016-12-05 09:36:13-700',mode:absolute,to:'2016-12-05 12:33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4" s="52" t="str">
        <f>IF(AA64&lt;IF(AG64="EC",23,5.65),"Y","N")</f>
        <v>N</v>
      </c>
      <c r="X64" s="177">
        <f>VALUE(LEFT(AD64,4))-VALUE(LEFT(AD63,4))</f>
        <v>1</v>
      </c>
      <c r="Y64" s="67">
        <f>RIGHT(D64,LEN(D64)-4)/10000</f>
        <v>23.2988</v>
      </c>
      <c r="Z64" s="67">
        <f>RIGHT(H64,LEN(H64)-4)/10000</f>
        <v>1.54E-2</v>
      </c>
      <c r="AA64" s="67">
        <f>ABS(Z64-Y64)</f>
        <v>23.2834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>IF(LEN(A64)=6,"0"&amp;A64,A64)</f>
        <v>0152-05</v>
      </c>
      <c r="AE64" s="91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 &amp; 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</v>
      </c>
      <c r="AF64" s="88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/stypes="app*4043*20161205*" /stext=" 18:.+((SYSTEM_STATE.+slice.+state.+changed )|(ment ac)|(multiple cpu faults)|(system.+state.+changed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92" t="str">
        <f t="shared" si="2"/>
        <v>"%USERPROFILE%\Documents\GitHub\eaglep3\Utilities\RefineRTDCRunTimes.py" --tripid 152-05 --locoid 4043 --swversion DE.1.0.8.0 --startMP 204:232988 --initTime 2016-12-05T10:36:13 --startdatetime 2016-12-05T10:56:20 --delay 0 --endMP 204:154 --enddatetime 2016-12-05T11:33:20 --enforcementcount 2 &gt;&gt;C:\Users\stu\Documents\GitHub\eaglep3-reporting\EC\2016-12-05-refined-times.txt</v>
      </c>
      <c r="AI64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{"issue":{"subject":"","project_id":79,"tracker_id":40,"status_id":1,"priority_id":2,"assigned_to_id":23,"start_date":"2016-12-05","description":"","custom_fields":[{"id":1,"name":"Subdivision","value":"EC"},{"id":4,"name":"Milepost","value":"0.0154"},{"id":17,"name":"Train ID","value":"152-05"},{"id":16,"name":"Locomotive ID","value":"4043"},{"id":130,"name":"Impact","value":""},{"id":150,"name":"Time of Event (Mountain Time)","value":"11:33:20"},{"id":151,"name":"Denver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529</v>
      </c>
      <c r="B65" s="7">
        <v>4040</v>
      </c>
      <c r="C65" s="22" t="s">
        <v>208</v>
      </c>
      <c r="D65" s="22" t="s">
        <v>244</v>
      </c>
      <c r="E65" s="13">
        <v>42709.424074074072</v>
      </c>
      <c r="F65" s="13">
        <v>42709.427499999998</v>
      </c>
      <c r="G65" s="7">
        <v>1</v>
      </c>
      <c r="H65" s="22" t="s">
        <v>285</v>
      </c>
      <c r="I65" s="13">
        <v>42709.452777777777</v>
      </c>
      <c r="J65" s="7">
        <v>2</v>
      </c>
      <c r="K65" s="109" t="str">
        <f>IF(ISEVEN(B65),(B65-1)&amp;"/"&amp;B65,B65&amp;"/"&amp;(B65+1))</f>
        <v>4039/4040</v>
      </c>
      <c r="L65" s="22" t="str">
        <f>VLOOKUP(A65,'Trips&amp;Operators'!$C$1:$G$99999,5,FALSE)</f>
        <v>STARKS ANGELINA</v>
      </c>
      <c r="M65" s="6">
        <f>I65-F65</f>
        <v>2.527777777868323E-2</v>
      </c>
      <c r="N65" s="7">
        <f>24*60*SUM($M65:$M65)</f>
        <v>36.400000001303852</v>
      </c>
      <c r="O65" s="7"/>
      <c r="P65" s="7"/>
      <c r="Q65" s="23"/>
      <c r="R65" s="23"/>
      <c r="S65" s="35">
        <f>SUM(U65:U65)/IF(AG65="EC",12,1)</f>
        <v>1</v>
      </c>
      <c r="T65" s="50" t="str">
        <f>IF(ISEVEN(LEFT(AD65,4)),"Southbound","NorthBound")</f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hh:mm:ss")&amp;utc_offset&amp;"00',mode:absolute,to:'"&amp;TEXT(I65+1/24,"yyyy-MM-DD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https://search-rtdc-monitor-bjffxe2xuh6vdkpspy63sjmuny.us-east-1.es.amazonaws.com/_plugin/kibana/#/discover/Steve-Slow-Train-Analysis-(2080s-and-2083s)?_g=(refreshInterval:(display:Off,section:0,value:0),time:(from:'2016-12-05 09:10:40-700',mode:absolute,to:'2016-12-05 11:52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5" s="52" t="str">
        <f>IF(AA65&lt;IF(AG65="EC",23,5.65),"Y","N")</f>
        <v>N</v>
      </c>
      <c r="X65" s="177">
        <f>VALUE(LEFT(AD65,4))-VALUE(LEFT(AD64,4))</f>
        <v>1</v>
      </c>
      <c r="Y65" s="67">
        <f>RIGHT(D65,LEN(D65)-4)/10000</f>
        <v>4.5999999999999999E-2</v>
      </c>
      <c r="Z65" s="67">
        <f>RIGHT(H65,LEN(H65)-4)/10000</f>
        <v>23.328900000000001</v>
      </c>
      <c r="AA65" s="67">
        <f>ABS(Z65-Y65)</f>
        <v>23.282900000000001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>IF(LEN(A65)=6,"0"&amp;A65,A65)</f>
        <v>0153-05</v>
      </c>
      <c r="AE65" s="91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s3://rtdc.mdm.uploadarchive.raw/RTDC4040/ "%USERPROFILE%\AppData\Local\Temp\OnboardLogs"\RTDC4040\2016-12-05 --exclude "*" --recursive --include "*20161205*" &amp; "%USERPROFILE%\Documents\GitHub\mrs-test-scripts\Headless Mode &amp; Sideloading\WalkAndUnGZ.bat" "%USERPROFILE%\AppData\Local\Temp\OnboardLogs"\RTDC4040\2016-12-05 &amp; aws s3 cp s3://rtdc.mdm.uploadarchive.raw/RTDC4040/ "%USERPROFILE%\AppData\Local\Temp\OnboardLogs"\RTDC4040\2016-12-06 --exclude "*" --recursive --include "*20161206*" &amp; "%USERPROFILE%\Documents\GitHub\mrs-test-scripts\Headless Mode &amp; Sideloading\WalkAndUnGZ.bat" "%USERPROFILE%\AppData\Local\Temp\OnboardLogs"\RTDC4040\2016-12-06</v>
      </c>
      <c r="AF65" s="88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/stypes="app*4040*20161205*" /stext=" 17:.+((SYSTEM_STATE.+slice.+state.+changed )|(ment ac)|(multiple cpu faults)|(system.+state.+changed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92" t="str">
        <f t="shared" si="2"/>
        <v>"%USERPROFILE%\Documents\GitHub\eaglep3\Utilities\RefineRTDCRunTimes.py" --tripid 153-05 --locoid 4040 --swversion DE.1.0.8.0 --startMP 204:460 --initTime 2016-12-05T10:10:40 --startdatetime 2016-12-05T10:15:36 --delay 1 --endMP 204:233289 --enddatetime 2016-12-05T10:52:00 --enforcementcount 2 &gt;&gt;C:\Users\stu\Documents\GitHub\eaglep3-reporting\EC\2016-12-05-refined-times.txt</v>
      </c>
      <c r="AI65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{"issue":{"subject":"","project_id":79,"tracker_id":40,"status_id":1,"priority_id":2,"assigned_to_id":23,"start_date":"2016-12-05","description":"","custom_fields":[{"id":1,"name":"Subdivision","value":"EC"},{"id":4,"name":"Milepost","value":"23.3289"},{"id":17,"name":"Train ID","value":"153-05"},{"id":16,"name":"Locomotive ID","value":"4040"},{"id":130,"name":"Impact","value":""},{"id":150,"name":"Time of Event (Mountain Time)","value":"10:52:00"},{"id":151,"name":"Denver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442</v>
      </c>
      <c r="B66" s="7">
        <v>4039</v>
      </c>
      <c r="C66" s="22" t="s">
        <v>208</v>
      </c>
      <c r="D66" s="22" t="s">
        <v>699</v>
      </c>
      <c r="E66" s="13">
        <v>42709.463622685187</v>
      </c>
      <c r="F66" s="13">
        <v>42709.466157407405</v>
      </c>
      <c r="G66" s="7">
        <v>3</v>
      </c>
      <c r="H66" s="22" t="s">
        <v>258</v>
      </c>
      <c r="I66" s="13">
        <v>42709.493738425925</v>
      </c>
      <c r="J66" s="7">
        <v>2</v>
      </c>
      <c r="K66" s="109" t="str">
        <f>IF(ISEVEN(B66),(B66-1)&amp;"/"&amp;B66,B66&amp;"/"&amp;(B66+1))</f>
        <v>4039/4040</v>
      </c>
      <c r="L66" s="22" t="str">
        <f>VLOOKUP(A66,'Trips&amp;Operators'!$C$1:$G$99999,5,FALSE)</f>
        <v>STARKS ANGELINA</v>
      </c>
      <c r="M66" s="6">
        <f>I66-F66</f>
        <v>2.7581018519413192E-2</v>
      </c>
      <c r="N66" s="7">
        <f>24*60*SUM($M66:$M66)</f>
        <v>39.716666667954996</v>
      </c>
      <c r="O66" s="7"/>
      <c r="P66" s="7"/>
      <c r="Q66" s="23"/>
      <c r="R66" s="23"/>
      <c r="S66" s="35">
        <f>SUM(U66:U66)/IF(AG66="EC",12,1)</f>
        <v>1</v>
      </c>
      <c r="T66" s="50" t="str">
        <f>IF(ISEVEN(LEFT(AD66,4)),"Southbound","NorthBound")</f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hh:mm:ss")&amp;utc_offset&amp;"00',mode:absolute,to:'"&amp;TEXT(I66+1/24,"yyyy-MM-DD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https://search-rtdc-monitor-bjffxe2xuh6vdkpspy63sjmuny.us-east-1.es.amazonaws.com/_plugin/kibana/#/discover/Steve-Slow-Train-Analysis-(2080s-and-2083s)?_g=(refreshInterval:(display:Off,section:0,value:0),time:(from:'2016-12-05 10:07:37-700',mode:absolute,to:'2016-12-05 12:50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6" s="52" t="str">
        <f>IF(AA66&lt;IF(AG66="EC",23,5.65),"Y","N")</f>
        <v>N</v>
      </c>
      <c r="X66" s="177">
        <f>VALUE(LEFT(AD66,4))-VALUE(LEFT(AD65,4))</f>
        <v>1</v>
      </c>
      <c r="Y66" s="67">
        <f>RIGHT(D66,LEN(D66)-4)/10000</f>
        <v>23.273800000000001</v>
      </c>
      <c r="Z66" s="67">
        <f>RIGHT(H66,LEN(H66)-4)/10000</f>
        <v>1.4500000000000001E-2</v>
      </c>
      <c r="AA66" s="67">
        <f>ABS(Z66-Y66)</f>
        <v>23.2593</v>
      </c>
      <c r="AB66" s="64" t="str">
        <f>VLOOKUP(A66,Enforcements!$C$7:$K$20,8,0)</f>
        <v>Signal based authority (5)</v>
      </c>
      <c r="AC66" s="60" t="str">
        <f>VLOOKUP(A66,Enforcements!$C$7:$E$20,3,0)</f>
        <v>SIGNAL</v>
      </c>
      <c r="AD66" s="61" t="str">
        <f>IF(LEN(A66)=6,"0"&amp;A66,A66)</f>
        <v>0154-05</v>
      </c>
      <c r="AE66" s="91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s3://rtdc.mdm.uploadarchive.raw/RTDC4039/ "%USERPROFILE%\AppData\Local\Temp\OnboardLogs"\RTDC4039\2016-12-05 --exclude "*" --recursive --include "*20161205*" &amp; "%USERPROFILE%\Documents\GitHub\mrs-test-scripts\Headless Mode &amp; Sideloading\WalkAndUnGZ.bat" "%USERPROFILE%\AppData\Local\Temp\OnboardLogs"\RTDC4039\2016-12-05 &amp; aws s3 cp s3://rtdc.mdm.uploadarchive.raw/RTDC4039/ "%USERPROFILE%\AppData\Local\Temp\OnboardLogs"\RTDC4039\2016-12-06 --exclude "*" --recursive --include "*20161206*" &amp; "%USERPROFILE%\Documents\GitHub\mrs-test-scripts\Headless Mode &amp; Sideloading\WalkAndUnGZ.bat" "%USERPROFILE%\AppData\Local\Temp\OnboardLogs"\RTDC4039\2016-12-06</v>
      </c>
      <c r="AF66" s="88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/stypes="app*4039*20161205*" /stext=" 18:.+((SYSTEM_STATE.+slice.+state.+changed )|(ment ac)|(multiple cpu faults)|(system.+state.+changed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92" t="str">
        <f t="shared" si="2"/>
        <v>"%USERPROFILE%\Documents\GitHub\eaglep3\Utilities\RefineRTDCRunTimes.py" --tripid 154-05 --locoid 4039 --swversion DE.1.0.8.0 --startMP 204:232738 --initTime 2016-12-05T11:07:37 --startdatetime 2016-12-05T11:11:16 --delay 3 --endMP 204:145 --enddatetime 2016-12-05T11:50:59 --enforcementcount 2 &gt;&gt;C:\Users\stu\Documents\GitHub\eaglep3-reporting\EC\2016-12-05-refined-times.txt</v>
      </c>
      <c r="AI66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{"issue":{"subject":"","project_id":79,"tracker_id":40,"status_id":1,"priority_id":2,"assigned_to_id":23,"start_date":"2016-12-05","description":"","custom_fields":[{"id":1,"name":"Subdivision","value":"EC"},{"id":4,"name":"Milepost","value":"0.0145"},{"id":17,"name":"Train ID","value":"154-05"},{"id":16,"name":"Locomotive ID","value":"4039"},{"id":130,"name":"Impact","value":""},{"id":150,"name":"Time of Event (Mountain Time)","value":"11:50:59"},{"id":151,"name":"Denver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531</v>
      </c>
      <c r="B67" s="7">
        <v>4022</v>
      </c>
      <c r="C67" s="22" t="s">
        <v>208</v>
      </c>
      <c r="D67" s="22" t="s">
        <v>693</v>
      </c>
      <c r="E67" s="13">
        <v>42709.433229166665</v>
      </c>
      <c r="F67" s="13">
        <v>42709.437662037039</v>
      </c>
      <c r="G67" s="7">
        <v>1</v>
      </c>
      <c r="H67" s="22" t="s">
        <v>417</v>
      </c>
      <c r="I67" s="13">
        <v>42709.463136574072</v>
      </c>
      <c r="J67" s="7">
        <v>2</v>
      </c>
      <c r="K67" s="109" t="str">
        <f>IF(ISEVEN(B67),(B67-1)&amp;"/"&amp;B67,B67&amp;"/"&amp;(B67+1))</f>
        <v>4021/4022</v>
      </c>
      <c r="L67" s="22" t="str">
        <f>VLOOKUP(A67,'Trips&amp;Operators'!$C$1:$G$99999,5,FALSE)</f>
        <v>DAVIS WENDY</v>
      </c>
      <c r="M67" s="6">
        <f>I67-F67</f>
        <v>2.5474537033005618E-2</v>
      </c>
      <c r="N67" s="7">
        <f>24*60*SUM($M67:$M67)</f>
        <v>36.683333327528089</v>
      </c>
      <c r="O67" s="7"/>
      <c r="P67" s="7"/>
      <c r="Q67" s="23"/>
      <c r="R67" s="23"/>
      <c r="S67" s="35">
        <f>SUM(U67:U67)/IF(AG67="EC",12,1)</f>
        <v>1</v>
      </c>
      <c r="T67" s="50" t="str">
        <f>IF(ISEVEN(LEFT(AD67,4)),"Southbound","NorthBound")</f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hh:mm:ss")&amp;utc_offset&amp;"00',mode:absolute,to:'"&amp;TEXT(I67+1/24,"yyyy-MM-DD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https://search-rtdc-monitor-bjffxe2xuh6vdkpspy63sjmuny.us-east-1.es.amazonaws.com/_plugin/kibana/#/discover/Steve-Slow-Train-Analysis-(2080s-and-2083s)?_g=(refreshInterval:(display:Off,section:0,value:0),time:(from:'2016-12-05 09:23:51-700',mode:absolute,to:'2016-12-05 12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7" s="52" t="str">
        <f>IF(AA67&lt;IF(AG67="EC",23,5.65),"Y","N")</f>
        <v>N</v>
      </c>
      <c r="X67" s="177">
        <f>VALUE(LEFT(AD67,4))-VALUE(LEFT(AD66,4))</f>
        <v>1</v>
      </c>
      <c r="Y67" s="67">
        <f>RIGHT(D67,LEN(D67)-4)/10000</f>
        <v>4.6199999999999998E-2</v>
      </c>
      <c r="Z67" s="67">
        <f>RIGHT(H67,LEN(H67)-4)/10000</f>
        <v>23.328399999999998</v>
      </c>
      <c r="AA67" s="67">
        <f>ABS(Z67-Y67)</f>
        <v>23.2822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>IF(LEN(A67)=6,"0"&amp;A67,A67)</f>
        <v>0155-05</v>
      </c>
      <c r="AE67" s="91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s3://rtdc.mdm.uploadarchive.raw/RTDC4022/ "%USERPROFILE%\AppData\Local\Temp\OnboardLogs"\RTDC4022\2016-12-05 --exclude "*" --recursive --include "*20161205*" &amp; "%USERPROFILE%\Documents\GitHub\mrs-test-scripts\Headless Mode &amp; Sideloading\WalkAndUnGZ.bat" "%USERPROFILE%\AppData\Local\Temp\OnboardLogs"\RTDC4022\2016-12-05 &amp; 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</v>
      </c>
      <c r="AF67" s="88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/stypes="app*4022*20161205*" /stext=" 18:.+((SYSTEM_STATE.+slice.+state.+changed )|(ment ac)|(multiple cpu faults)|(system.+state.+changed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92" t="str">
        <f t="shared" si="2"/>
        <v>"%USERPROFILE%\Documents\GitHub\eaglep3\Utilities\RefineRTDCRunTimes.py" --tripid 155-05 --locoid 4022 --swversion DE.1.0.8.0 --startMP 204:462 --initTime 2016-12-05T10:23:51 --startdatetime 2016-12-05T10:30:14 --delay 1 --endMP 204:233284 --enddatetime 2016-12-05T11:06:55 --enforcementcount 2 &gt;&gt;C:\Users\stu\Documents\GitHub\eaglep3-reporting\EC\2016-12-05-refined-times.txt</v>
      </c>
      <c r="AI67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{"issue":{"subject":"","project_id":79,"tracker_id":40,"status_id":1,"priority_id":2,"assigned_to_id":23,"start_date":"2016-12-05","description":"","custom_fields":[{"id":1,"name":"Subdivision","value":"EC"},{"id":4,"name":"Milepost","value":"23.3284"},{"id":17,"name":"Train ID","value":"155-05"},{"id":16,"name":"Locomotive ID","value":"4022"},{"id":130,"name":"Impact","value":""},{"id":150,"name":"Time of Event (Mountain Time)","value":"11:06:55"},{"id":151,"name":"Denver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547</v>
      </c>
      <c r="B68" s="7">
        <v>4021</v>
      </c>
      <c r="C68" s="22" t="s">
        <v>208</v>
      </c>
      <c r="D68" s="22" t="s">
        <v>691</v>
      </c>
      <c r="E68" s="13">
        <v>42709.471342592595</v>
      </c>
      <c r="F68" s="13">
        <v>42709.476631944446</v>
      </c>
      <c r="G68" s="7">
        <v>7</v>
      </c>
      <c r="H68" s="22" t="s">
        <v>231</v>
      </c>
      <c r="I68" s="13">
        <v>42709.504861111112</v>
      </c>
      <c r="J68" s="7">
        <v>2</v>
      </c>
      <c r="K68" s="109" t="str">
        <f>IF(ISEVEN(B68),(B68-1)&amp;"/"&amp;B68,B68&amp;"/"&amp;(B68+1))</f>
        <v>4021/4022</v>
      </c>
      <c r="L68" s="22" t="str">
        <f>VLOOKUP(A68,'Trips&amp;Operators'!$C$1:$G$99999,5,FALSE)</f>
        <v>DAVIS WENDY</v>
      </c>
      <c r="M68" s="6">
        <f>I68-F68</f>
        <v>2.8229166666278616E-2</v>
      </c>
      <c r="N68" s="7">
        <f>24*60*SUM($M68:$M68)</f>
        <v>40.649999999441206</v>
      </c>
      <c r="O68" s="7"/>
      <c r="P68" s="7"/>
      <c r="Q68" s="23"/>
      <c r="R68" s="23"/>
      <c r="S68" s="35">
        <f>SUM(U68:U68)/IF(AG68="EC",12,1)</f>
        <v>1</v>
      </c>
      <c r="T68" s="50" t="str">
        <f>IF(ISEVEN(LEFT(AD68,4)),"Southbound","NorthBound")</f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hh:mm:ss")&amp;utc_offset&amp;"00',mode:absolute,to:'"&amp;TEXT(I68+1/24,"yyyy-MM-DD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https://search-rtdc-monitor-bjffxe2xuh6vdkpspy63sjmuny.us-east-1.es.amazonaws.com/_plugin/kibana/#/discover/Steve-Slow-Train-Analysis-(2080s-and-2083s)?_g=(refreshInterval:(display:Off,section:0,value:0),time:(from:'2016-12-05 10:18:44-700',mode:absolute,to:'2016-12-05 13:07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8" s="52" t="str">
        <f>IF(AA68&lt;IF(AG68="EC",23,5.65),"Y","N")</f>
        <v>N</v>
      </c>
      <c r="X68" s="177">
        <f>VALUE(LEFT(AD68,4))-VALUE(LEFT(AD67,4))</f>
        <v>1</v>
      </c>
      <c r="Y68" s="67">
        <f>RIGHT(D68,LEN(D68)-4)/10000</f>
        <v>23.2971</v>
      </c>
      <c r="Z68" s="67">
        <f>RIGHT(H68,LEN(H68)-4)/10000</f>
        <v>1.41E-2</v>
      </c>
      <c r="AA68" s="67">
        <f>ABS(Z68-Y68)</f>
        <v>23.283000000000001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>IF(LEN(A68)=6,"0"&amp;A68,A68)</f>
        <v>0156-05</v>
      </c>
      <c r="AE68" s="91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s3://rtdc.mdm.uploadarchive.raw/RTDC4021/ "%USERPROFILE%\AppData\Local\Temp\OnboardLogs"\RTDC4021\2016-12-05 --exclude "*" --recursive --include "*20161205*" &amp; "%USERPROFILE%\Documents\GitHub\mrs-test-scripts\Headless Mode &amp; Sideloading\WalkAndUnGZ.bat" "%USERPROFILE%\AppData\Local\Temp\OnboardLogs"\RTDC4021\2016-12-05 &amp; 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</v>
      </c>
      <c r="AF68" s="88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/stypes="app*4021*20161205*" /stext=" 19:.+((SYSTEM_STATE.+slice.+state.+changed )|(ment ac)|(multiple cpu faults)|(system.+state.+changed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92" t="str">
        <f t="shared" si="2"/>
        <v>"%USERPROFILE%\Documents\GitHub\eaglep3\Utilities\RefineRTDCRunTimes.py" --tripid 156-05 --locoid 4021 --swversion DE.1.0.8.0 --startMP 204:232971 --initTime 2016-12-05T11:18:44 --startdatetime 2016-12-05T11:26:21 --delay 7 --endMP 204:141 --enddatetime 2016-12-05T12:07:00 --enforcementcount 2 &gt;&gt;C:\Users\stu\Documents\GitHub\eaglep3-reporting\EC\2016-12-05-refined-times.txt</v>
      </c>
      <c r="AI68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{"issue":{"subject":"","project_id":79,"tracker_id":40,"status_id":1,"priority_id":2,"assigned_to_id":23,"start_date":"2016-12-05","description":"","custom_fields":[{"id":1,"name":"Subdivision","value":"EC"},{"id":4,"name":"Milepost","value":"0.0141"},{"id":17,"name":"Train ID","value":"156-05"},{"id":16,"name":"Locomotive ID","value":"4021"},{"id":130,"name":"Impact","value":""},{"id":150,"name":"Time of Event (Mountain Time)","value":"12:07:00"},{"id":151,"name":"Denver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536</v>
      </c>
      <c r="B69" s="7">
        <v>4038</v>
      </c>
      <c r="C69" s="22" t="s">
        <v>208</v>
      </c>
      <c r="D69" s="22" t="s">
        <v>246</v>
      </c>
      <c r="E69" s="13">
        <v>42709.443472222221</v>
      </c>
      <c r="F69" s="13">
        <v>42709.448078703703</v>
      </c>
      <c r="G69" s="7">
        <v>1</v>
      </c>
      <c r="H69" s="22" t="s">
        <v>391</v>
      </c>
      <c r="I69" s="13">
        <v>42709.473680555559</v>
      </c>
      <c r="J69" s="7">
        <v>2</v>
      </c>
      <c r="K69" s="109" t="str">
        <f>IF(ISEVEN(B69),(B69-1)&amp;"/"&amp;B69,B69&amp;"/"&amp;(B69+1))</f>
        <v>4037/4038</v>
      </c>
      <c r="L69" s="22" t="str">
        <f>VLOOKUP(A69,'Trips&amp;Operators'!$C$1:$G$99999,5,FALSE)</f>
        <v>ROBINSON KADDIBA</v>
      </c>
      <c r="M69" s="6">
        <f>I69-F69</f>
        <v>2.5601851855753921E-2</v>
      </c>
      <c r="N69" s="7">
        <f>24*60*SUM($M69:$M69)</f>
        <v>36.866666672285646</v>
      </c>
      <c r="O69" s="7"/>
      <c r="P69" s="7"/>
      <c r="Q69" s="23"/>
      <c r="R69" s="23"/>
      <c r="S69" s="35">
        <f>SUM(U69:U69)/IF(AG69="EC",12,1)</f>
        <v>1</v>
      </c>
      <c r="T69" s="50" t="str">
        <f>IF(ISEVEN(LEFT(AD69,4)),"Southbound","NorthBound")</f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hh:mm:ss")&amp;utc_offset&amp;"00',mode:absolute,to:'"&amp;TEXT(I69+1/24,"yyyy-MM-DD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https://search-rtdc-monitor-bjffxe2xuh6vdkpspy63sjmuny.us-east-1.es.amazonaws.com/_plugin/kibana/#/discover/Steve-Slow-Train-Analysis-(2080s-and-2083s)?_g=(refreshInterval:(display:Off,section:0,value:0),time:(from:'2016-12-05 09:38:36-700',mode:absolute,to:'2016-12-05 12:22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9" s="52" t="str">
        <f>IF(AA69&lt;IF(AG69="EC",23,5.65),"Y","N")</f>
        <v>N</v>
      </c>
      <c r="X69" s="177">
        <f>VALUE(LEFT(AD69,4))-VALUE(LEFT(AD68,4))</f>
        <v>1</v>
      </c>
      <c r="Y69" s="67">
        <f>RIGHT(D69,LEN(D69)-4)/10000</f>
        <v>4.5699999999999998E-2</v>
      </c>
      <c r="Z69" s="67">
        <f>RIGHT(H69,LEN(H69)-4)/10000</f>
        <v>23.330400000000001</v>
      </c>
      <c r="AA69" s="67">
        <f>ABS(Z69-Y69)</f>
        <v>23.284700000000001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>IF(LEN(A69)=6,"0"&amp;A69,A69)</f>
        <v>0157-05</v>
      </c>
      <c r="AE69" s="91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 &amp; aws s3 cp s3://rtdc.mdm.uploadarchive.raw/RTDC4038/ "%USERPROFILE%\AppData\Local\Temp\OnboardLogs"\RTDC4038\2016-12-06 --exclude "*" --recursive --include "*20161206*" &amp; "%USERPROFILE%\Documents\GitHub\mrs-test-scripts\Headless Mode &amp; Sideloading\WalkAndUnGZ.bat" "%USERPROFILE%\AppData\Local\Temp\OnboardLogs"\RTDC4038\2016-12-06</v>
      </c>
      <c r="AF69" s="88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/stypes="app*4038*20161205*" /stext=" 18:.+((SYSTEM_STATE.+slice.+state.+changed )|(ment ac)|(multiple cpu faults)|(system.+state.+changed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92" t="str">
        <f t="shared" si="2"/>
        <v>"%USERPROFILE%\Documents\GitHub\eaglep3\Utilities\RefineRTDCRunTimes.py" --tripid 157-05 --locoid 4038 --swversion DE.1.0.8.0 --startMP 204:457 --initTime 2016-12-05T10:38:36 --startdatetime 2016-12-05T10:45:14 --delay 1 --endMP 204:233304 --enddatetime 2016-12-05T11:22:06 --enforcementcount 2 &gt;&gt;C:\Users\stu\Documents\GitHub\eaglep3-reporting\EC\2016-12-05-refined-times.txt</v>
      </c>
      <c r="AI69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{"issue":{"subject":"","project_id":79,"tracker_id":40,"status_id":1,"priority_id":2,"assigned_to_id":23,"start_date":"2016-12-05","description":"","custom_fields":[{"id":1,"name":"Subdivision","value":"EC"},{"id":4,"name":"Milepost","value":"23.3304"},{"id":17,"name":"Train ID","value":"157-05"},{"id":16,"name":"Locomotive ID","value":"4038"},{"id":130,"name":"Impact","value":""},{"id":150,"name":"Time of Event (Mountain Time)","value":"11:22:06"},{"id":151,"name":"Denver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548</v>
      </c>
      <c r="B70" s="7">
        <v>4037</v>
      </c>
      <c r="C70" s="22" t="s">
        <v>208</v>
      </c>
      <c r="D70" s="22" t="s">
        <v>696</v>
      </c>
      <c r="E70" s="13">
        <v>42709.475428240738</v>
      </c>
      <c r="F70" s="13">
        <v>42709.486956018518</v>
      </c>
      <c r="G70" s="7">
        <v>1</v>
      </c>
      <c r="H70" s="22" t="s">
        <v>258</v>
      </c>
      <c r="I70" s="13">
        <v>42709.512800925928</v>
      </c>
      <c r="J70" s="7">
        <v>2</v>
      </c>
      <c r="K70" s="109" t="str">
        <f>IF(ISEVEN(B70),(B70-1)&amp;"/"&amp;B70,B70&amp;"/"&amp;(B70+1))</f>
        <v>4037/4038</v>
      </c>
      <c r="L70" s="22" t="str">
        <f>VLOOKUP(A70,'Trips&amp;Operators'!$C$1:$G$99999,5,FALSE)</f>
        <v>ROBINSON KADDIBA</v>
      </c>
      <c r="M70" s="6">
        <f>I70-F70</f>
        <v>2.584490740991896E-2</v>
      </c>
      <c r="N70" s="7">
        <f>24*60*SUM($M70:$M70)</f>
        <v>37.216666670283303</v>
      </c>
      <c r="O70" s="7"/>
      <c r="P70" s="7"/>
      <c r="Q70" s="23"/>
      <c r="R70" s="23"/>
      <c r="S70" s="35">
        <f>SUM(U70:U70)/IF(AG70="EC",12,1)</f>
        <v>1</v>
      </c>
      <c r="T70" s="50" t="str">
        <f>IF(ISEVEN(LEFT(AD70,4)),"Southbound","NorthBound")</f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hh:mm:ss")&amp;utc_offset&amp;"00',mode:absolute,to:'"&amp;TEXT(I70+1/24,"yyyy-MM-DD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https://search-rtdc-monitor-bjffxe2xuh6vdkpspy63sjmuny.us-east-1.es.amazonaws.com/_plugin/kibana/#/discover/Steve-Slow-Train-Analysis-(2080s-and-2083s)?_g=(refreshInterval:(display:Off,section:0,value:0),time:(from:'2016-12-05 10:24:37-700',mode:absolute,to:'2016-12-05 13:18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0" s="52" t="str">
        <f>IF(AA70&lt;IF(AG70="EC",23,5.65),"Y","N")</f>
        <v>N</v>
      </c>
      <c r="X70" s="177">
        <f>VALUE(LEFT(AD70,4))-VALUE(LEFT(AD69,4))</f>
        <v>1</v>
      </c>
      <c r="Y70" s="67">
        <f>RIGHT(D70,LEN(D70)-4)/10000</f>
        <v>23.299600000000002</v>
      </c>
      <c r="Z70" s="67">
        <f>RIGHT(H70,LEN(H70)-4)/10000</f>
        <v>1.4500000000000001E-2</v>
      </c>
      <c r="AA70" s="67">
        <f>ABS(Z70-Y70)</f>
        <v>23.2851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>IF(LEN(A70)=6,"0"&amp;A70,A70)</f>
        <v>0158-05</v>
      </c>
      <c r="AE70" s="91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 &amp; aws s3 cp s3://rtdc.mdm.uploadarchive.raw/RTDC4037/ "%USERPROFILE%\AppData\Local\Temp\OnboardLogs"\RTDC4037\2016-12-06 --exclude "*" --recursive --include "*20161206*" &amp; "%USERPROFILE%\Documents\GitHub\mrs-test-scripts\Headless Mode &amp; Sideloading\WalkAndUnGZ.bat" "%USERPROFILE%\AppData\Local\Temp\OnboardLogs"\RTDC4037\2016-12-06</v>
      </c>
      <c r="AF70" s="88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/stypes="app*4037*20161205*" /stext=" 19:.+((SYSTEM_STATE.+slice.+state.+changed )|(ment ac)|(multiple cpu faults)|(system.+state.+changed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92" t="str">
        <f t="shared" si="2"/>
        <v>"%USERPROFILE%\Documents\GitHub\eaglep3\Utilities\RefineRTDCRunTimes.py" --tripid 158-05 --locoid 4037 --swversion DE.1.0.8.0 --startMP 204:232996 --initTime 2016-12-05T11:24:37 --startdatetime 2016-12-05T11:41:13 --delay 1 --endMP 204:145 --enddatetime 2016-12-05T12:18:26 --enforcementcount 2 &gt;&gt;C:\Users\stu\Documents\GitHub\eaglep3-reporting\EC\2016-12-05-refined-times.txt</v>
      </c>
      <c r="AI70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{"issue":{"subject":"","project_id":79,"tracker_id":40,"status_id":1,"priority_id":2,"assigned_to_id":23,"start_date":"2016-12-05","description":"","custom_fields":[{"id":1,"name":"Subdivision","value":"EC"},{"id":4,"name":"Milepost","value":"0.0145"},{"id":17,"name":"Train ID","value":"158-05"},{"id":16,"name":"Locomotive ID","value":"4037"},{"id":130,"name":"Impact","value":""},{"id":150,"name":"Time of Event (Mountain Time)","value":"12:18:26"},{"id":151,"name":"Denver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541</v>
      </c>
      <c r="B71" s="7">
        <v>4020</v>
      </c>
      <c r="C71" s="22" t="s">
        <v>208</v>
      </c>
      <c r="D71" s="22" t="s">
        <v>700</v>
      </c>
      <c r="E71" s="13">
        <v>42709.454664351855</v>
      </c>
      <c r="F71" s="13">
        <v>42709.458703703705</v>
      </c>
      <c r="G71" s="7">
        <v>2</v>
      </c>
      <c r="H71" s="22" t="s">
        <v>286</v>
      </c>
      <c r="I71" s="13">
        <v>42709.484837962962</v>
      </c>
      <c r="J71" s="7">
        <v>2</v>
      </c>
      <c r="K71" s="109" t="str">
        <f>IF(ISEVEN(B71),(B71-1)&amp;"/"&amp;B71,B71&amp;"/"&amp;(B71+1))</f>
        <v>4019/4020</v>
      </c>
      <c r="L71" s="22" t="str">
        <f>VLOOKUP(A71,'Trips&amp;Operators'!$C$1:$G$99999,5,FALSE)</f>
        <v>STEWART MICHAEL</v>
      </c>
      <c r="M71" s="6">
        <f>I71-F71</f>
        <v>2.6134259256650694E-2</v>
      </c>
      <c r="N71" s="7">
        <f>24*60*SUM($M71:$M71)</f>
        <v>37.633333329576999</v>
      </c>
      <c r="O71" s="7"/>
      <c r="P71" s="7"/>
      <c r="Q71" s="23"/>
      <c r="R71" s="23"/>
      <c r="S71" s="35">
        <f>SUM(U71:U71)/IF(AG71="EC",12,1)</f>
        <v>1</v>
      </c>
      <c r="T71" s="50" t="str">
        <f>IF(ISEVEN(LEFT(AD71,4)),"Southbound","NorthBound")</f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hh:mm:ss")&amp;utc_offset&amp;"00',mode:absolute,to:'"&amp;TEXT(I71+1/24,"yyyy-MM-DD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https://search-rtdc-monitor-bjffxe2xuh6vdkpspy63sjmuny.us-east-1.es.amazonaws.com/_plugin/kibana/#/discover/Steve-Slow-Train-Analysis-(2080s-and-2083s)?_g=(refreshInterval:(display:Off,section:0,value:0),time:(from:'2016-12-05 09:54:43-700',mode:absolute,to:'2016-12-05 12:38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1" s="52" t="str">
        <f>IF(AA71&lt;IF(AG71="EC",23,5.65),"Y","N")</f>
        <v>N</v>
      </c>
      <c r="X71" s="177">
        <f>VALUE(LEFT(AD71,4))-VALUE(LEFT(AD70,4))</f>
        <v>1</v>
      </c>
      <c r="Y71" s="67">
        <f>RIGHT(D71,LEN(D71)-4)/10000</f>
        <v>4.9799999999999997E-2</v>
      </c>
      <c r="Z71" s="67">
        <f>RIGHT(H71,LEN(H71)-4)/10000</f>
        <v>23.329699999999999</v>
      </c>
      <c r="AA71" s="67">
        <f>ABS(Z71-Y71)</f>
        <v>23.279899999999998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>IF(LEN(A71)=6,"0"&amp;A71,A71)</f>
        <v>0159-05</v>
      </c>
      <c r="AE71" s="91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s3://rtdc.mdm.uploadarchive.raw/RTDC4020/ "%USERPROFILE%\AppData\Local\Temp\OnboardLogs"\RTDC4020\2016-12-05 --exclude "*" --recursive --include "*20161205*" &amp; "%USERPROFILE%\Documents\GitHub\mrs-test-scripts\Headless Mode &amp; Sideloading\WalkAndUnGZ.bat" "%USERPROFILE%\AppData\Local\Temp\OnboardLogs"\RTDC4020\2016-12-05 &amp; 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</v>
      </c>
      <c r="AF71" s="88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/stypes="app*4020*20161205*" /stext=" 18:.+((SYSTEM_STATE.+slice.+state.+changed )|(ment ac)|(multiple cpu faults)|(system.+state.+changed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92" t="str">
        <f t="shared" si="2"/>
        <v>"%USERPROFILE%\Documents\GitHub\eaglep3\Utilities\RefineRTDCRunTimes.py" --tripid 159-05 --locoid 4020 --swversion DE.1.0.8.0 --startMP 204:498 --initTime 2016-12-05T10:54:43 --startdatetime 2016-12-05T11:00:32 --delay 2 --endMP 204:233297 --enddatetime 2016-12-05T11:38:10 --enforcementcount 2 &gt;&gt;C:\Users\stu\Documents\GitHub\eaglep3-reporting\EC\2016-12-05-refined-times.txt</v>
      </c>
      <c r="AI71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{"issue":{"subject":"","project_id":79,"tracker_id":40,"status_id":1,"priority_id":2,"assigned_to_id":23,"start_date":"2016-12-05","description":"","custom_fields":[{"id":1,"name":"Subdivision","value":"EC"},{"id":4,"name":"Milepost","value":"23.3297"},{"id":17,"name":"Train ID","value":"159-05"},{"id":16,"name":"Locomotive ID","value":"4020"},{"id":130,"name":"Impact","value":""},{"id":150,"name":"Time of Event (Mountain Time)","value":"11:38:10"},{"id":151,"name":"Denver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554</v>
      </c>
      <c r="B72" s="7">
        <v>4019</v>
      </c>
      <c r="C72" s="22" t="s">
        <v>208</v>
      </c>
      <c r="D72" s="22" t="s">
        <v>301</v>
      </c>
      <c r="E72" s="13">
        <v>42709.494166666664</v>
      </c>
      <c r="F72" s="13">
        <v>42709.497465277775</v>
      </c>
      <c r="G72" s="7">
        <v>1</v>
      </c>
      <c r="H72" s="22" t="s">
        <v>701</v>
      </c>
      <c r="I72" s="13">
        <v>42709.526886574073</v>
      </c>
      <c r="J72" s="7">
        <v>2</v>
      </c>
      <c r="K72" s="109" t="str">
        <f>IF(ISEVEN(B72),(B72-1)&amp;"/"&amp;B72,B72&amp;"/"&amp;(B72+1))</f>
        <v>4019/4020</v>
      </c>
      <c r="L72" s="22" t="str">
        <f>VLOOKUP(A72,'Trips&amp;Operators'!$C$1:$G$99999,5,FALSE)</f>
        <v>STEWART MICHAEL</v>
      </c>
      <c r="M72" s="6">
        <f>I72-F72</f>
        <v>2.9421296298096422E-2</v>
      </c>
      <c r="N72" s="7">
        <f>24*60*SUM($M72:$M72)</f>
        <v>42.366666669258848</v>
      </c>
      <c r="O72" s="7"/>
      <c r="P72" s="7"/>
      <c r="Q72" s="23"/>
      <c r="R72" s="23"/>
      <c r="S72" s="35">
        <f>SUM(U72:U72)/IF(AG72="EC",12,1)</f>
        <v>1</v>
      </c>
      <c r="T72" s="50" t="str">
        <f>IF(ISEVEN(LEFT(AD72,4)),"Southbound","NorthBound")</f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hh:mm:ss")&amp;utc_offset&amp;"00',mode:absolute,to:'"&amp;TEXT(I72+1/24,"yyyy-MM-DD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https://search-rtdc-monitor-bjffxe2xuh6vdkpspy63sjmuny.us-east-1.es.amazonaws.com/_plugin/kibana/#/discover/Steve-Slow-Train-Analysis-(2080s-and-2083s)?_g=(refreshInterval:(display:Off,section:0,value:0),time:(from:'2016-12-05 10:51:36-700',mode:absolute,to:'2016-12-05 13:38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2" s="52" t="str">
        <f>IF(AA72&lt;IF(AG72="EC",23,5.65),"Y","N")</f>
        <v>N</v>
      </c>
      <c r="X72" s="177">
        <f>VALUE(LEFT(AD72,4))-VALUE(LEFT(AD71,4))</f>
        <v>1</v>
      </c>
      <c r="Y72" s="67">
        <f>RIGHT(D72,LEN(D72)-4)/10000</f>
        <v>23.296900000000001</v>
      </c>
      <c r="Z72" s="67">
        <f>RIGHT(H72,LEN(H72)-4)/10000</f>
        <v>0.1188</v>
      </c>
      <c r="AA72" s="67">
        <f>ABS(Z72-Y72)</f>
        <v>23.178100000000001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>IF(LEN(A72)=6,"0"&amp;A72,A72)</f>
        <v>0160-05</v>
      </c>
      <c r="AE72" s="91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s3://rtdc.mdm.uploadarchive.raw/RTDC4019/ "%USERPROFILE%\AppData\Local\Temp\OnboardLogs"\RTDC4019\2016-12-05 --exclude "*" --recursive --include "*20161205*" &amp; "%USERPROFILE%\Documents\GitHub\mrs-test-scripts\Headless Mode &amp; Sideloading\WalkAndUnGZ.bat" "%USERPROFILE%\AppData\Local\Temp\OnboardLogs"\RTDC4019\2016-12-05 &amp; 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</v>
      </c>
      <c r="AF72" s="88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/stypes="app*4019*20161205*" /stext=" 19:.+((SYSTEM_STATE.+slice.+state.+changed )|(ment ac)|(multiple cpu faults)|(system.+state.+changed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92" t="str">
        <f t="shared" si="2"/>
        <v>"%USERPROFILE%\Documents\GitHub\eaglep3\Utilities\RefineRTDCRunTimes.py" --tripid 160-05 --locoid 4019 --swversion DE.1.0.8.0 --startMP 204:232969 --initTime 2016-12-05T11:51:36 --startdatetime 2016-12-05T11:56:21 --delay 1 --endMP 204:1188 --enddatetime 2016-12-05T12:38:43 --enforcementcount 2 &gt;&gt;C:\Users\stu\Documents\GitHub\eaglep3-reporting\EC\2016-12-05-refined-times.txt</v>
      </c>
      <c r="AI72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{"issue":{"subject":"","project_id":79,"tracker_id":40,"status_id":1,"priority_id":2,"assigned_to_id":23,"start_date":"2016-12-05","description":"","custom_fields":[{"id":1,"name":"Subdivision","value":"EC"},{"id":4,"name":"Milepost","value":"0.1188"},{"id":17,"name":"Train ID","value":"160-05"},{"id":16,"name":"Locomotive ID","value":"4019"},{"id":130,"name":"Impact","value":""},{"id":150,"name":"Time of Event (Mountain Time)","value":"12:38:43"},{"id":151,"name":"Denver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542</v>
      </c>
      <c r="B73" s="7">
        <v>4042</v>
      </c>
      <c r="C73" s="22" t="s">
        <v>208</v>
      </c>
      <c r="D73" s="22" t="s">
        <v>239</v>
      </c>
      <c r="E73" s="13">
        <v>42709.46466435185</v>
      </c>
      <c r="F73" s="13">
        <v>42709.468912037039</v>
      </c>
      <c r="G73" s="7">
        <v>1</v>
      </c>
      <c r="H73" s="22" t="s">
        <v>702</v>
      </c>
      <c r="I73" s="13">
        <v>42709.494016203702</v>
      </c>
      <c r="J73" s="7">
        <v>2</v>
      </c>
      <c r="K73" s="109" t="str">
        <f>IF(ISEVEN(B73),(B73-1)&amp;"/"&amp;B73,B73&amp;"/"&amp;(B73+1))</f>
        <v>4041/4042</v>
      </c>
      <c r="L73" s="22" t="str">
        <f>VLOOKUP(A73,'Trips&amp;Operators'!$C$1:$G$99999,5,FALSE)</f>
        <v>BARTLETT KIANDRA</v>
      </c>
      <c r="M73" s="6">
        <f>I73-F73</f>
        <v>2.5104166663368233E-2</v>
      </c>
      <c r="N73" s="7">
        <f>24*60*SUM($M73:$M73)</f>
        <v>36.149999995250255</v>
      </c>
      <c r="O73" s="7"/>
      <c r="P73" s="7"/>
      <c r="Q73" s="23"/>
      <c r="R73" s="23"/>
      <c r="S73" s="35">
        <f>SUM(U73:U73)/IF(AG73="EC",12,1)</f>
        <v>1</v>
      </c>
      <c r="T73" s="50" t="str">
        <f>IF(ISEVEN(LEFT(AD73,4)),"Southbound","NorthBound")</f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hh:mm:ss")&amp;utc_offset&amp;"00',mode:absolute,to:'"&amp;TEXT(I73+1/24,"yyyy-MM-DD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https://search-rtdc-monitor-bjffxe2xuh6vdkpspy63sjmuny.us-east-1.es.amazonaws.com/_plugin/kibana/#/discover/Steve-Slow-Train-Analysis-(2080s-and-2083s)?_g=(refreshInterval:(display:Off,section:0,value:0),time:(from:'2016-12-05 10:09:07-700',mode:absolute,to:'2016-12-05 12:51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3" s="52" t="str">
        <f>IF(AA73&lt;IF(AG73="EC",23,5.65),"Y","N")</f>
        <v>N</v>
      </c>
      <c r="X73" s="177">
        <f>VALUE(LEFT(AD73,4))-VALUE(LEFT(AD72,4))</f>
        <v>1</v>
      </c>
      <c r="Y73" s="67">
        <f>RIGHT(D73,LEN(D73)-4)/10000</f>
        <v>4.5499999999999999E-2</v>
      </c>
      <c r="Z73" s="67">
        <f>RIGHT(H73,LEN(H73)-4)/10000</f>
        <v>23.3249</v>
      </c>
      <c r="AA73" s="67">
        <f>ABS(Z73-Y73)</f>
        <v>23.279399999999999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>IF(LEN(A73)=6,"0"&amp;A73,A73)</f>
        <v>0161-05</v>
      </c>
      <c r="AE73" s="91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s3://rtdc.mdm.uploadarchive.raw/RTDC4042/ "%USERPROFILE%\AppData\Local\Temp\OnboardLogs"\RTDC4042\2016-12-05 --exclude "*" --recursive --include "*20161205*" &amp; "%USERPROFILE%\Documents\GitHub\mrs-test-scripts\Headless Mode &amp; Sideloading\WalkAndUnGZ.bat" "%USERPROFILE%\AppData\Local\Temp\OnboardLogs"\RTDC4042\2016-12-05 &amp; aws s3 cp s3://rtdc.mdm.uploadarchive.raw/RTDC4042/ "%USERPROFILE%\AppData\Local\Temp\OnboardLogs"\RTDC4042\2016-12-06 --exclude "*" --recursive --include "*20161206*" &amp; "%USERPROFILE%\Documents\GitHub\mrs-test-scripts\Headless Mode &amp; Sideloading\WalkAndUnGZ.bat" "%USERPROFILE%\AppData\Local\Temp\OnboardLogs"\RTDC4042\2016-12-06</v>
      </c>
      <c r="AF73" s="88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/stypes="app*4042*20161205*" /stext=" 18:.+((SYSTEM_STATE.+slice.+state.+changed )|(ment ac)|(multiple cpu faults)|(system.+state.+changed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92" t="str">
        <f t="shared" si="2"/>
        <v>"%USERPROFILE%\Documents\GitHub\eaglep3\Utilities\RefineRTDCRunTimes.py" --tripid 161-05 --locoid 4042 --swversion DE.1.0.8.0 --startMP 204:455 --initTime 2016-12-05T11:09:07 --startdatetime 2016-12-05T11:15:14 --delay 1 --endMP 204:233249 --enddatetime 2016-12-05T11:51:23 --enforcementcount 2 &gt;&gt;C:\Users\stu\Documents\GitHub\eaglep3-reporting\EC\2016-12-05-refined-times.txt</v>
      </c>
      <c r="AI73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{"issue":{"subject":"","project_id":79,"tracker_id":40,"status_id":1,"priority_id":2,"assigned_to_id":23,"start_date":"2016-12-05","description":"","custom_fields":[{"id":1,"name":"Subdivision","value":"EC"},{"id":4,"name":"Milepost","value":"23.3249"},{"id":17,"name":"Train ID","value":"161-05"},{"id":16,"name":"Locomotive ID","value":"4042"},{"id":130,"name":"Impact","value":""},{"id":150,"name":"Time of Event (Mountain Time)","value":"11:51:23"},{"id":151,"name":"Denver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557</v>
      </c>
      <c r="B74" s="7">
        <v>4041</v>
      </c>
      <c r="C74" s="22" t="s">
        <v>208</v>
      </c>
      <c r="D74" s="22" t="s">
        <v>703</v>
      </c>
      <c r="E74" s="13">
        <v>42709.50340277778</v>
      </c>
      <c r="F74" s="13">
        <v>42709.5078587963</v>
      </c>
      <c r="G74" s="7">
        <v>2</v>
      </c>
      <c r="H74" s="22" t="s">
        <v>258</v>
      </c>
      <c r="I74" s="13">
        <v>42709.53707175926</v>
      </c>
      <c r="J74" s="7">
        <v>2</v>
      </c>
      <c r="K74" s="109" t="str">
        <f>IF(ISEVEN(B74),(B74-1)&amp;"/"&amp;B74,B74&amp;"/"&amp;(B74+1))</f>
        <v>4041/4042</v>
      </c>
      <c r="L74" s="22" t="str">
        <f>VLOOKUP(A74,'Trips&amp;Operators'!$C$1:$G$99999,5,FALSE)</f>
        <v>BARTLETT KIANDRA</v>
      </c>
      <c r="M74" s="6">
        <f>I74-F74</f>
        <v>2.9212962959718425E-2</v>
      </c>
      <c r="N74" s="7">
        <f>24*60*SUM($M74:$M74)</f>
        <v>42.066666661994532</v>
      </c>
      <c r="O74" s="7"/>
      <c r="P74" s="7"/>
      <c r="Q74" s="23"/>
      <c r="R74" s="23"/>
      <c r="S74" s="35">
        <f>SUM(U74:U74)/IF(AG74="EC",12,1)</f>
        <v>1</v>
      </c>
      <c r="T74" s="50" t="str">
        <f>IF(ISEVEN(LEFT(AD74,4)),"Southbound","NorthBound")</f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hh:mm:ss")&amp;utc_offset&amp;"00',mode:absolute,to:'"&amp;TEXT(I74+1/24,"yyyy-MM-DD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https://search-rtdc-monitor-bjffxe2xuh6vdkpspy63sjmuny.us-east-1.es.amazonaws.com/_plugin/kibana/#/discover/Steve-Slow-Train-Analysis-(2080s-and-2083s)?_g=(refreshInterval:(display:Off,section:0,value:0),time:(from:'2016-12-05 11:04:54-700',mode:absolute,to:'2016-12-05 13:53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4" s="52" t="str">
        <f>IF(AA74&lt;IF(AG74="EC",23,5.65),"Y","N")</f>
        <v>N</v>
      </c>
      <c r="X74" s="177">
        <f>VALUE(LEFT(AD74,4))-VALUE(LEFT(AD73,4))</f>
        <v>1</v>
      </c>
      <c r="Y74" s="67">
        <f>RIGHT(D74,LEN(D74)-4)/10000</f>
        <v>23.291899999999998</v>
      </c>
      <c r="Z74" s="67">
        <f>RIGHT(H74,LEN(H74)-4)/10000</f>
        <v>1.4500000000000001E-2</v>
      </c>
      <c r="AA74" s="67">
        <f>ABS(Z74-Y74)</f>
        <v>23.277399999999997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>IF(LEN(A74)=6,"0"&amp;A74,A74)</f>
        <v>0162-05</v>
      </c>
      <c r="AE74" s="91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 &amp; aws s3 cp s3://rtdc.mdm.uploadarchive.raw/RTDC4041/ "%USERPROFILE%\AppData\Local\Temp\OnboardLogs"\RTDC4041\2016-12-06 --exclude "*" --recursive --include "*20161206*" &amp; "%USERPROFILE%\Documents\GitHub\mrs-test-scripts\Headless Mode &amp; Sideloading\WalkAndUnGZ.bat" "%USERPROFILE%\AppData\Local\Temp\OnboardLogs"\RTDC4041\2016-12-06</v>
      </c>
      <c r="AF74" s="88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/stypes="app*4041*20161205*" /stext=" 19:.+((SYSTEM_STATE.+slice.+state.+changed )|(ment ac)|(multiple cpu faults)|(system.+state.+changed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92" t="str">
        <f t="shared" si="2"/>
        <v>"%USERPROFILE%\Documents\GitHub\eaglep3\Utilities\RefineRTDCRunTimes.py" --tripid 162-05 --locoid 4041 --swversion DE.1.0.8.0 --startMP 204:232919 --initTime 2016-12-05T12:04:54 --startdatetime 2016-12-05T12:11:19 --delay 2 --endMP 204:145 --enddatetime 2016-12-05T12:53:23 --enforcementcount 2 &gt;&gt;C:\Users\stu\Documents\GitHub\eaglep3-reporting\EC\2016-12-05-refined-times.txt</v>
      </c>
      <c r="AI74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{"issue":{"subject":"","project_id":79,"tracker_id":40,"status_id":1,"priority_id":2,"assigned_to_id":23,"start_date":"2016-12-05","description":"","custom_fields":[{"id":1,"name":"Subdivision","value":"EC"},{"id":4,"name":"Milepost","value":"0.0145"},{"id":17,"name":"Train ID","value":"162-05"},{"id":16,"name":"Locomotive ID","value":"4041"},{"id":130,"name":"Impact","value":""},{"id":150,"name":"Time of Event (Mountain Time)","value":"12:53:23"},{"id":151,"name":"Denver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549</v>
      </c>
      <c r="B75" s="7">
        <v>4002</v>
      </c>
      <c r="C75" s="22" t="s">
        <v>208</v>
      </c>
      <c r="D75" s="22" t="s">
        <v>239</v>
      </c>
      <c r="E75" s="13">
        <v>42709.475648148145</v>
      </c>
      <c r="F75" s="13">
        <v>42709.479571759257</v>
      </c>
      <c r="G75" s="7">
        <v>1</v>
      </c>
      <c r="H75" s="22" t="s">
        <v>371</v>
      </c>
      <c r="I75" s="13">
        <v>42709.504618055558</v>
      </c>
      <c r="J75" s="7">
        <v>2</v>
      </c>
      <c r="K75" s="109" t="str">
        <f>IF(ISEVEN(B75),(B75-1)&amp;"/"&amp;B75,B75&amp;"/"&amp;(B75+1))</f>
        <v>4001/4002</v>
      </c>
      <c r="L75" s="22" t="str">
        <f>VLOOKUP(A75,'Trips&amp;Operators'!$C$1:$G$99999,5,FALSE)</f>
        <v>BONDS REYNALDO</v>
      </c>
      <c r="M75" s="6">
        <f>I75-F75</f>
        <v>2.5046296301297843E-2</v>
      </c>
      <c r="N75" s="7">
        <f>24*60*SUM($M75:$M75)</f>
        <v>36.066666673868895</v>
      </c>
      <c r="O75" s="7"/>
      <c r="P75" s="7"/>
      <c r="Q75" s="23"/>
      <c r="R75" s="23"/>
      <c r="S75" s="35">
        <f>SUM(U75:U75)/IF(AG75="EC",12,1)</f>
        <v>1</v>
      </c>
      <c r="T75" s="50" t="str">
        <f>IF(ISEVEN(LEFT(AD75,4)),"Southbound","NorthBound")</f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hh:mm:ss")&amp;utc_offset&amp;"00',mode:absolute,to:'"&amp;TEXT(I75+1/24,"yyyy-MM-DD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https://search-rtdc-monitor-bjffxe2xuh6vdkpspy63sjmuny.us-east-1.es.amazonaws.com/_plugin/kibana/#/discover/Steve-Slow-Train-Analysis-(2080s-and-2083s)?_g=(refreshInterval:(display:Off,section:0,value:0),time:(from:'2016-12-05 10:24:56-700',mode:absolute,to:'2016-12-05 13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5" s="52" t="str">
        <f>IF(AA75&lt;IF(AG75="EC",23,5.65),"Y","N")</f>
        <v>N</v>
      </c>
      <c r="X75" s="177">
        <f>VALUE(LEFT(AD75,4))-VALUE(LEFT(AD74,4))</f>
        <v>1</v>
      </c>
      <c r="Y75" s="67">
        <f>RIGHT(D75,LEN(D75)-4)/10000</f>
        <v>4.5499999999999999E-2</v>
      </c>
      <c r="Z75" s="67">
        <f>RIGHT(H75,LEN(H75)-4)/10000</f>
        <v>23.329499999999999</v>
      </c>
      <c r="AA75" s="67">
        <f>ABS(Z75-Y75)</f>
        <v>23.283999999999999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>IF(LEN(A75)=6,"0"&amp;A75,A75)</f>
        <v>0163-05</v>
      </c>
      <c r="AE75" s="91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s3://rtdc.mdm.uploadarchive.raw/RTDC4002/ "%USERPROFILE%\AppData\Local\Temp\OnboardLogs"\RTDC4002\2016-12-05 --exclude "*" --recursive --include "*20161205*" &amp; "%USERPROFILE%\Documents\GitHub\mrs-test-scripts\Headless Mode &amp; Sideloading\WalkAndUnGZ.bat" "%USERPROFILE%\AppData\Local\Temp\OnboardLogs"\RTDC4002\2016-12-05 &amp; aws s3 cp s3://rtdc.mdm.uploadarchive.raw/RTDC4002/ "%USERPROFILE%\AppData\Local\Temp\OnboardLogs"\RTDC4002\2016-12-06 --exclude "*" --recursive --include "*20161206*" &amp; "%USERPROFILE%\Documents\GitHub\mrs-test-scripts\Headless Mode &amp; Sideloading\WalkAndUnGZ.bat" "%USERPROFILE%\AppData\Local\Temp\OnboardLogs"\RTDC4002\2016-12-06</v>
      </c>
      <c r="AF75" s="88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/stypes="app*4002*20161205*" /stext=" 19:.+((SYSTEM_STATE.+slice.+state.+changed )|(ment ac)|(multiple cpu faults)|(system.+state.+changed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92" t="str">
        <f t="shared" si="2"/>
        <v>"%USERPROFILE%\Documents\GitHub\eaglep3\Utilities\RefineRTDCRunTimes.py" --tripid 163-05 --locoid 4002 --swversion DE.1.0.8.0 --startMP 204:455 --initTime 2016-12-05T11:24:56 --startdatetime 2016-12-05T11:30:35 --delay 1 --endMP 204:233295 --enddatetime 2016-12-05T12:06:39 --enforcementcount 2 &gt;&gt;C:\Users\stu\Documents\GitHub\eaglep3-reporting\EC\2016-12-05-refined-times.txt</v>
      </c>
      <c r="AI75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{"issue":{"subject":"","project_id":79,"tracker_id":40,"status_id":1,"priority_id":2,"assigned_to_id":23,"start_date":"2016-12-05","description":"","custom_fields":[{"id":1,"name":"Subdivision","value":"EC"},{"id":4,"name":"Milepost","value":"23.3295"},{"id":17,"name":"Train ID","value":"163-05"},{"id":16,"name":"Locomotive ID","value":"4002"},{"id":130,"name":"Impact","value":""},{"id":150,"name":"Time of Event (Mountain Time)","value":"12:06:39"},{"id":151,"name":"Denver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445</v>
      </c>
      <c r="B76" s="7">
        <v>4001</v>
      </c>
      <c r="C76" s="22" t="s">
        <v>208</v>
      </c>
      <c r="D76" s="22" t="s">
        <v>301</v>
      </c>
      <c r="E76" s="13">
        <v>42709.510324074072</v>
      </c>
      <c r="F76" s="13">
        <v>42709.518541666665</v>
      </c>
      <c r="G76" s="7">
        <v>1</v>
      </c>
      <c r="H76" s="22" t="s">
        <v>210</v>
      </c>
      <c r="I76" s="13">
        <v>42709.548668981479</v>
      </c>
      <c r="J76" s="7">
        <v>2</v>
      </c>
      <c r="K76" s="109" t="str">
        <f>IF(ISEVEN(B76),(B76-1)&amp;"/"&amp;B76,B76&amp;"/"&amp;(B76+1))</f>
        <v>4001/4002</v>
      </c>
      <c r="L76" s="22" t="str">
        <f>VLOOKUP(A76,'Trips&amp;Operators'!$C$1:$G$99999,5,FALSE)</f>
        <v>BONDS REYNALDO</v>
      </c>
      <c r="M76" s="6">
        <f>I76-F76</f>
        <v>3.0127314814308193E-2</v>
      </c>
      <c r="N76" s="7">
        <f>24*60*SUM($M76:$M76)</f>
        <v>43.383333332603797</v>
      </c>
      <c r="O76" s="7"/>
      <c r="P76" s="7"/>
      <c r="Q76" s="23"/>
      <c r="R76" s="23"/>
      <c r="S76" s="35">
        <f>SUM(U76:U76)/IF(AG76="EC",12,1)</f>
        <v>1</v>
      </c>
      <c r="T76" s="50" t="str">
        <f>IF(ISEVEN(LEFT(AD76,4)),"Southbound","NorthBound")</f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hh:mm:ss")&amp;utc_offset&amp;"00',mode:absolute,to:'"&amp;TEXT(I76+1/24,"yyyy-MM-DD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https://search-rtdc-monitor-bjffxe2xuh6vdkpspy63sjmuny.us-east-1.es.amazonaws.com/_plugin/kibana/#/discover/Steve-Slow-Train-Analysis-(2080s-and-2083s)?_g=(refreshInterval:(display:Off,section:0,value:0),time:(from:'2016-12-05 11:14:52-700',mode:absolute,to:'2016-12-05 14:10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6" s="52" t="str">
        <f>IF(AA76&lt;IF(AG76="EC",23,5.65),"Y","N")</f>
        <v>N</v>
      </c>
      <c r="X76" s="177">
        <f>VALUE(LEFT(AD76,4))-VALUE(LEFT(AD75,4))</f>
        <v>1</v>
      </c>
      <c r="Y76" s="67">
        <f>RIGHT(D76,LEN(D76)-4)/10000</f>
        <v>23.296900000000001</v>
      </c>
      <c r="Z76" s="67">
        <f>RIGHT(H76,LEN(H76)-4)/10000</f>
        <v>1.5800000000000002E-2</v>
      </c>
      <c r="AA76" s="67">
        <f>ABS(Z76-Y76)</f>
        <v>23.281100000000002</v>
      </c>
      <c r="AB76" s="64" t="str">
        <f>VLOOKUP(A76,Enforcements!$C$7:$K$20,8,0)</f>
        <v>Form based authority (4)</v>
      </c>
      <c r="AC76" s="60" t="str">
        <f>VLOOKUP(A76,Enforcements!$C$7:$E$20,3,0)</f>
        <v>TRACK WARRANT AUTHORITY</v>
      </c>
      <c r="AD76" s="61" t="str">
        <f>IF(LEN(A76)=6,"0"&amp;A76,A76)</f>
        <v>0164-05</v>
      </c>
      <c r="AE76" s="91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s3://rtdc.mdm.uploadarchive.raw/RTDC4001/ "%USERPROFILE%\AppData\Local\Temp\OnboardLogs"\RTDC4001\2016-12-05 --exclude "*" --recursive --include "*20161205*" &amp; "%USERPROFILE%\Documents\GitHub\mrs-test-scripts\Headless Mode &amp; Sideloading\WalkAndUnGZ.bat" "%USERPROFILE%\AppData\Local\Temp\OnboardLogs"\RTDC4001\2016-12-05 &amp; aws s3 cp s3://rtdc.mdm.uploadarchive.raw/RTDC4001/ "%USERPROFILE%\AppData\Local\Temp\OnboardLogs"\RTDC4001\2016-12-06 --exclude "*" --recursive --include "*20161206*" &amp; "%USERPROFILE%\Documents\GitHub\mrs-test-scripts\Headless Mode &amp; Sideloading\WalkAndUnGZ.bat" "%USERPROFILE%\AppData\Local\Temp\OnboardLogs"\RTDC4001\2016-12-06</v>
      </c>
      <c r="AF76" s="88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/stypes="app*4001*20161205*" /stext=" 20:.+((SYSTEM_STATE.+slice.+state.+changed )|(ment ac)|(multiple cpu faults)|(system.+state.+changed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92" t="str">
        <f t="shared" si="2"/>
        <v>"%USERPROFILE%\Documents\GitHub\eaglep3\Utilities\RefineRTDCRunTimes.py" --tripid 164-05 --locoid 4001 --swversion DE.1.0.8.0 --startMP 204:232969 --initTime 2016-12-05T12:14:52 --startdatetime 2016-12-05T12:26:42 --delay 1 --endMP 204:158 --enddatetime 2016-12-05T13:10:05 --enforcementcount 2 &gt;&gt;C:\Users\stu\Documents\GitHub\eaglep3-reporting\EC\2016-12-05-refined-times.txt</v>
      </c>
      <c r="AI76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{"issue":{"subject":"","project_id":79,"tracker_id":40,"status_id":1,"priority_id":2,"assigned_to_id":23,"start_date":"2016-12-05","description":"","custom_fields":[{"id":1,"name":"Subdivision","value":"EC"},{"id":4,"name":"Milepost","value":"0.0158"},{"id":17,"name":"Train ID","value":"164-05"},{"id":16,"name":"Locomotive ID","value":"4001"},{"id":130,"name":"Impact","value":""},{"id":150,"name":"Time of Event (Mountain Time)","value":"13:10:05"},{"id":151,"name":"Denver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552</v>
      </c>
      <c r="B77" s="7">
        <v>4044</v>
      </c>
      <c r="C77" s="22" t="s">
        <v>208</v>
      </c>
      <c r="D77" s="22" t="s">
        <v>290</v>
      </c>
      <c r="E77" s="13">
        <v>42709.483576388891</v>
      </c>
      <c r="F77" s="13">
        <v>42709.48978009259</v>
      </c>
      <c r="G77" s="7">
        <v>1</v>
      </c>
      <c r="H77" s="22" t="s">
        <v>391</v>
      </c>
      <c r="I77" s="13">
        <v>42709.518379629626</v>
      </c>
      <c r="J77" s="7">
        <v>2</v>
      </c>
      <c r="K77" s="109" t="str">
        <f>IF(ISEVEN(B77),(B77-1)&amp;"/"&amp;B77,B77&amp;"/"&amp;(B77+1))</f>
        <v>4043/4044</v>
      </c>
      <c r="L77" s="22" t="str">
        <f>VLOOKUP(A77,'Trips&amp;Operators'!$C$1:$G$99999,5,FALSE)</f>
        <v>CLARK KATHLEEN</v>
      </c>
      <c r="M77" s="6">
        <f>I77-F77</f>
        <v>2.8599537035916001E-2</v>
      </c>
      <c r="N77" s="7">
        <f>24*60*SUM($M77:$M77)</f>
        <v>41.183333331719041</v>
      </c>
      <c r="O77" s="7"/>
      <c r="P77" s="7"/>
      <c r="Q77" s="23"/>
      <c r="R77" s="23"/>
      <c r="S77" s="35">
        <f>SUM(U77:U77)/IF(AG77="EC",12,1)</f>
        <v>1</v>
      </c>
      <c r="T77" s="50" t="str">
        <f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https://search-rtdc-monitor-bjffxe2xuh6vdkpspy63sjmuny.us-east-1.es.amazonaws.com/_plugin/kibana/#/discover/Steve-Slow-Train-Analysis-(2080s-and-2083s)?_g=(refreshInterval:(display:Off,section:0,value:0),time:(from:'2016-12-05 10:36:21-700',mode:absolute,to:'2016-12-05 13:26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7" s="52" t="str">
        <f>IF(AA77&lt;IF(AG77="EC",23,5.65),"Y","N")</f>
        <v>N</v>
      </c>
      <c r="X77" s="177">
        <f>VALUE(LEFT(AD77,4))-VALUE(LEFT(AD76,4))</f>
        <v>1</v>
      </c>
      <c r="Y77" s="67">
        <f>RIGHT(D77,LEN(D77)-4)/10000</f>
        <v>4.3799999999999999E-2</v>
      </c>
      <c r="Z77" s="67">
        <f>RIGHT(H77,LEN(H77)-4)/10000</f>
        <v>23.330400000000001</v>
      </c>
      <c r="AA77" s="67">
        <f>ABS(Z77-Y77)</f>
        <v>23.2866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>IF(LEN(A77)=6,"0"&amp;A77,A77)</f>
        <v>0165-05</v>
      </c>
      <c r="AE77" s="91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 &amp; 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</v>
      </c>
      <c r="AF77" s="88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/stypes="app*4044*20161205*" /stext=" 19:.+((SYSTEM_STATE.+slice.+state.+changed )|(ment ac)|(multiple cpu faults)|(system.+state.+changed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92" t="str">
        <f t="shared" si="2"/>
        <v>"%USERPROFILE%\Documents\GitHub\eaglep3\Utilities\RefineRTDCRunTimes.py" --tripid 165-05 --locoid 4044 --swversion DE.1.0.8.0 --startMP 204:438 --initTime 2016-12-05T11:36:21 --startdatetime 2016-12-05T11:45:17 --delay 1 --endMP 204:233304 --enddatetime 2016-12-05T12:26:28 --enforcementcount 2 &gt;&gt;C:\Users\stu\Documents\GitHub\eaglep3-reporting\EC\2016-12-05-refined-times.txt</v>
      </c>
      <c r="AI77" s="119" t="str">
        <f t="shared" si="3"/>
        <v>echo {"issue":{"subject":"","project_id":79,"tracker_id":40,"status_id":1,"priority_id":2,"assigned_to_id":23,"start_date":"2016-12-05","description":"","custom_fields":[{"id":1,"name":"Subdivision","value":"EC"},{"id":4,"name":"Milepost","value":"23.3304"},{"id":17,"name":"Train ID","value":"165-05"},{"id":16,"name":"Locomotive ID","value":"4044"},{"id":130,"name":"Impact","value":""},{"id":150,"name":"Time of Event (Mountain Time)","value":"12:26:28"},{"id":151,"name":"Denver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562</v>
      </c>
      <c r="B78" s="7">
        <v>4043</v>
      </c>
      <c r="C78" s="22" t="s">
        <v>208</v>
      </c>
      <c r="D78" s="22" t="s">
        <v>255</v>
      </c>
      <c r="E78" s="13">
        <v>42709.525879629633</v>
      </c>
      <c r="F78" s="13">
        <v>42709.528715277775</v>
      </c>
      <c r="G78" s="7">
        <v>1</v>
      </c>
      <c r="H78" s="22" t="s">
        <v>284</v>
      </c>
      <c r="I78" s="13">
        <v>42709.557349537034</v>
      </c>
      <c r="J78" s="7">
        <v>2</v>
      </c>
      <c r="K78" s="109" t="str">
        <f>IF(ISEVEN(B78),(B78-1)&amp;"/"&amp;B78,B78&amp;"/"&amp;(B78+1))</f>
        <v>4043/4044</v>
      </c>
      <c r="L78" s="22" t="str">
        <f>VLOOKUP(A78,'Trips&amp;Operators'!$C$1:$G$99999,5,FALSE)</f>
        <v>CLARK KATHLEEN</v>
      </c>
      <c r="M78" s="6">
        <f>I78-F78</f>
        <v>2.8634259258979E-2</v>
      </c>
      <c r="N78" s="7">
        <f>24*60*SUM($M78:$M78)</f>
        <v>41.23333333292976</v>
      </c>
      <c r="O78" s="7"/>
      <c r="P78" s="7"/>
      <c r="Q78" s="23"/>
      <c r="R78" s="23"/>
      <c r="S78" s="35">
        <f>SUM(U78:U78)/IF(AG78="EC",12,1)</f>
        <v>1</v>
      </c>
      <c r="T78" s="50" t="str">
        <f>IF(ISEVEN(LEFT(AD78,4)),"Southbound","NorthBound")</f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https://search-rtdc-monitor-bjffxe2xuh6vdkpspy63sjmuny.us-east-1.es.amazonaws.com/_plugin/kibana/#/discover/Steve-Slow-Train-Analysis-(2080s-and-2083s)?_g=(refreshInterval:(display:Off,section:0,value:0),time:(from:'2016-12-05 11:37:16-700',mode:absolute,to:'2016-12-05 14:22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8" s="52" t="str">
        <f>IF(AA78&lt;IF(AG78="EC",23,5.65),"Y","N")</f>
        <v>N</v>
      </c>
      <c r="X78" s="177">
        <f>VALUE(LEFT(AD78,4))-VALUE(LEFT(AD77,4))</f>
        <v>1</v>
      </c>
      <c r="Y78" s="67">
        <f>RIGHT(D78,LEN(D78)-4)/10000</f>
        <v>23.2989</v>
      </c>
      <c r="Z78" s="67">
        <f>RIGHT(H78,LEN(H78)-4)/10000</f>
        <v>1.6299999999999999E-2</v>
      </c>
      <c r="AA78" s="67">
        <f>ABS(Z78-Y78)</f>
        <v>23.282599999999999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>IF(LEN(A78)=6,"0"&amp;A78,A78)</f>
        <v>0166-05</v>
      </c>
      <c r="AE78" s="91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 &amp; 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</v>
      </c>
      <c r="AF78" s="88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/stypes="app*4043*20161205*" /stext=" 20:.+((SYSTEM_STATE.+slice.+state.+changed )|(ment ac)|(multiple cpu faults)|(system.+state.+changed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92" t="str">
        <f t="shared" ref="AH78:AH141" si="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166-05 --locoid 4043 --swversion DE.1.0.8.0 --startMP 204:232989 --initTime 2016-12-05T12:37:16 --startdatetime 2016-12-05T12:41:21 --delay 1 --endMP 204:163 --enddatetime 2016-12-05T13:22:35 --enforcementcount 2 &gt;&gt;C:\Users\stu\Documents\GitHub\eaglep3-reporting\EC\2016-12-05-refined-times.txt</v>
      </c>
      <c r="AI78" s="119" t="str">
        <f t="shared" ref="AI78:AI141" si="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{"issue":{"subject":"","project_id":79,"tracker_id":40,"status_id":1,"priority_id":2,"assigned_to_id":23,"start_date":"2016-12-05","description":"","custom_fields":[{"id":1,"name":"Subdivision","value":"EC"},{"id":4,"name":"Milepost","value":"0.0163"},{"id":17,"name":"Train ID","value":"166-05"},{"id":16,"name":"Locomotive ID","value":"4043"},{"id":130,"name":"Impact","value":""},{"id":150,"name":"Time of Event (Mountain Time)","value":"13:22:35"},{"id":151,"name":"Denver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555</v>
      </c>
      <c r="B79" s="7">
        <v>4040</v>
      </c>
      <c r="C79" s="22" t="s">
        <v>208</v>
      </c>
      <c r="D79" s="22" t="s">
        <v>704</v>
      </c>
      <c r="E79" s="13">
        <v>42709.506678240738</v>
      </c>
      <c r="F79" s="13">
        <v>42709.507615740738</v>
      </c>
      <c r="G79" s="7">
        <v>1</v>
      </c>
      <c r="H79" s="22" t="s">
        <v>705</v>
      </c>
      <c r="I79" s="13">
        <v>42709.529710648145</v>
      </c>
      <c r="J79" s="7">
        <v>2</v>
      </c>
      <c r="K79" s="109" t="str">
        <f>IF(ISEVEN(B79),(B79-1)&amp;"/"&amp;B79,B79&amp;"/"&amp;(B79+1))</f>
        <v>4039/4040</v>
      </c>
      <c r="L79" s="22" t="str">
        <f>VLOOKUP(A79,'Trips&amp;Operators'!$C$1:$G$99999,5,FALSE)</f>
        <v>YOUNG ELIZABETH</v>
      </c>
      <c r="M79" s="6">
        <f>I79-F79</f>
        <v>2.2094907406426501E-2</v>
      </c>
      <c r="N79" s="7"/>
      <c r="O79" s="7"/>
      <c r="P79" s="7">
        <f>24*60*SUM($M79:$M79)</f>
        <v>31.816666665254161</v>
      </c>
      <c r="Q79" s="23"/>
      <c r="R79" s="23" t="s">
        <v>425</v>
      </c>
      <c r="S79" s="35">
        <f>SUM(U79:U79)/IF(AG79="EC",12,1)</f>
        <v>1</v>
      </c>
      <c r="T79" s="50" t="str">
        <f>IF(ISEVEN(LEFT(AD79,4)),"Southbound","NorthBound")</f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hh:mm:ss")&amp;utc_offset&amp;"00',mode:absolute,to:'"&amp;TEXT(I79+1/24,"yyyy-MM-DD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https://search-rtdc-monitor-bjffxe2xuh6vdkpspy63sjmuny.us-east-1.es.amazonaws.com/_plugin/kibana/#/discover/Steve-Slow-Train-Analysis-(2080s-and-2083s)?_g=(refreshInterval:(display:Off,section:0,value:0),time:(from:'2016-12-05 11:09:37-700',mode:absolute,to:'2016-12-05 13:42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9" s="52" t="str">
        <f>IF(AA79&lt;IF(AG79="EC",23,5.65),"Y","N")</f>
        <v>Y</v>
      </c>
      <c r="X79" s="177">
        <f>VALUE(LEFT(AD79,4))-VALUE(LEFT(AD78,4))</f>
        <v>1</v>
      </c>
      <c r="Y79" s="67">
        <f>RIGHT(D79,LEN(D79)-4)/10000</f>
        <v>1.9145000000000001</v>
      </c>
      <c r="Z79" s="67">
        <f>RIGHT(H79,LEN(H79)-4)/10000</f>
        <v>23.328800000000001</v>
      </c>
      <c r="AA79" s="67">
        <f>ABS(Z79-Y79)</f>
        <v>21.414300000000001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>IF(LEN(A79)=6,"0"&amp;A79,A79)</f>
        <v>0167-05</v>
      </c>
      <c r="AE79" s="91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s3://rtdc.mdm.uploadarchive.raw/RTDC4040/ "%USERPROFILE%\AppData\Local\Temp\OnboardLogs"\RTDC4040\2016-12-05 --exclude "*" --recursive --include "*20161205*" &amp; "%USERPROFILE%\Documents\GitHub\mrs-test-scripts\Headless Mode &amp; Sideloading\WalkAndUnGZ.bat" "%USERPROFILE%\AppData\Local\Temp\OnboardLogs"\RTDC4040\2016-12-05 &amp; aws s3 cp s3://rtdc.mdm.uploadarchive.raw/RTDC4040/ "%USERPROFILE%\AppData\Local\Temp\OnboardLogs"\RTDC4040\2016-12-06 --exclude "*" --recursive --include "*20161206*" &amp; "%USERPROFILE%\Documents\GitHub\mrs-test-scripts\Headless Mode &amp; Sideloading\WalkAndUnGZ.bat" "%USERPROFILE%\AppData\Local\Temp\OnboardLogs"\RTDC4040\2016-12-06</v>
      </c>
      <c r="AF79" s="88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/stypes="app*4040*20161205*" /stext=" 19:.+((SYSTEM_STATE.+slice.+state.+changed )|(ment ac)|(multiple cpu faults)|(system.+state.+changed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92" t="str">
        <f t="shared" si="4"/>
        <v>"%USERPROFILE%\Documents\GitHub\eaglep3\Utilities\RefineRTDCRunTimes.py" --tripid 167-05 --locoid 4040 --swversion DE.1.0.8.0 --startMP 204:19145 --initTime 2016-12-05T12:09:37 --startdatetime 2016-12-05T12:10:58 --delay 1 --endMP 204:233288 --enddatetime 2016-12-05T12:42:47 --enforcementcount 2 &gt;&gt;C:\Users\stu\Documents\GitHub\eaglep3-reporting\EC\2016-12-05-refined-times.txt</v>
      </c>
      <c r="AI79" s="119" t="str">
        <f t="shared" si="5"/>
        <v>echo {"issue":{"subject":"Wi-MAX data drop","project_id":79,"tracker_id":40,"status_id":1,"priority_id":2,"assigned_to_id":23,"start_date":"2016-12-05","description":"","custom_fields":[{"id":1,"name":"Subdivision","value":"EC"},{"id":4,"name":"Milepost","value":"23.3288"},{"id":17,"name":"Train ID","value":"167-05"},{"id":16,"name":"Locomotive ID","value":"4040"},{"id":130,"name":"Impact","value":""},{"id":150,"name":"Time of Event (Mountain Time)","value":"12:42:47"},{"id":151,"name":"Denver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555</v>
      </c>
      <c r="B80" s="7">
        <v>4040</v>
      </c>
      <c r="C80" s="22" t="s">
        <v>208</v>
      </c>
      <c r="D80" s="22" t="s">
        <v>230</v>
      </c>
      <c r="E80" s="13">
        <v>42709.497187499997</v>
      </c>
      <c r="F80" s="13">
        <v>42709.507615740738</v>
      </c>
      <c r="G80" s="7">
        <v>2</v>
      </c>
      <c r="H80" s="22" t="s">
        <v>706</v>
      </c>
      <c r="I80" s="13">
        <v>42709.529710648145</v>
      </c>
      <c r="J80" s="7">
        <v>2</v>
      </c>
      <c r="K80" s="109" t="str">
        <f>IF(ISEVEN(B80),(B80-1)&amp;"/"&amp;B80,B80&amp;"/"&amp;(B80+1))</f>
        <v>4039/4040</v>
      </c>
      <c r="L80" s="22" t="str">
        <f>VLOOKUP(A80,'Trips&amp;Operators'!$C$1:$G$99999,5,FALSE)</f>
        <v>YOUNG ELIZABETH</v>
      </c>
      <c r="M80" s="6">
        <f>I80-F80</f>
        <v>2.2094907406426501E-2</v>
      </c>
      <c r="N80" s="7"/>
      <c r="O80" s="7"/>
      <c r="P80" s="7"/>
      <c r="Q80" s="23"/>
      <c r="R80" s="23"/>
      <c r="S80" s="35"/>
      <c r="T80" s="50" t="str">
        <f>IF(ISEVEN(LEFT(AD80,4)),"Southbound","NorthBound")</f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0</v>
      </c>
      <c r="V80" s="98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hh:mm:ss")&amp;utc_offset&amp;"00',mode:absolute,to:'"&amp;TEXT(I80+1/24,"yyyy-MM-DD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https://search-rtdc-monitor-bjffxe2xuh6vdkpspy63sjmuny.us-east-1.es.amazonaws.com/_plugin/kibana/#/discover/Steve-Slow-Train-Analysis-(2080s-and-2083s)?_g=(refreshInterval:(display:Off,section:0,value:0),time:(from:'2016-12-05 10:55:57-700',mode:absolute,to:'2016-12-05 13:42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0" s="52" t="str">
        <f>IF(AA80&lt;IF(AG80="EC",23,5.65),"Y","N")</f>
        <v>Y</v>
      </c>
      <c r="X80" s="177">
        <f>VALUE(LEFT(AD80,4))-VALUE(LEFT(AD79,4))</f>
        <v>0</v>
      </c>
      <c r="Y80" s="67">
        <f>RIGHT(D80,LEN(D80)-4)/10000</f>
        <v>4.4900000000000002E-2</v>
      </c>
      <c r="Z80" s="67">
        <f>RIGHT(H80,LEN(H80)-4)/10000</f>
        <v>0.5978</v>
      </c>
      <c r="AA80" s="67">
        <f>ABS(Z80-Y80)</f>
        <v>0.55289999999999995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>IF(LEN(A80)=6,"0"&amp;A80,A80)</f>
        <v>0167-05</v>
      </c>
      <c r="AE80" s="91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s3://rtdc.mdm.uploadarchive.raw/RTDC4040/ "%USERPROFILE%\AppData\Local\Temp\OnboardLogs"\RTDC4040\2016-12-05 --exclude "*" --recursive --include "*20161205*" &amp; "%USERPROFILE%\Documents\GitHub\mrs-test-scripts\Headless Mode &amp; Sideloading\WalkAndUnGZ.bat" "%USERPROFILE%\AppData\Local\Temp\OnboardLogs"\RTDC4040\2016-12-05 &amp; aws s3 cp s3://rtdc.mdm.uploadarchive.raw/RTDC4040/ "%USERPROFILE%\AppData\Local\Temp\OnboardLogs"\RTDC4040\2016-12-06 --exclude "*" --recursive --include "*20161206*" &amp; "%USERPROFILE%\Documents\GitHub\mrs-test-scripts\Headless Mode &amp; Sideloading\WalkAndUnGZ.bat" "%USERPROFILE%\AppData\Local\Temp\OnboardLogs"\RTDC4040\2016-12-06</v>
      </c>
      <c r="AF80" s="88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/stypes="app*4040*20161205*" /stext=" 19:.+((SYSTEM_STATE.+slice.+state.+changed )|(ment ac)|(multiple cpu faults)|(system.+state.+changed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92" t="str">
        <f t="shared" si="4"/>
        <v>"%USERPROFILE%\Documents\GitHub\eaglep3\Utilities\RefineRTDCRunTimes.py" --tripid 167-05 --locoid 4040 --swversion DE.1.0.8.0 --startMP 204:449 --initTime 2016-12-05T11:55:57 --startdatetime 2016-12-05T12:10:58 --delay 2 --endMP 204:5978 --enddatetime 2016-12-05T12:42:47 --enforcementcount 2 &gt;&gt;C:\Users\stu\Documents\GitHub\eaglep3-reporting\EC\2016-12-05-refined-times.txt</v>
      </c>
      <c r="AI80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{"issue":{"subject":"","project_id":79,"tracker_id":40,"status_id":1,"priority_id":2,"assigned_to_id":23,"start_date":"2016-12-05","description":"","custom_fields":[{"id":1,"name":"Subdivision","value":"EC"},{"id":4,"name":"Milepost","value":"0.5978"},{"id":17,"name":"Train ID","value":"167-05"},{"id":16,"name":"Locomotive ID","value":"4040"},{"id":130,"name":"Impact","value":""},{"id":150,"name":"Time of Event (Mountain Time)","value":"12:42:47"},{"id":151,"name":"Denver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564</v>
      </c>
      <c r="B81" s="7">
        <v>4039</v>
      </c>
      <c r="C81" s="22" t="s">
        <v>208</v>
      </c>
      <c r="D81" s="22" t="s">
        <v>691</v>
      </c>
      <c r="E81" s="13">
        <v>42709.532025462962</v>
      </c>
      <c r="F81" s="13">
        <v>42709.539120370369</v>
      </c>
      <c r="G81" s="7">
        <v>1</v>
      </c>
      <c r="H81" s="22" t="s">
        <v>243</v>
      </c>
      <c r="I81" s="13">
        <v>42709.568356481483</v>
      </c>
      <c r="J81" s="7">
        <v>2</v>
      </c>
      <c r="K81" s="109" t="str">
        <f>IF(ISEVEN(B81),(B81-1)&amp;"/"&amp;B81,B81&amp;"/"&amp;(B81+1))</f>
        <v>4039/4040</v>
      </c>
      <c r="L81" s="22" t="str">
        <f>VLOOKUP(A81,'Trips&amp;Operators'!$C$1:$G$99999,5,FALSE)</f>
        <v>YOUNG ELIZABETH</v>
      </c>
      <c r="M81" s="6">
        <f>I81-F81</f>
        <v>2.923611111327773E-2</v>
      </c>
      <c r="N81" s="7">
        <f>24*60*SUM($M81:$M81)</f>
        <v>42.100000003119931</v>
      </c>
      <c r="O81" s="7"/>
      <c r="P81" s="7"/>
      <c r="Q81" s="23"/>
      <c r="R81" s="23"/>
      <c r="S81" s="35">
        <f>SUM(U81:U81)/IF(AG81="EC",12,1)</f>
        <v>1</v>
      </c>
      <c r="T81" s="50" t="str">
        <f>IF(ISEVEN(LEFT(AD81,4)),"Southbound","NorthBound")</f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hh:mm:ss")&amp;utc_offset&amp;"00',mode:absolute,to:'"&amp;TEXT(I81+1/24,"yyyy-MM-DD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https://search-rtdc-monitor-bjffxe2xuh6vdkpspy63sjmuny.us-east-1.es.amazonaws.com/_plugin/kibana/#/discover/Steve-Slow-Train-Analysis-(2080s-and-2083s)?_g=(refreshInterval:(display:Off,section:0,value:0),time:(from:'2016-12-05 11:46:07-700',mode:absolute,to:'2016-12-05 14:38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1" s="52" t="str">
        <f>IF(AA81&lt;IF(AG81="EC",23,5.65),"Y","N")</f>
        <v>N</v>
      </c>
      <c r="X81" s="177">
        <f>VALUE(LEFT(AD81,4))-VALUE(LEFT(AD80,4))</f>
        <v>1</v>
      </c>
      <c r="Y81" s="67">
        <f>RIGHT(D81,LEN(D81)-4)/10000</f>
        <v>23.2971</v>
      </c>
      <c r="Z81" s="67">
        <f>RIGHT(H81,LEN(H81)-4)/10000</f>
        <v>1.61E-2</v>
      </c>
      <c r="AA81" s="67">
        <f>ABS(Z81-Y81)</f>
        <v>23.280999999999999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>IF(LEN(A81)=6,"0"&amp;A81,A81)</f>
        <v>0168-05</v>
      </c>
      <c r="AE81" s="91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s3://rtdc.mdm.uploadarchive.raw/RTDC4039/ "%USERPROFILE%\AppData\Local\Temp\OnboardLogs"\RTDC4039\2016-12-05 --exclude "*" --recursive --include "*20161205*" &amp; "%USERPROFILE%\Documents\GitHub\mrs-test-scripts\Headless Mode &amp; Sideloading\WalkAndUnGZ.bat" "%USERPROFILE%\AppData\Local\Temp\OnboardLogs"\RTDC4039\2016-12-05 &amp; aws s3 cp s3://rtdc.mdm.uploadarchive.raw/RTDC4039/ "%USERPROFILE%\AppData\Local\Temp\OnboardLogs"\RTDC4039\2016-12-06 --exclude "*" --recursive --include "*20161206*" &amp; "%USERPROFILE%\Documents\GitHub\mrs-test-scripts\Headless Mode &amp; Sideloading\WalkAndUnGZ.bat" "%USERPROFILE%\AppData\Local\Temp\OnboardLogs"\RTDC4039\2016-12-06</v>
      </c>
      <c r="AF81" s="88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/stypes="app*4039*20161205*" /stext=" 20:.+((SYSTEM_STATE.+slice.+state.+changed )|(ment ac)|(multiple cpu faults)|(system.+state.+changed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92" t="str">
        <f t="shared" si="4"/>
        <v>"%USERPROFILE%\Documents\GitHub\eaglep3\Utilities\RefineRTDCRunTimes.py" --tripid 168-05 --locoid 4039 --swversion DE.1.0.8.0 --startMP 204:232971 --initTime 2016-12-05T12:46:07 --startdatetime 2016-12-05T12:56:20 --delay 1 --endMP 204:161 --enddatetime 2016-12-05T13:38:26 --enforcementcount 2 &gt;&gt;C:\Users\stu\Documents\GitHub\eaglep3-reporting\EC\2016-12-05-refined-times.txt</v>
      </c>
      <c r="AI81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{"issue":{"subject":"","project_id":79,"tracker_id":40,"status_id":1,"priority_id":2,"assigned_to_id":23,"start_date":"2016-12-05","description":"","custom_fields":[{"id":1,"name":"Subdivision","value":"EC"},{"id":4,"name":"Milepost","value":"0.0161"},{"id":17,"name":"Train ID","value":"168-05"},{"id":16,"name":"Locomotive ID","value":"4039"},{"id":130,"name":"Impact","value":""},{"id":150,"name":"Time of Event (Mountain Time)","value":"13:38:26"},{"id":151,"name":"Denver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558</v>
      </c>
      <c r="B82" s="7">
        <v>4022</v>
      </c>
      <c r="C82" s="22" t="s">
        <v>208</v>
      </c>
      <c r="D82" s="22" t="s">
        <v>303</v>
      </c>
      <c r="E82" s="13">
        <v>42709.50744212963</v>
      </c>
      <c r="F82" s="13">
        <v>42709.510949074072</v>
      </c>
      <c r="G82" s="7">
        <v>1</v>
      </c>
      <c r="H82" s="22" t="s">
        <v>364</v>
      </c>
      <c r="I82" s="13">
        <v>42709.542222222219</v>
      </c>
      <c r="J82" s="7">
        <v>2</v>
      </c>
      <c r="K82" s="109" t="str">
        <f>IF(ISEVEN(B82),(B82-1)&amp;"/"&amp;B82,B82&amp;"/"&amp;(B82+1))</f>
        <v>4021/4022</v>
      </c>
      <c r="L82" s="22" t="str">
        <f>VLOOKUP(A82,'Trips&amp;Operators'!$C$1:$G$99999,5,FALSE)</f>
        <v>HELVIE ADAM</v>
      </c>
      <c r="M82" s="6">
        <f>I82-F82</f>
        <v>3.1273148146283347E-2</v>
      </c>
      <c r="N82" s="7">
        <f>24*60*SUM($M82:$M82)</f>
        <v>45.03333333064802</v>
      </c>
      <c r="O82" s="7"/>
      <c r="P82" s="7"/>
      <c r="Q82" s="23"/>
      <c r="R82" s="23"/>
      <c r="S82" s="35">
        <f>SUM(U82:U82)/IF(AG82="EC",12,1)</f>
        <v>1</v>
      </c>
      <c r="T82" s="50" t="str">
        <f>IF(ISEVEN(LEFT(AD82,4)),"Southbound","NorthBound")</f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hh:mm:ss")&amp;utc_offset&amp;"00',mode:absolute,to:'"&amp;TEXT(I82+1/24,"yyyy-MM-DD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https://search-rtdc-monitor-bjffxe2xuh6vdkpspy63sjmuny.us-east-1.es.amazonaws.com/_plugin/kibana/#/discover/Steve-Slow-Train-Analysis-(2080s-and-2083s)?_g=(refreshInterval:(display:Off,section:0,value:0),time:(from:'2016-12-05 11:10:43-700',mode:absolute,to:'2016-12-05 14:00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2" s="52" t="str">
        <f>IF(AA82&lt;IF(AG82="EC",23,5.65),"Y","N")</f>
        <v>N</v>
      </c>
      <c r="X82" s="177">
        <f>VALUE(LEFT(AD82,4))-VALUE(LEFT(AD81,4))</f>
        <v>1</v>
      </c>
      <c r="Y82" s="67">
        <f>RIGHT(D82,LEN(D82)-4)/10000</f>
        <v>4.4600000000000001E-2</v>
      </c>
      <c r="Z82" s="67">
        <f>RIGHT(H82,LEN(H82)-4)/10000</f>
        <v>23.331499999999998</v>
      </c>
      <c r="AA82" s="67">
        <f>ABS(Z82-Y82)</f>
        <v>23.286899999999999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>IF(LEN(A82)=6,"0"&amp;A82,A82)</f>
        <v>0169-05</v>
      </c>
      <c r="AE82" s="91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s3://rtdc.mdm.uploadarchive.raw/RTDC4022/ "%USERPROFILE%\AppData\Local\Temp\OnboardLogs"\RTDC4022\2016-12-05 --exclude "*" --recursive --include "*20161205*" &amp; "%USERPROFILE%\Documents\GitHub\mrs-test-scripts\Headless Mode &amp; Sideloading\WalkAndUnGZ.bat" "%USERPROFILE%\AppData\Local\Temp\OnboardLogs"\RTDC4022\2016-12-05 &amp; 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</v>
      </c>
      <c r="AF82" s="88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/stypes="app*4022*20161205*" /stext=" 20:.+((SYSTEM_STATE.+slice.+state.+changed )|(ment ac)|(multiple cpu faults)|(system.+state.+changed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92" t="str">
        <f t="shared" si="4"/>
        <v>"%USERPROFILE%\Documents\GitHub\eaglep3\Utilities\RefineRTDCRunTimes.py" --tripid 169-05 --locoid 4022 --swversion DE.1.0.8.0 --startMP 204:446 --initTime 2016-12-05T12:10:43 --startdatetime 2016-12-05T12:15:46 --delay 1 --endMP 204:233315 --enddatetime 2016-12-05T13:00:48 --enforcementcount 2 &gt;&gt;C:\Users\stu\Documents\GitHub\eaglep3-reporting\EC\2016-12-05-refined-times.txt</v>
      </c>
      <c r="AI82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{"issue":{"subject":"","project_id":79,"tracker_id":40,"status_id":1,"priority_id":2,"assigned_to_id":23,"start_date":"2016-12-05","description":"","custom_fields":[{"id":1,"name":"Subdivision","value":"EC"},{"id":4,"name":"Milepost","value":"23.3315"},{"id":17,"name":"Train ID","value":"169-05"},{"id":16,"name":"Locomotive ID","value":"4022"},{"id":130,"name":"Impact","value":""},{"id":150,"name":"Time of Event (Mountain Time)","value":"13:00:48"},{"id":151,"name":"Denver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446</v>
      </c>
      <c r="B83" s="7">
        <v>4021</v>
      </c>
      <c r="C83" s="22" t="s">
        <v>208</v>
      </c>
      <c r="D83" s="22" t="s">
        <v>696</v>
      </c>
      <c r="E83" s="13">
        <v>42709.546979166669</v>
      </c>
      <c r="F83" s="13">
        <v>42709.549479166664</v>
      </c>
      <c r="G83" s="7">
        <v>1</v>
      </c>
      <c r="H83" s="22" t="s">
        <v>243</v>
      </c>
      <c r="I83" s="13">
        <v>42709.577187499999</v>
      </c>
      <c r="J83" s="7">
        <v>2</v>
      </c>
      <c r="K83" s="109" t="str">
        <f>IF(ISEVEN(B83),(B83-1)&amp;"/"&amp;B83,B83&amp;"/"&amp;(B83+1))</f>
        <v>4021/4022</v>
      </c>
      <c r="L83" s="22" t="str">
        <f>VLOOKUP(A83,'Trips&amp;Operators'!$C$1:$G$99999,5,FALSE)</f>
        <v>HELVIE ADAM</v>
      </c>
      <c r="M83" s="6">
        <f>I83-F83</f>
        <v>2.7708333334885538E-2</v>
      </c>
      <c r="N83" s="7">
        <f>24*60*SUM($M83:$M83)</f>
        <v>39.900000002235174</v>
      </c>
      <c r="O83" s="7"/>
      <c r="P83" s="7"/>
      <c r="Q83" s="23"/>
      <c r="R83" s="23"/>
      <c r="S83" s="35">
        <f>SUM(U83:U83)/IF(AG83="EC",12,1)</f>
        <v>1</v>
      </c>
      <c r="T83" s="50" t="str">
        <f>IF(ISEVEN(LEFT(AD83,4)),"Southbound","NorthBound")</f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hh:mm:ss")&amp;utc_offset&amp;"00',mode:absolute,to:'"&amp;TEXT(I83+1/24,"yyyy-MM-DD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https://search-rtdc-monitor-bjffxe2xuh6vdkpspy63sjmuny.us-east-1.es.amazonaws.com/_plugin/kibana/#/discover/Steve-Slow-Train-Analysis-(2080s-and-2083s)?_g=(refreshInterval:(display:Off,section:0,value:0),time:(from:'2016-12-05 12:07:39-700',mode:absolute,to:'2016-12-05 14:51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3" s="52" t="str">
        <f>IF(AA83&lt;IF(AG83="EC",23,5.65),"Y","N")</f>
        <v>N</v>
      </c>
      <c r="X83" s="177">
        <f>VALUE(LEFT(AD83,4))-VALUE(LEFT(AD82,4))</f>
        <v>1</v>
      </c>
      <c r="Y83" s="67">
        <f>RIGHT(D83,LEN(D83)-4)/10000</f>
        <v>23.299600000000002</v>
      </c>
      <c r="Z83" s="67">
        <f>RIGHT(H83,LEN(H83)-4)/10000</f>
        <v>1.61E-2</v>
      </c>
      <c r="AA83" s="67">
        <f>ABS(Z83-Y83)</f>
        <v>23.2835</v>
      </c>
      <c r="AB83" s="64" t="str">
        <f>VLOOKUP(A83,Enforcements!$C$7:$K$20,8,0)</f>
        <v>Speed (6)</v>
      </c>
      <c r="AC83" s="60" t="str">
        <f>VLOOKUP(A83,Enforcements!$C$7:$E$20,3,0)</f>
        <v>PERMANENT SPEED RESTRICTION</v>
      </c>
      <c r="AD83" s="61" t="str">
        <f>IF(LEN(A83)=6,"0"&amp;A83,A83)</f>
        <v>0170-05</v>
      </c>
      <c r="AE83" s="91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s3://rtdc.mdm.uploadarchive.raw/RTDC4021/ "%USERPROFILE%\AppData\Local\Temp\OnboardLogs"\RTDC4021\2016-12-05 --exclude "*" --recursive --include "*20161205*" &amp; "%USERPROFILE%\Documents\GitHub\mrs-test-scripts\Headless Mode &amp; Sideloading\WalkAndUnGZ.bat" "%USERPROFILE%\AppData\Local\Temp\OnboardLogs"\RTDC4021\2016-12-05 &amp; 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</v>
      </c>
      <c r="AF83" s="88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/stypes="app*4021*20161205*" /stext=" 20:.+((SYSTEM_STATE.+slice.+state.+changed )|(ment ac)|(multiple cpu faults)|(system.+state.+changed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92" t="str">
        <f t="shared" si="4"/>
        <v>"%USERPROFILE%\Documents\GitHub\eaglep3\Utilities\RefineRTDCRunTimes.py" --tripid 170-05 --locoid 4021 --swversion DE.1.0.8.0 --startMP 204:232996 --initTime 2016-12-05T13:07:39 --startdatetime 2016-12-05T13:11:15 --delay 1 --endMP 204:161 --enddatetime 2016-12-05T13:51:09 --enforcementcount 2 &gt;&gt;C:\Users\stu\Documents\GitHub\eaglep3-reporting\EC\2016-12-05-refined-times.txt</v>
      </c>
      <c r="AI83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{"issue":{"subject":"","project_id":79,"tracker_id":40,"status_id":1,"priority_id":2,"assigned_to_id":23,"start_date":"2016-12-05","description":"","custom_fields":[{"id":1,"name":"Subdivision","value":"EC"},{"id":4,"name":"Milepost","value":"0.0161"},{"id":17,"name":"Train ID","value":"170-05"},{"id":16,"name":"Locomotive ID","value":"4021"},{"id":130,"name":"Impact","value":""},{"id":150,"name":"Time of Event (Mountain Time)","value":"13:51:09"},{"id":151,"name":"Denver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563</v>
      </c>
      <c r="B84" s="7">
        <v>4038</v>
      </c>
      <c r="C84" s="22" t="s">
        <v>208</v>
      </c>
      <c r="D84" s="22" t="s">
        <v>707</v>
      </c>
      <c r="E84" s="13">
        <v>42709.528553240743</v>
      </c>
      <c r="F84" s="13">
        <v>42709.529583333337</v>
      </c>
      <c r="G84" s="7">
        <v>1</v>
      </c>
      <c r="H84" s="22" t="s">
        <v>708</v>
      </c>
      <c r="I84" s="13">
        <v>42709.547696759262</v>
      </c>
      <c r="J84" s="7">
        <v>2</v>
      </c>
      <c r="K84" s="109" t="str">
        <f>IF(ISEVEN(B84),(B84-1)&amp;"/"&amp;B84,B84&amp;"/"&amp;(B84+1))</f>
        <v>4037/4038</v>
      </c>
      <c r="L84" s="22" t="str">
        <f>VLOOKUP(A84,'Trips&amp;Operators'!$C$1:$G$99999,5,FALSE)</f>
        <v>SHOOK JOHN</v>
      </c>
      <c r="M84" s="6">
        <f>I84-F84</f>
        <v>1.8113425925548654E-2</v>
      </c>
      <c r="N84" s="7"/>
      <c r="O84" s="7"/>
      <c r="P84" s="7">
        <f>24*60*SUM($M84:$M84)</f>
        <v>26.083333332790062</v>
      </c>
      <c r="Q84" s="23"/>
      <c r="R84" s="23" t="s">
        <v>848</v>
      </c>
      <c r="S84" s="35">
        <f>SUM(U84:U84)/IF(AG84="EC",12,1)</f>
        <v>0.75</v>
      </c>
      <c r="T84" s="50" t="str">
        <f>IF(ISEVEN(LEFT(AD84,4)),"Southbound","NorthBound")</f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9</v>
      </c>
      <c r="V84" s="98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hh:mm:ss")&amp;utc_offset&amp;"00',mode:absolute,to:'"&amp;TEXT(I84+1/24,"yyyy-MM-DD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https://search-rtdc-monitor-bjffxe2xuh6vdkpspy63sjmuny.us-east-1.es.amazonaws.com/_plugin/kibana/#/discover/Steve-Slow-Train-Analysis-(2080s-and-2083s)?_g=(refreshInterval:(display:Off,section:0,value:0),time:(from:'2016-12-05 11:41:07-700',mode:absolute,to:'2016-12-05 14:08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4" s="52" t="str">
        <f>IF(AA84&lt;IF(AG84="EC",23,5.65),"Y","N")</f>
        <v>Y</v>
      </c>
      <c r="X84" s="177">
        <f>VALUE(LEFT(AD84,4))-VALUE(LEFT(AD83,4))</f>
        <v>1</v>
      </c>
      <c r="Y84" s="67">
        <f>RIGHT(D84,LEN(D84)-4)/10000</f>
        <v>3.7189999999999999</v>
      </c>
      <c r="Z84" s="67">
        <f>RIGHT(H84,LEN(H84)-4)/10000</f>
        <v>23.336600000000001</v>
      </c>
      <c r="AA84" s="67">
        <f>ABS(Z84-Y84)</f>
        <v>19.617599999999999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>IF(LEN(A84)=6,"0"&amp;A84,A84)</f>
        <v>0171-05</v>
      </c>
      <c r="AE84" s="91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 &amp; aws s3 cp s3://rtdc.mdm.uploadarchive.raw/RTDC4038/ "%USERPROFILE%\AppData\Local\Temp\OnboardLogs"\RTDC4038\2016-12-06 --exclude "*" --recursive --include "*20161206*" &amp; "%USERPROFILE%\Documents\GitHub\mrs-test-scripts\Headless Mode &amp; Sideloading\WalkAndUnGZ.bat" "%USERPROFILE%\AppData\Local\Temp\OnboardLogs"\RTDC4038\2016-12-06</v>
      </c>
      <c r="AF84" s="88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/stypes="app*4038*20161205*" /stext=" 20:.+((SYSTEM_STATE.+slice.+state.+changed )|(ment ac)|(multiple cpu faults)|(system.+state.+changed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92" t="str">
        <f t="shared" si="4"/>
        <v>"%USERPROFILE%\Documents\GitHub\eaglep3\Utilities\RefineRTDCRunTimes.py" --tripid 171-05 --locoid 4038 --swversion DE.1.0.8.0 --startMP 204:37190 --initTime 2016-12-05T12:41:07 --startdatetime 2016-12-05T12:42:36 --delay 1 --endMP 204:233366 --enddatetime 2016-12-05T13:08:41 --enforcementcount 2 &gt;&gt;C:\Users\stu\Documents\GitHub\eaglep3-reporting\EC\2016-12-05-refined-times.txt</v>
      </c>
      <c r="AI84" s="119" t="str">
        <f t="shared" si="5"/>
        <v>echo {"issue":{"subject":"CCROC/crew/equipment mismatch","project_id":79,"tracker_id":40,"status_id":1,"priority_id":2,"assigned_to_id":23,"start_date":"2016-12-05","description":"","custom_fields":[{"id":1,"name":"Subdivision","value":"EC"},{"id":4,"name":"Milepost","value":"23.3366"},{"id":17,"name":"Train ID","value":"171-05"},{"id":16,"name":"Locomotive ID","value":"4038"},{"id":130,"name":"Impact","value":""},{"id":150,"name":"Time of Event (Mountain Time)","value":"13:08:41"},{"id":151,"name":"Denver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568</v>
      </c>
      <c r="B85" s="7">
        <v>4037</v>
      </c>
      <c r="C85" s="22" t="s">
        <v>208</v>
      </c>
      <c r="D85" s="22" t="s">
        <v>709</v>
      </c>
      <c r="E85" s="13">
        <v>42709.553900462961</v>
      </c>
      <c r="F85" s="13">
        <v>42709.559907407405</v>
      </c>
      <c r="G85" s="7">
        <v>1</v>
      </c>
      <c r="H85" s="22" t="s">
        <v>193</v>
      </c>
      <c r="I85" s="13">
        <v>42709.5858912037</v>
      </c>
      <c r="J85" s="7">
        <v>2</v>
      </c>
      <c r="K85" s="109" t="str">
        <f>IF(ISEVEN(B85),(B85-1)&amp;"/"&amp;B85,B85&amp;"/"&amp;(B85+1))</f>
        <v>4037/4038</v>
      </c>
      <c r="L85" s="22" t="str">
        <f>VLOOKUP(A85,'Trips&amp;Operators'!$C$1:$G$99999,5,FALSE)</f>
        <v>SHOOK JOHN</v>
      </c>
      <c r="M85" s="6">
        <f>I85-F85</f>
        <v>2.5983796294895001E-2</v>
      </c>
      <c r="N85" s="7">
        <f>24*60*SUM($M85:$M85)</f>
        <v>37.416666664648801</v>
      </c>
      <c r="O85" s="7"/>
      <c r="P85" s="7"/>
      <c r="Q85" s="23"/>
      <c r="R85" s="23"/>
      <c r="S85" s="35">
        <f>SUM(U85:U85)/IF(AG85="EC",12,1)</f>
        <v>1</v>
      </c>
      <c r="T85" s="50" t="str">
        <f>IF(ISEVEN(LEFT(AD85,4)),"Southbound","NorthBound")</f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hh:mm:ss")&amp;utc_offset&amp;"00',mode:absolute,to:'"&amp;TEXT(I85+1/24,"yyyy-MM-DD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https://search-rtdc-monitor-bjffxe2xuh6vdkpspy63sjmuny.us-east-1.es.amazonaws.com/_plugin/kibana/#/discover/Steve-Slow-Train-Analysis-(2080s-and-2083s)?_g=(refreshInterval:(display:Off,section:0,value:0),time:(from:'2016-12-05 12:17:37-700',mode:absolute,to:'2016-12-05 15:03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5" s="52" t="str">
        <f>IF(AA85&lt;IF(AG85="EC",23,5.65),"Y","N")</f>
        <v>N</v>
      </c>
      <c r="X85" s="177">
        <f>VALUE(LEFT(AD85,4))-VALUE(LEFT(AD84,4))</f>
        <v>1</v>
      </c>
      <c r="Y85" s="67">
        <f>RIGHT(D85,LEN(D85)-4)/10000</f>
        <v>23.3049</v>
      </c>
      <c r="Z85" s="67">
        <f>RIGHT(H85,LEN(H85)-4)/10000</f>
        <v>1.43E-2</v>
      </c>
      <c r="AA85" s="67">
        <f>ABS(Z85-Y85)</f>
        <v>23.290600000000001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>IF(LEN(A85)=6,"0"&amp;A85,A85)</f>
        <v>0172-05</v>
      </c>
      <c r="AE85" s="91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 &amp; aws s3 cp s3://rtdc.mdm.uploadarchive.raw/RTDC4037/ "%USERPROFILE%\AppData\Local\Temp\OnboardLogs"\RTDC4037\2016-12-06 --exclude "*" --recursive --include "*20161206*" &amp; "%USERPROFILE%\Documents\GitHub\mrs-test-scripts\Headless Mode &amp; Sideloading\WalkAndUnGZ.bat" "%USERPROFILE%\AppData\Local\Temp\OnboardLogs"\RTDC4037\2016-12-06</v>
      </c>
      <c r="AF85" s="88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/stypes="app*4037*20161205*" /stext=" 21:.+((SYSTEM_STATE.+slice.+state.+changed )|(ment ac)|(multiple cpu faults)|(system.+state.+changed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92" t="str">
        <f t="shared" si="4"/>
        <v>"%USERPROFILE%\Documents\GitHub\eaglep3\Utilities\RefineRTDCRunTimes.py" --tripid 172-05 --locoid 4037 --swversion DE.1.0.8.0 --startMP 204:233049 --initTime 2016-12-05T13:17:37 --startdatetime 2016-12-05T13:26:16 --delay 1 --endMP 204:143 --enddatetime 2016-12-05T14:03:41 --enforcementcount 2 &gt;&gt;C:\Users\stu\Documents\GitHub\eaglep3-reporting\EC\2016-12-05-refined-times.txt</v>
      </c>
      <c r="AI85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{"issue":{"subject":"","project_id":79,"tracker_id":40,"status_id":1,"priority_id":2,"assigned_to_id":23,"start_date":"2016-12-05","description":"","custom_fields":[{"id":1,"name":"Subdivision","value":"EC"},{"id":4,"name":"Milepost","value":"0.0143"},{"id":17,"name":"Train ID","value":"172-05"},{"id":16,"name":"Locomotive ID","value":"4037"},{"id":130,"name":"Impact","value":""},{"id":150,"name":"Time of Event (Mountain Time)","value":"14:03:41"},{"id":151,"name":"Denver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565</v>
      </c>
      <c r="B86" s="7">
        <v>4009</v>
      </c>
      <c r="C86" s="22" t="s">
        <v>208</v>
      </c>
      <c r="D86" s="22" t="s">
        <v>244</v>
      </c>
      <c r="E86" s="13">
        <v>42709.532939814817</v>
      </c>
      <c r="F86" s="13">
        <v>42709.534618055557</v>
      </c>
      <c r="G86" s="7">
        <v>1</v>
      </c>
      <c r="H86" s="22" t="s">
        <v>299</v>
      </c>
      <c r="I86" s="13">
        <v>42709.559293981481</v>
      </c>
      <c r="J86" s="7">
        <v>2</v>
      </c>
      <c r="K86" s="109" t="str">
        <f>IF(ISEVEN(B86),(B86-1)&amp;"/"&amp;B86,B86&amp;"/"&amp;(B86+1))</f>
        <v>4009/4010</v>
      </c>
      <c r="L86" s="22" t="str">
        <f>VLOOKUP(A86,'Trips&amp;Operators'!$C$1:$G$99999,5,FALSE)</f>
        <v>STEWART MICHAEL</v>
      </c>
      <c r="M86" s="6">
        <f>I86-F86</f>
        <v>2.4675925924384501E-2</v>
      </c>
      <c r="N86" s="7">
        <f>24*60*SUM($M86:$M86)</f>
        <v>35.533333331113681</v>
      </c>
      <c r="O86" s="7"/>
      <c r="P86" s="7"/>
      <c r="Q86" s="23"/>
      <c r="R86" s="23"/>
      <c r="S86" s="35">
        <f>SUM(U86:U86)/IF(AG86="EC",12,1)</f>
        <v>1</v>
      </c>
      <c r="T86" s="50" t="str">
        <f>IF(ISEVEN(LEFT(AD86,4)),"Southbound","NorthBound")</f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hh:mm:ss")&amp;utc_offset&amp;"00',mode:absolute,to:'"&amp;TEXT(I86+1/24,"yyyy-MM-DD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https://search-rtdc-monitor-bjffxe2xuh6vdkpspy63sjmuny.us-east-1.es.amazonaws.com/_plugin/kibana/#/discover/Steve-Slow-Train-Analysis-(2080s-and-2083s)?_g=(refreshInterval:(display:Off,section:0,value:0),time:(from:'2016-12-05 11:47:26-700',mode:absolute,to:'2016-12-05 14:25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6" s="52" t="str">
        <f>IF(AA86&lt;IF(AG86="EC",23,5.65),"Y","N")</f>
        <v>N</v>
      </c>
      <c r="X86" s="177">
        <f>VALUE(LEFT(AD86,4))-VALUE(LEFT(AD85,4))</f>
        <v>1</v>
      </c>
      <c r="Y86" s="67">
        <f>RIGHT(D86,LEN(D86)-4)/10000</f>
        <v>4.5999999999999999E-2</v>
      </c>
      <c r="Z86" s="67">
        <f>RIGHT(H86,LEN(H86)-4)/10000</f>
        <v>23.331</v>
      </c>
      <c r="AA86" s="67">
        <f>ABS(Z86-Y86)</f>
        <v>23.285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>IF(LEN(A86)=6,"0"&amp;A86,A86)</f>
        <v>0173-05</v>
      </c>
      <c r="AE86" s="91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s3://rtdc.mdm.uploadarchive.raw/RTDC4009/ "%USERPROFILE%\AppData\Local\Temp\OnboardLogs"\RTDC4009\2016-12-05 --exclude "*" --recursive --include "*20161205*" &amp; "%USERPROFILE%\Documents\GitHub\mrs-test-scripts\Headless Mode &amp; Sideloading\WalkAndUnGZ.bat" "%USERPROFILE%\AppData\Local\Temp\OnboardLogs"\RTDC4009\2016-12-05 &amp; 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</v>
      </c>
      <c r="AF86" s="88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/stypes="app*4009*20161205*" /stext=" 20:.+((SYSTEM_STATE.+slice.+state.+changed )|(ment ac)|(multiple cpu faults)|(system.+state.+changed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92" t="str">
        <f t="shared" si="4"/>
        <v>"%USERPROFILE%\Documents\GitHub\eaglep3\Utilities\RefineRTDCRunTimes.py" --tripid 173-05 --locoid 4009 --swversion DE.1.0.8.0 --startMP 204:460 --initTime 2016-12-05T12:47:26 --startdatetime 2016-12-05T12:49:51 --delay 1 --endMP 204:233310 --enddatetime 2016-12-05T13:25:23 --enforcementcount 2 &gt;&gt;C:\Users\stu\Documents\GitHub\eaglep3-reporting\EC\2016-12-05-refined-times.txt</v>
      </c>
      <c r="AI86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{"issue":{"subject":"","project_id":79,"tracker_id":40,"status_id":1,"priority_id":2,"assigned_to_id":23,"start_date":"2016-12-05","description":"","custom_fields":[{"id":1,"name":"Subdivision","value":"EC"},{"id":4,"name":"Milepost","value":"23.331"},{"id":17,"name":"Train ID","value":"173-05"},{"id":16,"name":"Locomotive ID","value":"4009"},{"id":130,"name":"Impact","value":""},{"id":150,"name":"Time of Event (Mountain Time)","value":"13:25:23"},{"id":151,"name":"Denver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449</v>
      </c>
      <c r="B87" s="7">
        <v>4010</v>
      </c>
      <c r="C87" s="22" t="s">
        <v>208</v>
      </c>
      <c r="D87" s="22" t="s">
        <v>399</v>
      </c>
      <c r="E87" s="13">
        <v>42709.566747685189</v>
      </c>
      <c r="F87" s="13">
        <v>42709.570393518516</v>
      </c>
      <c r="G87" s="7">
        <v>1</v>
      </c>
      <c r="H87" s="22" t="s">
        <v>710</v>
      </c>
      <c r="I87" s="13">
        <v>42709.597962962966</v>
      </c>
      <c r="J87" s="7">
        <v>2</v>
      </c>
      <c r="K87" s="109" t="str">
        <f>IF(ISEVEN(B87),(B87-1)&amp;"/"&amp;B87,B87&amp;"/"&amp;(B87+1))</f>
        <v>4009/4010</v>
      </c>
      <c r="L87" s="22" t="str">
        <f>VLOOKUP(A87,'Trips&amp;Operators'!$C$1:$G$99999,5,FALSE)</f>
        <v>STEWART MICHAEL</v>
      </c>
      <c r="M87" s="6">
        <f>I87-F87</f>
        <v>2.7569444449909497E-2</v>
      </c>
      <c r="N87" s="7">
        <f>24*60*SUM($M87:$M87)</f>
        <v>39.700000007869676</v>
      </c>
      <c r="O87" s="7"/>
      <c r="P87" s="7"/>
      <c r="Q87" s="23"/>
      <c r="R87" s="23"/>
      <c r="S87" s="35">
        <f>SUM(U87:U87)/IF(AG87="EC",12,1)</f>
        <v>1</v>
      </c>
      <c r="T87" s="50" t="str">
        <f>IF(ISEVEN(LEFT(AD87,4)),"Southbound","NorthBound")</f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hh:mm:ss")&amp;utc_offset&amp;"00',mode:absolute,to:'"&amp;TEXT(I87+1/24,"yyyy-MM-DD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https://search-rtdc-monitor-bjffxe2xuh6vdkpspy63sjmuny.us-east-1.es.amazonaws.com/_plugin/kibana/#/discover/Steve-Slow-Train-Analysis-(2080s-and-2083s)?_g=(refreshInterval:(display:Off,section:0,value:0),time:(from:'2016-12-05 12:36:07-700',mode:absolute,to:'2016-12-05 15:21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7" s="52" t="str">
        <f>IF(AA87&lt;IF(AG87="EC",23,5.65),"Y","N")</f>
        <v>N</v>
      </c>
      <c r="X87" s="177">
        <f>VALUE(LEFT(AD87,4))-VALUE(LEFT(AD86,4))</f>
        <v>1</v>
      </c>
      <c r="Y87" s="67">
        <f>RIGHT(D87,LEN(D87)-4)/10000</f>
        <v>23.298100000000002</v>
      </c>
      <c r="Z87" s="67">
        <f>RIGHT(H87,LEN(H87)-4)/10000</f>
        <v>2.23E-2</v>
      </c>
      <c r="AA87" s="67">
        <f>ABS(Z87-Y87)</f>
        <v>23.2758</v>
      </c>
      <c r="AB87" s="64" t="str">
        <f>VLOOKUP(A87,Enforcements!$C$7:$K$20,8,0)</f>
        <v>Form based authority (4)</v>
      </c>
      <c r="AC87" s="60" t="str">
        <f>VLOOKUP(A87,Enforcements!$C$7:$E$20,3,0)</f>
        <v>TRACK WARRANT AUTHORITY</v>
      </c>
      <c r="AD87" s="61" t="str">
        <f>IF(LEN(A87)=6,"0"&amp;A87,A87)</f>
        <v>0174-05</v>
      </c>
      <c r="AE87" s="91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s3://rtdc.mdm.uploadarchive.raw/RTDC4010/ "%USERPROFILE%\AppData\Local\Temp\OnboardLogs"\RTDC4010\2016-12-05 --exclude "*" --recursive --include "*20161205*" &amp; "%USERPROFILE%\Documents\GitHub\mrs-test-scripts\Headless Mode &amp; Sideloading\WalkAndUnGZ.bat" "%USERPROFILE%\AppData\Local\Temp\OnboardLogs"\RTDC4010\2016-12-05 &amp; 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</v>
      </c>
      <c r="AF87" s="88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/stypes="app*4010*20161205*" /stext=" 21:.+((SYSTEM_STATE.+slice.+state.+changed )|(ment ac)|(multiple cpu faults)|(system.+state.+changed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92" t="str">
        <f t="shared" si="4"/>
        <v>"%USERPROFILE%\Documents\GitHub\eaglep3\Utilities\RefineRTDCRunTimes.py" --tripid 174-05 --locoid 4010 --swversion DE.1.0.8.0 --startMP 204:232981 --initTime 2016-12-05T13:36:07 --startdatetime 2016-12-05T13:41:22 --delay 1 --endMP 204:223 --enddatetime 2016-12-05T14:21:04 --enforcementcount 2 &gt;&gt;C:\Users\stu\Documents\GitHub\eaglep3-reporting\EC\2016-12-05-refined-times.txt</v>
      </c>
      <c r="AI87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{"issue":{"subject":"","project_id":79,"tracker_id":40,"status_id":1,"priority_id":2,"assigned_to_id":23,"start_date":"2016-12-05","description":"","custom_fields":[{"id":1,"name":"Subdivision","value":"EC"},{"id":4,"name":"Milepost","value":"0.0223"},{"id":17,"name":"Train ID","value":"174-05"},{"id":16,"name":"Locomotive ID","value":"4010"},{"id":130,"name":"Impact","value":""},{"id":150,"name":"Time of Event (Mountain Time)","value":"14:21:04"},{"id":151,"name":"Denver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566</v>
      </c>
      <c r="B88" s="7">
        <v>4042</v>
      </c>
      <c r="C88" s="22" t="s">
        <v>208</v>
      </c>
      <c r="D88" s="22" t="s">
        <v>230</v>
      </c>
      <c r="E88" s="13">
        <v>42709.538391203707</v>
      </c>
      <c r="F88" s="13">
        <v>42709.541956018518</v>
      </c>
      <c r="G88" s="7">
        <v>1</v>
      </c>
      <c r="H88" s="22" t="s">
        <v>274</v>
      </c>
      <c r="I88" s="13">
        <v>42709.567199074074</v>
      </c>
      <c r="J88" s="7">
        <v>2</v>
      </c>
      <c r="K88" s="109" t="str">
        <f>IF(ISEVEN(B88),(B88-1)&amp;"/"&amp;B88,B88&amp;"/"&amp;(B88+1))</f>
        <v>4041/4042</v>
      </c>
      <c r="L88" s="22" t="str">
        <f>VLOOKUP(A88,'Trips&amp;Operators'!$C$1:$G$99999,5,FALSE)</f>
        <v>BARTLETT KIANDRA</v>
      </c>
      <c r="M88" s="6">
        <f>I88-F88</f>
        <v>2.5243055555620231E-2</v>
      </c>
      <c r="N88" s="7">
        <f>24*60*SUM($M88:$M88)</f>
        <v>36.350000000093132</v>
      </c>
      <c r="O88" s="7"/>
      <c r="P88" s="7"/>
      <c r="Q88" s="23"/>
      <c r="R88" s="23"/>
      <c r="S88" s="35">
        <f>SUM(U88:U88)/IF(AG88="EC",12,1)</f>
        <v>1</v>
      </c>
      <c r="T88" s="50" t="str">
        <f>IF(ISEVEN(LEFT(AD88,4)),"Southbound","NorthBound")</f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hh:mm:ss")&amp;utc_offset&amp;"00',mode:absolute,to:'"&amp;TEXT(I88+1/24,"yyyy-MM-DD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https://search-rtdc-monitor-bjffxe2xuh6vdkpspy63sjmuny.us-east-1.es.amazonaws.com/_plugin/kibana/#/discover/Steve-Slow-Train-Analysis-(2080s-and-2083s)?_g=(refreshInterval:(display:Off,section:0,value:0),time:(from:'2016-12-05 11:55:17-700',mode:absolute,to:'2016-12-05 14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8" s="52" t="str">
        <f>IF(AA88&lt;IF(AG88="EC",23,5.65),"Y","N")</f>
        <v>N</v>
      </c>
      <c r="X88" s="177">
        <f>VALUE(LEFT(AD88,4))-VALUE(LEFT(AD87,4))</f>
        <v>1</v>
      </c>
      <c r="Y88" s="67">
        <f>RIGHT(D88,LEN(D88)-4)/10000</f>
        <v>4.4900000000000002E-2</v>
      </c>
      <c r="Z88" s="67">
        <f>RIGHT(H88,LEN(H88)-4)/10000</f>
        <v>23.330100000000002</v>
      </c>
      <c r="AA88" s="67">
        <f>ABS(Z88-Y88)</f>
        <v>23.285200000000003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>IF(LEN(A88)=6,"0"&amp;A88,A88)</f>
        <v>0175-05</v>
      </c>
      <c r="AE88" s="91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s3://rtdc.mdm.uploadarchive.raw/RTDC4042/ "%USERPROFILE%\AppData\Local\Temp\OnboardLogs"\RTDC4042\2016-12-05 --exclude "*" --recursive --include "*20161205*" &amp; "%USERPROFILE%\Documents\GitHub\mrs-test-scripts\Headless Mode &amp; Sideloading\WalkAndUnGZ.bat" "%USERPROFILE%\AppData\Local\Temp\OnboardLogs"\RTDC4042\2016-12-05 &amp; aws s3 cp s3://rtdc.mdm.uploadarchive.raw/RTDC4042/ "%USERPROFILE%\AppData\Local\Temp\OnboardLogs"\RTDC4042\2016-12-06 --exclude "*" --recursive --include "*20161206*" &amp; "%USERPROFILE%\Documents\GitHub\mrs-test-scripts\Headless Mode &amp; Sideloading\WalkAndUnGZ.bat" "%USERPROFILE%\AppData\Local\Temp\OnboardLogs"\RTDC4042\2016-12-06</v>
      </c>
      <c r="AF88" s="88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/stypes="app*4042*20161205*" /stext=" 20:.+((SYSTEM_STATE.+slice.+state.+changed )|(ment ac)|(multiple cpu faults)|(system.+state.+changed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92" t="str">
        <f t="shared" si="4"/>
        <v>"%USERPROFILE%\Documents\GitHub\eaglep3\Utilities\RefineRTDCRunTimes.py" --tripid 175-05 --locoid 4042 --swversion DE.1.0.8.0 --startMP 204:449 --initTime 2016-12-05T12:55:17 --startdatetime 2016-12-05T13:00:25 --delay 1 --endMP 204:233301 --enddatetime 2016-12-05T13:36:46 --enforcementcount 2 &gt;&gt;C:\Users\stu\Documents\GitHub\eaglep3-reporting\EC\2016-12-05-refined-times.txt</v>
      </c>
      <c r="AI88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{"issue":{"subject":"","project_id":79,"tracker_id":40,"status_id":1,"priority_id":2,"assigned_to_id":23,"start_date":"2016-12-05","description":"","custom_fields":[{"id":1,"name":"Subdivision","value":"EC"},{"id":4,"name":"Milepost","value":"23.3301"},{"id":17,"name":"Train ID","value":"175-05"},{"id":16,"name":"Locomotive ID","value":"4042"},{"id":130,"name":"Impact","value":""},{"id":150,"name":"Time of Event (Mountain Time)","value":"13:36:46"},{"id":151,"name":"Denver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571</v>
      </c>
      <c r="B89" s="7">
        <v>4041</v>
      </c>
      <c r="C89" s="22" t="s">
        <v>208</v>
      </c>
      <c r="D89" s="22" t="s">
        <v>404</v>
      </c>
      <c r="E89" s="13">
        <v>42709.570787037039</v>
      </c>
      <c r="F89" s="13">
        <v>42709.580763888887</v>
      </c>
      <c r="G89" s="7">
        <v>1</v>
      </c>
      <c r="H89" s="22" t="s">
        <v>711</v>
      </c>
      <c r="I89" s="13">
        <v>42709.608356481483</v>
      </c>
      <c r="J89" s="7">
        <v>2</v>
      </c>
      <c r="K89" s="109" t="str">
        <f>IF(ISEVEN(B89),(B89-1)&amp;"/"&amp;B89,B89&amp;"/"&amp;(B89+1))</f>
        <v>4041/4042</v>
      </c>
      <c r="L89" s="22" t="str">
        <f>VLOOKUP(A89,'Trips&amp;Operators'!$C$1:$G$99999,5,FALSE)</f>
        <v>BARTLETT KIANDRA</v>
      </c>
      <c r="M89" s="6">
        <f>I89-F89</f>
        <v>2.7592592596192844E-2</v>
      </c>
      <c r="N89" s="7">
        <f>24*60*SUM($M89:$M89)</f>
        <v>39.733333338517696</v>
      </c>
      <c r="O89" s="7"/>
      <c r="P89" s="7"/>
      <c r="Q89" s="23"/>
      <c r="R89" s="23"/>
      <c r="S89" s="35">
        <f>SUM(U89:U89)/IF(AG89="EC",12,1)</f>
        <v>1</v>
      </c>
      <c r="T89" s="50" t="str">
        <f>IF(ISEVEN(LEFT(AD89,4)),"Southbound","NorthBound")</f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hh:mm:ss")&amp;utc_offset&amp;"00',mode:absolute,to:'"&amp;TEXT(I89+1/24,"yyyy-MM-DD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https://search-rtdc-monitor-bjffxe2xuh6vdkpspy63sjmuny.us-east-1.es.amazonaws.com/_plugin/kibana/#/discover/Steve-Slow-Train-Analysis-(2080s-and-2083s)?_g=(refreshInterval:(display:Off,section:0,value:0),time:(from:'2016-12-05 12:41:56-700',mode:absolute,to:'2016-12-05 15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9" s="52" t="str">
        <f>IF(AA89&lt;IF(AG89="EC",23,5.65),"Y","N")</f>
        <v>N</v>
      </c>
      <c r="X89" s="177">
        <f>VALUE(LEFT(AD89,4))-VALUE(LEFT(AD88,4))</f>
        <v>1</v>
      </c>
      <c r="Y89" s="67">
        <f>RIGHT(D89,LEN(D89)-4)/10000</f>
        <v>23.298999999999999</v>
      </c>
      <c r="Z89" s="67">
        <f>RIGHT(H89,LEN(H89)-4)/10000</f>
        <v>1.8100000000000002E-2</v>
      </c>
      <c r="AA89" s="67">
        <f>ABS(Z89-Y89)</f>
        <v>23.280899999999999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>IF(LEN(A89)=6,"0"&amp;A89,A89)</f>
        <v>0176-05</v>
      </c>
      <c r="AE89" s="91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 &amp; aws s3 cp s3://rtdc.mdm.uploadarchive.raw/RTDC4041/ "%USERPROFILE%\AppData\Local\Temp\OnboardLogs"\RTDC4041\2016-12-06 --exclude "*" --recursive --include "*20161206*" &amp; "%USERPROFILE%\Documents\GitHub\mrs-test-scripts\Headless Mode &amp; Sideloading\WalkAndUnGZ.bat" "%USERPROFILE%\AppData\Local\Temp\OnboardLogs"\RTDC4041\2016-12-06</v>
      </c>
      <c r="AF89" s="88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/stypes="app*4041*20161205*" /stext=" 21:.+((SYSTEM_STATE.+slice.+state.+changed )|(ment ac)|(multiple cpu faults)|(system.+state.+changed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92" t="str">
        <f t="shared" si="4"/>
        <v>"%USERPROFILE%\Documents\GitHub\eaglep3\Utilities\RefineRTDCRunTimes.py" --tripid 176-05 --locoid 4041 --swversion DE.1.0.8.0 --startMP 204:232990 --initTime 2016-12-05T13:41:56 --startdatetime 2016-12-05T13:56:18 --delay 1 --endMP 204:181 --enddatetime 2016-12-05T14:36:02 --enforcementcount 2 &gt;&gt;C:\Users\stu\Documents\GitHub\eaglep3-reporting\EC\2016-12-05-refined-times.txt</v>
      </c>
      <c r="AI89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{"issue":{"subject":"","project_id":79,"tracker_id":40,"status_id":1,"priority_id":2,"assigned_to_id":23,"start_date":"2016-12-05","description":"","custom_fields":[{"id":1,"name":"Subdivision","value":"EC"},{"id":4,"name":"Milepost","value":"0.0181"},{"id":17,"name":"Train ID","value":"176-05"},{"id":16,"name":"Locomotive ID","value":"4041"},{"id":130,"name":"Impact","value":""},{"id":150,"name":"Time of Event (Mountain Time)","value":"14:36:02"},{"id":151,"name":"Denver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567</v>
      </c>
      <c r="B90" s="7">
        <v>4002</v>
      </c>
      <c r="C90" s="22" t="s">
        <v>208</v>
      </c>
      <c r="D90" s="22" t="s">
        <v>259</v>
      </c>
      <c r="E90" s="13">
        <v>42709.549756944441</v>
      </c>
      <c r="F90" s="13">
        <v>42709.552314814813</v>
      </c>
      <c r="G90" s="7">
        <v>1</v>
      </c>
      <c r="H90" s="22" t="s">
        <v>401</v>
      </c>
      <c r="I90" s="13">
        <v>42709.576689814814</v>
      </c>
      <c r="J90" s="7">
        <v>2</v>
      </c>
      <c r="K90" s="109" t="str">
        <f>IF(ISEVEN(B90),(B90-1)&amp;"/"&amp;B90,B90&amp;"/"&amp;(B90+1))</f>
        <v>4001/4002</v>
      </c>
      <c r="L90" s="22" t="str">
        <f>VLOOKUP(A90,'Trips&amp;Operators'!$C$1:$G$99999,5,FALSE)</f>
        <v>BONDS REYNALDO</v>
      </c>
      <c r="M90" s="6">
        <f>I90-F90</f>
        <v>2.4375000000873115E-2</v>
      </c>
      <c r="N90" s="7">
        <f>24*60*SUM($M90:$M90)</f>
        <v>35.100000001257285</v>
      </c>
      <c r="O90" s="7"/>
      <c r="P90" s="7"/>
      <c r="Q90" s="23"/>
      <c r="R90" s="23"/>
      <c r="S90" s="35">
        <f>SUM(U90:U90)/IF(AG90="EC",12,1)</f>
        <v>1</v>
      </c>
      <c r="T90" s="50" t="str">
        <f>IF(ISEVEN(LEFT(AD90,4)),"Southbound","NorthBound")</f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hh:mm:ss")&amp;utc_offset&amp;"00',mode:absolute,to:'"&amp;TEXT(I90+1/24,"yyyy-MM-DD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https://search-rtdc-monitor-bjffxe2xuh6vdkpspy63sjmuny.us-east-1.es.amazonaws.com/_plugin/kibana/#/discover/Steve-Slow-Train-Analysis-(2080s-and-2083s)?_g=(refreshInterval:(display:Off,section:0,value:0),time:(from:'2016-12-05 12:11:39-700',mode:absolute,to:'2016-12-05 14:50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0" s="52" t="str">
        <f>IF(AA90&lt;IF(AG90="EC",23,5.65),"Y","N")</f>
        <v>N</v>
      </c>
      <c r="X90" s="177">
        <f>VALUE(LEFT(AD90,4))-VALUE(LEFT(AD89,4))</f>
        <v>1</v>
      </c>
      <c r="Y90" s="67">
        <f>RIGHT(D90,LEN(D90)-4)/10000</f>
        <v>4.6699999999999998E-2</v>
      </c>
      <c r="Z90" s="67">
        <f>RIGHT(H90,LEN(H90)-4)/10000</f>
        <v>23.33</v>
      </c>
      <c r="AA90" s="67">
        <f>ABS(Z90-Y90)</f>
        <v>23.283299999999997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>IF(LEN(A90)=6,"0"&amp;A90,A90)</f>
        <v>0177-05</v>
      </c>
      <c r="AE90" s="91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s3://rtdc.mdm.uploadarchive.raw/RTDC4002/ "%USERPROFILE%\AppData\Local\Temp\OnboardLogs"\RTDC4002\2016-12-05 --exclude "*" --recursive --include "*20161205*" &amp; "%USERPROFILE%\Documents\GitHub\mrs-test-scripts\Headless Mode &amp; Sideloading\WalkAndUnGZ.bat" "%USERPROFILE%\AppData\Local\Temp\OnboardLogs"\RTDC4002\2016-12-05 &amp; aws s3 cp s3://rtdc.mdm.uploadarchive.raw/RTDC4002/ "%USERPROFILE%\AppData\Local\Temp\OnboardLogs"\RTDC4002\2016-12-06 --exclude "*" --recursive --include "*20161206*" &amp; "%USERPROFILE%\Documents\GitHub\mrs-test-scripts\Headless Mode &amp; Sideloading\WalkAndUnGZ.bat" "%USERPROFILE%\AppData\Local\Temp\OnboardLogs"\RTDC4002\2016-12-06</v>
      </c>
      <c r="AF90" s="88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/stypes="app*4002*20161205*" /stext=" 20:.+((SYSTEM_STATE.+slice.+state.+changed )|(ment ac)|(multiple cpu faults)|(system.+state.+changed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92" t="str">
        <f t="shared" si="4"/>
        <v>"%USERPROFILE%\Documents\GitHub\eaglep3\Utilities\RefineRTDCRunTimes.py" --tripid 177-05 --locoid 4002 --swversion DE.1.0.8.0 --startMP 204:467 --initTime 2016-12-05T13:11:39 --startdatetime 2016-12-05T13:15:20 --delay 1 --endMP 204:233300 --enddatetime 2016-12-05T13:50:26 --enforcementcount 2 &gt;&gt;C:\Users\stu\Documents\GitHub\eaglep3-reporting\EC\2016-12-05-refined-times.txt</v>
      </c>
      <c r="AI90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{"issue":{"subject":"","project_id":79,"tracker_id":40,"status_id":1,"priority_id":2,"assigned_to_id":23,"start_date":"2016-12-05","description":"","custom_fields":[{"id":1,"name":"Subdivision","value":"EC"},{"id":4,"name":"Milepost","value":"23.33"},{"id":17,"name":"Train ID","value":"177-05"},{"id":16,"name":"Locomotive ID","value":"4002"},{"id":130,"name":"Impact","value":""},{"id":150,"name":"Time of Event (Mountain Time)","value":"13:50:26"},{"id":151,"name":"Denver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450</v>
      </c>
      <c r="B91" s="7">
        <v>4001</v>
      </c>
      <c r="C91" s="22" t="s">
        <v>208</v>
      </c>
      <c r="D91" s="22" t="s">
        <v>304</v>
      </c>
      <c r="E91" s="13">
        <v>42709.58090277778</v>
      </c>
      <c r="F91" s="13">
        <v>42709.591284722221</v>
      </c>
      <c r="G91" s="7">
        <v>1</v>
      </c>
      <c r="H91" s="22" t="s">
        <v>243</v>
      </c>
      <c r="I91" s="13">
        <v>42709.617465277777</v>
      </c>
      <c r="J91" s="7">
        <v>2</v>
      </c>
      <c r="K91" s="109" t="str">
        <f>IF(ISEVEN(B91),(B91-1)&amp;"/"&amp;B91,B91&amp;"/"&amp;(B91+1))</f>
        <v>4001/4002</v>
      </c>
      <c r="L91" s="22" t="str">
        <f>VLOOKUP(A91,'Trips&amp;Operators'!$C$1:$G$99999,5,FALSE)</f>
        <v>BONDS REYNALDO</v>
      </c>
      <c r="M91" s="6">
        <f>I91-F91</f>
        <v>2.6180555556493346E-2</v>
      </c>
      <c r="N91" s="7">
        <f>24*60*SUM($M91:$M91)</f>
        <v>37.700000001350418</v>
      </c>
      <c r="O91" s="7"/>
      <c r="P91" s="7"/>
      <c r="Q91" s="23"/>
      <c r="R91" s="23"/>
      <c r="S91" s="35">
        <f>SUM(U91:U91)/IF(AG91="EC",12,1)</f>
        <v>1</v>
      </c>
      <c r="T91" s="50" t="str">
        <f>IF(ISEVEN(LEFT(AD91,4)),"Southbound","NorthBound")</f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hh:mm:ss")&amp;utc_offset&amp;"00',mode:absolute,to:'"&amp;TEXT(I91+1/24,"yyyy-MM-DD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https://search-rtdc-monitor-bjffxe2xuh6vdkpspy63sjmuny.us-east-1.es.amazonaws.com/_plugin/kibana/#/discover/Steve-Slow-Train-Analysis-(2080s-and-2083s)?_g=(refreshInterval:(display:Off,section:0,value:0),time:(from:'2016-12-05 12:56:30-700',mode:absolute,to:'2016-12-05 15:49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1" s="52" t="str">
        <f>IF(AA91&lt;IF(AG91="EC",23,5.65),"Y","N")</f>
        <v>N</v>
      </c>
      <c r="X91" s="177">
        <f>VALUE(LEFT(AD91,4))-VALUE(LEFT(AD90,4))</f>
        <v>1</v>
      </c>
      <c r="Y91" s="67">
        <f>RIGHT(D91,LEN(D91)-4)/10000</f>
        <v>23.2987</v>
      </c>
      <c r="Z91" s="67">
        <f>RIGHT(H91,LEN(H91)-4)/10000</f>
        <v>1.61E-2</v>
      </c>
      <c r="AA91" s="67">
        <f>ABS(Z91-Y91)</f>
        <v>23.282599999999999</v>
      </c>
      <c r="AB91" s="64" t="str">
        <f>VLOOKUP(A91,Enforcements!$C$7:$K$20,8,0)</f>
        <v>Form based authority (4)</v>
      </c>
      <c r="AC91" s="60" t="str">
        <f>VLOOKUP(A91,Enforcements!$C$7:$E$20,3,0)</f>
        <v>TRACK WARRANT AUTHORITY</v>
      </c>
      <c r="AD91" s="61" t="str">
        <f>IF(LEN(A91)=6,"0"&amp;A91,A91)</f>
        <v>0178-05</v>
      </c>
      <c r="AE91" s="91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s3://rtdc.mdm.uploadarchive.raw/RTDC4001/ "%USERPROFILE%\AppData\Local\Temp\OnboardLogs"\RTDC4001\2016-12-05 --exclude "*" --recursive --include "*20161205*" &amp; "%USERPROFILE%\Documents\GitHub\mrs-test-scripts\Headless Mode &amp; Sideloading\WalkAndUnGZ.bat" "%USERPROFILE%\AppData\Local\Temp\OnboardLogs"\RTDC4001\2016-12-05 &amp; aws s3 cp s3://rtdc.mdm.uploadarchive.raw/RTDC4001/ "%USERPROFILE%\AppData\Local\Temp\OnboardLogs"\RTDC4001\2016-12-06 --exclude "*" --recursive --include "*20161206*" &amp; "%USERPROFILE%\Documents\GitHub\mrs-test-scripts\Headless Mode &amp; Sideloading\WalkAndUnGZ.bat" "%USERPROFILE%\AppData\Local\Temp\OnboardLogs"\RTDC4001\2016-12-06</v>
      </c>
      <c r="AF91" s="88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/stypes="app*4001*20161205*" /stext=" 21:.+((SYSTEM_STATE.+slice.+state.+changed )|(ment ac)|(multiple cpu faults)|(system.+state.+changed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92" t="str">
        <f t="shared" si="4"/>
        <v>"%USERPROFILE%\Documents\GitHub\eaglep3\Utilities\RefineRTDCRunTimes.py" --tripid 178-05 --locoid 4001 --swversion DE.1.0.8.0 --startMP 204:232987 --initTime 2016-12-05T13:56:30 --startdatetime 2016-12-05T14:11:27 --delay 1 --endMP 204:161 --enddatetime 2016-12-05T14:49:09 --enforcementcount 2 &gt;&gt;C:\Users\stu\Documents\GitHub\eaglep3-reporting\EC\2016-12-05-refined-times.txt</v>
      </c>
      <c r="AI91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{"issue":{"subject":"","project_id":79,"tracker_id":40,"status_id":1,"priority_id":2,"assigned_to_id":23,"start_date":"2016-12-05","description":"","custom_fields":[{"id":1,"name":"Subdivision","value":"EC"},{"id":4,"name":"Milepost","value":"0.0161"},{"id":17,"name":"Train ID","value":"178-05"},{"id":16,"name":"Locomotive ID","value":"4001"},{"id":130,"name":"Impact","value":""},{"id":150,"name":"Time of Event (Mountain Time)","value":"14:49:09"},{"id":151,"name":"Denver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448</v>
      </c>
      <c r="B92" s="7">
        <v>4044</v>
      </c>
      <c r="C92" s="22" t="s">
        <v>208</v>
      </c>
      <c r="D92" s="22" t="s">
        <v>367</v>
      </c>
      <c r="E92" s="13">
        <v>42709.558819444443</v>
      </c>
      <c r="F92" s="13">
        <v>42709.562673611108</v>
      </c>
      <c r="G92" s="7">
        <v>1</v>
      </c>
      <c r="H92" s="22" t="s">
        <v>712</v>
      </c>
      <c r="I92" s="13">
        <v>42709.586377314816</v>
      </c>
      <c r="J92" s="7">
        <v>2</v>
      </c>
      <c r="K92" s="109" t="str">
        <f>IF(ISEVEN(B92),(B92-1)&amp;"/"&amp;B92,B92&amp;"/"&amp;(B92+1))</f>
        <v>4043/4044</v>
      </c>
      <c r="L92" s="22" t="str">
        <f>VLOOKUP(A92,'Trips&amp;Operators'!$C$1:$G$99999,5,FALSE)</f>
        <v>CLARK KATHLEEN</v>
      </c>
      <c r="M92" s="6">
        <f>I92-F92</f>
        <v>2.3703703707724344E-2</v>
      </c>
      <c r="N92" s="7"/>
      <c r="O92" s="7"/>
      <c r="P92" s="7">
        <f>24*60*SUM($M92:$M92)</f>
        <v>34.133333339123055</v>
      </c>
      <c r="Q92" s="23"/>
      <c r="R92" s="23" t="s">
        <v>849</v>
      </c>
      <c r="S92" s="35">
        <f>SUM(U92:U92)/IF(AG92="EC",12,1)</f>
        <v>1</v>
      </c>
      <c r="T92" s="50" t="str">
        <f>IF(ISEVEN(LEFT(AD92,4)),"Southbound","NorthBound")</f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hh:mm:ss")&amp;utc_offset&amp;"00',mode:absolute,to:'"&amp;TEXT(I92+1/24,"yyyy-MM-DD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https://search-rtdc-monitor-bjffxe2xuh6vdkpspy63sjmuny.us-east-1.es.amazonaws.com/_plugin/kibana/#/discover/Steve-Slow-Train-Analysis-(2080s-and-2083s)?_g=(refreshInterval:(display:Off,section:0,value:0),time:(from:'2016-12-05 12:24:42-700',mode:absolute,to:'2016-12-05 15:04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2" s="52" t="str">
        <f>IF(AA92&lt;IF(AG92="EC",23,5.65),"Y","N")</f>
        <v>Y</v>
      </c>
      <c r="X92" s="177">
        <f>VALUE(LEFT(AD92,4))-VALUE(LEFT(AD91,4))</f>
        <v>1</v>
      </c>
      <c r="Y92" s="67">
        <f>RIGHT(D92,LEN(D92)-4)/10000</f>
        <v>4.7500000000000001E-2</v>
      </c>
      <c r="Z92" s="67">
        <f>RIGHT(H92,LEN(H92)-4)/10000</f>
        <v>19.362200000000001</v>
      </c>
      <c r="AA92" s="67">
        <f>ABS(Z92-Y92)</f>
        <v>19.314700000000002</v>
      </c>
      <c r="AB92" s="64" t="str">
        <f>VLOOKUP(A92,Enforcements!$C$7:$K$20,8,0)</f>
        <v>Signal based authority (5)</v>
      </c>
      <c r="AC92" s="60" t="str">
        <f>VLOOKUP(A92,Enforcements!$C$7:$E$20,3,0)</f>
        <v>SIGNAL</v>
      </c>
      <c r="AD92" s="61" t="str">
        <f>IF(LEN(A92)=6,"0"&amp;A92,A92)</f>
        <v>0179-05</v>
      </c>
      <c r="AE92" s="91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 &amp; 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</v>
      </c>
      <c r="AF92" s="88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/stypes="app*4044*20161205*" /stext=" 21:.+((SYSTEM_STATE.+slice.+state.+changed )|(ment ac)|(multiple cpu faults)|(system.+state.+changed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92" t="str">
        <f t="shared" si="4"/>
        <v>"%USERPROFILE%\Documents\GitHub\eaglep3\Utilities\RefineRTDCRunTimes.py" --tripid 179-05 --locoid 4044 --swversion DE.1.0.8.0 --startMP 204:475 --initTime 2016-12-05T13:24:42 --startdatetime 2016-12-05T13:30:15 --delay 1 --endMP 204:193622 --enddatetime 2016-12-05T14:04:23 --enforcementcount 2 &gt;&gt;C:\Users\stu\Documents\GitHub\eaglep3-reporting\EC\2016-12-05-refined-times.txt</v>
      </c>
      <c r="AI92" s="119" t="str">
        <f t="shared" si="5"/>
        <v>echo {"issue":{"subject":"Premature downgrade at Pena 2N","project_id":79,"tracker_id":40,"status_id":1,"priority_id":2,"assigned_to_id":23,"start_date":"2016-12-05","description":"","custom_fields":[{"id":1,"name":"Subdivision","value":"EC"},{"id":4,"name":"Milepost","value":"19.3622"},{"id":17,"name":"Train ID","value":"179-05"},{"id":16,"name":"Locomotive ID","value":"4044"},{"id":130,"name":"Impact","value":""},{"id":150,"name":"Time of Event (Mountain Time)","value":"14:04:23"},{"id":151,"name":"Denver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575</v>
      </c>
      <c r="B93" s="7">
        <v>4043</v>
      </c>
      <c r="C93" s="22" t="s">
        <v>208</v>
      </c>
      <c r="D93" s="22" t="s">
        <v>365</v>
      </c>
      <c r="E93" s="13">
        <v>42709.597500000003</v>
      </c>
      <c r="F93" s="13">
        <v>42709.601597222223</v>
      </c>
      <c r="G93" s="7">
        <v>1</v>
      </c>
      <c r="H93" s="22" t="s">
        <v>277</v>
      </c>
      <c r="I93" s="13">
        <v>42709.630127314813</v>
      </c>
      <c r="J93" s="7">
        <v>2</v>
      </c>
      <c r="K93" s="109" t="str">
        <f>IF(ISEVEN(B93),(B93-1)&amp;"/"&amp;B93,B93&amp;"/"&amp;(B93+1))</f>
        <v>4043/4044</v>
      </c>
      <c r="L93" s="22" t="str">
        <f>VLOOKUP(A93,'Trips&amp;Operators'!$C$1:$G$99999,5,FALSE)</f>
        <v>CLARK KATHLEEN</v>
      </c>
      <c r="M93" s="6">
        <f>I93-F93</f>
        <v>2.8530092589790002E-2</v>
      </c>
      <c r="N93" s="7">
        <f>24*60*SUM($M93:$M93)</f>
        <v>41.083333329297602</v>
      </c>
      <c r="O93" s="7"/>
      <c r="P93" s="7"/>
      <c r="Q93" s="23"/>
      <c r="R93" s="23"/>
      <c r="S93" s="35">
        <f>SUM(U93:U93)/IF(AG93="EC",12,1)</f>
        <v>1</v>
      </c>
      <c r="T93" s="50" t="str">
        <f>IF(ISEVEN(LEFT(AD93,4)),"Southbound","NorthBound")</f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hh:mm:ss")&amp;utc_offset&amp;"00',mode:absolute,to:'"&amp;TEXT(I93+1/24,"yyyy-MM-DD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https://search-rtdc-monitor-bjffxe2xuh6vdkpspy63sjmuny.us-east-1.es.amazonaws.com/_plugin/kibana/#/discover/Steve-Slow-Train-Analysis-(2080s-and-2083s)?_g=(refreshInterval:(display:Off,section:0,value:0),time:(from:'2016-12-05 13:20:24-700',mode:absolute,to:'2016-12-05 16:07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3" s="52" t="str">
        <f>IF(AA93&lt;IF(AG93="EC",23,5.65),"Y","N")</f>
        <v>N</v>
      </c>
      <c r="X93" s="177">
        <f>VALUE(LEFT(AD93,4))-VALUE(LEFT(AD92,4))</f>
        <v>1</v>
      </c>
      <c r="Y93" s="67">
        <f>RIGHT(D93,LEN(D93)-4)/10000</f>
        <v>23.2986</v>
      </c>
      <c r="Z93" s="67">
        <f>RIGHT(H93,LEN(H93)-4)/10000</f>
        <v>1.6E-2</v>
      </c>
      <c r="AA93" s="67">
        <f>ABS(Z93-Y93)</f>
        <v>23.282600000000002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>IF(LEN(A93)=6,"0"&amp;A93,A93)</f>
        <v>0180-05</v>
      </c>
      <c r="AE93" s="91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 &amp; 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</v>
      </c>
      <c r="AF93" s="88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/stypes="app*4043*20161205*" /stext=" 22:.+((SYSTEM_STATE.+slice.+state.+changed )|(ment ac)|(multiple cpu faults)|(system.+state.+changed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92" t="str">
        <f t="shared" si="4"/>
        <v>"%USERPROFILE%\Documents\GitHub\eaglep3\Utilities\RefineRTDCRunTimes.py" --tripid 180-05 --locoid 4043 --swversion DE.1.0.8.0 --startMP 204:232986 --initTime 2016-12-05T14:20:24 --startdatetime 2016-12-05T14:26:18 --delay 1 --endMP 204:160 --enddatetime 2016-12-05T15:07:23 --enforcementcount 2 &gt;&gt;C:\Users\stu\Documents\GitHub\eaglep3-reporting\EC\2016-12-05-refined-times.txt</v>
      </c>
      <c r="AI93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{"issue":{"subject":"","project_id":79,"tracker_id":40,"status_id":1,"priority_id":2,"assigned_to_id":23,"start_date":"2016-12-05","description":"","custom_fields":[{"id":1,"name":"Subdivision","value":"EC"},{"id":4,"name":"Milepost","value":"0.016"},{"id":17,"name":"Train ID","value":"180-05"},{"id":16,"name":"Locomotive ID","value":"4043"},{"id":130,"name":"Impact","value":""},{"id":150,"name":"Time of Event (Mountain Time)","value":"15:07:23"},{"id":151,"name":"Denver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570</v>
      </c>
      <c r="B94" s="7">
        <v>4040</v>
      </c>
      <c r="C94" s="22" t="s">
        <v>208</v>
      </c>
      <c r="D94" s="22" t="s">
        <v>398</v>
      </c>
      <c r="E94" s="13">
        <v>42709.569895833331</v>
      </c>
      <c r="F94" s="13">
        <v>42709.573368055557</v>
      </c>
      <c r="G94" s="7">
        <v>1</v>
      </c>
      <c r="H94" s="22" t="s">
        <v>391</v>
      </c>
      <c r="I94" s="13">
        <v>42709.599317129629</v>
      </c>
      <c r="J94" s="7">
        <v>2</v>
      </c>
      <c r="K94" s="109" t="str">
        <f>IF(ISEVEN(B94),(B94-1)&amp;"/"&amp;B94,B94&amp;"/"&amp;(B94+1))</f>
        <v>4039/4040</v>
      </c>
      <c r="L94" s="22" t="str">
        <f>VLOOKUP(A94,'Trips&amp;Operators'!$C$1:$G$99999,5,FALSE)</f>
        <v>YOUNG ELIZABETH</v>
      </c>
      <c r="M94" s="6">
        <f>I94-F94</f>
        <v>2.5949074071832001E-2</v>
      </c>
      <c r="N94" s="7">
        <f>24*60*SUM($M94:$M94)</f>
        <v>37.366666663438082</v>
      </c>
      <c r="O94" s="7"/>
      <c r="P94" s="7"/>
      <c r="Q94" s="23"/>
      <c r="R94" s="23"/>
      <c r="S94" s="35">
        <f>SUM(U94:U94)/IF(AG94="EC",12,1)</f>
        <v>1</v>
      </c>
      <c r="T94" s="50" t="str">
        <f>IF(ISEVEN(LEFT(AD94,4)),"Southbound","NorthBound")</f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hh:mm:ss")&amp;utc_offset&amp;"00',mode:absolute,to:'"&amp;TEXT(I94+1/24,"yyyy-MM-DD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https://search-rtdc-monitor-bjffxe2xuh6vdkpspy63sjmuny.us-east-1.es.amazonaws.com/_plugin/kibana/#/discover/Steve-Slow-Train-Analysis-(2080s-and-2083s)?_g=(refreshInterval:(display:Off,section:0,value:0),time:(from:'2016-12-05 12:40:39-700',mode:absolute,to:'2016-12-05 15:23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4" s="52" t="str">
        <f>IF(AA94&lt;IF(AG94="EC",23,5.65),"Y","N")</f>
        <v>N</v>
      </c>
      <c r="X94" s="177">
        <f>VALUE(LEFT(AD94,4))-VALUE(LEFT(AD93,4))</f>
        <v>1</v>
      </c>
      <c r="Y94" s="67">
        <f>RIGHT(D94,LEN(D94)-4)/10000</f>
        <v>4.6399999999999997E-2</v>
      </c>
      <c r="Z94" s="67">
        <f>RIGHT(H94,LEN(H94)-4)/10000</f>
        <v>23.330400000000001</v>
      </c>
      <c r="AA94" s="67">
        <f>ABS(Z94-Y94)</f>
        <v>23.284000000000002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>IF(LEN(A94)=6,"0"&amp;A94,A94)</f>
        <v>0181-05</v>
      </c>
      <c r="AE94" s="91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s3://rtdc.mdm.uploadarchive.raw/RTDC4040/ "%USERPROFILE%\AppData\Local\Temp\OnboardLogs"\RTDC4040\2016-12-05 --exclude "*" --recursive --include "*20161205*" &amp; "%USERPROFILE%\Documents\GitHub\mrs-test-scripts\Headless Mode &amp; Sideloading\WalkAndUnGZ.bat" "%USERPROFILE%\AppData\Local\Temp\OnboardLogs"\RTDC4040\2016-12-05 &amp; aws s3 cp s3://rtdc.mdm.uploadarchive.raw/RTDC4040/ "%USERPROFILE%\AppData\Local\Temp\OnboardLogs"\RTDC4040\2016-12-06 --exclude "*" --recursive --include "*20161206*" &amp; "%USERPROFILE%\Documents\GitHub\mrs-test-scripts\Headless Mode &amp; Sideloading\WalkAndUnGZ.bat" "%USERPROFILE%\AppData\Local\Temp\OnboardLogs"\RTDC4040\2016-12-06</v>
      </c>
      <c r="AF94" s="88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/stypes="app*4040*20161205*" /stext=" 21:.+((SYSTEM_STATE.+slice.+state.+changed )|(ment ac)|(multiple cpu faults)|(system.+state.+changed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92" t="str">
        <f t="shared" si="4"/>
        <v>"%USERPROFILE%\Documents\GitHub\eaglep3\Utilities\RefineRTDCRunTimes.py" --tripid 181-05 --locoid 4040 --swversion DE.1.0.8.0 --startMP 204:464 --initTime 2016-12-05T13:40:39 --startdatetime 2016-12-05T13:45:39 --delay 1 --endMP 204:233304 --enddatetime 2016-12-05T14:23:01 --enforcementcount 2 &gt;&gt;C:\Users\stu\Documents\GitHub\eaglep3-reporting\EC\2016-12-05-refined-times.txt</v>
      </c>
      <c r="AI94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{"issue":{"subject":"","project_id":79,"tracker_id":40,"status_id":1,"priority_id":2,"assigned_to_id":23,"start_date":"2016-12-05","description":"","custom_fields":[{"id":1,"name":"Subdivision","value":"EC"},{"id":4,"name":"Milepost","value":"23.3304"},{"id":17,"name":"Train ID","value":"181-05"},{"id":16,"name":"Locomotive ID","value":"4040"},{"id":130,"name":"Impact","value":""},{"id":150,"name":"Time of Event (Mountain Time)","value":"14:23:01"},{"id":151,"name":"Denver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577</v>
      </c>
      <c r="B95" s="7">
        <v>4039</v>
      </c>
      <c r="C95" s="22" t="s">
        <v>208</v>
      </c>
      <c r="D95" s="22" t="s">
        <v>416</v>
      </c>
      <c r="E95" s="13">
        <v>42709.60224537037</v>
      </c>
      <c r="F95" s="13">
        <v>42709.61215277778</v>
      </c>
      <c r="G95" s="7">
        <v>1</v>
      </c>
      <c r="H95" s="22" t="s">
        <v>302</v>
      </c>
      <c r="I95" s="13">
        <v>42709.63989583333</v>
      </c>
      <c r="J95" s="7">
        <v>2</v>
      </c>
      <c r="K95" s="109" t="str">
        <f>IF(ISEVEN(B95),(B95-1)&amp;"/"&amp;B95,B95&amp;"/"&amp;(B95+1))</f>
        <v>4039/4040</v>
      </c>
      <c r="L95" s="22" t="str">
        <f>VLOOKUP(A95,'Trips&amp;Operators'!$C$1:$G$99999,5,FALSE)</f>
        <v>YOUNG ELIZABETH</v>
      </c>
      <c r="M95" s="6">
        <f>I95-F95</f>
        <v>2.774305555067258E-2</v>
      </c>
      <c r="N95" s="7">
        <f>24*60*SUM($M95:$M95)</f>
        <v>39.949999992968515</v>
      </c>
      <c r="O95" s="7"/>
      <c r="P95" s="7"/>
      <c r="Q95" s="23"/>
      <c r="R95" s="23"/>
      <c r="S95" s="35">
        <f>SUM(U95:U95)/IF(AG95="EC",12,1)</f>
        <v>1</v>
      </c>
      <c r="T95" s="50" t="str">
        <f>IF(ISEVEN(LEFT(AD95,4)),"Southbound","NorthBound")</f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hh:mm:ss")&amp;utc_offset&amp;"00',mode:absolute,to:'"&amp;TEXT(I95+1/24,"yyyy-MM-DD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https://search-rtdc-monitor-bjffxe2xuh6vdkpspy63sjmuny.us-east-1.es.amazonaws.com/_plugin/kibana/#/discover/Steve-Slow-Train-Analysis-(2080s-and-2083s)?_g=(refreshInterval:(display:Off,section:0,value:0),time:(from:'2016-12-05 13:27:14-700',mode:absolute,to:'2016-12-05 16:21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5" s="52" t="str">
        <f>IF(AA95&lt;IF(AG95="EC",23,5.65),"Y","N")</f>
        <v>N</v>
      </c>
      <c r="X95" s="177">
        <f>VALUE(LEFT(AD95,4))-VALUE(LEFT(AD94,4))</f>
        <v>1</v>
      </c>
      <c r="Y95" s="67">
        <f>RIGHT(D95,LEN(D95)-4)/10000</f>
        <v>23.299399999999999</v>
      </c>
      <c r="Z95" s="67">
        <f>RIGHT(H95,LEN(H95)-4)/10000</f>
        <v>1.6899999999999998E-2</v>
      </c>
      <c r="AA95" s="67">
        <f>ABS(Z95-Y95)</f>
        <v>23.282499999999999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>IF(LEN(A95)=6,"0"&amp;A95,A95)</f>
        <v>0182-05</v>
      </c>
      <c r="AE95" s="91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s3://rtdc.mdm.uploadarchive.raw/RTDC4039/ "%USERPROFILE%\AppData\Local\Temp\OnboardLogs"\RTDC4039\2016-12-05 --exclude "*" --recursive --include "*20161205*" &amp; "%USERPROFILE%\Documents\GitHub\mrs-test-scripts\Headless Mode &amp; Sideloading\WalkAndUnGZ.bat" "%USERPROFILE%\AppData\Local\Temp\OnboardLogs"\RTDC4039\2016-12-05 &amp; aws s3 cp s3://rtdc.mdm.uploadarchive.raw/RTDC4039/ "%USERPROFILE%\AppData\Local\Temp\OnboardLogs"\RTDC4039\2016-12-06 --exclude "*" --recursive --include "*20161206*" &amp; "%USERPROFILE%\Documents\GitHub\mrs-test-scripts\Headless Mode &amp; Sideloading\WalkAndUnGZ.bat" "%USERPROFILE%\AppData\Local\Temp\OnboardLogs"\RTDC4039\2016-12-06</v>
      </c>
      <c r="AF95" s="88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/stypes="app*4039*20161205*" /stext=" 22:.+((SYSTEM_STATE.+slice.+state.+changed )|(ment ac)|(multiple cpu faults)|(system.+state.+changed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92" t="str">
        <f t="shared" si="4"/>
        <v>"%USERPROFILE%\Documents\GitHub\eaglep3\Utilities\RefineRTDCRunTimes.py" --tripid 182-05 --locoid 4039 --swversion DE.1.0.8.0 --startMP 204:232994 --initTime 2016-12-05T14:27:14 --startdatetime 2016-12-05T14:41:30 --delay 1 --endMP 204:169 --enddatetime 2016-12-05T15:21:27 --enforcementcount 2 &gt;&gt;C:\Users\stu\Documents\GitHub\eaglep3-reporting\EC\2016-12-05-refined-times.txt</v>
      </c>
      <c r="AI95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{"issue":{"subject":"","project_id":79,"tracker_id":40,"status_id":1,"priority_id":2,"assigned_to_id":23,"start_date":"2016-12-05","description":"","custom_fields":[{"id":1,"name":"Subdivision","value":"EC"},{"id":4,"name":"Milepost","value":"0.0169"},{"id":17,"name":"Train ID","value":"182-05"},{"id":16,"name":"Locomotive ID","value":"4039"},{"id":130,"name":"Impact","value":""},{"id":150,"name":"Time of Event (Mountain Time)","value":"15:21:27"},{"id":151,"name":"Denver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572</v>
      </c>
      <c r="B96" s="7">
        <v>4022</v>
      </c>
      <c r="C96" s="22" t="s">
        <v>208</v>
      </c>
      <c r="D96" s="22" t="s">
        <v>373</v>
      </c>
      <c r="E96" s="13">
        <v>42709.580717592595</v>
      </c>
      <c r="F96" s="13">
        <v>42709.583518518521</v>
      </c>
      <c r="G96" s="7">
        <v>1</v>
      </c>
      <c r="H96" s="22" t="s">
        <v>252</v>
      </c>
      <c r="I96" s="13">
        <v>42709.607488425929</v>
      </c>
      <c r="J96" s="7">
        <v>2</v>
      </c>
      <c r="K96" s="109" t="str">
        <f>IF(ISEVEN(B96),(B96-1)&amp;"/"&amp;B96,B96&amp;"/"&amp;(B96+1))</f>
        <v>4021/4022</v>
      </c>
      <c r="L96" s="22" t="str">
        <f>VLOOKUP(A96,'Trips&amp;Operators'!$C$1:$G$99999,5,FALSE)</f>
        <v>HELVIE ADAM</v>
      </c>
      <c r="M96" s="6">
        <f>I96-F96</f>
        <v>2.396990740817273E-2</v>
      </c>
      <c r="N96" s="7">
        <f>24*60*SUM($M96:$M96)</f>
        <v>34.516666667768732</v>
      </c>
      <c r="O96" s="7"/>
      <c r="P96" s="7"/>
      <c r="Q96" s="23"/>
      <c r="R96" s="23"/>
      <c r="S96" s="35">
        <f>SUM(U96:U96)/IF(AG96="EC",12,1)</f>
        <v>1</v>
      </c>
      <c r="T96" s="50" t="str">
        <f>IF(ISEVEN(LEFT(AD96,4)),"Southbound","NorthBound")</f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hh:mm:ss")&amp;utc_offset&amp;"00',mode:absolute,to:'"&amp;TEXT(I96+1/24,"yyyy-MM-DD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https://search-rtdc-monitor-bjffxe2xuh6vdkpspy63sjmuny.us-east-1.es.amazonaws.com/_plugin/kibana/#/discover/Steve-Slow-Train-Analysis-(2080s-and-2083s)?_g=(refreshInterval:(display:Off,section:0,value:0),time:(from:'2016-12-05 12:56:14-700',mode:absolute,to:'2016-12-05 15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6" s="52" t="str">
        <f>IF(AA96&lt;IF(AG96="EC",23,5.65),"Y","N")</f>
        <v>N</v>
      </c>
      <c r="X96" s="177">
        <f>VALUE(LEFT(AD96,4))-VALUE(LEFT(AD95,4))</f>
        <v>1</v>
      </c>
      <c r="Y96" s="67">
        <f>RIGHT(D96,LEN(D96)-4)/10000</f>
        <v>4.8000000000000001E-2</v>
      </c>
      <c r="Z96" s="67">
        <f>RIGHT(H96,LEN(H96)-4)/10000</f>
        <v>23.3307</v>
      </c>
      <c r="AA96" s="67">
        <f>ABS(Z96-Y96)</f>
        <v>23.282700000000002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>IF(LEN(A96)=6,"0"&amp;A96,A96)</f>
        <v>0183-05</v>
      </c>
      <c r="AE96" s="91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s3://rtdc.mdm.uploadarchive.raw/RTDC4022/ "%USERPROFILE%\AppData\Local\Temp\OnboardLogs"\RTDC4022\2016-12-05 --exclude "*" --recursive --include "*20161205*" &amp; "%USERPROFILE%\Documents\GitHub\mrs-test-scripts\Headless Mode &amp; Sideloading\WalkAndUnGZ.bat" "%USERPROFILE%\AppData\Local\Temp\OnboardLogs"\RTDC4022\2016-12-05 &amp; 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</v>
      </c>
      <c r="AF96" s="88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/stypes="app*4022*20161205*" /stext=" 21:.+((SYSTEM_STATE.+slice.+state.+changed )|(ment ac)|(multiple cpu faults)|(system.+state.+changed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92" t="str">
        <f t="shared" si="4"/>
        <v>"%USERPROFILE%\Documents\GitHub\eaglep3\Utilities\RefineRTDCRunTimes.py" --tripid 183-05 --locoid 4022 --swversion DE.1.0.8.0 --startMP 204:480 --initTime 2016-12-05T13:56:14 --startdatetime 2016-12-05T14:00:16 --delay 1 --endMP 204:233307 --enddatetime 2016-12-05T14:34:47 --enforcementcount 2 &gt;&gt;C:\Users\stu\Documents\GitHub\eaglep3-reporting\EC\2016-12-05-refined-times.txt</v>
      </c>
      <c r="AI96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{"issue":{"subject":"","project_id":79,"tracker_id":40,"status_id":1,"priority_id":2,"assigned_to_id":23,"start_date":"2016-12-05","description":"","custom_fields":[{"id":1,"name":"Subdivision","value":"EC"},{"id":4,"name":"Milepost","value":"23.3307"},{"id":17,"name":"Train ID","value":"183-05"},{"id":16,"name":"Locomotive ID","value":"4022"},{"id":130,"name":"Impact","value":""},{"id":150,"name":"Time of Event (Mountain Time)","value":"14:34:47"},{"id":151,"name":"Denver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580</v>
      </c>
      <c r="B97" s="7">
        <v>4021</v>
      </c>
      <c r="C97" s="22" t="s">
        <v>208</v>
      </c>
      <c r="D97" s="22" t="s">
        <v>343</v>
      </c>
      <c r="E97" s="13">
        <v>42709.617800925924</v>
      </c>
      <c r="F97" s="13">
        <v>42709.622418981482</v>
      </c>
      <c r="G97" s="7">
        <v>1</v>
      </c>
      <c r="H97" s="22" t="s">
        <v>206</v>
      </c>
      <c r="I97" s="13">
        <v>42709.648020833331</v>
      </c>
      <c r="J97" s="7">
        <v>2</v>
      </c>
      <c r="K97" s="109" t="str">
        <f>IF(ISEVEN(B97),(B97-1)&amp;"/"&amp;B97,B97&amp;"/"&amp;(B97+1))</f>
        <v>4021/4022</v>
      </c>
      <c r="L97" s="22" t="str">
        <f>VLOOKUP(A97,'Trips&amp;Operators'!$C$1:$G$99999,5,FALSE)</f>
        <v>HELVIE ADAM</v>
      </c>
      <c r="M97" s="6">
        <f>I97-F97</f>
        <v>2.5601851848477963E-2</v>
      </c>
      <c r="N97" s="7">
        <f>24*60*SUM($M97:$M97)</f>
        <v>36.866666661808267</v>
      </c>
      <c r="O97" s="7"/>
      <c r="P97" s="7"/>
      <c r="Q97" s="23"/>
      <c r="R97" s="23"/>
      <c r="S97" s="35">
        <f>SUM(U97:U97)/IF(AG97="EC",12,1)</f>
        <v>1</v>
      </c>
      <c r="T97" s="50" t="str">
        <f>IF(ISEVEN(LEFT(AD97,4)),"Southbound","NorthBound")</f>
        <v>Southbound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hh:mm:ss")&amp;utc_offset&amp;"00',mode:absolute,to:'"&amp;TEXT(I97+1/24,"yyyy-MM-DD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https://search-rtdc-monitor-bjffxe2xuh6vdkpspy63sjmuny.us-east-1.es.amazonaws.com/_plugin/kibana/#/discover/Steve-Slow-Train-Analysis-(2080s-and-2083s)?_g=(refreshInterval:(display:Off,section:0,value:0),time:(from:'2016-12-05 13:49:38-700',mode:absolute,to:'2016-12-05 16:33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7" s="52" t="str">
        <f>IF(AA97&lt;IF(AG97="EC",23,5.65),"Y","N")</f>
        <v>N</v>
      </c>
      <c r="X97" s="177">
        <f>VALUE(LEFT(AD97,4))-VALUE(LEFT(AD96,4))</f>
        <v>1</v>
      </c>
      <c r="Y97" s="67">
        <f>RIGHT(D97,LEN(D97)-4)/10000</f>
        <v>23.297799999999999</v>
      </c>
      <c r="Z97" s="67">
        <f>RIGHT(H97,LEN(H97)-4)/10000</f>
        <v>1.5599999999999999E-2</v>
      </c>
      <c r="AA97" s="67">
        <f>ABS(Z97-Y97)</f>
        <v>23.2822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>IF(LEN(A97)=6,"0"&amp;A97,A97)</f>
        <v>0184-05</v>
      </c>
      <c r="AE97" s="91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s3://rtdc.mdm.uploadarchive.raw/RTDC4021/ "%USERPROFILE%\AppData\Local\Temp\OnboardLogs"\RTDC4021\2016-12-05 --exclude "*" --recursive --include "*20161205*" &amp; "%USERPROFILE%\Documents\GitHub\mrs-test-scripts\Headless Mode &amp; Sideloading\WalkAndUnGZ.bat" "%USERPROFILE%\AppData\Local\Temp\OnboardLogs"\RTDC4021\2016-12-05 &amp; 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</v>
      </c>
      <c r="AF97" s="88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/stypes="app*4021*20161205*" /stext=" 22:.+((SYSTEM_STATE.+slice.+state.+changed )|(ment ac)|(multiple cpu faults)|(system.+state.+changed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92" t="str">
        <f t="shared" si="4"/>
        <v>"%USERPROFILE%\Documents\GitHub\eaglep3\Utilities\RefineRTDCRunTimes.py" --tripid 184-05 --locoid 4021 --swversion DE.1.0.8.0 --startMP 204:232978 --initTime 2016-12-05T14:49:38 --startdatetime 2016-12-05T14:56:17 --delay 1 --endMP 204:156 --enddatetime 2016-12-05T15:33:09 --enforcementcount 2 &gt;&gt;C:\Users\stu\Documents\GitHub\eaglep3-reporting\EC\2016-12-05-refined-times.txt</v>
      </c>
      <c r="AI97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{"issue":{"subject":"","project_id":79,"tracker_id":40,"status_id":1,"priority_id":2,"assigned_to_id":23,"start_date":"2016-12-05","description":"","custom_fields":[{"id":1,"name":"Subdivision","value":"EC"},{"id":4,"name":"Milepost","value":"0.0156"},{"id":17,"name":"Train ID","value":"184-05"},{"id":16,"name":"Locomotive ID","value":"4021"},{"id":130,"name":"Impact","value":""},{"id":150,"name":"Time of Event (Mountain Time)","value":"15:33:09"},{"id":151,"name":"Denver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573</v>
      </c>
      <c r="B98" s="7">
        <v>4038</v>
      </c>
      <c r="C98" s="22" t="s">
        <v>208</v>
      </c>
      <c r="D98" s="22" t="s">
        <v>230</v>
      </c>
      <c r="E98" s="13">
        <v>42709.58792824074</v>
      </c>
      <c r="F98" s="13">
        <v>42709.593923611108</v>
      </c>
      <c r="G98" s="7">
        <v>1</v>
      </c>
      <c r="H98" s="22" t="s">
        <v>713</v>
      </c>
      <c r="I98" s="13">
        <v>42709.618831018517</v>
      </c>
      <c r="J98" s="7">
        <v>2</v>
      </c>
      <c r="K98" s="109" t="str">
        <f>IF(ISEVEN(B98),(B98-1)&amp;"/"&amp;B98,B98&amp;"/"&amp;(B98+1))</f>
        <v>4037/4038</v>
      </c>
      <c r="L98" s="22" t="str">
        <f>VLOOKUP(A98,'Trips&amp;Operators'!$C$1:$G$99999,5,FALSE)</f>
        <v>SHOOK JOHN</v>
      </c>
      <c r="M98" s="6">
        <f>I98-F98</f>
        <v>2.4907407409045845E-2</v>
      </c>
      <c r="N98" s="7">
        <f>24*60*SUM($M98:$M98)</f>
        <v>35.866666669026017</v>
      </c>
      <c r="O98" s="7"/>
      <c r="P98" s="7"/>
      <c r="Q98" s="23"/>
      <c r="R98" s="23"/>
      <c r="S98" s="35">
        <f>SUM(U98:U98)/IF(AG98="EC",12,1)</f>
        <v>1</v>
      </c>
      <c r="T98" s="50" t="str">
        <f>IF(ISEVEN(LEFT(AD98,4)),"Southbound","NorthBound")</f>
        <v>NorthBound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hh:mm:ss")&amp;utc_offset&amp;"00',mode:absolute,to:'"&amp;TEXT(I98+1/24,"yyyy-MM-DD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https://search-rtdc-monitor-bjffxe2xuh6vdkpspy63sjmuny.us-east-1.es.amazonaws.com/_plugin/kibana/#/discover/Steve-Slow-Train-Analysis-(2080s-and-2083s)?_g=(refreshInterval:(display:Off,section:0,value:0),time:(from:'2016-12-05 13:06:37-700',mode:absolute,to:'2016-12-05 15:51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8" s="52" t="str">
        <f>IF(AA98&lt;IF(AG98="EC",23,5.65),"Y","N")</f>
        <v>N</v>
      </c>
      <c r="X98" s="177">
        <f>VALUE(LEFT(AD98,4))-VALUE(LEFT(AD97,4))</f>
        <v>1</v>
      </c>
      <c r="Y98" s="67">
        <f>RIGHT(D98,LEN(D98)-4)/10000</f>
        <v>4.4900000000000002E-2</v>
      </c>
      <c r="Z98" s="67">
        <f>RIGHT(H98,LEN(H98)-4)/10000</f>
        <v>23.3325</v>
      </c>
      <c r="AA98" s="67">
        <f>ABS(Z98-Y98)</f>
        <v>23.287600000000001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>IF(LEN(A98)=6,"0"&amp;A98,A98)</f>
        <v>0185-05</v>
      </c>
      <c r="AE98" s="91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 &amp; aws s3 cp s3://rtdc.mdm.uploadarchive.raw/RTDC4038/ "%USERPROFILE%\AppData\Local\Temp\OnboardLogs"\RTDC4038\2016-12-06 --exclude "*" --recursive --include "*20161206*" &amp; "%USERPROFILE%\Documents\GitHub\mrs-test-scripts\Headless Mode &amp; Sideloading\WalkAndUnGZ.bat" "%USERPROFILE%\AppData\Local\Temp\OnboardLogs"\RTDC4038\2016-12-06</v>
      </c>
      <c r="AF98" s="88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/stypes="app*4038*20161205*" /stext=" 21:.+((SYSTEM_STATE.+slice.+state.+changed )|(ment ac)|(multiple cpu faults)|(system.+state.+changed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92" t="str">
        <f t="shared" si="4"/>
        <v>"%USERPROFILE%\Documents\GitHub\eaglep3\Utilities\RefineRTDCRunTimes.py" --tripid 185-05 --locoid 4038 --swversion DE.1.0.8.0 --startMP 204:449 --initTime 2016-12-05T14:06:37 --startdatetime 2016-12-05T14:15:15 --delay 1 --endMP 204:233325 --enddatetime 2016-12-05T14:51:07 --enforcementcount 2 &gt;&gt;C:\Users\stu\Documents\GitHub\eaglep3-reporting\EC\2016-12-05-refined-times.txt</v>
      </c>
      <c r="AI98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{"issue":{"subject":"","project_id":79,"tracker_id":40,"status_id":1,"priority_id":2,"assigned_to_id":23,"start_date":"2016-12-05","description":"","custom_fields":[{"id":1,"name":"Subdivision","value":"EC"},{"id":4,"name":"Milepost","value":"23.3325"},{"id":17,"name":"Train ID","value":"185-05"},{"id":16,"name":"Locomotive ID","value":"4038"},{"id":130,"name":"Impact","value":""},{"id":150,"name":"Time of Event (Mountain Time)","value":"14:51:07"},{"id":151,"name":"Denver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7" t="s">
        <v>582</v>
      </c>
      <c r="B99" s="7">
        <v>4037</v>
      </c>
      <c r="C99" s="22" t="s">
        <v>208</v>
      </c>
      <c r="D99" s="22" t="s">
        <v>255</v>
      </c>
      <c r="E99" s="13">
        <v>42709.628761574073</v>
      </c>
      <c r="F99" s="13">
        <v>42709.632835648146</v>
      </c>
      <c r="G99" s="7">
        <v>1</v>
      </c>
      <c r="H99" s="22" t="s">
        <v>236</v>
      </c>
      <c r="I99" s="13">
        <v>42709.658773148149</v>
      </c>
      <c r="J99" s="7">
        <v>2</v>
      </c>
      <c r="K99" s="109" t="str">
        <f>IF(ISEVEN(B99),(B99-1)&amp;"/"&amp;B99,B99&amp;"/"&amp;(B99+1))</f>
        <v>4037/4038</v>
      </c>
      <c r="L99" s="22" t="str">
        <f>VLOOKUP(A99,'Trips&amp;Operators'!$C$1:$G$99999,5,FALSE)</f>
        <v>SHOOK JOHN</v>
      </c>
      <c r="M99" s="6">
        <f>I99-F99</f>
        <v>2.5937500002328306E-2</v>
      </c>
      <c r="N99" s="7">
        <f>24*60*SUM($M99:$M99)</f>
        <v>37.350000003352761</v>
      </c>
      <c r="O99" s="7"/>
      <c r="P99" s="7"/>
      <c r="Q99" s="23"/>
      <c r="R99" s="23"/>
      <c r="S99" s="35">
        <f>SUM(U99:U99)/IF(AG99="EC",12,1)</f>
        <v>1</v>
      </c>
      <c r="T99" s="50" t="str">
        <f>IF(ISEVEN(LEFT(AD99,4)),"Southbound","NorthBound")</f>
        <v>Southbound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hh:mm:ss")&amp;utc_offset&amp;"00',mode:absolute,to:'"&amp;TEXT(I99+1/24,"yyyy-MM-DD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https://search-rtdc-monitor-bjffxe2xuh6vdkpspy63sjmuny.us-east-1.es.amazonaws.com/_plugin/kibana/#/discover/Steve-Slow-Train-Analysis-(2080s-and-2083s)?_g=(refreshInterval:(display:Off,section:0,value:0),time:(from:'2016-12-05 14:05:25-700',mode:absolute,to:'2016-12-05 16:48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9" s="52" t="str">
        <f>IF(AA99&lt;IF(AG99="EC",23,5.65),"Y","N")</f>
        <v>N</v>
      </c>
      <c r="X99" s="177">
        <f>VALUE(LEFT(AD99,4))-VALUE(LEFT(AD98,4))</f>
        <v>1</v>
      </c>
      <c r="Y99" s="67">
        <f>RIGHT(D99,LEN(D99)-4)/10000</f>
        <v>23.2989</v>
      </c>
      <c r="Z99" s="67">
        <f>RIGHT(H99,LEN(H99)-4)/10000</f>
        <v>1.47E-2</v>
      </c>
      <c r="AA99" s="67">
        <f>ABS(Z99-Y99)</f>
        <v>23.284199999999998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>IF(LEN(A99)=6,"0"&amp;A99,A99)</f>
        <v>0186-05</v>
      </c>
      <c r="AE99" s="91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 &amp; aws s3 cp s3://rtdc.mdm.uploadarchive.raw/RTDC4037/ "%USERPROFILE%\AppData\Local\Temp\OnboardLogs"\RTDC4037\2016-12-06 --exclude "*" --recursive --include "*20161206*" &amp; "%USERPROFILE%\Documents\GitHub\mrs-test-scripts\Headless Mode &amp; Sideloading\WalkAndUnGZ.bat" "%USERPROFILE%\AppData\Local\Temp\OnboardLogs"\RTDC4037\2016-12-06</v>
      </c>
      <c r="AF99" s="88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/stypes="app*4037*20161205*" /stext=" 22:.+((SYSTEM_STATE.+slice.+state.+changed )|(ment ac)|(multiple cpu faults)|(system.+state.+changed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92" t="str">
        <f t="shared" si="4"/>
        <v>"%USERPROFILE%\Documents\GitHub\eaglep3\Utilities\RefineRTDCRunTimes.py" --tripid 186-05 --locoid 4037 --swversion DE.1.0.8.0 --startMP 204:232989 --initTime 2016-12-05T15:05:25 --startdatetime 2016-12-05T15:11:17 --delay 1 --endMP 204:147 --enddatetime 2016-12-05T15:48:38 --enforcementcount 2 &gt;&gt;C:\Users\stu\Documents\GitHub\eaglep3-reporting\EC\2016-12-05-refined-times.txt</v>
      </c>
      <c r="AI99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{"issue":{"subject":"","project_id":79,"tracker_id":40,"status_id":1,"priority_id":2,"assigned_to_id":23,"start_date":"2016-12-05","description":"","custom_fields":[{"id":1,"name":"Subdivision","value":"EC"},{"id":4,"name":"Milepost","value":"0.0147"},{"id":17,"name":"Train ID","value":"186-05"},{"id":16,"name":"Locomotive ID","value":"4037"},{"id":130,"name":"Impact","value":""},{"id":150,"name":"Time of Event (Mountain Time)","value":"15:48:38"},{"id":151,"name":"Denver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576</v>
      </c>
      <c r="B100" s="7">
        <v>4009</v>
      </c>
      <c r="C100" s="22" t="s">
        <v>208</v>
      </c>
      <c r="D100" s="22" t="s">
        <v>714</v>
      </c>
      <c r="E100" s="13">
        <v>42709.600127314814</v>
      </c>
      <c r="F100" s="13">
        <v>42709.604479166665</v>
      </c>
      <c r="G100" s="7">
        <v>1</v>
      </c>
      <c r="H100" s="22" t="s">
        <v>300</v>
      </c>
      <c r="I100" s="13">
        <v>42709.629571759258</v>
      </c>
      <c r="J100" s="7">
        <v>2</v>
      </c>
      <c r="K100" s="109" t="str">
        <f>IF(ISEVEN(B100),(B100-1)&amp;"/"&amp;B100,B100&amp;"/"&amp;(B100+1))</f>
        <v>4009/4010</v>
      </c>
      <c r="L100" s="22" t="str">
        <f>VLOOKUP(A100,'Trips&amp;Operators'!$C$1:$G$99999,5,FALSE)</f>
        <v>STEWART MICHAEL</v>
      </c>
      <c r="M100" s="6">
        <f>I100-F100</f>
        <v>2.5092592593864538E-2</v>
      </c>
      <c r="N100" s="7">
        <f>24*60*SUM($M100:$M100)</f>
        <v>36.133333335164934</v>
      </c>
      <c r="O100" s="7"/>
      <c r="P100" s="7"/>
      <c r="Q100" s="23"/>
      <c r="R100" s="23"/>
      <c r="S100" s="35">
        <f>SUM(U100:U100)/IF(AG100="EC",12,1)</f>
        <v>1</v>
      </c>
      <c r="T100" s="50" t="str">
        <f>IF(ISEVEN(LEFT(AD100,4)),"Southbound","NorthBound")</f>
        <v>NorthBound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hh:mm:ss")&amp;utc_offset&amp;"00',mode:absolute,to:'"&amp;TEXT(I100+1/24,"yyyy-MM-DD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https://search-rtdc-monitor-bjffxe2xuh6vdkpspy63sjmuny.us-east-1.es.amazonaws.com/_plugin/kibana/#/discover/Steve-Slow-Train-Analysis-(2080s-and-2083s)?_g=(refreshInterval:(display:Off,section:0,value:0),time:(from:'2016-12-05 13:24:11-700',mode:absolute,to:'2016-12-05 16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0" s="52" t="str">
        <f>IF(AA100&lt;IF(AG100="EC",23,5.65),"Y","N")</f>
        <v>N</v>
      </c>
      <c r="X100" s="177">
        <f>VALUE(LEFT(AD100,4))-VALUE(LEFT(AD99,4))</f>
        <v>1</v>
      </c>
      <c r="Y100" s="67">
        <f>RIGHT(D100,LEN(D100)-4)/10000</f>
        <v>5.0200000000000002E-2</v>
      </c>
      <c r="Z100" s="67">
        <f>RIGHT(H100,LEN(H100)-4)/10000</f>
        <v>23.331199999999999</v>
      </c>
      <c r="AA100" s="67">
        <f>ABS(Z100-Y100)</f>
        <v>23.280999999999999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>IF(LEN(A100)=6,"0"&amp;A100,A100)</f>
        <v>0187-05</v>
      </c>
      <c r="AE100" s="91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s3://rtdc.mdm.uploadarchive.raw/RTDC4009/ "%USERPROFILE%\AppData\Local\Temp\OnboardLogs"\RTDC4009\2016-12-05 --exclude "*" --recursive --include "*20161205*" &amp; "%USERPROFILE%\Documents\GitHub\mrs-test-scripts\Headless Mode &amp; Sideloading\WalkAndUnGZ.bat" "%USERPROFILE%\AppData\Local\Temp\OnboardLogs"\RTDC4009\2016-12-05 &amp; 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</v>
      </c>
      <c r="AF100" s="88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/stypes="app*4009*20161205*" /stext=" 22:.+((SYSTEM_STATE.+slice.+state.+changed )|(ment ac)|(multiple cpu faults)|(system.+state.+changed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92" t="str">
        <f t="shared" si="4"/>
        <v>"%USERPROFILE%\Documents\GitHub\eaglep3\Utilities\RefineRTDCRunTimes.py" --tripid 187-05 --locoid 4009 --swversion DE.1.0.8.0 --startMP 204:502 --initTime 2016-12-05T14:24:11 --startdatetime 2016-12-05T14:30:27 --delay 1 --endMP 204:233312 --enddatetime 2016-12-05T15:06:35 --enforcementcount 2 &gt;&gt;C:\Users\stu\Documents\GitHub\eaglep3-reporting\EC\2016-12-05-refined-times.txt</v>
      </c>
      <c r="AI100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{"issue":{"subject":"","project_id":79,"tracker_id":40,"status_id":1,"priority_id":2,"assigned_to_id":23,"start_date":"2016-12-05","description":"","custom_fields":[{"id":1,"name":"Subdivision","value":"EC"},{"id":4,"name":"Milepost","value":"23.3312"},{"id":17,"name":"Train ID","value":"187-05"},{"id":16,"name":"Locomotive ID","value":"4009"},{"id":130,"name":"Impact","value":""},{"id":150,"name":"Time of Event (Mountain Time)","value":"15:06:35"},{"id":151,"name":"Denver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x14ac:dyDescent="0.25">
      <c r="A101" s="37" t="s">
        <v>454</v>
      </c>
      <c r="B101" s="7">
        <v>4010</v>
      </c>
      <c r="C101" s="22" t="s">
        <v>208</v>
      </c>
      <c r="D101" s="22" t="s">
        <v>257</v>
      </c>
      <c r="E101" s="13">
        <v>42709.636562500003</v>
      </c>
      <c r="F101" s="13">
        <v>42709.643310185187</v>
      </c>
      <c r="G101" s="7">
        <v>1</v>
      </c>
      <c r="H101" s="22" t="s">
        <v>243</v>
      </c>
      <c r="I101" s="13">
        <v>42709.670104166667</v>
      </c>
      <c r="J101" s="7">
        <v>2</v>
      </c>
      <c r="K101" s="109" t="str">
        <f>IF(ISEVEN(B101),(B101-1)&amp;"/"&amp;B101,B101&amp;"/"&amp;(B101+1))</f>
        <v>4009/4010</v>
      </c>
      <c r="L101" s="22" t="str">
        <f>VLOOKUP(A101,'Trips&amp;Operators'!$C$1:$G$99999,5,FALSE)</f>
        <v>STEWART MICHAEL</v>
      </c>
      <c r="M101" s="6">
        <f>I101-F101</f>
        <v>2.679398148029577E-2</v>
      </c>
      <c r="N101" s="7">
        <f>24*60*SUM($M101:$M101)</f>
        <v>38.583333331625909</v>
      </c>
      <c r="O101" s="7"/>
      <c r="P101" s="7"/>
      <c r="Q101" s="23"/>
      <c r="R101" s="23"/>
      <c r="S101" s="35">
        <f>SUM(U101:U101)/IF(AG101="EC",12,1)</f>
        <v>1</v>
      </c>
      <c r="T101" s="50" t="str">
        <f>IF(ISEVEN(LEFT(AD101,4)),"Southbound","NorthBound")</f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hh:mm:ss")&amp;utc_offset&amp;"00',mode:absolute,to:'"&amp;TEXT(I101+1/24,"yyyy-MM-DD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https://search-rtdc-monitor-bjffxe2xuh6vdkpspy63sjmuny.us-east-1.es.amazonaws.com/_plugin/kibana/#/discover/Steve-Slow-Train-Analysis-(2080s-and-2083s)?_g=(refreshInterval:(display:Off,section:0,value:0),time:(from:'2016-12-05 14:16:39-700',mode:absolute,to:'2016-12-05 17:04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1" s="52" t="str">
        <f>IF(AA101&lt;IF(AG101="EC",23,5.65),"Y","N")</f>
        <v>N</v>
      </c>
      <c r="X101" s="177">
        <f>VALUE(LEFT(AD101,4))-VALUE(LEFT(AD100,4))</f>
        <v>1</v>
      </c>
      <c r="Y101" s="67">
        <f>RIGHT(D101,LEN(D101)-4)/10000</f>
        <v>23.2988</v>
      </c>
      <c r="Z101" s="67">
        <f>RIGHT(H101,LEN(H101)-4)/10000</f>
        <v>1.61E-2</v>
      </c>
      <c r="AA101" s="67">
        <f>ABS(Z101-Y101)</f>
        <v>23.282699999999998</v>
      </c>
      <c r="AB101" s="64" t="str">
        <f>VLOOKUP(A101,Enforcements!$C$7:$K$20,8,0)</f>
        <v>Form based authority (4)</v>
      </c>
      <c r="AC101" s="60" t="str">
        <f>VLOOKUP(A101,Enforcements!$C$7:$E$20,3,0)</f>
        <v>TRACK WARRANT AUTHORITY</v>
      </c>
      <c r="AD101" s="61" t="str">
        <f>IF(LEN(A101)=6,"0"&amp;A101,A101)</f>
        <v>0188-05</v>
      </c>
      <c r="AE101" s="91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s3://rtdc.mdm.uploadarchive.raw/RTDC4010/ "%USERPROFILE%\AppData\Local\Temp\OnboardLogs"\RTDC4010\2016-12-05 --exclude "*" --recursive --include "*20161205*" &amp; "%USERPROFILE%\Documents\GitHub\mrs-test-scripts\Headless Mode &amp; Sideloading\WalkAndUnGZ.bat" "%USERPROFILE%\AppData\Local\Temp\OnboardLogs"\RTDC4010\2016-12-05 &amp; 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</v>
      </c>
      <c r="AF101" s="88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/stypes="app*4010*20161205*" /stext=" 23:.+((SYSTEM_STATE.+slice.+state.+changed )|(ment ac)|(multiple cpu faults)|(system.+state.+changed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92" t="str">
        <f t="shared" si="4"/>
        <v>"%USERPROFILE%\Documents\GitHub\eaglep3\Utilities\RefineRTDCRunTimes.py" --tripid 188-05 --locoid 4010 --swversion DE.1.0.8.0 --startMP 204:232988 --initTime 2016-12-05T15:16:39 --startdatetime 2016-12-05T15:26:22 --delay 1 --endMP 204:161 --enddatetime 2016-12-05T16:04:57 --enforcementcount 2 &gt;&gt;C:\Users\stu\Documents\GitHub\eaglep3-reporting\EC\2016-12-05-refined-times.txt</v>
      </c>
      <c r="AI101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{"issue":{"subject":"","project_id":79,"tracker_id":40,"status_id":1,"priority_id":2,"assigned_to_id":23,"start_date":"2016-12-05","description":"","custom_fields":[{"id":1,"name":"Subdivision","value":"EC"},{"id":4,"name":"Milepost","value":"0.0161"},{"id":17,"name":"Train ID","value":"188-05"},{"id":16,"name":"Locomotive ID","value":"4010"},{"id":130,"name":"Impact","value":""},{"id":150,"name":"Time of Event (Mountain Time)","value":"16:04:57"},{"id":151,"name":"Denver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579</v>
      </c>
      <c r="B102" s="7">
        <v>4042</v>
      </c>
      <c r="C102" s="22" t="s">
        <v>208</v>
      </c>
      <c r="D102" s="22" t="s">
        <v>195</v>
      </c>
      <c r="E102" s="13">
        <v>42709.610520833332</v>
      </c>
      <c r="F102" s="13">
        <v>42709.614814814813</v>
      </c>
      <c r="G102" s="7">
        <v>1</v>
      </c>
      <c r="H102" s="22" t="s">
        <v>391</v>
      </c>
      <c r="I102" s="13">
        <v>42709.640034722222</v>
      </c>
      <c r="J102" s="7">
        <v>2</v>
      </c>
      <c r="K102" s="109" t="str">
        <f>IF(ISEVEN(B102),(B102-1)&amp;"/"&amp;B102,B102&amp;"/"&amp;(B102+1))</f>
        <v>4041/4042</v>
      </c>
      <c r="L102" s="22" t="str">
        <f>VLOOKUP(A102,'Trips&amp;Operators'!$C$1:$G$99999,5,FALSE)</f>
        <v>BARTLETT KIANDRA</v>
      </c>
      <c r="M102" s="6">
        <f>I102-F102</f>
        <v>2.5219907409336884E-2</v>
      </c>
      <c r="N102" s="7">
        <f>24*60*SUM($M102:$M102)</f>
        <v>36.316666669445112</v>
      </c>
      <c r="O102" s="7"/>
      <c r="P102" s="7"/>
      <c r="Q102" s="23"/>
      <c r="R102" s="23"/>
      <c r="S102" s="35">
        <f>SUM(U102:U102)/IF(AG102="EC",12,1)</f>
        <v>1</v>
      </c>
      <c r="T102" s="50" t="str">
        <f>IF(ISEVEN(LEFT(AD102,4)),"Southbound","NorthBound")</f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hh:mm:ss")&amp;utc_offset&amp;"00',mode:absolute,to:'"&amp;TEXT(I102+1/24,"yyyy-MM-DD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https://search-rtdc-monitor-bjffxe2xuh6vdkpspy63sjmuny.us-east-1.es.amazonaws.com/_plugin/kibana/#/discover/Steve-Slow-Train-Analysis-(2080s-and-2083s)?_g=(refreshInterval:(display:Off,section:0,value:0),time:(from:'2016-12-05 13:39:09-700',mode:absolute,to:'2016-12-05 16:21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2" s="52" t="str">
        <f>IF(AA102&lt;IF(AG102="EC",23,5.65),"Y","N")</f>
        <v>N</v>
      </c>
      <c r="X102" s="177">
        <f>VALUE(LEFT(AD102,4))-VALUE(LEFT(AD101,4))</f>
        <v>1</v>
      </c>
      <c r="Y102" s="67">
        <f>RIGHT(D102,LEN(D102)-4)/10000</f>
        <v>4.5100000000000001E-2</v>
      </c>
      <c r="Z102" s="67">
        <f>RIGHT(H102,LEN(H102)-4)/10000</f>
        <v>23.330400000000001</v>
      </c>
      <c r="AA102" s="67">
        <f>ABS(Z102-Y102)</f>
        <v>23.285299999999999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>IF(LEN(A102)=6,"0"&amp;A102,A102)</f>
        <v>0189-05</v>
      </c>
      <c r="AE102" s="91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s3://rtdc.mdm.uploadarchive.raw/RTDC4042/ "%USERPROFILE%\AppData\Local\Temp\OnboardLogs"\RTDC4042\2016-12-05 --exclude "*" --recursive --include "*20161205*" &amp; "%USERPROFILE%\Documents\GitHub\mrs-test-scripts\Headless Mode &amp; Sideloading\WalkAndUnGZ.bat" "%USERPROFILE%\AppData\Local\Temp\OnboardLogs"\RTDC4042\2016-12-05 &amp; aws s3 cp s3://rtdc.mdm.uploadarchive.raw/RTDC4042/ "%USERPROFILE%\AppData\Local\Temp\OnboardLogs"\RTDC4042\2016-12-06 --exclude "*" --recursive --include "*20161206*" &amp; "%USERPROFILE%\Documents\GitHub\mrs-test-scripts\Headless Mode &amp; Sideloading\WalkAndUnGZ.bat" "%USERPROFILE%\AppData\Local\Temp\OnboardLogs"\RTDC4042\2016-12-06</v>
      </c>
      <c r="AF102" s="88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/stypes="app*4042*20161205*" /stext=" 22:.+((SYSTEM_STATE.+slice.+state.+changed )|(ment ac)|(multiple cpu faults)|(system.+state.+changed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92" t="str">
        <f t="shared" si="4"/>
        <v>"%USERPROFILE%\Documents\GitHub\eaglep3\Utilities\RefineRTDCRunTimes.py" --tripid 189-05 --locoid 4042 --swversion DE.1.0.8.0 --startMP 204:451 --initTime 2016-12-05T14:39:09 --startdatetime 2016-12-05T14:45:20 --delay 1 --endMP 204:233304 --enddatetime 2016-12-05T15:21:39 --enforcementcount 2 &gt;&gt;C:\Users\stu\Documents\GitHub\eaglep3-reporting\EC\2016-12-05-refined-times.txt</v>
      </c>
      <c r="AI102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{"issue":{"subject":"","project_id":79,"tracker_id":40,"status_id":1,"priority_id":2,"assigned_to_id":23,"start_date":"2016-12-05","description":"","custom_fields":[{"id":1,"name":"Subdivision","value":"EC"},{"id":4,"name":"Milepost","value":"23.3304"},{"id":17,"name":"Train ID","value":"189-05"},{"id":16,"name":"Locomotive ID","value":"4042"},{"id":130,"name":"Impact","value":""},{"id":150,"name":"Time of Event (Mountain Time)","value":"15:21:39"},{"id":151,"name":"Denver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585</v>
      </c>
      <c r="B103" s="7">
        <v>4041</v>
      </c>
      <c r="C103" s="22" t="s">
        <v>208</v>
      </c>
      <c r="D103" s="22" t="s">
        <v>696</v>
      </c>
      <c r="E103" s="13">
        <v>42709.650057870371</v>
      </c>
      <c r="F103" s="13">
        <v>42709.65421296296</v>
      </c>
      <c r="G103" s="7">
        <v>1</v>
      </c>
      <c r="H103" s="22" t="s">
        <v>210</v>
      </c>
      <c r="I103" s="13">
        <v>42709.679583333331</v>
      </c>
      <c r="J103" s="7">
        <v>2</v>
      </c>
      <c r="K103" s="109" t="str">
        <f>IF(ISEVEN(B103),(B103-1)&amp;"/"&amp;B103,B103&amp;"/"&amp;(B103+1))</f>
        <v>4041/4042</v>
      </c>
      <c r="L103" s="22" t="str">
        <f>VLOOKUP(A103,'Trips&amp;Operators'!$C$1:$G$99999,5,FALSE)</f>
        <v>BARTLETT KIANDRA</v>
      </c>
      <c r="M103" s="6">
        <f>I103-F103</f>
        <v>2.5370370371092577E-2</v>
      </c>
      <c r="N103" s="7">
        <f>24*60*SUM($M103:$M103)</f>
        <v>36.53333333437331</v>
      </c>
      <c r="O103" s="7"/>
      <c r="P103" s="7"/>
      <c r="Q103" s="23"/>
      <c r="R103" s="23"/>
      <c r="S103" s="35">
        <f>SUM(U103:U103)/IF(AG103="EC",12,1)</f>
        <v>1</v>
      </c>
      <c r="T103" s="50" t="str">
        <f>IF(ISEVEN(LEFT(AD103,4)),"Southbound","NorthBound")</f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hh:mm:ss")&amp;utc_offset&amp;"00',mode:absolute,to:'"&amp;TEXT(I103+1/24,"yyyy-MM-DD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https://search-rtdc-monitor-bjffxe2xuh6vdkpspy63sjmuny.us-east-1.es.amazonaws.com/_plugin/kibana/#/discover/Steve-Slow-Train-Analysis-(2080s-and-2083s)?_g=(refreshInterval:(display:Off,section:0,value:0),time:(from:'2016-12-05 14:36:05-700',mode:absolute,to:'2016-12-05 17:18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3" s="52" t="str">
        <f>IF(AA103&lt;IF(AG103="EC",23,5.65),"Y","N")</f>
        <v>N</v>
      </c>
      <c r="X103" s="177">
        <f>VALUE(LEFT(AD103,4))-VALUE(LEFT(AD102,4))</f>
        <v>1</v>
      </c>
      <c r="Y103" s="67">
        <f>RIGHT(D103,LEN(D103)-4)/10000</f>
        <v>23.299600000000002</v>
      </c>
      <c r="Z103" s="67">
        <f>RIGHT(H103,LEN(H103)-4)/10000</f>
        <v>1.5800000000000002E-2</v>
      </c>
      <c r="AA103" s="67">
        <f>ABS(Z103-Y103)</f>
        <v>23.283800000000003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>IF(LEN(A103)=6,"0"&amp;A103,A103)</f>
        <v>0190-05</v>
      </c>
      <c r="AE103" s="91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 &amp; aws s3 cp s3://rtdc.mdm.uploadarchive.raw/RTDC4041/ "%USERPROFILE%\AppData\Local\Temp\OnboardLogs"\RTDC4041\2016-12-06 --exclude "*" --recursive --include "*20161206*" &amp; "%USERPROFILE%\Documents\GitHub\mrs-test-scripts\Headless Mode &amp; Sideloading\WalkAndUnGZ.bat" "%USERPROFILE%\AppData\Local\Temp\OnboardLogs"\RTDC4041\2016-12-06</v>
      </c>
      <c r="AF103" s="88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/stypes="app*4041*20161205*" /stext=" 23:.+((SYSTEM_STATE.+slice.+state.+changed )|(ment ac)|(multiple cpu faults)|(system.+state.+changed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92" t="str">
        <f t="shared" si="4"/>
        <v>"%USERPROFILE%\Documents\GitHub\eaglep3\Utilities\RefineRTDCRunTimes.py" --tripid 190-05 --locoid 4041 --swversion DE.1.0.8.0 --startMP 204:232996 --initTime 2016-12-05T15:36:05 --startdatetime 2016-12-05T15:42:04 --delay 1 --endMP 204:158 --enddatetime 2016-12-05T16:18:36 --enforcementcount 2 &gt;&gt;C:\Users\stu\Documents\GitHub\eaglep3-reporting\EC\2016-12-05-refined-times.txt</v>
      </c>
      <c r="AI103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{"issue":{"subject":"","project_id":79,"tracker_id":40,"status_id":1,"priority_id":2,"assigned_to_id":23,"start_date":"2016-12-05","description":"","custom_fields":[{"id":1,"name":"Subdivision","value":"EC"},{"id":4,"name":"Milepost","value":"0.0158"},{"id":17,"name":"Train ID","value":"190-05"},{"id":16,"name":"Locomotive ID","value":"4041"},{"id":130,"name":"Impact","value":""},{"id":150,"name":"Time of Event (Mountain Time)","value":"16:18:36"},{"id":151,"name":"Denver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581</v>
      </c>
      <c r="B104" s="7">
        <v>4002</v>
      </c>
      <c r="C104" s="22" t="s">
        <v>208</v>
      </c>
      <c r="D104" s="22" t="s">
        <v>246</v>
      </c>
      <c r="E104" s="13">
        <v>42709.619016203702</v>
      </c>
      <c r="F104" s="13">
        <v>42709.625219907408</v>
      </c>
      <c r="G104" s="7">
        <v>1</v>
      </c>
      <c r="H104" s="22" t="s">
        <v>680</v>
      </c>
      <c r="I104" s="13">
        <v>42709.649837962963</v>
      </c>
      <c r="J104" s="7">
        <v>2</v>
      </c>
      <c r="K104" s="109" t="str">
        <f>IF(ISEVEN(B104),(B104-1)&amp;"/"&amp;B104,B104&amp;"/"&amp;(B104+1))</f>
        <v>4001/4002</v>
      </c>
      <c r="L104" s="22" t="str">
        <f>VLOOKUP(A104,'Trips&amp;Operators'!$C$1:$G$99999,5,FALSE)</f>
        <v>BONDS REYNALDO</v>
      </c>
      <c r="M104" s="6">
        <f>I104-F104</f>
        <v>2.4618055555038154E-2</v>
      </c>
      <c r="N104" s="7">
        <f>24*60*SUM($M104:$M104)</f>
        <v>35.449999999254942</v>
      </c>
      <c r="O104" s="7"/>
      <c r="P104" s="7"/>
      <c r="Q104" s="23"/>
      <c r="R104" s="23"/>
      <c r="S104" s="35">
        <f>SUM(U104:U104)/IF(AG104="EC",12,1)</f>
        <v>1</v>
      </c>
      <c r="T104" s="50" t="str">
        <f>IF(ISEVEN(LEFT(AD104,4)),"Southbound","NorthBound")</f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hh:mm:ss")&amp;utc_offset&amp;"00',mode:absolute,to:'"&amp;TEXT(I104+1/24,"yyyy-MM-DD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https://search-rtdc-monitor-bjffxe2xuh6vdkpspy63sjmuny.us-east-1.es.amazonaws.com/_plugin/kibana/#/discover/Steve-Slow-Train-Analysis-(2080s-and-2083s)?_g=(refreshInterval:(display:Off,section:0,value:0),time:(from:'2016-12-05 13:51:23-700',mode:absolute,to:'2016-12-05 16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4" s="52" t="str">
        <f>IF(AA104&lt;IF(AG104="EC",23,5.65),"Y","N")</f>
        <v>N</v>
      </c>
      <c r="X104" s="177">
        <f>VALUE(LEFT(AD104,4))-VALUE(LEFT(AD103,4))</f>
        <v>1</v>
      </c>
      <c r="Y104" s="67">
        <f>RIGHT(D104,LEN(D104)-4)/10000</f>
        <v>4.5699999999999998E-2</v>
      </c>
      <c r="Z104" s="67">
        <f>RIGHT(H104,LEN(H104)-4)/10000</f>
        <v>23.3309</v>
      </c>
      <c r="AA104" s="67">
        <f>ABS(Z104-Y104)</f>
        <v>23.2852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>IF(LEN(A104)=6,"0"&amp;A104,A104)</f>
        <v>0191-05</v>
      </c>
      <c r="AE104" s="91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s3://rtdc.mdm.uploadarchive.raw/RTDC4002/ "%USERPROFILE%\AppData\Local\Temp\OnboardLogs"\RTDC4002\2016-12-05 --exclude "*" --recursive --include "*20161205*" &amp; "%USERPROFILE%\Documents\GitHub\mrs-test-scripts\Headless Mode &amp; Sideloading\WalkAndUnGZ.bat" "%USERPROFILE%\AppData\Local\Temp\OnboardLogs"\RTDC4002\2016-12-05 &amp; aws s3 cp s3://rtdc.mdm.uploadarchive.raw/RTDC4002/ "%USERPROFILE%\AppData\Local\Temp\OnboardLogs"\RTDC4002\2016-12-06 --exclude "*" --recursive --include "*20161206*" &amp; "%USERPROFILE%\Documents\GitHub\mrs-test-scripts\Headless Mode &amp; Sideloading\WalkAndUnGZ.bat" "%USERPROFILE%\AppData\Local\Temp\OnboardLogs"\RTDC4002\2016-12-06</v>
      </c>
      <c r="AF104" s="88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/stypes="app*4002*20161205*" /stext=" 22:.+((SYSTEM_STATE.+slice.+state.+changed )|(ment ac)|(multiple cpu faults)|(system.+state.+changed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92" t="str">
        <f t="shared" si="4"/>
        <v>"%USERPROFILE%\Documents\GitHub\eaglep3\Utilities\RefineRTDCRunTimes.py" --tripid 191-05 --locoid 4002 --swversion DE.1.0.8.0 --startMP 204:457 --initTime 2016-12-05T14:51:23 --startdatetime 2016-12-05T15:00:19 --delay 1 --endMP 204:233309 --enddatetime 2016-12-05T15:35:46 --enforcementcount 2 &gt;&gt;C:\Users\stu\Documents\GitHub\eaglep3-reporting\EC\2016-12-05-refined-times.txt</v>
      </c>
      <c r="AI104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{"issue":{"subject":"","project_id":79,"tracker_id":40,"status_id":1,"priority_id":2,"assigned_to_id":23,"start_date":"2016-12-05","description":"","custom_fields":[{"id":1,"name":"Subdivision","value":"EC"},{"id":4,"name":"Milepost","value":"23.3309"},{"id":17,"name":"Train ID","value":"191-05"},{"id":16,"name":"Locomotive ID","value":"4002"},{"id":130,"name":"Impact","value":""},{"id":150,"name":"Time of Event (Mountain Time)","value":"15:35:46"},{"id":151,"name":"Denver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453</v>
      </c>
      <c r="B105" s="7">
        <v>4001</v>
      </c>
      <c r="C105" s="22" t="s">
        <v>208</v>
      </c>
      <c r="D105" s="22" t="s">
        <v>715</v>
      </c>
      <c r="E105" s="13">
        <v>42709.651423611111</v>
      </c>
      <c r="F105" s="13">
        <v>42709.664120370369</v>
      </c>
      <c r="G105" s="7">
        <v>1</v>
      </c>
      <c r="H105" s="22" t="s">
        <v>215</v>
      </c>
      <c r="I105" s="13">
        <v>42709.690821759257</v>
      </c>
      <c r="J105" s="7">
        <v>2</v>
      </c>
      <c r="K105" s="109" t="str">
        <f>IF(ISEVEN(B105),(B105-1)&amp;"/"&amp;B105,B105&amp;"/"&amp;(B105+1))</f>
        <v>4001/4002</v>
      </c>
      <c r="L105" s="22" t="str">
        <f>VLOOKUP(A105,'Trips&amp;Operators'!$C$1:$G$99999,5,FALSE)</f>
        <v>BONDS REYNALDO</v>
      </c>
      <c r="M105" s="6">
        <f>I105-F105</f>
        <v>2.6701388887886424E-2</v>
      </c>
      <c r="N105" s="7">
        <f>24*60*SUM($M105:$M105)</f>
        <v>38.44999999855645</v>
      </c>
      <c r="O105" s="7"/>
      <c r="P105" s="7"/>
      <c r="Q105" s="23"/>
      <c r="R105" s="23"/>
      <c r="S105" s="35">
        <f>SUM(U105:U105)/IF(AG105="EC",12,1)</f>
        <v>1</v>
      </c>
      <c r="T105" s="50" t="str">
        <f>IF(ISEVEN(LEFT(AD105,4)),"Southbound","NorthBound")</f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hh:mm:ss")&amp;utc_offset&amp;"00',mode:absolute,to:'"&amp;TEXT(I105+1/24,"yyyy-MM-DD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https://search-rtdc-monitor-bjffxe2xuh6vdkpspy63sjmuny.us-east-1.es.amazonaws.com/_plugin/kibana/#/discover/Steve-Slow-Train-Analysis-(2080s-and-2083s)?_g=(refreshInterval:(display:Off,section:0,value:0),time:(from:'2016-12-05 14:38:03-700',mode:absolute,to:'2016-12-05 17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5" s="52" t="str">
        <f>IF(AA105&lt;IF(AG105="EC",23,5.65),"Y","N")</f>
        <v>N</v>
      </c>
      <c r="X105" s="177">
        <f>VALUE(LEFT(AD105,4))-VALUE(LEFT(AD104,4))</f>
        <v>1</v>
      </c>
      <c r="Y105" s="67">
        <f>RIGHT(D105,LEN(D105)-4)/10000</f>
        <v>23.299199999999999</v>
      </c>
      <c r="Z105" s="67">
        <f>RIGHT(H105,LEN(H105)-4)/10000</f>
        <v>1.4999999999999999E-2</v>
      </c>
      <c r="AA105" s="67">
        <f>ABS(Z105-Y105)</f>
        <v>23.284199999999998</v>
      </c>
      <c r="AB105" s="64" t="str">
        <f>VLOOKUP(A105,Enforcements!$C$7:$K$20,8,0)</f>
        <v>Signal based authority (5)</v>
      </c>
      <c r="AC105" s="60" t="str">
        <f>VLOOKUP(A105,Enforcements!$C$7:$E$20,3,0)</f>
        <v>SIGNAL</v>
      </c>
      <c r="AD105" s="61" t="str">
        <f>IF(LEN(A105)=6,"0"&amp;A105,A105)</f>
        <v>0192-05</v>
      </c>
      <c r="AE105" s="91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s3://rtdc.mdm.uploadarchive.raw/RTDC4001/ "%USERPROFILE%\AppData\Local\Temp\OnboardLogs"\RTDC4001\2016-12-05 --exclude "*" --recursive --include "*20161205*" &amp; "%USERPROFILE%\Documents\GitHub\mrs-test-scripts\Headless Mode &amp; Sideloading\WalkAndUnGZ.bat" "%USERPROFILE%\AppData\Local\Temp\OnboardLogs"\RTDC4001\2016-12-05 &amp; aws s3 cp s3://rtdc.mdm.uploadarchive.raw/RTDC4001/ "%USERPROFILE%\AppData\Local\Temp\OnboardLogs"\RTDC4001\2016-12-06 --exclude "*" --recursive --include "*20161206*" &amp; "%USERPROFILE%\Documents\GitHub\mrs-test-scripts\Headless Mode &amp; Sideloading\WalkAndUnGZ.bat" "%USERPROFILE%\AppData\Local\Temp\OnboardLogs"\RTDC4001\2016-12-06</v>
      </c>
      <c r="AF105" s="88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/stypes="app*4001*20161205*" /stext=" 23:.+((SYSTEM_STATE.+slice.+state.+changed )|(ment ac)|(multiple cpu faults)|(system.+state.+changed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92" t="str">
        <f t="shared" si="4"/>
        <v>"%USERPROFILE%\Documents\GitHub\eaglep3\Utilities\RefineRTDCRunTimes.py" --tripid 192-05 --locoid 4001 --swversion DE.1.0.8.0 --startMP 204:232992 --initTime 2016-12-05T15:38:03 --startdatetime 2016-12-05T15:56:20 --delay 1 --endMP 204:150 --enddatetime 2016-12-05T16:34:47 --enforcementcount 2 &gt;&gt;C:\Users\stu\Documents\GitHub\eaglep3-reporting\EC\2016-12-05-refined-times.txt</v>
      </c>
      <c r="AI105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{"issue":{"subject":"","project_id":79,"tracker_id":40,"status_id":1,"priority_id":2,"assigned_to_id":23,"start_date":"2016-12-05","description":"","custom_fields":[{"id":1,"name":"Subdivision","value":"EC"},{"id":4,"name":"Milepost","value":"0.015"},{"id":17,"name":"Train ID","value":"192-05"},{"id":16,"name":"Locomotive ID","value":"4001"},{"id":130,"name":"Impact","value":""},{"id":150,"name":"Time of Event (Mountain Time)","value":"16:34:47"},{"id":151,"name":"Denver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452</v>
      </c>
      <c r="B106" s="7">
        <v>4044</v>
      </c>
      <c r="C106" s="22" t="s">
        <v>208</v>
      </c>
      <c r="D106" s="22" t="s">
        <v>259</v>
      </c>
      <c r="E106" s="13">
        <v>42709.631331018521</v>
      </c>
      <c r="F106" s="13">
        <v>42709.635578703703</v>
      </c>
      <c r="G106" s="7">
        <v>1</v>
      </c>
      <c r="H106" s="22" t="s">
        <v>716</v>
      </c>
      <c r="I106" s="13">
        <v>42709.661041666666</v>
      </c>
      <c r="J106" s="7">
        <v>2</v>
      </c>
      <c r="K106" s="109" t="str">
        <f>IF(ISEVEN(B106),(B106-1)&amp;"/"&amp;B106,B106&amp;"/"&amp;(B106+1))</f>
        <v>4043/4044</v>
      </c>
      <c r="L106" s="22" t="str">
        <f>VLOOKUP(A106,'Trips&amp;Operators'!$C$1:$G$99999,5,FALSE)</f>
        <v>CLARK KATHLEEN</v>
      </c>
      <c r="M106" s="6">
        <f>I106-F106</f>
        <v>2.5462962963501923E-2</v>
      </c>
      <c r="N106" s="7">
        <f>24*60*SUM($M106:$M106)</f>
        <v>36.666666667442769</v>
      </c>
      <c r="O106" s="7"/>
      <c r="P106" s="7"/>
      <c r="Q106" s="23"/>
      <c r="R106" s="23"/>
      <c r="S106" s="35">
        <f>SUM(U106:U106)/IF(AG106="EC",12,1)</f>
        <v>1</v>
      </c>
      <c r="T106" s="50" t="str">
        <f>IF(ISEVEN(LEFT(AD106,4)),"Southbound","NorthBound")</f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hh:mm:ss")&amp;utc_offset&amp;"00',mode:absolute,to:'"&amp;TEXT(I106+1/24,"yyyy-MM-DD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https://search-rtdc-monitor-bjffxe2xuh6vdkpspy63sjmuny.us-east-1.es.amazonaws.com/_plugin/kibana/#/discover/Steve-Slow-Train-Analysis-(2080s-and-2083s)?_g=(refreshInterval:(display:Off,section:0,value:0),time:(from:'2016-12-05 14:09:07-700',mode:absolute,to:'2016-12-05 16:51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6" s="52" t="str">
        <f>IF(AA106&lt;IF(AG106="EC",23,5.65),"Y","N")</f>
        <v>N</v>
      </c>
      <c r="X106" s="177">
        <f>VALUE(LEFT(AD106,4))-VALUE(LEFT(AD105,4))</f>
        <v>1</v>
      </c>
      <c r="Y106" s="67">
        <f>RIGHT(D106,LEN(D106)-4)/10000</f>
        <v>4.6699999999999998E-2</v>
      </c>
      <c r="Z106" s="67">
        <f>RIGHT(H106,LEN(H106)-4)/10000</f>
        <v>23.323</v>
      </c>
      <c r="AA106" s="67">
        <f>ABS(Z106-Y106)</f>
        <v>23.276299999999999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>IF(LEN(A106)=6,"0"&amp;A106,A106)</f>
        <v>0193-05</v>
      </c>
      <c r="AE106" s="91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 &amp; 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</v>
      </c>
      <c r="AF106" s="88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/stypes="app*4044*20161205*" /stext=" 22:.+((SYSTEM_STATE.+slice.+state.+changed )|(ment ac)|(multiple cpu faults)|(system.+state.+changed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92" t="str">
        <f t="shared" si="4"/>
        <v>"%USERPROFILE%\Documents\GitHub\eaglep3\Utilities\RefineRTDCRunTimes.py" --tripid 193-05 --locoid 4044 --swversion DE.1.0.8.0 --startMP 204:467 --initTime 2016-12-05T15:09:07 --startdatetime 2016-12-05T15:15:14 --delay 1 --endMP 204:233230 --enddatetime 2016-12-05T15:51:54 --enforcementcount 2 &gt;&gt;C:\Users\stu\Documents\GitHub\eaglep3-reporting\EC\2016-12-05-refined-times.txt</v>
      </c>
      <c r="AI106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{"issue":{"subject":"","project_id":79,"tracker_id":40,"status_id":1,"priority_id":2,"assigned_to_id":23,"start_date":"2016-12-05","description":"","custom_fields":[{"id":1,"name":"Subdivision","value":"EC"},{"id":4,"name":"Milepost","value":"23.323"},{"id":17,"name":"Train ID","value":"193-05"},{"id":16,"name":"Locomotive ID","value":"4044"},{"id":130,"name":"Impact","value":""},{"id":150,"name":"Time of Event (Mountain Time)","value":"15:51:54"},{"id":151,"name":"Denver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590</v>
      </c>
      <c r="B107" s="7">
        <v>4043</v>
      </c>
      <c r="C107" s="22" t="s">
        <v>208</v>
      </c>
      <c r="D107" s="22" t="s">
        <v>717</v>
      </c>
      <c r="E107" s="13">
        <v>42709.66777777778</v>
      </c>
      <c r="F107" s="13">
        <v>42709.674513888887</v>
      </c>
      <c r="G107" s="7">
        <v>1</v>
      </c>
      <c r="H107" s="22" t="s">
        <v>228</v>
      </c>
      <c r="I107" s="13">
        <v>42709.701701388891</v>
      </c>
      <c r="J107" s="7">
        <v>2</v>
      </c>
      <c r="K107" s="109" t="str">
        <f>IF(ISEVEN(B107),(B107-1)&amp;"/"&amp;B107,B107&amp;"/"&amp;(B107+1))</f>
        <v>4043/4044</v>
      </c>
      <c r="L107" s="22" t="str">
        <f>VLOOKUP(A107,'Trips&amp;Operators'!$C$1:$G$99999,5,FALSE)</f>
        <v>CLARK KATHLEEN</v>
      </c>
      <c r="M107" s="6">
        <f>I107-F107</f>
        <v>2.718750000349246E-2</v>
      </c>
      <c r="N107" s="7">
        <f>24*60*SUM($M107:$M107)</f>
        <v>39.150000005029142</v>
      </c>
      <c r="O107" s="7"/>
      <c r="P107" s="7"/>
      <c r="Q107" s="23"/>
      <c r="R107" s="23"/>
      <c r="S107" s="35">
        <f>SUM(U107:U107)/IF(AG107="EC",12,1)</f>
        <v>1</v>
      </c>
      <c r="T107" s="50" t="str">
        <f>IF(ISEVEN(LEFT(AD107,4)),"Southbound","NorthBound")</f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hh:mm:ss")&amp;utc_offset&amp;"00',mode:absolute,to:'"&amp;TEXT(I107+1/24,"yyyy-MM-DD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https://search-rtdc-monitor-bjffxe2xuh6vdkpspy63sjmuny.us-east-1.es.amazonaws.com/_plugin/kibana/#/discover/Steve-Slow-Train-Analysis-(2080s-and-2083s)?_g=(refreshInterval:(display:Off,section:0,value:0),time:(from:'2016-12-05 15:01:36-700',mode:absolute,to:'2016-12-05 17:50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7" s="52" t="str">
        <f>IF(AA107&lt;IF(AG107="EC",23,5.65),"Y","N")</f>
        <v>N</v>
      </c>
      <c r="X107" s="177">
        <f>VALUE(LEFT(AD107,4))-VALUE(LEFT(AD106,4))</f>
        <v>1</v>
      </c>
      <c r="Y107" s="67">
        <f>RIGHT(D107,LEN(D107)-4)/10000</f>
        <v>23.292100000000001</v>
      </c>
      <c r="Z107" s="67">
        <f>RIGHT(H107,LEN(H107)-4)/10000</f>
        <v>1.54E-2</v>
      </c>
      <c r="AA107" s="67">
        <f>ABS(Z107-Y107)</f>
        <v>23.276700000000002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>IF(LEN(A107)=6,"0"&amp;A107,A107)</f>
        <v>0194-05</v>
      </c>
      <c r="AE107" s="91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 &amp; 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</v>
      </c>
      <c r="AF107" s="88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/stypes="app*4043*20161205*" /stext=" 23:.+((SYSTEM_STATE.+slice.+state.+changed )|(ment ac)|(multiple cpu faults)|(system.+state.+changed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92" t="str">
        <f t="shared" si="4"/>
        <v>"%USERPROFILE%\Documents\GitHub\eaglep3\Utilities\RefineRTDCRunTimes.py" --tripid 194-05 --locoid 4043 --swversion DE.1.0.8.0 --startMP 204:232921 --initTime 2016-12-05T16:01:36 --startdatetime 2016-12-05T16:11:18 --delay 1 --endMP 204:154 --enddatetime 2016-12-05T16:50:27 --enforcementcount 2 &gt;&gt;C:\Users\stu\Documents\GitHub\eaglep3-reporting\EC\2016-12-05-refined-times.txt</v>
      </c>
      <c r="AI107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{"issue":{"subject":"","project_id":79,"tracker_id":40,"status_id":1,"priority_id":2,"assigned_to_id":23,"start_date":"2016-12-05","description":"","custom_fields":[{"id":1,"name":"Subdivision","value":"EC"},{"id":4,"name":"Milepost","value":"0.0154"},{"id":17,"name":"Train ID","value":"194-05"},{"id":16,"name":"Locomotive ID","value":"4043"},{"id":130,"name":"Impact","value":""},{"id":150,"name":"Time of Event (Mountain Time)","value":"16:50:27"},{"id":151,"name":"Denver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584</v>
      </c>
      <c r="B108" s="7">
        <v>4040</v>
      </c>
      <c r="C108" s="22" t="s">
        <v>208</v>
      </c>
      <c r="D108" s="22" t="s">
        <v>247</v>
      </c>
      <c r="E108" s="13">
        <v>42709.641967592594</v>
      </c>
      <c r="F108" s="13">
        <v>42709.646099537036</v>
      </c>
      <c r="G108" s="7">
        <v>1</v>
      </c>
      <c r="H108" s="22" t="s">
        <v>366</v>
      </c>
      <c r="I108" s="13">
        <v>42709.672476851854</v>
      </c>
      <c r="J108" s="7">
        <v>2</v>
      </c>
      <c r="K108" s="109" t="str">
        <f>IF(ISEVEN(B108),(B108-1)&amp;"/"&amp;B108,B108&amp;"/"&amp;(B108+1))</f>
        <v>4039/4040</v>
      </c>
      <c r="L108" s="22" t="str">
        <f>VLOOKUP(A108,'Trips&amp;Operators'!$C$1:$G$99999,5,FALSE)</f>
        <v>YOUNG ELIZABETH</v>
      </c>
      <c r="M108" s="6">
        <f>I108-F108</f>
        <v>2.6377314818091691E-2</v>
      </c>
      <c r="N108" s="7">
        <f>24*60*SUM($M108:$M108)</f>
        <v>37.983333338052034</v>
      </c>
      <c r="O108" s="7"/>
      <c r="P108" s="7"/>
      <c r="Q108" s="23"/>
      <c r="R108" s="23"/>
      <c r="S108" s="35">
        <f>SUM(U108:U108)/IF(AG108="EC",12,1)</f>
        <v>1</v>
      </c>
      <c r="T108" s="50" t="str">
        <f>IF(ISEVEN(LEFT(AD108,4)),"Southbound","NorthBound")</f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hh:mm:ss")&amp;utc_offset&amp;"00',mode:absolute,to:'"&amp;TEXT(I108+1/24,"yyyy-MM-DD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https://search-rtdc-monitor-bjffxe2xuh6vdkpspy63sjmuny.us-east-1.es.amazonaws.com/_plugin/kibana/#/discover/Steve-Slow-Train-Analysis-(2080s-and-2083s)?_g=(refreshInterval:(display:Off,section:0,value:0),time:(from:'2016-12-05 14:24:26-700',mode:absolute,to:'2016-12-05 17:08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8" s="52" t="str">
        <f>IF(AA108&lt;IF(AG108="EC",23,5.65),"Y","N")</f>
        <v>N</v>
      </c>
      <c r="X108" s="177">
        <f>VALUE(LEFT(AD108,4))-VALUE(LEFT(AD107,4))</f>
        <v>1</v>
      </c>
      <c r="Y108" s="67">
        <f>RIGHT(D108,LEN(D108)-4)/10000</f>
        <v>4.7100000000000003E-2</v>
      </c>
      <c r="Z108" s="67">
        <f>RIGHT(H108,LEN(H108)-4)/10000</f>
        <v>23.3291</v>
      </c>
      <c r="AA108" s="67">
        <f>ABS(Z108-Y108)</f>
        <v>23.282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>IF(LEN(A108)=6,"0"&amp;A108,A108)</f>
        <v>0195-05</v>
      </c>
      <c r="AE108" s="91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s3://rtdc.mdm.uploadarchive.raw/RTDC4040/ "%USERPROFILE%\AppData\Local\Temp\OnboardLogs"\RTDC4040\2016-12-05 --exclude "*" --recursive --include "*20161205*" &amp; "%USERPROFILE%\Documents\GitHub\mrs-test-scripts\Headless Mode &amp; Sideloading\WalkAndUnGZ.bat" "%USERPROFILE%\AppData\Local\Temp\OnboardLogs"\RTDC4040\2016-12-05 &amp; aws s3 cp s3://rtdc.mdm.uploadarchive.raw/RTDC4040/ "%USERPROFILE%\AppData\Local\Temp\OnboardLogs"\RTDC4040\2016-12-06 --exclude "*" --recursive --include "*20161206*" &amp; "%USERPROFILE%\Documents\GitHub\mrs-test-scripts\Headless Mode &amp; Sideloading\WalkAndUnGZ.bat" "%USERPROFILE%\AppData\Local\Temp\OnboardLogs"\RTDC4040\2016-12-06</v>
      </c>
      <c r="AF108" s="88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/stypes="app*4040*20161205*" /stext=" 23:.+((SYSTEM_STATE.+slice.+state.+changed )|(ment ac)|(multiple cpu faults)|(system.+state.+changed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92" t="str">
        <f t="shared" si="4"/>
        <v>"%USERPROFILE%\Documents\GitHub\eaglep3\Utilities\RefineRTDCRunTimes.py" --tripid 195-05 --locoid 4040 --swversion DE.1.0.8.0 --startMP 204:471 --initTime 2016-12-05T15:24:26 --startdatetime 2016-12-05T15:30:23 --delay 1 --endMP 204:233291 --enddatetime 2016-12-05T16:08:22 --enforcementcount 2 &gt;&gt;C:\Users\stu\Documents\GitHub\eaglep3-reporting\EC\2016-12-05-refined-times.txt</v>
      </c>
      <c r="AI108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{"issue":{"subject":"","project_id":79,"tracker_id":40,"status_id":1,"priority_id":2,"assigned_to_id":23,"start_date":"2016-12-05","description":"","custom_fields":[{"id":1,"name":"Subdivision","value":"EC"},{"id":4,"name":"Milepost","value":"23.3291"},{"id":17,"name":"Train ID","value":"195-05"},{"id":16,"name":"Locomotive ID","value":"4040"},{"id":130,"name":"Impact","value":""},{"id":150,"name":"Time of Event (Mountain Time)","value":"16:08:22"},{"id":151,"name":"Denver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7" t="s">
        <v>593</v>
      </c>
      <c r="B109" s="7">
        <v>4039</v>
      </c>
      <c r="C109" s="22" t="s">
        <v>208</v>
      </c>
      <c r="D109" s="22" t="s">
        <v>301</v>
      </c>
      <c r="E109" s="13">
        <v>42709.676504629628</v>
      </c>
      <c r="F109" s="13">
        <v>42709.684965277775</v>
      </c>
      <c r="G109" s="7">
        <v>1</v>
      </c>
      <c r="H109" s="22" t="s">
        <v>206</v>
      </c>
      <c r="I109" s="13">
        <v>42709.713414351849</v>
      </c>
      <c r="J109" s="7">
        <v>2</v>
      </c>
      <c r="K109" s="109" t="str">
        <f>IF(ISEVEN(B109),(B109-1)&amp;"/"&amp;B109,B109&amp;"/"&amp;(B109+1))</f>
        <v>4039/4040</v>
      </c>
      <c r="L109" s="22" t="str">
        <f>VLOOKUP(A109,'Trips&amp;Operators'!$C$1:$G$99999,5,FALSE)</f>
        <v>YOUNG ELIZABETH</v>
      </c>
      <c r="M109" s="6">
        <f>I109-F109</f>
        <v>2.8449074074160308E-2</v>
      </c>
      <c r="N109" s="7">
        <f>24*60*SUM($M109:$M109)</f>
        <v>40.966666666790843</v>
      </c>
      <c r="O109" s="7"/>
      <c r="P109" s="7"/>
      <c r="Q109" s="23"/>
      <c r="R109" s="23"/>
      <c r="S109" s="35">
        <f>SUM(U109:U109)/IF(AG109="EC",12,1)</f>
        <v>1</v>
      </c>
      <c r="T109" s="50" t="str">
        <f>IF(ISEVEN(LEFT(AD109,4)),"Southbound","NorthBound")</f>
        <v>Southbound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hh:mm:ss")&amp;utc_offset&amp;"00',mode:absolute,to:'"&amp;TEXT(I109+1/24,"yyyy-MM-DD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https://search-rtdc-monitor-bjffxe2xuh6vdkpspy63sjmuny.us-east-1.es.amazonaws.com/_plugin/kibana/#/discover/Steve-Slow-Train-Analysis-(2080s-and-2083s)?_g=(refreshInterval:(display:Off,section:0,value:0),time:(from:'2016-12-05 15:14:10-700',mode:absolute,to:'2016-12-05 18:07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9" s="52" t="str">
        <f>IF(AA109&lt;IF(AG109="EC",23,5.65),"Y","N")</f>
        <v>N</v>
      </c>
      <c r="X109" s="177">
        <f>VALUE(LEFT(AD109,4))-VALUE(LEFT(AD108,4))</f>
        <v>1</v>
      </c>
      <c r="Y109" s="67">
        <f>RIGHT(D109,LEN(D109)-4)/10000</f>
        <v>23.296900000000001</v>
      </c>
      <c r="Z109" s="67">
        <f>RIGHT(H109,LEN(H109)-4)/10000</f>
        <v>1.5599999999999999E-2</v>
      </c>
      <c r="AA109" s="67">
        <f>ABS(Z109-Y109)</f>
        <v>23.281300000000002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>IF(LEN(A109)=6,"0"&amp;A109,A109)</f>
        <v>0196-05</v>
      </c>
      <c r="AE109" s="91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s3://rtdc.mdm.uploadarchive.raw/RTDC4039/ "%USERPROFILE%\AppData\Local\Temp\OnboardLogs"\RTDC4039\2016-12-05 --exclude "*" --recursive --include "*20161205*" &amp; "%USERPROFILE%\Documents\GitHub\mrs-test-scripts\Headless Mode &amp; Sideloading\WalkAndUnGZ.bat" "%USERPROFILE%\AppData\Local\Temp\OnboardLogs"\RTDC4039\2016-12-05 &amp; aws s3 cp s3://rtdc.mdm.uploadarchive.raw/RTDC4039/ "%USERPROFILE%\AppData\Local\Temp\OnboardLogs"\RTDC4039\2016-12-06 --exclude "*" --recursive --include "*20161206*" &amp; "%USERPROFILE%\Documents\GitHub\mrs-test-scripts\Headless Mode &amp; Sideloading\WalkAndUnGZ.bat" "%USERPROFILE%\AppData\Local\Temp\OnboardLogs"\RTDC4039\2016-12-06</v>
      </c>
      <c r="AF109" s="88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/stypes="app*4039*20161206*" /stext=" 00:.+((SYSTEM_STATE.+slice.+state.+changed )|(ment ac)|(multiple cpu faults)|(system.+state.+changed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92" t="str">
        <f t="shared" si="4"/>
        <v>"%USERPROFILE%\Documents\GitHub\eaglep3\Utilities\RefineRTDCRunTimes.py" --tripid 196-05 --locoid 4039 --swversion DE.1.0.8.0 --startMP 204:232969 --initTime 2016-12-05T16:14:10 --startdatetime 2016-12-05T16:26:21 --delay 1 --endMP 204:156 --enddatetime 2016-12-05T17:07:19 --enforcementcount 2 &gt;&gt;C:\Users\stu\Documents\GitHub\eaglep3-reporting\EC\2016-12-05-refined-times.txt</v>
      </c>
      <c r="AI109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{"issue":{"subject":"","project_id":79,"tracker_id":40,"status_id":1,"priority_id":2,"assigned_to_id":23,"start_date":"2016-12-05","description":"","custom_fields":[{"id":1,"name":"Subdivision","value":"EC"},{"id":4,"name":"Milepost","value":"0.0156"},{"id":17,"name":"Train ID","value":"196-05"},{"id":16,"name":"Locomotive ID","value":"4039"},{"id":130,"name":"Impact","value":""},{"id":150,"name":"Time of Event (Mountain Time)","value":"17:07:19"},{"id":151,"name":"Denver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s="21" customFormat="1" x14ac:dyDescent="0.25">
      <c r="A110" s="37" t="s">
        <v>587</v>
      </c>
      <c r="B110" s="7">
        <v>4022</v>
      </c>
      <c r="C110" s="22" t="s">
        <v>208</v>
      </c>
      <c r="D110" s="22" t="s">
        <v>718</v>
      </c>
      <c r="E110" s="13">
        <v>42709.653437499997</v>
      </c>
      <c r="F110" s="13">
        <v>42709.656597222223</v>
      </c>
      <c r="G110" s="7">
        <v>1</v>
      </c>
      <c r="H110" s="22" t="s">
        <v>260</v>
      </c>
      <c r="I110" s="13">
        <v>42709.680648148147</v>
      </c>
      <c r="J110" s="7">
        <v>2</v>
      </c>
      <c r="K110" s="109" t="str">
        <f>IF(ISEVEN(B110),(B110-1)&amp;"/"&amp;B110,B110&amp;"/"&amp;(B110+1))</f>
        <v>4021/4022</v>
      </c>
      <c r="L110" s="22" t="str">
        <f>VLOOKUP(A110,'Trips&amp;Operators'!$C$1:$G$99999,5,FALSE)</f>
        <v>HELVIE ADAM</v>
      </c>
      <c r="M110" s="6">
        <f>I110-F110</f>
        <v>2.4050925923802424E-2</v>
      </c>
      <c r="N110" s="7">
        <f>24*60*SUM($M110:$M110)</f>
        <v>34.633333330275491</v>
      </c>
      <c r="O110" s="7"/>
      <c r="P110" s="7"/>
      <c r="Q110" s="23"/>
      <c r="R110" s="23"/>
      <c r="S110" s="35">
        <f>SUM(U110:U110)/IF(AG110="EC",12,1)</f>
        <v>1</v>
      </c>
      <c r="T110" s="50" t="str">
        <f>IF(ISEVEN(LEFT(AD110,4)),"Southbound","NorthBound")</f>
        <v>NorthBound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hh:mm:ss")&amp;utc_offset&amp;"00',mode:absolute,to:'"&amp;TEXT(I110+1/24,"yyyy-MM-DD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https://search-rtdc-monitor-bjffxe2xuh6vdkpspy63sjmuny.us-east-1.es.amazonaws.com/_plugin/kibana/#/discover/Steve-Slow-Train-Analysis-(2080s-and-2083s)?_g=(refreshInterval:(display:Off,section:0,value:0),time:(from:'2016-12-05 14:40:57-700',mode:absolute,to:'2016-12-05 17:20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0" s="52" t="str">
        <f>IF(AA110&lt;IF(AG110="EC",23,5.65),"Y","N")</f>
        <v>N</v>
      </c>
      <c r="X110" s="177">
        <f>VALUE(LEFT(AD110,4))-VALUE(LEFT(AD109,4))</f>
        <v>1</v>
      </c>
      <c r="Y110" s="67">
        <f>RIGHT(D110,LEN(D110)-4)/10000</f>
        <v>4.8800000000000003E-2</v>
      </c>
      <c r="Z110" s="67">
        <f>RIGHT(H110,LEN(H110)-4)/10000</f>
        <v>23.329799999999999</v>
      </c>
      <c r="AA110" s="67">
        <f>ABS(Z110-Y110)</f>
        <v>23.280999999999999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>IF(LEN(A110)=6,"0"&amp;A110,A110)</f>
        <v>0197-05</v>
      </c>
      <c r="AE110" s="91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s3://rtdc.mdm.uploadarchive.raw/RTDC4022/ "%USERPROFILE%\AppData\Local\Temp\OnboardLogs"\RTDC4022\2016-12-05 --exclude "*" --recursive --include "*20161205*" &amp; "%USERPROFILE%\Documents\GitHub\mrs-test-scripts\Headless Mode &amp; Sideloading\WalkAndUnGZ.bat" "%USERPROFILE%\AppData\Local\Temp\OnboardLogs"\RTDC4022\2016-12-05 &amp; 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</v>
      </c>
      <c r="AF110" s="88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/stypes="app*4022*20161205*" /stext=" 23:.+((SYSTEM_STATE.+slice.+state.+changed )|(ment ac)|(multiple cpu faults)|(system.+state.+changed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92" t="str">
        <f t="shared" si="4"/>
        <v>"%USERPROFILE%\Documents\GitHub\eaglep3\Utilities\RefineRTDCRunTimes.py" --tripid 197-05 --locoid 4022 --swversion DE.1.0.8.0 --startMP 204:488 --initTime 2016-12-05T15:40:57 --startdatetime 2016-12-05T15:45:30 --delay 1 --endMP 204:233298 --enddatetime 2016-12-05T16:20:08 --enforcementcount 2 &gt;&gt;C:\Users\stu\Documents\GitHub\eaglep3-reporting\EC\2016-12-05-refined-times.txt</v>
      </c>
      <c r="AI110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{"issue":{"subject":"","project_id":79,"tracker_id":40,"status_id":1,"priority_id":2,"assigned_to_id":23,"start_date":"2016-12-05","description":"","custom_fields":[{"id":1,"name":"Subdivision","value":"EC"},{"id":4,"name":"Milepost","value":"23.3298"},{"id":17,"name":"Train ID","value":"197-05"},{"id":16,"name":"Locomotive ID","value":"4022"},{"id":130,"name":"Impact","value":""},{"id":150,"name":"Time of Event (Mountain Time)","value":"16:20:08"},{"id":151,"name":"Denver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594</v>
      </c>
      <c r="B111" s="7">
        <v>4021</v>
      </c>
      <c r="C111" s="22" t="s">
        <v>208</v>
      </c>
      <c r="D111" s="22" t="s">
        <v>679</v>
      </c>
      <c r="E111" s="13">
        <v>42709.689236111109</v>
      </c>
      <c r="F111" s="13">
        <v>42709.695486111108</v>
      </c>
      <c r="G111" s="7">
        <v>1</v>
      </c>
      <c r="H111" s="22" t="s">
        <v>258</v>
      </c>
      <c r="I111" s="13">
        <v>42709.721122685187</v>
      </c>
      <c r="J111" s="7">
        <v>2</v>
      </c>
      <c r="K111" s="109" t="str">
        <f>IF(ISEVEN(B111),(B111-1)&amp;"/"&amp;B111,B111&amp;"/"&amp;(B111+1))</f>
        <v>4021/4022</v>
      </c>
      <c r="L111" s="22" t="str">
        <f>VLOOKUP(A111,'Trips&amp;Operators'!$C$1:$G$99999,5,FALSE)</f>
        <v>HELVIE ADAM</v>
      </c>
      <c r="M111" s="6">
        <f>I111-F111</f>
        <v>2.5636574078816921E-2</v>
      </c>
      <c r="N111" s="7">
        <f>24*60*SUM($M111:$M111)</f>
        <v>36.916666673496366</v>
      </c>
      <c r="O111" s="7"/>
      <c r="P111" s="7"/>
      <c r="Q111" s="23"/>
      <c r="R111" s="23"/>
      <c r="S111" s="35">
        <f>SUM(U111:U111)/IF(AG111="EC",12,1)</f>
        <v>1</v>
      </c>
      <c r="T111" s="50" t="str">
        <f>IF(ISEVEN(LEFT(AD111,4)),"Southbound","NorthBound")</f>
        <v>Southbound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hh:mm:ss")&amp;utc_offset&amp;"00',mode:absolute,to:'"&amp;TEXT(I111+1/24,"yyyy-MM-DD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https://search-rtdc-monitor-bjffxe2xuh6vdkpspy63sjmuny.us-east-1.es.amazonaws.com/_plugin/kibana/#/discover/Steve-Slow-Train-Analysis-(2080s-and-2083s)?_g=(refreshInterval:(display:Off,section:0,value:0),time:(from:'2016-12-05 15:32:30-700',mode:absolute,to:'2016-12-05 18:18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1" s="52" t="str">
        <f>IF(AA111&lt;IF(AG111="EC",23,5.65),"Y","N")</f>
        <v>N</v>
      </c>
      <c r="X111" s="177">
        <f>VALUE(LEFT(AD111,4))-VALUE(LEFT(AD110,4))</f>
        <v>1</v>
      </c>
      <c r="Y111" s="67">
        <f>RIGHT(D111,LEN(D111)-4)/10000</f>
        <v>23.2974</v>
      </c>
      <c r="Z111" s="67">
        <f>RIGHT(H111,LEN(H111)-4)/10000</f>
        <v>1.4500000000000001E-2</v>
      </c>
      <c r="AA111" s="67">
        <f>ABS(Z111-Y111)</f>
        <v>23.282899999999998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>IF(LEN(A111)=6,"0"&amp;A111,A111)</f>
        <v>0198-05</v>
      </c>
      <c r="AE111" s="91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s3://rtdc.mdm.uploadarchive.raw/RTDC4021/ "%USERPROFILE%\AppData\Local\Temp\OnboardLogs"\RTDC4021\2016-12-05 --exclude "*" --recursive --include "*20161205*" &amp; "%USERPROFILE%\Documents\GitHub\mrs-test-scripts\Headless Mode &amp; Sideloading\WalkAndUnGZ.bat" "%USERPROFILE%\AppData\Local\Temp\OnboardLogs"\RTDC4021\2016-12-05 &amp; 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</v>
      </c>
      <c r="AF111" s="88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/stypes="app*4021*20161206*" /stext=" 00:.+((SYSTEM_STATE.+slice.+state.+changed )|(ment ac)|(multiple cpu faults)|(system.+state.+changed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92" t="str">
        <f t="shared" si="4"/>
        <v>"%USERPROFILE%\Documents\GitHub\eaglep3\Utilities\RefineRTDCRunTimes.py" --tripid 198-05 --locoid 4021 --swversion DE.1.0.8.0 --startMP 204:232974 --initTime 2016-12-05T16:32:30 --startdatetime 2016-12-05T16:41:30 --delay 1 --endMP 204:145 --enddatetime 2016-12-05T17:18:25 --enforcementcount 2 &gt;&gt;C:\Users\stu\Documents\GitHub\eaglep3-reporting\EC\2016-12-05-refined-times.txt</v>
      </c>
      <c r="AI111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{"issue":{"subject":"","project_id":79,"tracker_id":40,"status_id":1,"priority_id":2,"assigned_to_id":23,"start_date":"2016-12-05","description":"","custom_fields":[{"id":1,"name":"Subdivision","value":"EC"},{"id":4,"name":"Milepost","value":"0.0145"},{"id":17,"name":"Train ID","value":"198-05"},{"id":16,"name":"Locomotive ID","value":"4021"},{"id":130,"name":"Impact","value":""},{"id":150,"name":"Time of Event (Mountain Time)","value":"17:18:25"},{"id":151,"name":"Denver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589</v>
      </c>
      <c r="B112" s="7">
        <v>4038</v>
      </c>
      <c r="C112" s="22" t="s">
        <v>208</v>
      </c>
      <c r="D112" s="22" t="s">
        <v>244</v>
      </c>
      <c r="E112" s="13">
        <v>42709.66097222222</v>
      </c>
      <c r="F112" s="13">
        <v>42709.666863425926</v>
      </c>
      <c r="G112" s="7">
        <v>1</v>
      </c>
      <c r="H112" s="22" t="s">
        <v>403</v>
      </c>
      <c r="I112" s="13">
        <v>42709.691840277781</v>
      </c>
      <c r="J112" s="7">
        <v>2</v>
      </c>
      <c r="K112" s="109" t="str">
        <f>IF(ISEVEN(B112),(B112-1)&amp;"/"&amp;B112,B112&amp;"/"&amp;(B112+1))</f>
        <v>4037/4038</v>
      </c>
      <c r="L112" s="22" t="str">
        <f>VLOOKUP(A112,'Trips&amp;Operators'!$C$1:$G$99999,5,FALSE)</f>
        <v>SHOOK JOHN</v>
      </c>
      <c r="M112" s="6">
        <f>I112-F112</f>
        <v>2.4976851855171844E-2</v>
      </c>
      <c r="N112" s="7">
        <f>24*60*SUM($M112:$M112)</f>
        <v>35.966666671447456</v>
      </c>
      <c r="O112" s="7"/>
      <c r="P112" s="7"/>
      <c r="Q112" s="23"/>
      <c r="R112" s="23"/>
      <c r="S112" s="35">
        <f>SUM(U112:U112)/IF(AG112="EC",12,1)</f>
        <v>1</v>
      </c>
      <c r="T112" s="50" t="str">
        <f>IF(ISEVEN(LEFT(AD112,4)),"Southbound","NorthBound")</f>
        <v>NorthBound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hh:mm:ss")&amp;utc_offset&amp;"00',mode:absolute,to:'"&amp;TEXT(I112+1/24,"yyyy-MM-DD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https://search-rtdc-monitor-bjffxe2xuh6vdkpspy63sjmuny.us-east-1.es.amazonaws.com/_plugin/kibana/#/discover/Steve-Slow-Train-Analysis-(2080s-and-2083s)?_g=(refreshInterval:(display:Off,section:0,value:0),time:(from:'2016-12-05 14:51:48-700',mode:absolute,to:'2016-12-05 17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2" s="52" t="str">
        <f>IF(AA112&lt;IF(AG112="EC",23,5.65),"Y","N")</f>
        <v>N</v>
      </c>
      <c r="X112" s="177">
        <f>VALUE(LEFT(AD112,4))-VALUE(LEFT(AD111,4))</f>
        <v>1</v>
      </c>
      <c r="Y112" s="67">
        <f>RIGHT(D112,LEN(D112)-4)/10000</f>
        <v>4.5999999999999999E-2</v>
      </c>
      <c r="Z112" s="67">
        <f>RIGHT(H112,LEN(H112)-4)/10000</f>
        <v>23.3322</v>
      </c>
      <c r="AA112" s="67">
        <f>ABS(Z112-Y112)</f>
        <v>23.286200000000001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>IF(LEN(A112)=6,"0"&amp;A112,A112)</f>
        <v>0199-05</v>
      </c>
      <c r="AE112" s="91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 &amp; aws s3 cp s3://rtdc.mdm.uploadarchive.raw/RTDC4038/ "%USERPROFILE%\AppData\Local\Temp\OnboardLogs"\RTDC4038\2016-12-06 --exclude "*" --recursive --include "*20161206*" &amp; "%USERPROFILE%\Documents\GitHub\mrs-test-scripts\Headless Mode &amp; Sideloading\WalkAndUnGZ.bat" "%USERPROFILE%\AppData\Local\Temp\OnboardLogs"\RTDC4038\2016-12-06</v>
      </c>
      <c r="AF112" s="88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/stypes="app*4038*20161205*" /stext=" 23:.+((SYSTEM_STATE.+slice.+state.+changed )|(ment ac)|(multiple cpu faults)|(system.+state.+changed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92" t="str">
        <f t="shared" si="4"/>
        <v>"%USERPROFILE%\Documents\GitHub\eaglep3\Utilities\RefineRTDCRunTimes.py" --tripid 199-05 --locoid 4038 --swversion DE.1.0.8.0 --startMP 204:460 --initTime 2016-12-05T15:51:48 --startdatetime 2016-12-05T16:00:17 --delay 1 --endMP 204:233322 --enddatetime 2016-12-05T16:36:15 --enforcementcount 2 &gt;&gt;C:\Users\stu\Documents\GitHub\eaglep3-reporting\EC\2016-12-05-refined-times.txt</v>
      </c>
      <c r="AI112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{"issue":{"subject":"","project_id":79,"tracker_id":40,"status_id":1,"priority_id":2,"assigned_to_id":23,"start_date":"2016-12-05","description":"","custom_fields":[{"id":1,"name":"Subdivision","value":"EC"},{"id":4,"name":"Milepost","value":"23.3322"},{"id":17,"name":"Train ID","value":"199-05"},{"id":16,"name":"Locomotive ID","value":"4038"},{"id":130,"name":"Impact","value":""},{"id":150,"name":"Time of Event (Mountain Time)","value":"16:36:15"},{"id":151,"name":"Denver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598</v>
      </c>
      <c r="B113" s="7">
        <v>4037</v>
      </c>
      <c r="C113" s="22" t="s">
        <v>208</v>
      </c>
      <c r="D113" s="22" t="s">
        <v>719</v>
      </c>
      <c r="E113" s="13">
        <v>42709.701793981483</v>
      </c>
      <c r="F113" s="13">
        <v>42709.705752314818</v>
      </c>
      <c r="G113" s="7">
        <v>0</v>
      </c>
      <c r="H113" s="22" t="s">
        <v>393</v>
      </c>
      <c r="I113" s="13">
        <v>42709.731736111113</v>
      </c>
      <c r="J113" s="7">
        <v>2</v>
      </c>
      <c r="K113" s="109" t="str">
        <f>IF(ISEVEN(B113),(B113-1)&amp;"/"&amp;B113,B113&amp;"/"&amp;(B113+1))</f>
        <v>4037/4038</v>
      </c>
      <c r="L113" s="22" t="str">
        <f>VLOOKUP(A113,'Trips&amp;Operators'!$C$1:$G$99999,5,FALSE)</f>
        <v>SHOOK JOHN</v>
      </c>
      <c r="M113" s="6">
        <f>I113-F113</f>
        <v>2.5983796294895001E-2</v>
      </c>
      <c r="N113" s="7">
        <f>24*60*SUM($M113:$M113)</f>
        <v>37.416666664648801</v>
      </c>
      <c r="O113" s="7"/>
      <c r="P113" s="7"/>
      <c r="Q113" s="23"/>
      <c r="R113" s="23"/>
      <c r="S113" s="35">
        <f>SUM(U113:U113)/IF(AG113="EC",12,1)</f>
        <v>1</v>
      </c>
      <c r="T113" s="50" t="str">
        <f>IF(ISEVEN(LEFT(AD113,4)),"Southbound","NorthBound")</f>
        <v>Southbound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hh:mm:ss")&amp;utc_offset&amp;"00',mode:absolute,to:'"&amp;TEXT(I113+1/24,"yyyy-MM-DD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https://search-rtdc-monitor-bjffxe2xuh6vdkpspy63sjmuny.us-east-1.es.amazonaws.com/_plugin/kibana/#/discover/Steve-Slow-Train-Analysis-(2080s-and-2083s)?_g=(refreshInterval:(display:Off,section:0,value:0),time:(from:'2016-12-05 15:50:35-700',mode:absolute,to:'2016-12-05 18:33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3" s="52" t="str">
        <f>IF(AA113&lt;IF(AG113="EC",23,5.65),"Y","N")</f>
        <v>N</v>
      </c>
      <c r="X113" s="177">
        <f>VALUE(LEFT(AD113,4))-VALUE(LEFT(AD112,4))</f>
        <v>1</v>
      </c>
      <c r="Y113" s="67">
        <f>RIGHT(D113,LEN(D113)-4)/10000</f>
        <v>23.3005</v>
      </c>
      <c r="Z113" s="67">
        <f>RIGHT(H113,LEN(H113)-4)/10000</f>
        <v>1.3899999999999999E-2</v>
      </c>
      <c r="AA113" s="67">
        <f>ABS(Z113-Y113)</f>
        <v>23.2866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>IF(LEN(A113)=6,"0"&amp;A113,A113)</f>
        <v>0200-05</v>
      </c>
      <c r="AE113" s="91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 &amp; aws s3 cp s3://rtdc.mdm.uploadarchive.raw/RTDC4037/ "%USERPROFILE%\AppData\Local\Temp\OnboardLogs"\RTDC4037\2016-12-06 --exclude "*" --recursive --include "*20161206*" &amp; "%USERPROFILE%\Documents\GitHub\mrs-test-scripts\Headless Mode &amp; Sideloading\WalkAndUnGZ.bat" "%USERPROFILE%\AppData\Local\Temp\OnboardLogs"\RTDC4037\2016-12-06</v>
      </c>
      <c r="AF113" s="88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/stypes="app*4037*20161206*" /stext=" 00:.+((SYSTEM_STATE.+slice.+state.+changed )|(ment ac)|(multiple cpu faults)|(system.+state.+changed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92" t="str">
        <f t="shared" si="4"/>
        <v>"%USERPROFILE%\Documents\GitHub\eaglep3\Utilities\RefineRTDCRunTimes.py" --tripid 200-05 --locoid 4037 --swversion DE.1.0.8.0 --startMP 204:233005 --initTime 2016-12-05T16:50:35 --startdatetime 2016-12-05T16:56:17 --delay 0 --endMP 204:139 --enddatetime 2016-12-05T17:33:42 --enforcementcount 2 &gt;&gt;C:\Users\stu\Documents\GitHub\eaglep3-reporting\EC\2016-12-05-refined-times.txt</v>
      </c>
      <c r="AI113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{"issue":{"subject":"","project_id":79,"tracker_id":40,"status_id":1,"priority_id":2,"assigned_to_id":23,"start_date":"2016-12-05","description":"","custom_fields":[{"id":1,"name":"Subdivision","value":"EC"},{"id":4,"name":"Milepost","value":"0.0139"},{"id":17,"name":"Train ID","value":"200-05"},{"id":16,"name":"Locomotive ID","value":"4037"},{"id":130,"name":"Impact","value":""},{"id":150,"name":"Time of Event (Mountain Time)","value":"17:33:42"},{"id":151,"name":"Denver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592</v>
      </c>
      <c r="B114" s="7">
        <v>4009</v>
      </c>
      <c r="C114" s="22" t="s">
        <v>208</v>
      </c>
      <c r="D114" s="22" t="s">
        <v>720</v>
      </c>
      <c r="E114" s="13">
        <v>42709.672592592593</v>
      </c>
      <c r="F114" s="13">
        <v>42709.677476851852</v>
      </c>
      <c r="G114" s="7">
        <v>1</v>
      </c>
      <c r="H114" s="22" t="s">
        <v>245</v>
      </c>
      <c r="I114" s="13">
        <v>42709.703518518516</v>
      </c>
      <c r="J114" s="7">
        <v>2</v>
      </c>
      <c r="K114" s="109" t="str">
        <f>IF(ISEVEN(B114),(B114-1)&amp;"/"&amp;B114,B114&amp;"/"&amp;(B114+1))</f>
        <v>4009/4010</v>
      </c>
      <c r="L114" s="22" t="str">
        <f>VLOOKUP(A114,'Trips&amp;Operators'!$C$1:$G$99999,5,FALSE)</f>
        <v>STEWART MICHAEL</v>
      </c>
      <c r="M114" s="6">
        <f>I114-F114</f>
        <v>2.6041666664241347E-2</v>
      </c>
      <c r="N114" s="7">
        <f>24*60*SUM($M114:$M114)</f>
        <v>37.49999999650754</v>
      </c>
      <c r="O114" s="7"/>
      <c r="P114" s="7"/>
      <c r="Q114" s="23"/>
      <c r="R114" s="23"/>
      <c r="S114" s="35">
        <f>SUM(U114:U114)/IF(AG114="EC",12,1)</f>
        <v>1</v>
      </c>
      <c r="T114" s="50" t="str">
        <f>IF(ISEVEN(LEFT(AD114,4)),"Southbound","NorthBound")</f>
        <v>NorthBound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hh:mm:ss")&amp;utc_offset&amp;"00',mode:absolute,to:'"&amp;TEXT(I114+1/24,"yyyy-MM-DD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https://search-rtdc-monitor-bjffxe2xuh6vdkpspy63sjmuny.us-east-1.es.amazonaws.com/_plugin/kibana/#/discover/Steve-Slow-Train-Analysis-(2080s-and-2083s)?_g=(refreshInterval:(display:Off,section:0,value:0),time:(from:'2016-12-05 15:08:32-700',mode:absolute,to:'2016-12-05 17:53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4" s="52" t="str">
        <f>IF(AA114&lt;IF(AG114="EC",23,5.65),"Y","N")</f>
        <v>N</v>
      </c>
      <c r="X114" s="177">
        <f>VALUE(LEFT(AD114,4))-VALUE(LEFT(AD113,4))</f>
        <v>1</v>
      </c>
      <c r="Y114" s="67">
        <f>RIGHT(D114,LEN(D114)-4)/10000</f>
        <v>4.7800000000000002E-2</v>
      </c>
      <c r="Z114" s="67">
        <f>RIGHT(H114,LEN(H114)-4)/10000</f>
        <v>23.330200000000001</v>
      </c>
      <c r="AA114" s="67">
        <f>ABS(Z114-Y114)</f>
        <v>23.282400000000003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>IF(LEN(A114)=6,"0"&amp;A114,A114)</f>
        <v>0201-05</v>
      </c>
      <c r="AE114" s="91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s3://rtdc.mdm.uploadarchive.raw/RTDC4009/ "%USERPROFILE%\AppData\Local\Temp\OnboardLogs"\RTDC4009\2016-12-05 --exclude "*" --recursive --include "*20161205*" &amp; "%USERPROFILE%\Documents\GitHub\mrs-test-scripts\Headless Mode &amp; Sideloading\WalkAndUnGZ.bat" "%USERPROFILE%\AppData\Local\Temp\OnboardLogs"\RTDC4009\2016-12-05 &amp; 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</v>
      </c>
      <c r="AF114" s="88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/stypes="app*4009*20161205*" /stext=" 23:.+((SYSTEM_STATE.+slice.+state.+changed )|(ment ac)|(multiple cpu faults)|(system.+state.+changed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92" t="str">
        <f t="shared" si="4"/>
        <v>"%USERPROFILE%\Documents\GitHub\eaglep3\Utilities\RefineRTDCRunTimes.py" --tripid 201-05 --locoid 4009 --swversion DE.1.0.8.0 --startMP 204:478 --initTime 2016-12-05T16:08:32 --startdatetime 2016-12-05T16:15:34 --delay 1 --endMP 204:233302 --enddatetime 2016-12-05T16:53:04 --enforcementcount 2 &gt;&gt;C:\Users\stu\Documents\GitHub\eaglep3-reporting\EC\2016-12-05-refined-times.txt</v>
      </c>
      <c r="AI114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{"issue":{"subject":"","project_id":79,"tracker_id":40,"status_id":1,"priority_id":2,"assigned_to_id":23,"start_date":"2016-12-05","description":"","custom_fields":[{"id":1,"name":"Subdivision","value":"EC"},{"id":4,"name":"Milepost","value":"23.3302"},{"id":17,"name":"Train ID","value":"201-05"},{"id":16,"name":"Locomotive ID","value":"4009"},{"id":130,"name":"Impact","value":""},{"id":150,"name":"Time of Event (Mountain Time)","value":"16:53:04"},{"id":151,"name":"Denver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600</v>
      </c>
      <c r="B115" s="7">
        <v>4010</v>
      </c>
      <c r="C115" s="22" t="s">
        <v>208</v>
      </c>
      <c r="D115" s="22" t="s">
        <v>399</v>
      </c>
      <c r="E115" s="13">
        <v>42709.711655092593</v>
      </c>
      <c r="F115" s="13">
        <v>42709.716249999998</v>
      </c>
      <c r="G115" s="7">
        <v>1</v>
      </c>
      <c r="H115" s="22" t="s">
        <v>192</v>
      </c>
      <c r="I115" s="13">
        <v>42709.743611111109</v>
      </c>
      <c r="J115" s="7">
        <v>2</v>
      </c>
      <c r="K115" s="109" t="str">
        <f>IF(ISEVEN(B115),(B115-1)&amp;"/"&amp;B115,B115&amp;"/"&amp;(B115+1))</f>
        <v>4009/4010</v>
      </c>
      <c r="L115" s="22" t="str">
        <f>VLOOKUP(A115,'Trips&amp;Operators'!$C$1:$G$99999,5,FALSE)</f>
        <v>STEWART MICHAEL</v>
      </c>
      <c r="M115" s="6">
        <f>I115-F115</f>
        <v>2.73611111115315E-2</v>
      </c>
      <c r="N115" s="7">
        <f>24*60*SUM($M115:$M115)</f>
        <v>39.40000000060536</v>
      </c>
      <c r="O115" s="7"/>
      <c r="P115" s="7"/>
      <c r="Q115" s="23"/>
      <c r="R115" s="23"/>
      <c r="S115" s="35">
        <f>SUM(U115:U115)/IF(AG115="EC",12,1)</f>
        <v>1</v>
      </c>
      <c r="T115" s="50" t="str">
        <f>IF(ISEVEN(LEFT(AD115,4)),"Southbound","NorthBound")</f>
        <v>Southbound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hh:mm:ss")&amp;utc_offset&amp;"00',mode:absolute,to:'"&amp;TEXT(I115+1/24,"yyyy-MM-DD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https://search-rtdc-monitor-bjffxe2xuh6vdkpspy63sjmuny.us-east-1.es.amazonaws.com/_plugin/kibana/#/discover/Steve-Slow-Train-Analysis-(2080s-and-2083s)?_g=(refreshInterval:(display:Off,section:0,value:0),time:(from:'2016-12-05 16:04:47-700',mode:absolute,to:'2016-12-05 18:50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5" s="52" t="str">
        <f>IF(AA115&lt;IF(AG115="EC",23,5.65),"Y","N")</f>
        <v>N</v>
      </c>
      <c r="X115" s="177">
        <f>VALUE(LEFT(AD115,4))-VALUE(LEFT(AD114,4))</f>
        <v>1</v>
      </c>
      <c r="Y115" s="67">
        <f>RIGHT(D115,LEN(D115)-4)/10000</f>
        <v>23.298100000000002</v>
      </c>
      <c r="Z115" s="67">
        <f>RIGHT(H115,LEN(H115)-4)/10000</f>
        <v>1.49E-2</v>
      </c>
      <c r="AA115" s="67">
        <f>ABS(Z115-Y115)</f>
        <v>23.283200000000001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>IF(LEN(A115)=6,"0"&amp;A115,A115)</f>
        <v>0202-05</v>
      </c>
      <c r="AE115" s="91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s3://rtdc.mdm.uploadarchive.raw/RTDC4010/ "%USERPROFILE%\AppData\Local\Temp\OnboardLogs"\RTDC4010\2016-12-05 --exclude "*" --recursive --include "*20161205*" &amp; "%USERPROFILE%\Documents\GitHub\mrs-test-scripts\Headless Mode &amp; Sideloading\WalkAndUnGZ.bat" "%USERPROFILE%\AppData\Local\Temp\OnboardLogs"\RTDC4010\2016-12-05 &amp; 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</v>
      </c>
      <c r="AF115" s="88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/stypes="app*4010*20161206*" /stext=" 00:.+((SYSTEM_STATE.+slice.+state.+changed )|(ment ac)|(multiple cpu faults)|(system.+state.+changed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92" t="str">
        <f t="shared" si="4"/>
        <v>"%USERPROFILE%\Documents\GitHub\eaglep3\Utilities\RefineRTDCRunTimes.py" --tripid 202-05 --locoid 4010 --swversion DE.1.0.8.0 --startMP 204:232981 --initTime 2016-12-05T17:04:47 --startdatetime 2016-12-05T17:11:24 --delay 1 --endMP 204:149 --enddatetime 2016-12-05T17:50:48 --enforcementcount 2 &gt;&gt;C:\Users\stu\Documents\GitHub\eaglep3-reporting\EC\2016-12-05-refined-times.txt</v>
      </c>
      <c r="AI115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{"issue":{"subject":"","project_id":79,"tracker_id":40,"status_id":1,"priority_id":2,"assigned_to_id":23,"start_date":"2016-12-05","description":"","custom_fields":[{"id":1,"name":"Subdivision","value":"EC"},{"id":4,"name":"Milepost","value":"0.0149"},{"id":17,"name":"Train ID","value":"202-05"},{"id":16,"name":"Locomotive ID","value":"4010"},{"id":130,"name":"Impact","value":""},{"id":150,"name":"Time of Event (Mountain Time)","value":"17:50:48"},{"id":151,"name":"Denver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456</v>
      </c>
      <c r="B116" s="7">
        <v>4042</v>
      </c>
      <c r="C116" s="22" t="s">
        <v>208</v>
      </c>
      <c r="D116" s="22" t="s">
        <v>239</v>
      </c>
      <c r="E116" s="13">
        <v>42709.681631944448</v>
      </c>
      <c r="F116" s="13">
        <v>42709.6877662037</v>
      </c>
      <c r="G116" s="7">
        <v>1</v>
      </c>
      <c r="H116" s="22" t="s">
        <v>396</v>
      </c>
      <c r="I116" s="13">
        <v>42709.713333333333</v>
      </c>
      <c r="J116" s="7">
        <v>2</v>
      </c>
      <c r="K116" s="109" t="str">
        <f>IF(ISEVEN(B116),(B116-1)&amp;"/"&amp;B116,B116&amp;"/"&amp;(B116+1))</f>
        <v>4041/4042</v>
      </c>
      <c r="L116" s="22" t="str">
        <f>VLOOKUP(A116,'Trips&amp;Operators'!$C$1:$G$99999,5,FALSE)</f>
        <v>BARTLETT KIANDRA</v>
      </c>
      <c r="M116" s="6">
        <f>I116-F116</f>
        <v>2.5567129632690921E-2</v>
      </c>
      <c r="N116" s="7">
        <f>24*60*SUM($M116:$M116)</f>
        <v>36.816666671074927</v>
      </c>
      <c r="O116" s="7"/>
      <c r="P116" s="7"/>
      <c r="Q116" s="23"/>
      <c r="R116" s="23"/>
      <c r="S116" s="35">
        <f>SUM(U116:U116)/IF(AG116="EC",12,1)</f>
        <v>1</v>
      </c>
      <c r="T116" s="50" t="str">
        <f>IF(ISEVEN(LEFT(AD116,4)),"Southbound","NorthBound")</f>
        <v>NorthBound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hh:mm:ss")&amp;utc_offset&amp;"00',mode:absolute,to:'"&amp;TEXT(I116+1/24,"yyyy-MM-DD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https://search-rtdc-monitor-bjffxe2xuh6vdkpspy63sjmuny.us-east-1.es.amazonaws.com/_plugin/kibana/#/discover/Steve-Slow-Train-Analysis-(2080s-and-2083s)?_g=(refreshInterval:(display:Off,section:0,value:0),time:(from:'2016-12-05 15:21:33-700',mode:absolute,to:'2016-12-05 18:07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6" s="52" t="str">
        <f>IF(AA116&lt;IF(AG116="EC",23,5.65),"Y","N")</f>
        <v>N</v>
      </c>
      <c r="X116" s="177">
        <f>VALUE(LEFT(AD116,4))-VALUE(LEFT(AD115,4))</f>
        <v>1</v>
      </c>
      <c r="Y116" s="67">
        <f>RIGHT(D116,LEN(D116)-4)/10000</f>
        <v>4.5499999999999999E-2</v>
      </c>
      <c r="Z116" s="67">
        <f>RIGHT(H116,LEN(H116)-4)/10000</f>
        <v>23.3278</v>
      </c>
      <c r="AA116" s="67">
        <f>ABS(Z116-Y116)</f>
        <v>23.282299999999999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>IF(LEN(A116)=6,"0"&amp;A116,A116)</f>
        <v>0203-05</v>
      </c>
      <c r="AE116" s="91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s3://rtdc.mdm.uploadarchive.raw/RTDC4042/ "%USERPROFILE%\AppData\Local\Temp\OnboardLogs"\RTDC4042\2016-12-05 --exclude "*" --recursive --include "*20161205*" &amp; "%USERPROFILE%\Documents\GitHub\mrs-test-scripts\Headless Mode &amp; Sideloading\WalkAndUnGZ.bat" "%USERPROFILE%\AppData\Local\Temp\OnboardLogs"\RTDC4042\2016-12-05 &amp; aws s3 cp s3://rtdc.mdm.uploadarchive.raw/RTDC4042/ "%USERPROFILE%\AppData\Local\Temp\OnboardLogs"\RTDC4042\2016-12-06 --exclude "*" --recursive --include "*20161206*" &amp; "%USERPROFILE%\Documents\GitHub\mrs-test-scripts\Headless Mode &amp; Sideloading\WalkAndUnGZ.bat" "%USERPROFILE%\AppData\Local\Temp\OnboardLogs"\RTDC4042\2016-12-06</v>
      </c>
      <c r="AF116" s="88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/stypes="app*4042*20161206*" /stext=" 00:.+((SYSTEM_STATE.+slice.+state.+changed )|(ment ac)|(multiple cpu faults)|(system.+state.+changed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92" t="str">
        <f t="shared" si="4"/>
        <v>"%USERPROFILE%\Documents\GitHub\eaglep3\Utilities\RefineRTDCRunTimes.py" --tripid 203-05 --locoid 4042 --swversion DE.1.0.8.0 --startMP 204:455 --initTime 2016-12-05T16:21:33 --startdatetime 2016-12-05T16:30:23 --delay 1 --endMP 204:233278 --enddatetime 2016-12-05T17:07:12 --enforcementcount 2 &gt;&gt;C:\Users\stu\Documents\GitHub\eaglep3-reporting\EC\2016-12-05-refined-times.txt</v>
      </c>
      <c r="AI116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{"issue":{"subject":"","project_id":79,"tracker_id":40,"status_id":1,"priority_id":2,"assigned_to_id":23,"start_date":"2016-12-05","description":"","custom_fields":[{"id":1,"name":"Subdivision","value":"EC"},{"id":4,"name":"Milepost","value":"23.3278"},{"id":17,"name":"Train ID","value":"203-05"},{"id":16,"name":"Locomotive ID","value":"4042"},{"id":130,"name":"Impact","value":""},{"id":150,"name":"Time of Event (Mountain Time)","value":"17:07:12"},{"id":151,"name":"Denver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605</v>
      </c>
      <c r="B117" s="7">
        <v>4041</v>
      </c>
      <c r="C117" s="22" t="s">
        <v>208</v>
      </c>
      <c r="D117" s="22" t="s">
        <v>721</v>
      </c>
      <c r="E117" s="13">
        <v>42709.716331018521</v>
      </c>
      <c r="F117" s="13">
        <v>42709.726701388892</v>
      </c>
      <c r="G117" s="7">
        <v>1</v>
      </c>
      <c r="H117" s="22" t="s">
        <v>243</v>
      </c>
      <c r="I117" s="13">
        <v>42709.753055555557</v>
      </c>
      <c r="J117" s="7">
        <v>2</v>
      </c>
      <c r="K117" s="109" t="str">
        <f>IF(ISEVEN(B117),(B117-1)&amp;"/"&amp;B117,B117&amp;"/"&amp;(B117+1))</f>
        <v>4041/4042</v>
      </c>
      <c r="L117" s="22" t="str">
        <f>VLOOKUP(A117,'Trips&amp;Operators'!$C$1:$G$99999,5,FALSE)</f>
        <v>BARTLETT KIANDRA</v>
      </c>
      <c r="M117" s="6">
        <f>I117-F117</f>
        <v>2.6354166664532386E-2</v>
      </c>
      <c r="N117" s="7">
        <f>24*60*SUM($M117:$M117)</f>
        <v>37.949999996926636</v>
      </c>
      <c r="O117" s="7"/>
      <c r="P117" s="7"/>
      <c r="Q117" s="23"/>
      <c r="R117" s="23"/>
      <c r="S117" s="35">
        <f>SUM(U117:U117)/IF(AG117="EC",12,1)</f>
        <v>1</v>
      </c>
      <c r="T117" s="50" t="str">
        <f>IF(ISEVEN(LEFT(AD117,4)),"Southbound","NorthBound")</f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hh:mm:ss")&amp;utc_offset&amp;"00',mode:absolute,to:'"&amp;TEXT(I117+1/24,"yyyy-MM-DD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https://search-rtdc-monitor-bjffxe2xuh6vdkpspy63sjmuny.us-east-1.es.amazonaws.com/_plugin/kibana/#/discover/Steve-Slow-Train-Analysis-(2080s-and-2083s)?_g=(refreshInterval:(display:Off,section:0,value:0),time:(from:'2016-12-05 16:11:31-700',mode:absolute,to:'2016-12-05 19:04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7" s="52" t="str">
        <f>IF(AA117&lt;IF(AG117="EC",23,5.65),"Y","N")</f>
        <v>N</v>
      </c>
      <c r="X117" s="177">
        <f>VALUE(LEFT(AD117,4))-VALUE(LEFT(AD116,4))</f>
        <v>1</v>
      </c>
      <c r="Y117" s="67">
        <f>RIGHT(D117,LEN(D117)-4)/10000</f>
        <v>23.295300000000001</v>
      </c>
      <c r="Z117" s="67">
        <f>RIGHT(H117,LEN(H117)-4)/10000</f>
        <v>1.61E-2</v>
      </c>
      <c r="AA117" s="67">
        <f>ABS(Z117-Y117)</f>
        <v>23.279199999999999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>IF(LEN(A117)=6,"0"&amp;A117,A117)</f>
        <v>0204-05</v>
      </c>
      <c r="AE117" s="91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 &amp; aws s3 cp s3://rtdc.mdm.uploadarchive.raw/RTDC4041/ "%USERPROFILE%\AppData\Local\Temp\OnboardLogs"\RTDC4041\2016-12-06 --exclude "*" --recursive --include "*20161206*" &amp; "%USERPROFILE%\Documents\GitHub\mrs-test-scripts\Headless Mode &amp; Sideloading\WalkAndUnGZ.bat" "%USERPROFILE%\AppData\Local\Temp\OnboardLogs"\RTDC4041\2016-12-06</v>
      </c>
      <c r="AF117" s="88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/stypes="app*4041*20161206*" /stext=" 01:.+((SYSTEM_STATE.+slice.+state.+changed )|(ment ac)|(multiple cpu faults)|(system.+state.+changed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92" t="str">
        <f t="shared" si="4"/>
        <v>"%USERPROFILE%\Documents\GitHub\eaglep3\Utilities\RefineRTDCRunTimes.py" --tripid 204-05 --locoid 4041 --swversion DE.1.0.8.0 --startMP 204:232953 --initTime 2016-12-05T17:11:31 --startdatetime 2016-12-05T17:26:27 --delay 1 --endMP 204:161 --enddatetime 2016-12-05T18:04:24 --enforcementcount 2 &gt;&gt;C:\Users\stu\Documents\GitHub\eaglep3-reporting\EC\2016-12-05-refined-times.txt</v>
      </c>
      <c r="AI117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{"issue":{"subject":"","project_id":79,"tracker_id":40,"status_id":1,"priority_id":2,"assigned_to_id":23,"start_date":"2016-12-05","description":"","custom_fields":[{"id":1,"name":"Subdivision","value":"EC"},{"id":4,"name":"Milepost","value":"0.0161"},{"id":17,"name":"Train ID","value":"204-05"},{"id":16,"name":"Locomotive ID","value":"4041"},{"id":130,"name":"Impact","value":""},{"id":150,"name":"Time of Event (Mountain Time)","value":"18:04:24"},{"id":151,"name":"Denver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596</v>
      </c>
      <c r="B118" s="7">
        <v>4002</v>
      </c>
      <c r="C118" s="22" t="s">
        <v>208</v>
      </c>
      <c r="D118" s="22" t="s">
        <v>230</v>
      </c>
      <c r="E118" s="13">
        <v>42709.692673611113</v>
      </c>
      <c r="F118" s="13">
        <v>42709.698136574072</v>
      </c>
      <c r="G118" s="7">
        <v>1</v>
      </c>
      <c r="H118" s="22" t="s">
        <v>253</v>
      </c>
      <c r="I118" s="13">
        <v>42709.723680555559</v>
      </c>
      <c r="J118" s="7">
        <v>2</v>
      </c>
      <c r="K118" s="109" t="str">
        <f>IF(ISEVEN(B118),(B118-1)&amp;"/"&amp;B118,B118&amp;"/"&amp;(B118+1))</f>
        <v>4001/4002</v>
      </c>
      <c r="L118" s="22" t="str">
        <f>VLOOKUP(A118,'Trips&amp;Operators'!$C$1:$G$99999,5,FALSE)</f>
        <v>BONDS REYNALDO</v>
      </c>
      <c r="M118" s="6">
        <f>I118-F118</f>
        <v>2.5543981486407574E-2</v>
      </c>
      <c r="N118" s="7">
        <f>24*60*SUM($M118:$M118)</f>
        <v>36.783333340426907</v>
      </c>
      <c r="O118" s="7"/>
      <c r="P118" s="7"/>
      <c r="Q118" s="23"/>
      <c r="R118" s="23"/>
      <c r="S118" s="35">
        <f>SUM(U118:U118)/IF(AG118="EC",12,1)</f>
        <v>1</v>
      </c>
      <c r="T118" s="50" t="str">
        <f>IF(ISEVEN(LEFT(AD118,4)),"Southbound","NorthBound")</f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hh:mm:ss")&amp;utc_offset&amp;"00',mode:absolute,to:'"&amp;TEXT(I118+1/24,"yyyy-MM-DD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https://search-rtdc-monitor-bjffxe2xuh6vdkpspy63sjmuny.us-east-1.es.amazonaws.com/_plugin/kibana/#/discover/Steve-Slow-Train-Analysis-(2080s-and-2083s)?_g=(refreshInterval:(display:Off,section:0,value:0),time:(from:'2016-12-05 15:37:27-700',mode:absolute,to:'2016-12-05 18:22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8" s="52" t="str">
        <f>IF(AA118&lt;IF(AG118="EC",23,5.65),"Y","N")</f>
        <v>N</v>
      </c>
      <c r="X118" s="177">
        <f>VALUE(LEFT(AD118,4))-VALUE(LEFT(AD117,4))</f>
        <v>1</v>
      </c>
      <c r="Y118" s="67">
        <f>RIGHT(D118,LEN(D118)-4)/10000</f>
        <v>4.4900000000000002E-2</v>
      </c>
      <c r="Z118" s="67">
        <f>RIGHT(H118,LEN(H118)-4)/10000</f>
        <v>23.3308</v>
      </c>
      <c r="AA118" s="67">
        <f>ABS(Z118-Y118)</f>
        <v>23.285900000000002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>IF(LEN(A118)=6,"0"&amp;A118,A118)</f>
        <v>0205-05</v>
      </c>
      <c r="AE118" s="91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s3://rtdc.mdm.uploadarchive.raw/RTDC4002/ "%USERPROFILE%\AppData\Local\Temp\OnboardLogs"\RTDC4002\2016-12-05 --exclude "*" --recursive --include "*20161205*" &amp; "%USERPROFILE%\Documents\GitHub\mrs-test-scripts\Headless Mode &amp; Sideloading\WalkAndUnGZ.bat" "%USERPROFILE%\AppData\Local\Temp\OnboardLogs"\RTDC4002\2016-12-05 &amp; aws s3 cp s3://rtdc.mdm.uploadarchive.raw/RTDC4002/ "%USERPROFILE%\AppData\Local\Temp\OnboardLogs"\RTDC4002\2016-12-06 --exclude "*" --recursive --include "*20161206*" &amp; "%USERPROFILE%\Documents\GitHub\mrs-test-scripts\Headless Mode &amp; Sideloading\WalkAndUnGZ.bat" "%USERPROFILE%\AppData\Local\Temp\OnboardLogs"\RTDC4002\2016-12-06</v>
      </c>
      <c r="AF118" s="88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/stypes="app*4002*20161206*" /stext=" 00:.+((SYSTEM_STATE.+slice.+state.+changed )|(ment ac)|(multiple cpu faults)|(system.+state.+changed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92" t="str">
        <f t="shared" si="4"/>
        <v>"%USERPROFILE%\Documents\GitHub\eaglep3\Utilities\RefineRTDCRunTimes.py" --tripid 205-05 --locoid 4002 --swversion DE.1.0.8.0 --startMP 204:449 --initTime 2016-12-05T16:37:27 --startdatetime 2016-12-05T16:45:19 --delay 1 --endMP 204:233308 --enddatetime 2016-12-05T17:22:06 --enforcementcount 2 &gt;&gt;C:\Users\stu\Documents\GitHub\eaglep3-reporting\EC\2016-12-05-refined-times.txt</v>
      </c>
      <c r="AI118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{"issue":{"subject":"","project_id":79,"tracker_id":40,"status_id":1,"priority_id":2,"assigned_to_id":23,"start_date":"2016-12-05","description":"","custom_fields":[{"id":1,"name":"Subdivision","value":"EC"},{"id":4,"name":"Milepost","value":"23.3308"},{"id":17,"name":"Train ID","value":"205-05"},{"id":16,"name":"Locomotive ID","value":"4002"},{"id":130,"name":"Impact","value":""},{"id":150,"name":"Time of Event (Mountain Time)","value":"17:22:06"},{"id":151,"name":"Denver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608</v>
      </c>
      <c r="B119" s="7">
        <v>4001</v>
      </c>
      <c r="C119" s="22" t="s">
        <v>208</v>
      </c>
      <c r="D119" s="22" t="s">
        <v>369</v>
      </c>
      <c r="E119" s="13">
        <v>42709.727349537039</v>
      </c>
      <c r="F119" s="13">
        <v>42709.73704861111</v>
      </c>
      <c r="G119" s="7">
        <v>1</v>
      </c>
      <c r="H119" s="22" t="s">
        <v>236</v>
      </c>
      <c r="I119" s="13">
        <v>42709.763819444444</v>
      </c>
      <c r="J119" s="7">
        <v>2</v>
      </c>
      <c r="K119" s="109" t="str">
        <f>IF(ISEVEN(B119),(B119-1)&amp;"/"&amp;B119,B119&amp;"/"&amp;(B119+1))</f>
        <v>4001/4002</v>
      </c>
      <c r="L119" s="22" t="str">
        <f>VLOOKUP(A119,'Trips&amp;Operators'!$C$1:$G$99999,5,FALSE)</f>
        <v>BONDS REYNALDO</v>
      </c>
      <c r="M119" s="6">
        <f>I119-F119</f>
        <v>2.6770833334012423E-2</v>
      </c>
      <c r="N119" s="7">
        <f>24*60*SUM($M119:$M119)</f>
        <v>38.550000000977889</v>
      </c>
      <c r="O119" s="7"/>
      <c r="P119" s="7"/>
      <c r="Q119" s="23"/>
      <c r="R119" s="23"/>
      <c r="S119" s="35">
        <f>SUM(U119:U119)/IF(AG119="EC",12,1)</f>
        <v>1</v>
      </c>
      <c r="T119" s="50" t="str">
        <f>IF(ISEVEN(LEFT(AD119,4)),"Southbound","NorthBound")</f>
        <v>Southbound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hh:mm:ss")&amp;utc_offset&amp;"00',mode:absolute,to:'"&amp;TEXT(I119+1/24,"yyyy-MM-DD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https://search-rtdc-monitor-bjffxe2xuh6vdkpspy63sjmuny.us-east-1.es.amazonaws.com/_plugin/kibana/#/discover/Steve-Slow-Train-Analysis-(2080s-and-2083s)?_g=(refreshInterval:(display:Off,section:0,value:0),time:(from:'2016-12-05 16:27:23-700',mode:absolute,to:'2016-12-05 19:19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9" s="52" t="str">
        <f>IF(AA119&lt;IF(AG119="EC",23,5.65),"Y","N")</f>
        <v>N</v>
      </c>
      <c r="X119" s="177">
        <f>VALUE(LEFT(AD119,4))-VALUE(LEFT(AD118,4))</f>
        <v>1</v>
      </c>
      <c r="Y119" s="67">
        <f>RIGHT(D119,LEN(D119)-4)/10000</f>
        <v>23.298500000000001</v>
      </c>
      <c r="Z119" s="67">
        <f>RIGHT(H119,LEN(H119)-4)/10000</f>
        <v>1.47E-2</v>
      </c>
      <c r="AA119" s="67">
        <f>ABS(Z119-Y119)</f>
        <v>23.283799999999999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>IF(LEN(A119)=6,"0"&amp;A119,A119)</f>
        <v>0206-05</v>
      </c>
      <c r="AE119" s="91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s3://rtdc.mdm.uploadarchive.raw/RTDC4001/ "%USERPROFILE%\AppData\Local\Temp\OnboardLogs"\RTDC4001\2016-12-05 --exclude "*" --recursive --include "*20161205*" &amp; "%USERPROFILE%\Documents\GitHub\mrs-test-scripts\Headless Mode &amp; Sideloading\WalkAndUnGZ.bat" "%USERPROFILE%\AppData\Local\Temp\OnboardLogs"\RTDC4001\2016-12-05 &amp; aws s3 cp s3://rtdc.mdm.uploadarchive.raw/RTDC4001/ "%USERPROFILE%\AppData\Local\Temp\OnboardLogs"\RTDC4001\2016-12-06 --exclude "*" --recursive --include "*20161206*" &amp; "%USERPROFILE%\Documents\GitHub\mrs-test-scripts\Headless Mode &amp; Sideloading\WalkAndUnGZ.bat" "%USERPROFILE%\AppData\Local\Temp\OnboardLogs"\RTDC4001\2016-12-06</v>
      </c>
      <c r="AF119" s="88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/stypes="app*4001*20161206*" /stext=" 01:.+((SYSTEM_STATE.+slice.+state.+changed )|(ment ac)|(multiple cpu faults)|(system.+state.+changed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92" t="str">
        <f t="shared" si="4"/>
        <v>"%USERPROFILE%\Documents\GitHub\eaglep3\Utilities\RefineRTDCRunTimes.py" --tripid 206-05 --locoid 4001 --swversion DE.1.0.8.0 --startMP 204:232985 --initTime 2016-12-05T17:27:23 --startdatetime 2016-12-05T17:41:21 --delay 1 --endMP 204:147 --enddatetime 2016-12-05T18:19:54 --enforcementcount 2 &gt;&gt;C:\Users\stu\Documents\GitHub\eaglep3-reporting\EC\2016-12-05-refined-times.txt</v>
      </c>
      <c r="AI119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{"issue":{"subject":"","project_id":79,"tracker_id":40,"status_id":1,"priority_id":2,"assigned_to_id":23,"start_date":"2016-12-05","description":"","custom_fields":[{"id":1,"name":"Subdivision","value":"EC"},{"id":4,"name":"Milepost","value":"0.0147"},{"id":17,"name":"Train ID","value":"206-05"},{"id":16,"name":"Locomotive ID","value":"4001"},{"id":130,"name":"Impact","value":""},{"id":150,"name":"Time of Event (Mountain Time)","value":"18:19:54"},{"id":151,"name":"Denver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599</v>
      </c>
      <c r="B120" s="7">
        <v>4044</v>
      </c>
      <c r="C120" s="22" t="s">
        <v>208</v>
      </c>
      <c r="D120" s="22" t="s">
        <v>279</v>
      </c>
      <c r="E120" s="13">
        <v>42709.703032407408</v>
      </c>
      <c r="F120" s="13">
        <v>42709.708587962959</v>
      </c>
      <c r="G120" s="7">
        <v>1</v>
      </c>
      <c r="H120" s="22" t="s">
        <v>722</v>
      </c>
      <c r="I120" s="13">
        <v>42709.735011574077</v>
      </c>
      <c r="J120" s="7">
        <v>2</v>
      </c>
      <c r="K120" s="109" t="str">
        <f>IF(ISEVEN(B120),(B120-1)&amp;"/"&amp;B120,B120&amp;"/"&amp;(B120+1))</f>
        <v>4043/4044</v>
      </c>
      <c r="L120" s="22" t="str">
        <f>VLOOKUP(A120,'Trips&amp;Operators'!$C$1:$G$99999,5,FALSE)</f>
        <v>CLARK KATHLEEN</v>
      </c>
      <c r="M120" s="6">
        <f>I120-F120</f>
        <v>2.6423611117934342E-2</v>
      </c>
      <c r="N120" s="7">
        <f>24*60*SUM($M120:$M120)</f>
        <v>38.050000009825453</v>
      </c>
      <c r="O120" s="7"/>
      <c r="P120" s="7"/>
      <c r="Q120" s="23"/>
      <c r="R120" s="23"/>
      <c r="S120" s="35">
        <f>SUM(U120:U120)/IF(AG120="EC",12,1)</f>
        <v>1</v>
      </c>
      <c r="T120" s="50" t="str">
        <f>IF(ISEVEN(LEFT(AD120,4)),"Southbound","NorthBound")</f>
        <v>NorthBound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hh:mm:ss")&amp;utc_offset&amp;"00',mode:absolute,to:'"&amp;TEXT(I120+1/24,"yyyy-MM-DD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https://search-rtdc-monitor-bjffxe2xuh6vdkpspy63sjmuny.us-east-1.es.amazonaws.com/_plugin/kibana/#/discover/Steve-Slow-Train-Analysis-(2080s-and-2083s)?_g=(refreshInterval:(display:Off,section:0,value:0),time:(from:'2016-12-05 15:52:22-700',mode:absolute,to:'2016-12-05 18:38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0" s="52" t="str">
        <f>IF(AA120&lt;IF(AG120="EC",23,5.65),"Y","N")</f>
        <v>N</v>
      </c>
      <c r="X120" s="177">
        <f>VALUE(LEFT(AD120,4))-VALUE(LEFT(AD119,4))</f>
        <v>1</v>
      </c>
      <c r="Y120" s="67">
        <f>RIGHT(D120,LEN(D120)-4)/10000</f>
        <v>4.58E-2</v>
      </c>
      <c r="Z120" s="67">
        <f>RIGHT(H120,LEN(H120)-4)/10000</f>
        <v>23.3276</v>
      </c>
      <c r="AA120" s="67">
        <f>ABS(Z120-Y120)</f>
        <v>23.2818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>IF(LEN(A120)=6,"0"&amp;A120,A120)</f>
        <v>0207-05</v>
      </c>
      <c r="AE120" s="91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 &amp; 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</v>
      </c>
      <c r="AF120" s="88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/stypes="app*4044*20161206*" /stext=" 00:.+((SYSTEM_STATE.+slice.+state.+changed )|(ment ac)|(multiple cpu faults)|(system.+state.+changed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92" t="str">
        <f t="shared" si="4"/>
        <v>"%USERPROFILE%\Documents\GitHub\eaglep3\Utilities\RefineRTDCRunTimes.py" --tripid 207-05 --locoid 4044 --swversion DE.1.0.8.0 --startMP 204:458 --initTime 2016-12-05T16:52:22 --startdatetime 2016-12-05T17:00:22 --delay 1 --endMP 204:233276 --enddatetime 2016-12-05T17:38:25 --enforcementcount 2 &gt;&gt;C:\Users\stu\Documents\GitHub\eaglep3-reporting\EC\2016-12-05-refined-times.txt</v>
      </c>
      <c r="AI120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{"issue":{"subject":"","project_id":79,"tracker_id":40,"status_id":1,"priority_id":2,"assigned_to_id":23,"start_date":"2016-12-05","description":"","custom_fields":[{"id":1,"name":"Subdivision","value":"EC"},{"id":4,"name":"Milepost","value":"23.3276"},{"id":17,"name":"Train ID","value":"207-05"},{"id":16,"name":"Locomotive ID","value":"4044"},{"id":130,"name":"Impact","value":""},{"id":150,"name":"Time of Event (Mountain Time)","value":"17:38:25"},{"id":151,"name":"Denver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613</v>
      </c>
      <c r="B121" s="7">
        <v>4043</v>
      </c>
      <c r="C121" s="22" t="s">
        <v>208</v>
      </c>
      <c r="D121" s="22" t="s">
        <v>204</v>
      </c>
      <c r="E121" s="13">
        <v>42709.744259259256</v>
      </c>
      <c r="F121" s="13">
        <v>42709.747407407405</v>
      </c>
      <c r="G121" s="7">
        <v>1</v>
      </c>
      <c r="H121" s="22" t="s">
        <v>723</v>
      </c>
      <c r="I121" s="13">
        <v>42709.777118055557</v>
      </c>
      <c r="J121" s="7">
        <v>2</v>
      </c>
      <c r="K121" s="109" t="str">
        <f>IF(ISEVEN(B121),(B121-1)&amp;"/"&amp;B121,B121&amp;"/"&amp;(B121+1))</f>
        <v>4043/4044</v>
      </c>
      <c r="L121" s="22" t="str">
        <f>VLOOKUP(A121,'Trips&amp;Operators'!$C$1:$G$99999,5,FALSE)</f>
        <v>CLARK KATHLEEN</v>
      </c>
      <c r="M121" s="6">
        <f>I121-F121</f>
        <v>2.9710648152104113E-2</v>
      </c>
      <c r="N121" s="7">
        <f>24*60*SUM($M121:$M121)</f>
        <v>42.783333339029923</v>
      </c>
      <c r="O121" s="7"/>
      <c r="P121" s="7"/>
      <c r="Q121" s="23"/>
      <c r="R121" s="23"/>
      <c r="S121" s="35">
        <f>SUM(U121:U121)/IF(AG121="EC",12,1)</f>
        <v>1</v>
      </c>
      <c r="T121" s="50" t="str">
        <f>IF(ISEVEN(LEFT(AD121,4)),"Southbound","NorthBound")</f>
        <v>Southbound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hh:mm:ss")&amp;utc_offset&amp;"00',mode:absolute,to:'"&amp;TEXT(I121+1/24,"yyyy-MM-DD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https://search-rtdc-monitor-bjffxe2xuh6vdkpspy63sjmuny.us-east-1.es.amazonaws.com/_plugin/kibana/#/discover/Steve-Slow-Train-Analysis-(2080s-and-2083s)?_g=(refreshInterval:(display:Off,section:0,value:0),time:(from:'2016-12-05 16:51:44-700',mode:absolute,to:'2016-12-05 19:39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1" s="52" t="str">
        <f>IF(AA121&lt;IF(AG121="EC",23,5.65),"Y","N")</f>
        <v>N</v>
      </c>
      <c r="X121" s="177">
        <f>VALUE(LEFT(AD121,4))-VALUE(LEFT(AD120,4))</f>
        <v>1</v>
      </c>
      <c r="Y121" s="67">
        <f>RIGHT(D121,LEN(D121)-4)/10000</f>
        <v>23.297699999999999</v>
      </c>
      <c r="Z121" s="67">
        <f>RIGHT(H121,LEN(H121)-4)/10000</f>
        <v>2.1100000000000001E-2</v>
      </c>
      <c r="AA121" s="67">
        <f>ABS(Z121-Y121)</f>
        <v>23.276599999999998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>IF(LEN(A121)=6,"0"&amp;A121,A121)</f>
        <v>0208-05</v>
      </c>
      <c r="AE121" s="91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 &amp; 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</v>
      </c>
      <c r="AF121" s="88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/stypes="app*4043*20161206*" /stext=" 01:.+((SYSTEM_STATE.+slice.+state.+changed )|(ment ac)|(multiple cpu faults)|(system.+state.+changed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92" t="str">
        <f t="shared" si="4"/>
        <v>"%USERPROFILE%\Documents\GitHub\eaglep3\Utilities\RefineRTDCRunTimes.py" --tripid 208-05 --locoid 4043 --swversion DE.1.0.8.0 --startMP 204:232977 --initTime 2016-12-05T17:51:44 --startdatetime 2016-12-05T17:56:16 --delay 1 --endMP 204:211 --enddatetime 2016-12-05T18:39:03 --enforcementcount 2 &gt;&gt;C:\Users\stu\Documents\GitHub\eaglep3-reporting\EC\2016-12-05-refined-times.txt</v>
      </c>
      <c r="AI121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{"issue":{"subject":"","project_id":79,"tracker_id":40,"status_id":1,"priority_id":2,"assigned_to_id":23,"start_date":"2016-12-05","description":"","custom_fields":[{"id":1,"name":"Subdivision","value":"EC"},{"id":4,"name":"Milepost","value":"0.0211"},{"id":17,"name":"Train ID","value":"208-05"},{"id":16,"name":"Locomotive ID","value":"4043"},{"id":130,"name":"Impact","value":""},{"id":150,"name":"Time of Event (Mountain Time)","value":"18:39:03"},{"id":151,"name":"Denver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604</v>
      </c>
      <c r="B122" s="7">
        <v>4040</v>
      </c>
      <c r="C122" s="22" t="s">
        <v>208</v>
      </c>
      <c r="D122" s="22" t="s">
        <v>362</v>
      </c>
      <c r="E122" s="13">
        <v>42709.716053240743</v>
      </c>
      <c r="F122" s="13">
        <v>42709.718946759262</v>
      </c>
      <c r="G122" s="7">
        <v>1</v>
      </c>
      <c r="H122" s="22" t="s">
        <v>245</v>
      </c>
      <c r="I122" s="13">
        <v>42709.74386574074</v>
      </c>
      <c r="J122" s="7">
        <v>2</v>
      </c>
      <c r="K122" s="109" t="str">
        <f>IF(ISEVEN(B122),(B122-1)&amp;"/"&amp;B122,B122&amp;"/"&amp;(B122+1))</f>
        <v>4039/4040</v>
      </c>
      <c r="L122" s="22" t="str">
        <f>VLOOKUP(A122,'Trips&amp;Operators'!$C$1:$G$99999,5,FALSE)</f>
        <v>LEVERE CRAIG</v>
      </c>
      <c r="M122" s="6">
        <f>I122-F122</f>
        <v>2.491898147854954E-2</v>
      </c>
      <c r="N122" s="7">
        <f>24*60*SUM($M122:$M122)</f>
        <v>35.883333329111338</v>
      </c>
      <c r="O122" s="7"/>
      <c r="P122" s="7"/>
      <c r="Q122" s="23"/>
      <c r="R122" s="23"/>
      <c r="S122" s="35">
        <f>SUM(U122:U122)/IF(AG122="EC",12,1)</f>
        <v>1</v>
      </c>
      <c r="T122" s="50" t="str">
        <f>IF(ISEVEN(LEFT(AD122,4)),"Southbound","NorthBound")</f>
        <v>NorthBound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hh:mm:ss")&amp;utc_offset&amp;"00',mode:absolute,to:'"&amp;TEXT(I122+1/24,"yyyy-MM-DD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https://search-rtdc-monitor-bjffxe2xuh6vdkpspy63sjmuny.us-east-1.es.amazonaws.com/_plugin/kibana/#/discover/Steve-Slow-Train-Analysis-(2080s-and-2083s)?_g=(refreshInterval:(display:Off,section:0,value:0),time:(from:'2016-12-05 16:11:07-700',mode:absolute,to:'2016-12-05 18:51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2" s="52" t="str">
        <f>IF(AA122&lt;IF(AG122="EC",23,5.65),"Y","N")</f>
        <v>N</v>
      </c>
      <c r="X122" s="177">
        <f>VALUE(LEFT(AD122,4))-VALUE(LEFT(AD121,4))</f>
        <v>1</v>
      </c>
      <c r="Y122" s="67">
        <f>RIGHT(D122,LEN(D122)-4)/10000</f>
        <v>4.53E-2</v>
      </c>
      <c r="Z122" s="67">
        <f>RIGHT(H122,LEN(H122)-4)/10000</f>
        <v>23.330200000000001</v>
      </c>
      <c r="AA122" s="67">
        <f>ABS(Z122-Y122)</f>
        <v>23.2849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>IF(LEN(A122)=6,"0"&amp;A122,A122)</f>
        <v>0209-05</v>
      </c>
      <c r="AE122" s="91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s3://rtdc.mdm.uploadarchive.raw/RTDC4040/ "%USERPROFILE%\AppData\Local\Temp\OnboardLogs"\RTDC4040\2016-12-05 --exclude "*" --recursive --include "*20161205*" &amp; "%USERPROFILE%\Documents\GitHub\mrs-test-scripts\Headless Mode &amp; Sideloading\WalkAndUnGZ.bat" "%USERPROFILE%\AppData\Local\Temp\OnboardLogs"\RTDC4040\2016-12-05 &amp; aws s3 cp s3://rtdc.mdm.uploadarchive.raw/RTDC4040/ "%USERPROFILE%\AppData\Local\Temp\OnboardLogs"\RTDC4040\2016-12-06 --exclude "*" --recursive --include "*20161206*" &amp; "%USERPROFILE%\Documents\GitHub\mrs-test-scripts\Headless Mode &amp; Sideloading\WalkAndUnGZ.bat" "%USERPROFILE%\AppData\Local\Temp\OnboardLogs"\RTDC4040\2016-12-06</v>
      </c>
      <c r="AF122" s="88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/stypes="app*4040*20161206*" /stext=" 00:.+((SYSTEM_STATE.+slice.+state.+changed )|(ment ac)|(multiple cpu faults)|(system.+state.+changed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92" t="str">
        <f t="shared" si="4"/>
        <v>"%USERPROFILE%\Documents\GitHub\eaglep3\Utilities\RefineRTDCRunTimes.py" --tripid 209-05 --locoid 4040 --swversion DE.1.0.8.0 --startMP 204:453 --initTime 2016-12-05T17:11:07 --startdatetime 2016-12-05T17:15:17 --delay 1 --endMP 204:233302 --enddatetime 2016-12-05T17:51:10 --enforcementcount 2 &gt;&gt;C:\Users\stu\Documents\GitHub\eaglep3-reporting\EC\2016-12-05-refined-times.txt</v>
      </c>
      <c r="AI122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{"issue":{"subject":"","project_id":79,"tracker_id":40,"status_id":1,"priority_id":2,"assigned_to_id":23,"start_date":"2016-12-05","description":"","custom_fields":[{"id":1,"name":"Subdivision","value":"EC"},{"id":4,"name":"Milepost","value":"23.3302"},{"id":17,"name":"Train ID","value":"209-05"},{"id":16,"name":"Locomotive ID","value":"4040"},{"id":130,"name":"Impact","value":""},{"id":150,"name":"Time of Event (Mountain Time)","value":"17:51:10"},{"id":151,"name":"Denver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619</v>
      </c>
      <c r="B123" s="7">
        <v>4039</v>
      </c>
      <c r="C123" s="22" t="s">
        <v>208</v>
      </c>
      <c r="D123" s="22" t="s">
        <v>685</v>
      </c>
      <c r="E123" s="13">
        <v>42709.753750000003</v>
      </c>
      <c r="F123" s="13">
        <v>42709.757974537039</v>
      </c>
      <c r="G123" s="7">
        <v>1</v>
      </c>
      <c r="H123" s="22" t="s">
        <v>243</v>
      </c>
      <c r="I123" s="13">
        <v>42709.784386574072</v>
      </c>
      <c r="J123" s="7">
        <v>2</v>
      </c>
      <c r="K123" s="109" t="str">
        <f>IF(ISEVEN(B123),(B123-1)&amp;"/"&amp;B123,B123&amp;"/"&amp;(B123+1))</f>
        <v>4039/4040</v>
      </c>
      <c r="L123" s="22" t="str">
        <f>VLOOKUP(A123,'Trips&amp;Operators'!$C$1:$G$99999,5,FALSE)</f>
        <v>LEVERE CRAIG</v>
      </c>
      <c r="M123" s="6">
        <f>I123-F123</f>
        <v>2.6412037033878732E-2</v>
      </c>
      <c r="N123" s="7">
        <f>24*60*SUM($M123:$M123)</f>
        <v>38.033333328785375</v>
      </c>
      <c r="O123" s="7"/>
      <c r="P123" s="7"/>
      <c r="Q123" s="23"/>
      <c r="R123" s="23"/>
      <c r="S123" s="35">
        <f>SUM(U123:U123)/IF(AG123="EC",12,1)</f>
        <v>1</v>
      </c>
      <c r="T123" s="50" t="str">
        <f>IF(ISEVEN(LEFT(AD123,4)),"Southbound","NorthBound")</f>
        <v>Southbound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hh:mm:ss")&amp;utc_offset&amp;"00',mode:absolute,to:'"&amp;TEXT(I123+1/24,"yyyy-MM-DD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https://search-rtdc-monitor-bjffxe2xuh6vdkpspy63sjmuny.us-east-1.es.amazonaws.com/_plugin/kibana/#/discover/Steve-Slow-Train-Analysis-(2080s-and-2083s)?_g=(refreshInterval:(display:Off,section:0,value:0),time:(from:'2016-12-05 17:05:24-700',mode:absolute,to:'2016-12-05 19:49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3" s="52" t="str">
        <f>IF(AA123&lt;IF(AG123="EC",23,5.65),"Y","N")</f>
        <v>N</v>
      </c>
      <c r="X123" s="177">
        <f>VALUE(LEFT(AD123,4))-VALUE(LEFT(AD122,4))</f>
        <v>1</v>
      </c>
      <c r="Y123" s="67">
        <f>RIGHT(D123,LEN(D123)-4)/10000</f>
        <v>23.297599999999999</v>
      </c>
      <c r="Z123" s="67">
        <f>RIGHT(H123,LEN(H123)-4)/10000</f>
        <v>1.61E-2</v>
      </c>
      <c r="AA123" s="67">
        <f>ABS(Z123-Y123)</f>
        <v>23.281499999999998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>IF(LEN(A123)=6,"0"&amp;A123,A123)</f>
        <v>0210-05</v>
      </c>
      <c r="AE123" s="91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s3://rtdc.mdm.uploadarchive.raw/RTDC4039/ "%USERPROFILE%\AppData\Local\Temp\OnboardLogs"\RTDC4039\2016-12-05 --exclude "*" --recursive --include "*20161205*" &amp; "%USERPROFILE%\Documents\GitHub\mrs-test-scripts\Headless Mode &amp; Sideloading\WalkAndUnGZ.bat" "%USERPROFILE%\AppData\Local\Temp\OnboardLogs"\RTDC4039\2016-12-05 &amp; aws s3 cp s3://rtdc.mdm.uploadarchive.raw/RTDC4039/ "%USERPROFILE%\AppData\Local\Temp\OnboardLogs"\RTDC4039\2016-12-06 --exclude "*" --recursive --include "*20161206*" &amp; "%USERPROFILE%\Documents\GitHub\mrs-test-scripts\Headless Mode &amp; Sideloading\WalkAndUnGZ.bat" "%USERPROFILE%\AppData\Local\Temp\OnboardLogs"\RTDC4039\2016-12-06</v>
      </c>
      <c r="AF123" s="88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/stypes="app*4039*20161206*" /stext=" 01:.+((SYSTEM_STATE.+slice.+state.+changed )|(ment ac)|(multiple cpu faults)|(system.+state.+changed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92" t="str">
        <f t="shared" si="4"/>
        <v>"%USERPROFILE%\Documents\GitHub\eaglep3\Utilities\RefineRTDCRunTimes.py" --tripid 210-05 --locoid 4039 --swversion DE.1.0.8.0 --startMP 204:232976 --initTime 2016-12-05T18:05:24 --startdatetime 2016-12-05T18:11:29 --delay 1 --endMP 204:161 --enddatetime 2016-12-05T18:49:31 --enforcementcount 2 &gt;&gt;C:\Users\stu\Documents\GitHub\eaglep3-reporting\EC\2016-12-05-refined-times.txt</v>
      </c>
      <c r="AI123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{"issue":{"subject":"","project_id":79,"tracker_id":40,"status_id":1,"priority_id":2,"assigned_to_id":23,"start_date":"2016-12-05","description":"","custom_fields":[{"id":1,"name":"Subdivision","value":"EC"},{"id":4,"name":"Milepost","value":"0.0161"},{"id":17,"name":"Train ID","value":"210-05"},{"id":16,"name":"Locomotive ID","value":"4039"},{"id":130,"name":"Impact","value":""},{"id":150,"name":"Time of Event (Mountain Time)","value":"18:49:31"},{"id":151,"name":"Denver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x14ac:dyDescent="0.25">
      <c r="A124" s="37" t="s">
        <v>607</v>
      </c>
      <c r="B124" s="7">
        <v>4022</v>
      </c>
      <c r="C124" s="22" t="s">
        <v>208</v>
      </c>
      <c r="D124" s="22" t="s">
        <v>693</v>
      </c>
      <c r="E124" s="13">
        <v>42709.723715277774</v>
      </c>
      <c r="F124" s="13">
        <v>42709.729456018518</v>
      </c>
      <c r="G124" s="7">
        <v>3</v>
      </c>
      <c r="H124" s="22" t="s">
        <v>724</v>
      </c>
      <c r="I124" s="13">
        <v>42709.756099537037</v>
      </c>
      <c r="J124" s="7">
        <v>2</v>
      </c>
      <c r="K124" s="109" t="str">
        <f>IF(ISEVEN(B124),(B124-1)&amp;"/"&amp;B124,B124&amp;"/"&amp;(B124+1))</f>
        <v>4021/4022</v>
      </c>
      <c r="L124" s="22" t="str">
        <f>VLOOKUP(A124,'Trips&amp;Operators'!$C$1:$G$99999,5,FALSE)</f>
        <v>YOUNG ELIZABETH</v>
      </c>
      <c r="M124" s="6">
        <f>I124-F124</f>
        <v>2.6643518518540077E-2</v>
      </c>
      <c r="N124" s="7">
        <f>24*60*SUM($M124:$M124)</f>
        <v>38.366666666697711</v>
      </c>
      <c r="O124" s="7"/>
      <c r="P124" s="7"/>
      <c r="Q124" s="23"/>
      <c r="R124" s="23"/>
      <c r="S124" s="35">
        <f>SUM(U124:U124)/IF(AG124="EC",12,1)</f>
        <v>1</v>
      </c>
      <c r="T124" s="50" t="str">
        <f>IF(ISEVEN(LEFT(AD124,4)),"Southbound","NorthBound")</f>
        <v>NorthBound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hh:mm:ss")&amp;utc_offset&amp;"00',mode:absolute,to:'"&amp;TEXT(I124+1/24,"yyyy-MM-DD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https://search-rtdc-monitor-bjffxe2xuh6vdkpspy63sjmuny.us-east-1.es.amazonaws.com/_plugin/kibana/#/discover/Steve-Slow-Train-Analysis-(2080s-and-2083s)?_g=(refreshInterval:(display:Off,section:0,value:0),time:(from:'2016-12-05 16:22:09-700',mode:absolute,to:'2016-12-05 19:08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4" s="52" t="str">
        <f>IF(AA124&lt;IF(AG124="EC",23,5.65),"Y","N")</f>
        <v>N</v>
      </c>
      <c r="X124" s="177">
        <f>VALUE(LEFT(AD124,4))-VALUE(LEFT(AD123,4))</f>
        <v>1</v>
      </c>
      <c r="Y124" s="67">
        <f>RIGHT(D124,LEN(D124)-4)/10000</f>
        <v>4.6199999999999998E-2</v>
      </c>
      <c r="Z124" s="67">
        <f>RIGHT(H124,LEN(H124)-4)/10000</f>
        <v>23.332999999999998</v>
      </c>
      <c r="AA124" s="67">
        <f>ABS(Z124-Y124)</f>
        <v>23.286799999999999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>IF(LEN(A124)=6,"0"&amp;A124,A124)</f>
        <v>0211-05</v>
      </c>
      <c r="AE124" s="91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s3://rtdc.mdm.uploadarchive.raw/RTDC4022/ "%USERPROFILE%\AppData\Local\Temp\OnboardLogs"\RTDC4022\2016-12-05 --exclude "*" --recursive --include "*20161205*" &amp; "%USERPROFILE%\Documents\GitHub\mrs-test-scripts\Headless Mode &amp; Sideloading\WalkAndUnGZ.bat" "%USERPROFILE%\AppData\Local\Temp\OnboardLogs"\RTDC4022\2016-12-05 &amp; 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</v>
      </c>
      <c r="AF124" s="88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/stypes="app*4022*20161206*" /stext=" 01:.+((SYSTEM_STATE.+slice.+state.+changed )|(ment ac)|(multiple cpu faults)|(system.+state.+changed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92" t="str">
        <f t="shared" si="4"/>
        <v>"%USERPROFILE%\Documents\GitHub\eaglep3\Utilities\RefineRTDCRunTimes.py" --tripid 211-05 --locoid 4022 --swversion DE.1.0.8.0 --startMP 204:462 --initTime 2016-12-05T17:22:09 --startdatetime 2016-12-05T17:30:25 --delay 3 --endMP 204:233330 --enddatetime 2016-12-05T18:08:47 --enforcementcount 2 &gt;&gt;C:\Users\stu\Documents\GitHub\eaglep3-reporting\EC\2016-12-05-refined-times.txt</v>
      </c>
      <c r="AI124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{"issue":{"subject":"","project_id":79,"tracker_id":40,"status_id":1,"priority_id":2,"assigned_to_id":23,"start_date":"2016-12-05","description":"","custom_fields":[{"id":1,"name":"Subdivision","value":"EC"},{"id":4,"name":"Milepost","value":"23.333"},{"id":17,"name":"Train ID","value":"211-05"},{"id":16,"name":"Locomotive ID","value":"4022"},{"id":130,"name":"Impact","value":""},{"id":150,"name":"Time of Event (Mountain Time)","value":"18:08:47"},{"id":151,"name":"Denver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</row>
    <row r="125" spans="1:91" s="21" customFormat="1" x14ac:dyDescent="0.25">
      <c r="A125" s="37" t="s">
        <v>622</v>
      </c>
      <c r="B125" s="7">
        <v>4021</v>
      </c>
      <c r="C125" s="22" t="s">
        <v>208</v>
      </c>
      <c r="D125" s="22" t="s">
        <v>278</v>
      </c>
      <c r="E125" s="13">
        <v>42709.760381944441</v>
      </c>
      <c r="F125" s="13">
        <v>42709.76835648148</v>
      </c>
      <c r="G125" s="7">
        <v>1</v>
      </c>
      <c r="H125" s="22" t="s">
        <v>228</v>
      </c>
      <c r="I125" s="13">
        <v>42709.797164351854</v>
      </c>
      <c r="J125" s="7">
        <v>2</v>
      </c>
      <c r="K125" s="109" t="str">
        <f>IF(ISEVEN(B125),(B125-1)&amp;"/"&amp;B125,B125&amp;"/"&amp;(B125+1))</f>
        <v>4021/4022</v>
      </c>
      <c r="L125" s="22" t="str">
        <f>VLOOKUP(A125,'Trips&amp;Operators'!$C$1:$G$99999,5,FALSE)</f>
        <v>YOUNG ELIZABETH</v>
      </c>
      <c r="M125" s="6">
        <f>I125-F125</f>
        <v>2.8807870374293998E-2</v>
      </c>
      <c r="N125" s="7">
        <f>24*60*SUM($M125:$M125)</f>
        <v>41.483333338983357</v>
      </c>
      <c r="O125" s="7"/>
      <c r="P125" s="7"/>
      <c r="Q125" s="23"/>
      <c r="R125" s="23"/>
      <c r="S125" s="35">
        <f>SUM(U125:U125)/IF(AG125="EC",12,1)</f>
        <v>1</v>
      </c>
      <c r="T125" s="50" t="str">
        <f>IF(ISEVEN(LEFT(AD125,4)),"Southbound","NorthBound")</f>
        <v>Southbound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hh:mm:ss")&amp;utc_offset&amp;"00',mode:absolute,to:'"&amp;TEXT(I125+1/24,"yyyy-MM-DD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https://search-rtdc-monitor-bjffxe2xuh6vdkpspy63sjmuny.us-east-1.es.amazonaws.com/_plugin/kibana/#/discover/Steve-Slow-Train-Analysis-(2080s-and-2083s)?_g=(refreshInterval:(display:Off,section:0,value:0),time:(from:'2016-12-05 17:14:57-700',mode:absolute,to:'2016-12-05 20:07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5" s="52" t="str">
        <f>IF(AA125&lt;IF(AG125="EC",23,5.65),"Y","N")</f>
        <v>N</v>
      </c>
      <c r="X125" s="177">
        <f>VALUE(LEFT(AD125,4))-VALUE(LEFT(AD124,4))</f>
        <v>1</v>
      </c>
      <c r="Y125" s="67">
        <f>RIGHT(D125,LEN(D125)-4)/10000</f>
        <v>23.298200000000001</v>
      </c>
      <c r="Z125" s="67">
        <f>RIGHT(H125,LEN(H125)-4)/10000</f>
        <v>1.54E-2</v>
      </c>
      <c r="AA125" s="67">
        <f>ABS(Z125-Y125)</f>
        <v>23.282800000000002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>IF(LEN(A125)=6,"0"&amp;A125,A125)</f>
        <v>0212-05</v>
      </c>
      <c r="AE125" s="91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s3://rtdc.mdm.uploadarchive.raw/RTDC4021/ "%USERPROFILE%\AppData\Local\Temp\OnboardLogs"\RTDC4021\2016-12-05 --exclude "*" --recursive --include "*20161205*" &amp; "%USERPROFILE%\Documents\GitHub\mrs-test-scripts\Headless Mode &amp; Sideloading\WalkAndUnGZ.bat" "%USERPROFILE%\AppData\Local\Temp\OnboardLogs"\RTDC4021\2016-12-05 &amp; 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</v>
      </c>
      <c r="AF125" s="88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/stypes="app*4021*20161206*" /stext=" 02:.+((SYSTEM_STATE.+slice.+state.+changed )|(ment ac)|(multiple cpu faults)|(system.+state.+changed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92" t="str">
        <f t="shared" si="4"/>
        <v>"%USERPROFILE%\Documents\GitHub\eaglep3\Utilities\RefineRTDCRunTimes.py" --tripid 212-05 --locoid 4021 --swversion DE.1.0.8.0 --startMP 204:232982 --initTime 2016-12-05T18:14:57 --startdatetime 2016-12-05T18:26:26 --delay 1 --endMP 204:154 --enddatetime 2016-12-05T19:07:55 --enforcementcount 2 &gt;&gt;C:\Users\stu\Documents\GitHub\eaglep3-reporting\EC\2016-12-05-refined-times.txt</v>
      </c>
      <c r="AI125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{"issue":{"subject":"","project_id":79,"tracker_id":40,"status_id":1,"priority_id":2,"assigned_to_id":23,"start_date":"2016-12-05","description":"","custom_fields":[{"id":1,"name":"Subdivision","value":"EC"},{"id":4,"name":"Milepost","value":"0.0154"},{"id":17,"name":"Train ID","value":"212-05"},{"id":16,"name":"Locomotive ID","value":"4021"},{"id":130,"name":"Impact","value":""},{"id":150,"name":"Time of Event (Mountain Time)","value":"19:07:55"},{"id":151,"name":"Denver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610</v>
      </c>
      <c r="B126" s="7">
        <v>4038</v>
      </c>
      <c r="C126" s="22" t="s">
        <v>208</v>
      </c>
      <c r="D126" s="22" t="s">
        <v>230</v>
      </c>
      <c r="E126" s="13">
        <v>42709.734525462962</v>
      </c>
      <c r="F126" s="13">
        <v>42709.739965277775</v>
      </c>
      <c r="G126" s="7">
        <v>1</v>
      </c>
      <c r="H126" s="22" t="s">
        <v>725</v>
      </c>
      <c r="I126" s="13">
        <v>42709.76525462963</v>
      </c>
      <c r="J126" s="7">
        <v>2</v>
      </c>
      <c r="K126" s="109" t="str">
        <f>IF(ISEVEN(B126),(B126-1)&amp;"/"&amp;B126,B126&amp;"/"&amp;(B126+1))</f>
        <v>4037/4038</v>
      </c>
      <c r="L126" s="22" t="str">
        <f>VLOOKUP(A126,'Trips&amp;Operators'!$C$1:$G$99999,5,FALSE)</f>
        <v>HOLCOMB KAMDEN</v>
      </c>
      <c r="M126" s="6">
        <f>I126-F126</f>
        <v>2.5289351855462883E-2</v>
      </c>
      <c r="N126" s="7">
        <f>24*60*SUM($M126:$M126)</f>
        <v>36.416666671866551</v>
      </c>
      <c r="O126" s="7"/>
      <c r="P126" s="7"/>
      <c r="Q126" s="23"/>
      <c r="R126" s="23"/>
      <c r="S126" s="35">
        <f>SUM(U126:U126)/IF(AG126="EC",12,1)</f>
        <v>1</v>
      </c>
      <c r="T126" s="50" t="str">
        <f>IF(ISEVEN(LEFT(AD126,4)),"Southbound","NorthBound")</f>
        <v>NorthBound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hh:mm:ss")&amp;utc_offset&amp;"00',mode:absolute,to:'"&amp;TEXT(I126+1/24,"yyyy-MM-DD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https://search-rtdc-monitor-bjffxe2xuh6vdkpspy63sjmuny.us-east-1.es.amazonaws.com/_plugin/kibana/#/discover/Steve-Slow-Train-Analysis-(2080s-and-2083s)?_g=(refreshInterval:(display:Off,section:0,value:0),time:(from:'2016-12-05 16:37:43-700',mode:absolute,to:'2016-12-05 19:21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6" s="52" t="str">
        <f>IF(AA126&lt;IF(AG126="EC",23,5.65),"Y","N")</f>
        <v>N</v>
      </c>
      <c r="X126" s="177">
        <f>VALUE(LEFT(AD126,4))-VALUE(LEFT(AD125,4))</f>
        <v>1</v>
      </c>
      <c r="Y126" s="67">
        <f>RIGHT(D126,LEN(D126)-4)/10000</f>
        <v>4.4900000000000002E-2</v>
      </c>
      <c r="Z126" s="67">
        <f>RIGHT(H126,LEN(H126)-4)/10000</f>
        <v>23.332699999999999</v>
      </c>
      <c r="AA126" s="67">
        <f>ABS(Z126-Y126)</f>
        <v>23.287800000000001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>IF(LEN(A126)=6,"0"&amp;A126,A126)</f>
        <v>0213-05</v>
      </c>
      <c r="AE126" s="91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 &amp; aws s3 cp s3://rtdc.mdm.uploadarchive.raw/RTDC4038/ "%USERPROFILE%\AppData\Local\Temp\OnboardLogs"\RTDC4038\2016-12-06 --exclude "*" --recursive --include "*20161206*" &amp; "%USERPROFILE%\Documents\GitHub\mrs-test-scripts\Headless Mode &amp; Sideloading\WalkAndUnGZ.bat" "%USERPROFILE%\AppData\Local\Temp\OnboardLogs"\RTDC4038\2016-12-06</v>
      </c>
      <c r="AF126" s="88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/stypes="app*4038*20161206*" /stext=" 01:.+((SYSTEM_STATE.+slice.+state.+changed )|(ment ac)|(multiple cpu faults)|(system.+state.+changed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92" t="str">
        <f t="shared" si="4"/>
        <v>"%USERPROFILE%\Documents\GitHub\eaglep3\Utilities\RefineRTDCRunTimes.py" --tripid 213-05 --locoid 4038 --swversion DE.1.0.8.0 --startMP 204:449 --initTime 2016-12-05T17:37:43 --startdatetime 2016-12-05T17:45:33 --delay 1 --endMP 204:233327 --enddatetime 2016-12-05T18:21:58 --enforcementcount 2 &gt;&gt;C:\Users\stu\Documents\GitHub\eaglep3-reporting\EC\2016-12-05-refined-times.txt</v>
      </c>
      <c r="AI126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{"issue":{"subject":"","project_id":79,"tracker_id":40,"status_id":1,"priority_id":2,"assigned_to_id":23,"start_date":"2016-12-05","description":"","custom_fields":[{"id":1,"name":"Subdivision","value":"EC"},{"id":4,"name":"Milepost","value":"23.3327"},{"id":17,"name":"Train ID","value":"213-05"},{"id":16,"name":"Locomotive ID","value":"4038"},{"id":130,"name":"Impact","value":""},{"id":150,"name":"Time of Event (Mountain Time)","value":"18:21:58"},{"id":151,"name":"Denver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458</v>
      </c>
      <c r="B127" s="7">
        <v>4037</v>
      </c>
      <c r="C127" s="22" t="s">
        <v>208</v>
      </c>
      <c r="D127" s="22" t="s">
        <v>726</v>
      </c>
      <c r="E127" s="13">
        <v>42709.772303240738</v>
      </c>
      <c r="F127" s="13">
        <v>42709.779328703706</v>
      </c>
      <c r="G127" s="7">
        <v>10</v>
      </c>
      <c r="H127" s="22" t="s">
        <v>390</v>
      </c>
      <c r="I127" s="13">
        <v>42709.804467592592</v>
      </c>
      <c r="J127" s="7">
        <v>2</v>
      </c>
      <c r="K127" s="109" t="str">
        <f>IF(ISEVEN(B127),(B127-1)&amp;"/"&amp;B127,B127&amp;"/"&amp;(B127+1))</f>
        <v>4037/4038</v>
      </c>
      <c r="L127" s="22" t="str">
        <f>VLOOKUP(A127,'Trips&amp;Operators'!$C$1:$G$99999,5,FALSE)</f>
        <v>HOLCOMB KAMDEN</v>
      </c>
      <c r="M127" s="6">
        <f>I127-F127</f>
        <v>2.5138888886431232E-2</v>
      </c>
      <c r="N127" s="7">
        <f>24*60*SUM($M127:$M127)</f>
        <v>36.199999996460974</v>
      </c>
      <c r="O127" s="7"/>
      <c r="P127" s="7"/>
      <c r="Q127" s="23"/>
      <c r="R127" s="23"/>
      <c r="S127" s="35">
        <f>SUM(U127:U127)/IF(AG127="EC",12,1)</f>
        <v>1</v>
      </c>
      <c r="T127" s="50" t="str">
        <f>IF(ISEVEN(LEFT(AD127,4)),"Southbound","NorthBound")</f>
        <v>Southbound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hh:mm:ss")&amp;utc_offset&amp;"00',mode:absolute,to:'"&amp;TEXT(I127+1/24,"yyyy-MM-DD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https://search-rtdc-monitor-bjffxe2xuh6vdkpspy63sjmuny.us-east-1.es.amazonaws.com/_plugin/kibana/#/discover/Steve-Slow-Train-Analysis-(2080s-and-2083s)?_g=(refreshInterval:(display:Off,section:0,value:0),time:(from:'2016-12-05 17:32:07-700',mode:absolute,to:'2016-12-05 20:18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7" s="52" t="str">
        <f>IF(AA127&lt;IF(AG127="EC",23,5.65),"Y","N")</f>
        <v>N</v>
      </c>
      <c r="X127" s="177">
        <f>VALUE(LEFT(AD127,4))-VALUE(LEFT(AD126,4))</f>
        <v>1</v>
      </c>
      <c r="Y127" s="67">
        <f>RIGHT(D127,LEN(D127)-4)/10000</f>
        <v>23.1814</v>
      </c>
      <c r="Z127" s="67">
        <f>RIGHT(H127,LEN(H127)-4)/10000</f>
        <v>1.52E-2</v>
      </c>
      <c r="AA127" s="67">
        <f>ABS(Z127-Y127)</f>
        <v>23.1662</v>
      </c>
      <c r="AB127" s="64" t="str">
        <f>VLOOKUP(A127,Enforcements!$C$7:$K$20,8,0)</f>
        <v>Form based authority (4)</v>
      </c>
      <c r="AC127" s="60" t="str">
        <f>VLOOKUP(A127,Enforcements!$C$7:$E$20,3,0)</f>
        <v>TRACK WARRANT AUTHORITY</v>
      </c>
      <c r="AD127" s="61" t="str">
        <f>IF(LEN(A127)=6,"0"&amp;A127,A127)</f>
        <v>0214-05</v>
      </c>
      <c r="AE127" s="91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 &amp; aws s3 cp s3://rtdc.mdm.uploadarchive.raw/RTDC4037/ "%USERPROFILE%\AppData\Local\Temp\OnboardLogs"\RTDC4037\2016-12-06 --exclude "*" --recursive --include "*20161206*" &amp; "%USERPROFILE%\Documents\GitHub\mrs-test-scripts\Headless Mode &amp; Sideloading\WalkAndUnGZ.bat" "%USERPROFILE%\AppData\Local\Temp\OnboardLogs"\RTDC4037\2016-12-06</v>
      </c>
      <c r="AF127" s="88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/stypes="app*4037*20161206*" /stext=" 02:.+((SYSTEM_STATE.+slice.+state.+changed )|(ment ac)|(multiple cpu faults)|(system.+state.+changed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92" t="str">
        <f t="shared" si="4"/>
        <v>"%USERPROFILE%\Documents\GitHub\eaglep3\Utilities\RefineRTDCRunTimes.py" --tripid 214-05 --locoid 4037 --swversion DE.1.0.8.0 --startMP 204:231814 --initTime 2016-12-05T18:32:07 --startdatetime 2016-12-05T18:42:14 --delay 10 --endMP 204:152 --enddatetime 2016-12-05T19:18:26 --enforcementcount 2 &gt;&gt;C:\Users\stu\Documents\GitHub\eaglep3-reporting\EC\2016-12-05-refined-times.txt</v>
      </c>
      <c r="AI127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{"issue":{"subject":"","project_id":79,"tracker_id":40,"status_id":1,"priority_id":2,"assigned_to_id":23,"start_date":"2016-12-05","description":"","custom_fields":[{"id":1,"name":"Subdivision","value":"EC"},{"id":4,"name":"Milepost","value":"0.0152"},{"id":17,"name":"Train ID","value":"214-05"},{"id":16,"name":"Locomotive ID","value":"4037"},{"id":130,"name":"Impact","value":""},{"id":150,"name":"Time of Event (Mountain Time)","value":"19:18:26"},{"id":151,"name":"Denver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617</v>
      </c>
      <c r="B128" s="7">
        <v>4009</v>
      </c>
      <c r="C128" s="22" t="s">
        <v>208</v>
      </c>
      <c r="D128" s="22" t="s">
        <v>405</v>
      </c>
      <c r="E128" s="13">
        <v>42709.747847222221</v>
      </c>
      <c r="F128" s="13">
        <v>42709.750185185185</v>
      </c>
      <c r="G128" s="7">
        <v>1</v>
      </c>
      <c r="H128" s="22" t="s">
        <v>727</v>
      </c>
      <c r="I128" s="13">
        <v>42709.775578703702</v>
      </c>
      <c r="J128" s="7">
        <v>2</v>
      </c>
      <c r="K128" s="109" t="str">
        <f>IF(ISEVEN(B128),(B128-1)&amp;"/"&amp;B128,B128&amp;"/"&amp;(B128+1))</f>
        <v>4009/4010</v>
      </c>
      <c r="L128" s="22" t="str">
        <f>VLOOKUP(A128,'Trips&amp;Operators'!$C$1:$G$99999,5,FALSE)</f>
        <v>SHOOK JOHN</v>
      </c>
      <c r="M128" s="6">
        <f>I128-F128</f>
        <v>2.5393518517375924E-2</v>
      </c>
      <c r="N128" s="7">
        <f>24*60*SUM($M128:$M128)</f>
        <v>36.56666666502133</v>
      </c>
      <c r="O128" s="7"/>
      <c r="P128" s="7"/>
      <c r="Q128" s="23"/>
      <c r="R128" s="23"/>
      <c r="S128" s="35">
        <f>SUM(U128:U128)/IF(AG128="EC",12,1)</f>
        <v>1</v>
      </c>
      <c r="T128" s="50" t="str">
        <f>IF(ISEVEN(LEFT(AD128,4)),"Southbound","NorthBound")</f>
        <v>NorthBound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hh:mm:ss")&amp;utc_offset&amp;"00',mode:absolute,to:'"&amp;TEXT(I128+1/24,"yyyy-MM-DD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https://search-rtdc-monitor-bjffxe2xuh6vdkpspy63sjmuny.us-east-1.es.amazonaws.com/_plugin/kibana/#/discover/Steve-Slow-Train-Analysis-(2080s-and-2083s)?_g=(refreshInterval:(display:Off,section:0,value:0),time:(from:'2016-12-05 16:56:54-700',mode:absolute,to:'2016-12-05 19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8" s="52" t="str">
        <f>IF(AA128&lt;IF(AG128="EC",23,5.65),"Y","N")</f>
        <v>N</v>
      </c>
      <c r="X128" s="177">
        <f>VALUE(LEFT(AD128,4))-VALUE(LEFT(AD127,4))</f>
        <v>1</v>
      </c>
      <c r="Y128" s="67">
        <f>RIGHT(D128,LEN(D128)-4)/10000</f>
        <v>4.7300000000000002E-2</v>
      </c>
      <c r="Z128" s="67">
        <f>RIGHT(H128,LEN(H128)-4)/10000</f>
        <v>23.3324</v>
      </c>
      <c r="AA128" s="67">
        <f>ABS(Z128-Y128)</f>
        <v>23.2851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>IF(LEN(A128)=6,"0"&amp;A128,A128)</f>
        <v>0215-05</v>
      </c>
      <c r="AE128" s="91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s3://rtdc.mdm.uploadarchive.raw/RTDC4009/ "%USERPROFILE%\AppData\Local\Temp\OnboardLogs"\RTDC4009\2016-12-05 --exclude "*" --recursive --include "*20161205*" &amp; "%USERPROFILE%\Documents\GitHub\mrs-test-scripts\Headless Mode &amp; Sideloading\WalkAndUnGZ.bat" "%USERPROFILE%\AppData\Local\Temp\OnboardLogs"\RTDC4009\2016-12-05 &amp; 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</v>
      </c>
      <c r="AF128" s="88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/stypes="app*4009*20161206*" /stext=" 01:.+((SYSTEM_STATE.+slice.+state.+changed )|(ment ac)|(multiple cpu faults)|(system.+state.+changed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92" t="str">
        <f t="shared" si="4"/>
        <v>"%USERPROFILE%\Documents\GitHub\eaglep3\Utilities\RefineRTDCRunTimes.py" --tripid 215-05 --locoid 4009 --swversion DE.1.0.8.0 --startMP 204:473 --initTime 2016-12-05T17:56:54 --startdatetime 2016-12-05T18:00:16 --delay 1 --endMP 204:233324 --enddatetime 2016-12-05T18:36:50 --enforcementcount 2 &gt;&gt;C:\Users\stu\Documents\GitHub\eaglep3-reporting\EC\2016-12-05-refined-times.txt</v>
      </c>
      <c r="AI128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{"issue":{"subject":"","project_id":79,"tracker_id":40,"status_id":1,"priority_id":2,"assigned_to_id":23,"start_date":"2016-12-05","description":"","custom_fields":[{"id":1,"name":"Subdivision","value":"EC"},{"id":4,"name":"Milepost","value":"23.3324"},{"id":17,"name":"Train ID","value":"215-05"},{"id":16,"name":"Locomotive ID","value":"4009"},{"id":130,"name":"Impact","value":""},{"id":150,"name":"Time of Event (Mountain Time)","value":"18:36:50"},{"id":151,"name":"Denver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626</v>
      </c>
      <c r="B129" s="7">
        <v>4010</v>
      </c>
      <c r="C129" s="22" t="s">
        <v>208</v>
      </c>
      <c r="D129" s="22" t="s">
        <v>728</v>
      </c>
      <c r="E129" s="13">
        <v>42709.784513888888</v>
      </c>
      <c r="F129" s="13">
        <v>42709.789050925923</v>
      </c>
      <c r="G129" s="7">
        <v>1</v>
      </c>
      <c r="H129" s="22" t="s">
        <v>284</v>
      </c>
      <c r="I129" s="13">
        <v>42709.815266203703</v>
      </c>
      <c r="J129" s="7">
        <v>2</v>
      </c>
      <c r="K129" s="109" t="str">
        <f>IF(ISEVEN(B129),(B129-1)&amp;"/"&amp;B129,B129&amp;"/"&amp;(B129+1))</f>
        <v>4009/4010</v>
      </c>
      <c r="L129" s="22" t="str">
        <f>VLOOKUP(A129,'Trips&amp;Operators'!$C$1:$G$99999,5,FALSE)</f>
        <v>SHOOK JOHN</v>
      </c>
      <c r="M129" s="6">
        <f>I129-F129</f>
        <v>2.6215277779556345E-2</v>
      </c>
      <c r="N129" s="7">
        <f>24*60*SUM($M129:$M129)</f>
        <v>37.750000002561137</v>
      </c>
      <c r="O129" s="7"/>
      <c r="P129" s="7"/>
      <c r="Q129" s="23"/>
      <c r="R129" s="23"/>
      <c r="S129" s="35">
        <f>SUM(U129:U129)/IF(AG129="EC",12,1)</f>
        <v>1</v>
      </c>
      <c r="T129" s="50" t="str">
        <f>IF(ISEVEN(LEFT(AD129,4)),"Southbound","NorthBound")</f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hh:mm:ss")&amp;utc_offset&amp;"00',mode:absolute,to:'"&amp;TEXT(I129+1/24,"yyyy-MM-DD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https://search-rtdc-monitor-bjffxe2xuh6vdkpspy63sjmuny.us-east-1.es.amazonaws.com/_plugin/kibana/#/discover/Steve-Slow-Train-Analysis-(2080s-and-2083s)?_g=(refreshInterval:(display:Off,section:0,value:0),time:(from:'2016-12-05 17:49:42-700',mode:absolute,to:'2016-12-05 20:33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9" s="52" t="str">
        <f>IF(AA129&lt;IF(AG129="EC",23,5.65),"Y","N")</f>
        <v>N</v>
      </c>
      <c r="X129" s="177">
        <f>VALUE(LEFT(AD129,4))-VALUE(LEFT(AD128,4))</f>
        <v>1</v>
      </c>
      <c r="Y129" s="67">
        <f>RIGHT(D129,LEN(D129)-4)/10000</f>
        <v>23.300899999999999</v>
      </c>
      <c r="Z129" s="67">
        <f>RIGHT(H129,LEN(H129)-4)/10000</f>
        <v>1.6299999999999999E-2</v>
      </c>
      <c r="AA129" s="67">
        <f>ABS(Z129-Y129)</f>
        <v>23.284599999999998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>IF(LEN(A129)=6,"0"&amp;A129,A129)</f>
        <v>0216-05</v>
      </c>
      <c r="AE129" s="91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s3://rtdc.mdm.uploadarchive.raw/RTDC4010/ "%USERPROFILE%\AppData\Local\Temp\OnboardLogs"\RTDC4010\2016-12-05 --exclude "*" --recursive --include "*20161205*" &amp; "%USERPROFILE%\Documents\GitHub\mrs-test-scripts\Headless Mode &amp; Sideloading\WalkAndUnGZ.bat" "%USERPROFILE%\AppData\Local\Temp\OnboardLogs"\RTDC4010\2016-12-05 &amp; 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</v>
      </c>
      <c r="AF129" s="88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/stypes="app*4010*20161206*" /stext=" 02:.+((SYSTEM_STATE.+slice.+state.+changed )|(ment ac)|(multiple cpu faults)|(system.+state.+changed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92" t="str">
        <f t="shared" si="4"/>
        <v>"%USERPROFILE%\Documents\GitHub\eaglep3\Utilities\RefineRTDCRunTimes.py" --tripid 216-05 --locoid 4010 --swversion DE.1.0.8.0 --startMP 204:233009 --initTime 2016-12-05T18:49:42 --startdatetime 2016-12-05T18:56:14 --delay 1 --endMP 204:163 --enddatetime 2016-12-05T19:33:59 --enforcementcount 2 &gt;&gt;C:\Users\stu\Documents\GitHub\eaglep3-reporting\EC\2016-12-05-refined-times.txt</v>
      </c>
      <c r="AI129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{"issue":{"subject":"","project_id":79,"tracker_id":40,"status_id":1,"priority_id":2,"assigned_to_id":23,"start_date":"2016-12-05","description":"","custom_fields":[{"id":1,"name":"Subdivision","value":"EC"},{"id":4,"name":"Milepost","value":"0.0163"},{"id":17,"name":"Train ID","value":"216-05"},{"id":16,"name":"Locomotive ID","value":"4010"},{"id":130,"name":"Impact","value":""},{"id":150,"name":"Time of Event (Mountain Time)","value":"19:33:59"},{"id":151,"name":"Denver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620</v>
      </c>
      <c r="B130" s="7">
        <v>4042</v>
      </c>
      <c r="C130" s="22" t="s">
        <v>208</v>
      </c>
      <c r="D130" s="22" t="s">
        <v>405</v>
      </c>
      <c r="E130" s="13">
        <v>42709.7578125</v>
      </c>
      <c r="F130" s="13">
        <v>42709.760844907411</v>
      </c>
      <c r="G130" s="7">
        <v>1</v>
      </c>
      <c r="H130" s="22" t="s">
        <v>395</v>
      </c>
      <c r="I130" s="13">
        <v>42709.785381944443</v>
      </c>
      <c r="J130" s="7">
        <v>2</v>
      </c>
      <c r="K130" s="109" t="str">
        <f>IF(ISEVEN(B130),(B130-1)&amp;"/"&amp;B130,B130&amp;"/"&amp;(B130+1))</f>
        <v>4041/4042</v>
      </c>
      <c r="L130" s="22" t="str">
        <f>VLOOKUP(A130,'Trips&amp;Operators'!$C$1:$G$99999,5,FALSE)</f>
        <v>CHANDLER KELVIN</v>
      </c>
      <c r="M130" s="6">
        <f>I130-F130</f>
        <v>2.4537037032132503E-2</v>
      </c>
      <c r="N130" s="7">
        <f>24*60*SUM($M130:$M130)</f>
        <v>35.333333326270804</v>
      </c>
      <c r="O130" s="7"/>
      <c r="P130" s="7"/>
      <c r="Q130" s="23"/>
      <c r="R130" s="23"/>
      <c r="S130" s="35">
        <f>SUM(U130:U130)/IF(AG130="EC",12,1)</f>
        <v>1</v>
      </c>
      <c r="T130" s="50" t="str">
        <f>IF(ISEVEN(LEFT(AD130,4)),"Southbound","NorthBound")</f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hh:mm:ss")&amp;utc_offset&amp;"00',mode:absolute,to:'"&amp;TEXT(I130+1/24,"yyyy-MM-DD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https://search-rtdc-monitor-bjffxe2xuh6vdkpspy63sjmuny.us-east-1.es.amazonaws.com/_plugin/kibana/#/discover/Steve-Slow-Train-Analysis-(2080s-and-2083s)?_g=(refreshInterval:(display:Off,section:0,value:0),time:(from:'2016-12-05 17:11:15-700',mode:absolute,to:'2016-12-05 19:50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0" s="52" t="str">
        <f>IF(AA130&lt;IF(AG130="EC",23,5.65),"Y","N")</f>
        <v>N</v>
      </c>
      <c r="X130" s="177">
        <f>VALUE(LEFT(AD130,4))-VALUE(LEFT(AD129,4))</f>
        <v>1</v>
      </c>
      <c r="Y130" s="67">
        <f>RIGHT(D130,LEN(D130)-4)/10000</f>
        <v>4.7300000000000002E-2</v>
      </c>
      <c r="Z130" s="67">
        <f>RIGHT(H130,LEN(H130)-4)/10000</f>
        <v>23.328499999999998</v>
      </c>
      <c r="AA130" s="67">
        <f>ABS(Z130-Y130)</f>
        <v>23.281199999999998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>IF(LEN(A130)=6,"0"&amp;A130,A130)</f>
        <v>0217-05</v>
      </c>
      <c r="AE130" s="91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s3://rtdc.mdm.uploadarchive.raw/RTDC4042/ "%USERPROFILE%\AppData\Local\Temp\OnboardLogs"\RTDC4042\2016-12-05 --exclude "*" --recursive --include "*20161205*" &amp; "%USERPROFILE%\Documents\GitHub\mrs-test-scripts\Headless Mode &amp; Sideloading\WalkAndUnGZ.bat" "%USERPROFILE%\AppData\Local\Temp\OnboardLogs"\RTDC4042\2016-12-05 &amp; aws s3 cp s3://rtdc.mdm.uploadarchive.raw/RTDC4042/ "%USERPROFILE%\AppData\Local\Temp\OnboardLogs"\RTDC4042\2016-12-06 --exclude "*" --recursive --include "*20161206*" &amp; "%USERPROFILE%\Documents\GitHub\mrs-test-scripts\Headless Mode &amp; Sideloading\WalkAndUnGZ.bat" "%USERPROFILE%\AppData\Local\Temp\OnboardLogs"\RTDC4042\2016-12-06</v>
      </c>
      <c r="AF130" s="88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/stypes="app*4042*20161206*" /stext=" 01:.+((SYSTEM_STATE.+slice.+state.+changed )|(ment ac)|(multiple cpu faults)|(system.+state.+changed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92" t="str">
        <f t="shared" si="4"/>
        <v>"%USERPROFILE%\Documents\GitHub\eaglep3\Utilities\RefineRTDCRunTimes.py" --tripid 217-05 --locoid 4042 --swversion DE.1.0.8.0 --startMP 204:473 --initTime 2016-12-05T18:11:15 --startdatetime 2016-12-05T18:15:37 --delay 1 --endMP 204:233285 --enddatetime 2016-12-05T18:50:57 --enforcementcount 2 &gt;&gt;C:\Users\stu\Documents\GitHub\eaglep3-reporting\EC\2016-12-05-refined-times.txt</v>
      </c>
      <c r="AI130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{"issue":{"subject":"","project_id":79,"tracker_id":40,"status_id":1,"priority_id":2,"assigned_to_id":23,"start_date":"2016-12-05","description":"","custom_fields":[{"id":1,"name":"Subdivision","value":"EC"},{"id":4,"name":"Milepost","value":"23.3285"},{"id":17,"name":"Train ID","value":"217-05"},{"id":16,"name":"Locomotive ID","value":"4042"},{"id":130,"name":"Impact","value":""},{"id":150,"name":"Time of Event (Mountain Time)","value":"18:50:57"},{"id":151,"name":"Denver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631</v>
      </c>
      <c r="B131" s="7">
        <v>4041</v>
      </c>
      <c r="C131" s="22" t="s">
        <v>208</v>
      </c>
      <c r="D131" s="22" t="s">
        <v>729</v>
      </c>
      <c r="E131" s="13">
        <v>42709.795358796298</v>
      </c>
      <c r="F131" s="13">
        <v>42709.79991898148</v>
      </c>
      <c r="G131" s="7">
        <v>1</v>
      </c>
      <c r="H131" s="22" t="s">
        <v>210</v>
      </c>
      <c r="I131" s="13">
        <v>42709.826388888891</v>
      </c>
      <c r="J131" s="7">
        <v>2</v>
      </c>
      <c r="K131" s="109" t="str">
        <f>IF(ISEVEN(B131),(B131-1)&amp;"/"&amp;B131,B131&amp;"/"&amp;(B131+1))</f>
        <v>4041/4042</v>
      </c>
      <c r="L131" s="22" t="str">
        <f>VLOOKUP(A131,'Trips&amp;Operators'!$C$1:$G$99999,5,FALSE)</f>
        <v>CHANDLER KELVIN</v>
      </c>
      <c r="M131" s="6">
        <f>I131-F131</f>
        <v>2.6469907410501037E-2</v>
      </c>
      <c r="N131" s="7">
        <f>24*60*SUM($M131:$M131)</f>
        <v>38.116666671121493</v>
      </c>
      <c r="O131" s="7"/>
      <c r="P131" s="7"/>
      <c r="Q131" s="23"/>
      <c r="R131" s="23"/>
      <c r="S131" s="35">
        <f>SUM(U131:U131)/IF(AG131="EC",12,1)</f>
        <v>1</v>
      </c>
      <c r="T131" s="50" t="str">
        <f>IF(ISEVEN(LEFT(AD131,4)),"Southbound","NorthBound")</f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hh:mm:ss")&amp;utc_offset&amp;"00',mode:absolute,to:'"&amp;TEXT(I131+1/24,"yyyy-MM-DD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https://search-rtdc-monitor-bjffxe2xuh6vdkpspy63sjmuny.us-east-1.es.amazonaws.com/_plugin/kibana/#/discover/Steve-Slow-Train-Analysis-(2080s-and-2083s)?_g=(refreshInterval:(display:Off,section:0,value:0),time:(from:'2016-12-05 18:05:19-700',mode:absolute,to:'2016-12-05 20:50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1" s="52" t="str">
        <f>IF(AA131&lt;IF(AG131="EC",23,5.65),"Y","N")</f>
        <v>N</v>
      </c>
      <c r="X131" s="177">
        <f>VALUE(LEFT(AD131,4))-VALUE(LEFT(AD130,4))</f>
        <v>1</v>
      </c>
      <c r="Y131" s="67">
        <f>RIGHT(D131,LEN(D131)-4)/10000</f>
        <v>23.2957</v>
      </c>
      <c r="Z131" s="67">
        <f>RIGHT(H131,LEN(H131)-4)/10000</f>
        <v>1.5800000000000002E-2</v>
      </c>
      <c r="AA131" s="67">
        <f>ABS(Z131-Y131)</f>
        <v>23.279900000000001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>IF(LEN(A131)=6,"0"&amp;A131,A131)</f>
        <v>0218-05</v>
      </c>
      <c r="AE131" s="91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 &amp; aws s3 cp s3://rtdc.mdm.uploadarchive.raw/RTDC4041/ "%USERPROFILE%\AppData\Local\Temp\OnboardLogs"\RTDC4041\2016-12-06 --exclude "*" --recursive --include "*20161206*" &amp; "%USERPROFILE%\Documents\GitHub\mrs-test-scripts\Headless Mode &amp; Sideloading\WalkAndUnGZ.bat" "%USERPROFILE%\AppData\Local\Temp\OnboardLogs"\RTDC4041\2016-12-06</v>
      </c>
      <c r="AF131" s="88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/stypes="app*4041*20161206*" /stext=" 02:.+((SYSTEM_STATE.+slice.+state.+changed )|(ment ac)|(multiple cpu faults)|(system.+state.+changed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92" t="str">
        <f t="shared" si="4"/>
        <v>"%USERPROFILE%\Documents\GitHub\eaglep3\Utilities\RefineRTDCRunTimes.py" --tripid 218-05 --locoid 4041 --swversion DE.1.0.8.0 --startMP 204:232957 --initTime 2016-12-05T19:05:19 --startdatetime 2016-12-05T19:11:53 --delay 1 --endMP 204:158 --enddatetime 2016-12-05T19:50:00 --enforcementcount 2 &gt;&gt;C:\Users\stu\Documents\GitHub\eaglep3-reporting\EC\2016-12-05-refined-times.txt</v>
      </c>
      <c r="AI131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{"issue":{"subject":"","project_id":79,"tracker_id":40,"status_id":1,"priority_id":2,"assigned_to_id":23,"start_date":"2016-12-05","description":"","custom_fields":[{"id":1,"name":"Subdivision","value":"EC"},{"id":4,"name":"Milepost","value":"0.0158"},{"id":17,"name":"Train ID","value":"218-05"},{"id":16,"name":"Locomotive ID","value":"4041"},{"id":130,"name":"Impact","value":""},{"id":150,"name":"Time of Event (Mountain Time)","value":"19:50:00"},{"id":151,"name":"Denver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623</v>
      </c>
      <c r="B132" s="7">
        <v>4002</v>
      </c>
      <c r="C132" s="22" t="s">
        <v>208</v>
      </c>
      <c r="D132" s="22" t="s">
        <v>362</v>
      </c>
      <c r="E132" s="13">
        <v>42709.767094907409</v>
      </c>
      <c r="F132" s="13">
        <v>42709.77103009259</v>
      </c>
      <c r="G132" s="7">
        <v>1</v>
      </c>
      <c r="H132" s="22" t="s">
        <v>366</v>
      </c>
      <c r="I132" s="13">
        <v>42709.795127314814</v>
      </c>
      <c r="J132" s="7">
        <v>2</v>
      </c>
      <c r="K132" s="109" t="str">
        <f>IF(ISEVEN(B132),(B132-1)&amp;"/"&amp;B132,B132&amp;"/"&amp;(B132+1))</f>
        <v>4001/4002</v>
      </c>
      <c r="L132" s="22" t="str">
        <f>VLOOKUP(A132,'Trips&amp;Operators'!$C$1:$G$99999,5,FALSE)</f>
        <v>YANAI IAN</v>
      </c>
      <c r="M132" s="6">
        <f>I132-F132</f>
        <v>2.4097222223645076E-2</v>
      </c>
      <c r="N132" s="7">
        <f>24*60*SUM($M132:$M132)</f>
        <v>34.70000000204891</v>
      </c>
      <c r="O132" s="7"/>
      <c r="P132" s="7"/>
      <c r="Q132" s="23"/>
      <c r="R132" s="23"/>
      <c r="S132" s="35">
        <f>SUM(U132:U132)/IF(AG132="EC",12,1)</f>
        <v>1</v>
      </c>
      <c r="T132" s="50" t="str">
        <f>IF(ISEVEN(LEFT(AD132,4)),"Southbound","NorthBound")</f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hh:mm:ss")&amp;utc_offset&amp;"00',mode:absolute,to:'"&amp;TEXT(I132+1/24,"yyyy-MM-DD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https://search-rtdc-monitor-bjffxe2xuh6vdkpspy63sjmuny.us-east-1.es.amazonaws.com/_plugin/kibana/#/discover/Steve-Slow-Train-Analysis-(2080s-and-2083s)?_g=(refreshInterval:(display:Off,section:0,value:0),time:(from:'2016-12-05 17:24:37-700',mode:absolute,to:'2016-12-05 20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2" s="52" t="str">
        <f>IF(AA132&lt;IF(AG132="EC",23,5.65),"Y","N")</f>
        <v>N</v>
      </c>
      <c r="X132" s="177">
        <f>VALUE(LEFT(AD132,4))-VALUE(LEFT(AD131,4))</f>
        <v>1</v>
      </c>
      <c r="Y132" s="67">
        <f>RIGHT(D132,LEN(D132)-4)/10000</f>
        <v>4.53E-2</v>
      </c>
      <c r="Z132" s="67">
        <f>RIGHT(H132,LEN(H132)-4)/10000</f>
        <v>23.3291</v>
      </c>
      <c r="AA132" s="67">
        <f>ABS(Z132-Y132)</f>
        <v>23.283799999999999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>IF(LEN(A132)=6,"0"&amp;A132,A132)</f>
        <v>0219-05</v>
      </c>
      <c r="AE132" s="91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s3://rtdc.mdm.uploadarchive.raw/RTDC4002/ "%USERPROFILE%\AppData\Local\Temp\OnboardLogs"\RTDC4002\2016-12-05 --exclude "*" --recursive --include "*20161205*" &amp; "%USERPROFILE%\Documents\GitHub\mrs-test-scripts\Headless Mode &amp; Sideloading\WalkAndUnGZ.bat" "%USERPROFILE%\AppData\Local\Temp\OnboardLogs"\RTDC4002\2016-12-05 &amp; aws s3 cp s3://rtdc.mdm.uploadarchive.raw/RTDC4002/ "%USERPROFILE%\AppData\Local\Temp\OnboardLogs"\RTDC4002\2016-12-06 --exclude "*" --recursive --include "*20161206*" &amp; "%USERPROFILE%\Documents\GitHub\mrs-test-scripts\Headless Mode &amp; Sideloading\WalkAndUnGZ.bat" "%USERPROFILE%\AppData\Local\Temp\OnboardLogs"\RTDC4002\2016-12-06</v>
      </c>
      <c r="AF132" s="88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/stypes="app*4002*20161206*" /stext=" 02:.+((SYSTEM_STATE.+slice.+state.+changed )|(ment ac)|(multiple cpu faults)|(system.+state.+changed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92" t="str">
        <f t="shared" si="4"/>
        <v>"%USERPROFILE%\Documents\GitHub\eaglep3\Utilities\RefineRTDCRunTimes.py" --tripid 219-05 --locoid 4002 --swversion DE.1.0.8.0 --startMP 204:453 --initTime 2016-12-05T18:24:37 --startdatetime 2016-12-05T18:30:17 --delay 1 --endMP 204:233291 --enddatetime 2016-12-05T19:04:59 --enforcementcount 2 &gt;&gt;C:\Users\stu\Documents\GitHub\eaglep3-reporting\EC\2016-12-05-refined-times.txt</v>
      </c>
      <c r="AI132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{"issue":{"subject":"","project_id":79,"tracker_id":40,"status_id":1,"priority_id":2,"assigned_to_id":23,"start_date":"2016-12-05","description":"","custom_fields":[{"id":1,"name":"Subdivision","value":"EC"},{"id":4,"name":"Milepost","value":"23.3291"},{"id":17,"name":"Train ID","value":"219-05"},{"id":16,"name":"Locomotive ID","value":"4002"},{"id":130,"name":"Impact","value":""},{"id":150,"name":"Time of Event (Mountain Time)","value":"19:04:59"},{"id":151,"name":"Denver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633</v>
      </c>
      <c r="B133" s="7">
        <v>4001</v>
      </c>
      <c r="C133" s="22" t="s">
        <v>208</v>
      </c>
      <c r="D133" s="22" t="s">
        <v>278</v>
      </c>
      <c r="E133" s="13">
        <v>42709.798379629632</v>
      </c>
      <c r="F133" s="13">
        <v>42709.810046296298</v>
      </c>
      <c r="G133" s="7">
        <v>1</v>
      </c>
      <c r="H133" s="22" t="s">
        <v>390</v>
      </c>
      <c r="I133" s="13">
        <v>42709.835648148146</v>
      </c>
      <c r="J133" s="7">
        <v>2</v>
      </c>
      <c r="K133" s="109" t="str">
        <f>IF(ISEVEN(B133),(B133-1)&amp;"/"&amp;B133,B133&amp;"/"&amp;(B133+1))</f>
        <v>4001/4002</v>
      </c>
      <c r="L133" s="22" t="str">
        <f>VLOOKUP(A133,'Trips&amp;Operators'!$C$1:$G$99999,5,FALSE)</f>
        <v>YANAI IAN</v>
      </c>
      <c r="M133" s="6">
        <f>I133-F133</f>
        <v>2.5601851848477963E-2</v>
      </c>
      <c r="N133" s="7">
        <f>24*60*SUM($M133:$M133)</f>
        <v>36.866666661808267</v>
      </c>
      <c r="O133" s="7"/>
      <c r="P133" s="7"/>
      <c r="Q133" s="23"/>
      <c r="R133" s="23"/>
      <c r="S133" s="35">
        <f>SUM(U133:U133)/IF(AG133="EC",12,1)</f>
        <v>1</v>
      </c>
      <c r="T133" s="50" t="str">
        <f>IF(ISEVEN(LEFT(AD133,4)),"Southbound","NorthBound")</f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hh:mm:ss")&amp;utc_offset&amp;"00',mode:absolute,to:'"&amp;TEXT(I133+1/24,"yyyy-MM-DD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https://search-rtdc-monitor-bjffxe2xuh6vdkpspy63sjmuny.us-east-1.es.amazonaws.com/_plugin/kibana/#/discover/Steve-Slow-Train-Analysis-(2080s-and-2083s)?_g=(refreshInterval:(display:Off,section:0,value:0),time:(from:'2016-12-05 18:09:40-700',mode:absolute,to:'2016-12-05 21:03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3" s="52" t="str">
        <f>IF(AA133&lt;IF(AG133="EC",23,5.65),"Y","N")</f>
        <v>N</v>
      </c>
      <c r="X133" s="177">
        <f>VALUE(LEFT(AD133,4))-VALUE(LEFT(AD132,4))</f>
        <v>1</v>
      </c>
      <c r="Y133" s="67">
        <f>RIGHT(D133,LEN(D133)-4)/10000</f>
        <v>23.298200000000001</v>
      </c>
      <c r="Z133" s="67">
        <f>RIGHT(H133,LEN(H133)-4)/10000</f>
        <v>1.52E-2</v>
      </c>
      <c r="AA133" s="67">
        <f>ABS(Z133-Y133)</f>
        <v>23.283000000000001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>IF(LEN(A133)=6,"0"&amp;A133,A133)</f>
        <v>0220-05</v>
      </c>
      <c r="AE133" s="91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s3://rtdc.mdm.uploadarchive.raw/RTDC4001/ "%USERPROFILE%\AppData\Local\Temp\OnboardLogs"\RTDC4001\2016-12-05 --exclude "*" --recursive --include "*20161205*" &amp; "%USERPROFILE%\Documents\GitHub\mrs-test-scripts\Headless Mode &amp; Sideloading\WalkAndUnGZ.bat" "%USERPROFILE%\AppData\Local\Temp\OnboardLogs"\RTDC4001\2016-12-05 &amp; aws s3 cp s3://rtdc.mdm.uploadarchive.raw/RTDC4001/ "%USERPROFILE%\AppData\Local\Temp\OnboardLogs"\RTDC4001\2016-12-06 --exclude "*" --recursive --include "*20161206*" &amp; "%USERPROFILE%\Documents\GitHub\mrs-test-scripts\Headless Mode &amp; Sideloading\WalkAndUnGZ.bat" "%USERPROFILE%\AppData\Local\Temp\OnboardLogs"\RTDC4001\2016-12-06</v>
      </c>
      <c r="AF133" s="88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/stypes="app*4001*20161206*" /stext=" 03:.+((SYSTEM_STATE.+slice.+state.+changed )|(ment ac)|(multiple cpu faults)|(system.+state.+changed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92" t="str">
        <f t="shared" si="4"/>
        <v>"%USERPROFILE%\Documents\GitHub\eaglep3\Utilities\RefineRTDCRunTimes.py" --tripid 220-05 --locoid 4001 --swversion DE.1.0.8.0 --startMP 204:232982 --initTime 2016-12-05T19:09:40 --startdatetime 2016-12-05T19:26:28 --delay 1 --endMP 204:152 --enddatetime 2016-12-05T20:03:20 --enforcementcount 2 &gt;&gt;C:\Users\stu\Documents\GitHub\eaglep3-reporting\EC\2016-12-05-refined-times.txt</v>
      </c>
      <c r="AI133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{"issue":{"subject":"","project_id":79,"tracker_id":40,"status_id":1,"priority_id":2,"assigned_to_id":23,"start_date":"2016-12-05","description":"","custom_fields":[{"id":1,"name":"Subdivision","value":"EC"},{"id":4,"name":"Milepost","value":"0.0152"},{"id":17,"name":"Train ID","value":"220-05"},{"id":16,"name":"Locomotive ID","value":"4001"},{"id":130,"name":"Impact","value":""},{"id":150,"name":"Time of Event (Mountain Time)","value":"20:03:20"},{"id":151,"name":"Denver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x14ac:dyDescent="0.25">
      <c r="A134" s="37" t="s">
        <v>627</v>
      </c>
      <c r="B134" s="7">
        <v>4040</v>
      </c>
      <c r="C134" s="22" t="s">
        <v>208</v>
      </c>
      <c r="D134" s="22" t="s">
        <v>244</v>
      </c>
      <c r="E134" s="13">
        <v>42709.787002314813</v>
      </c>
      <c r="F134" s="13">
        <v>42709.791944444441</v>
      </c>
      <c r="G134" s="7">
        <v>1</v>
      </c>
      <c r="H134" s="22" t="s">
        <v>418</v>
      </c>
      <c r="I134" s="13">
        <v>42709.818402777775</v>
      </c>
      <c r="J134" s="7">
        <v>2</v>
      </c>
      <c r="K134" s="109" t="str">
        <f>IF(ISEVEN(B134),(B134-1)&amp;"/"&amp;B134,B134&amp;"/"&amp;(B134+1))</f>
        <v>4039/4040</v>
      </c>
      <c r="L134" s="22" t="str">
        <f>VLOOKUP(A134,'Trips&amp;Operators'!$C$1:$G$99999,5,FALSE)</f>
        <v>DELGADO DIANAH</v>
      </c>
      <c r="M134" s="6">
        <f>I134-F134</f>
        <v>2.6458333333721384E-2</v>
      </c>
      <c r="N134" s="7">
        <f>24*60*SUM($M134:$M134)</f>
        <v>38.100000000558794</v>
      </c>
      <c r="O134" s="7"/>
      <c r="P134" s="7"/>
      <c r="Q134" s="23"/>
      <c r="R134" s="23"/>
      <c r="S134" s="35">
        <f>SUM(U134:U134)/IF(AG134="EC",12,1)</f>
        <v>1</v>
      </c>
      <c r="T134" s="50" t="str">
        <f>IF(ISEVEN(LEFT(AD134,4)),"Southbound","NorthBound")</f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hh:mm:ss")&amp;utc_offset&amp;"00',mode:absolute,to:'"&amp;TEXT(I134+1/24,"yyyy-MM-DD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https://search-rtdc-monitor-bjffxe2xuh6vdkpspy63sjmuny.us-east-1.es.amazonaws.com/_plugin/kibana/#/discover/Steve-Slow-Train-Analysis-(2080s-and-2083s)?_g=(refreshInterval:(display:Off,section:0,value:0),time:(from:'2016-12-05 17:53:17-700',mode:absolute,to:'2016-12-05 20:38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4" s="52" t="str">
        <f>IF(AA134&lt;IF(AG134="EC",23,5.65),"Y","N")</f>
        <v>N</v>
      </c>
      <c r="X134" s="177">
        <f>VALUE(LEFT(AD134,4))-VALUE(LEFT(AD133,4))</f>
        <v>1</v>
      </c>
      <c r="Y134" s="67">
        <f>RIGHT(D134,LEN(D134)-4)/10000</f>
        <v>4.5999999999999999E-2</v>
      </c>
      <c r="Z134" s="67">
        <f>RIGHT(H134,LEN(H134)-4)/10000</f>
        <v>23.327999999999999</v>
      </c>
      <c r="AA134" s="67">
        <f>ABS(Z134-Y134)</f>
        <v>23.282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>IF(LEN(A134)=6,"0"&amp;A134,A134)</f>
        <v>0221-05</v>
      </c>
      <c r="AE134" s="91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s3://rtdc.mdm.uploadarchive.raw/RTDC4040/ "%USERPROFILE%\AppData\Local\Temp\OnboardLogs"\RTDC4040\2016-12-05 --exclude "*" --recursive --include "*20161205*" &amp; "%USERPROFILE%\Documents\GitHub\mrs-test-scripts\Headless Mode &amp; Sideloading\WalkAndUnGZ.bat" "%USERPROFILE%\AppData\Local\Temp\OnboardLogs"\RTDC4040\2016-12-05 &amp; aws s3 cp s3://rtdc.mdm.uploadarchive.raw/RTDC4040/ "%USERPROFILE%\AppData\Local\Temp\OnboardLogs"\RTDC4040\2016-12-06 --exclude "*" --recursive --include "*20161206*" &amp; "%USERPROFILE%\Documents\GitHub\mrs-test-scripts\Headless Mode &amp; Sideloading\WalkAndUnGZ.bat" "%USERPROFILE%\AppData\Local\Temp\OnboardLogs"\RTDC4040\2016-12-06</v>
      </c>
      <c r="AF134" s="88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/stypes="app*4040*20161206*" /stext=" 02:.+((SYSTEM_STATE.+slice.+state.+changed )|(ment ac)|(multiple cpu faults)|(system.+state.+changed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92" t="str">
        <f t="shared" si="4"/>
        <v>"%USERPROFILE%\Documents\GitHub\eaglep3\Utilities\RefineRTDCRunTimes.py" --tripid 221-05 --locoid 4040 --swversion DE.1.0.8.0 --startMP 204:460 --initTime 2016-12-05T18:53:17 --startdatetime 2016-12-05T19:00:24 --delay 1 --endMP 204:233280 --enddatetime 2016-12-05T19:38:30 --enforcementcount 2 &gt;&gt;C:\Users\stu\Documents\GitHub\eaglep3-reporting\EC\2016-12-05-refined-times.txt</v>
      </c>
      <c r="AI134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{"issue":{"subject":"","project_id":79,"tracker_id":40,"status_id":1,"priority_id":2,"assigned_to_id":23,"start_date":"2016-12-05","description":"","custom_fields":[{"id":1,"name":"Subdivision","value":"EC"},{"id":4,"name":"Milepost","value":"23.328"},{"id":17,"name":"Train ID","value":"221-05"},{"id":16,"name":"Locomotive ID","value":"4040"},{"id":130,"name":"Impact","value":""},{"id":150,"name":"Time of Event (Mountain Time)","value":"19:38:30"},{"id":151,"name":"Denver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x14ac:dyDescent="0.25">
      <c r="A135" s="37" t="s">
        <v>640</v>
      </c>
      <c r="B135" s="7">
        <v>4039</v>
      </c>
      <c r="C135" s="22" t="s">
        <v>208</v>
      </c>
      <c r="D135" s="22" t="s">
        <v>397</v>
      </c>
      <c r="E135" s="13">
        <v>42709.824918981481</v>
      </c>
      <c r="F135" s="13">
        <v>42709.825844907406</v>
      </c>
      <c r="G135" s="7">
        <v>1</v>
      </c>
      <c r="H135" s="22" t="s">
        <v>730</v>
      </c>
      <c r="I135" s="13">
        <v>42709.840046296296</v>
      </c>
      <c r="J135" s="7">
        <v>0</v>
      </c>
      <c r="K135" s="109" t="str">
        <f>IF(ISEVEN(B135),(B135-1)&amp;"/"&amp;B135,B135&amp;"/"&amp;(B135+1))</f>
        <v>4039/4040</v>
      </c>
      <c r="L135" s="22" t="str">
        <f>VLOOKUP(A135,'Trips&amp;Operators'!$C$1:$G$99999,5,FALSE)</f>
        <v>DELGADO DIANAH</v>
      </c>
      <c r="M135" s="6">
        <f>I135-F135</f>
        <v>1.4201388890796807E-2</v>
      </c>
      <c r="N135" s="7"/>
      <c r="O135" s="7"/>
      <c r="P135" s="7">
        <f>24*60*SUM($M135:$M136)</f>
        <v>41.800000006332994</v>
      </c>
      <c r="Q135" s="23"/>
      <c r="R135" s="23" t="s">
        <v>422</v>
      </c>
      <c r="S135" s="35">
        <f>SUM(U135:U136)/IF(AG135="EC",12,1)</f>
        <v>0.83333333333333337</v>
      </c>
      <c r="T135" s="50" t="str">
        <f>IF(ISEVEN(LEFT(AD135,4)),"Southbound","NorthBound")</f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0</v>
      </c>
      <c r="V135" s="98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hh:mm:ss")&amp;utc_offset&amp;"00',mode:absolute,to:'"&amp;TEXT(I135+1/24,"yyyy-MM-DD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https://search-rtdc-monitor-bjffxe2xuh6vdkpspy63sjmuny.us-east-1.es.amazonaws.com/_plugin/kibana/#/discover/Steve-Slow-Train-Analysis-(2080s-and-2083s)?_g=(refreshInterval:(display:Off,section:0,value:0),time:(from:'2016-12-05 18:47:53-700',mode:absolute,to:'2016-12-05 21:09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5" s="52" t="str">
        <f>IF(AA135&lt;IF(AG135="EC",23,5.65),"Y","N")</f>
        <v>Y</v>
      </c>
      <c r="X135" s="177">
        <f>VALUE(LEFT(AD135,4))-VALUE(LEFT(AD134,4))</f>
        <v>1</v>
      </c>
      <c r="Y135" s="67">
        <f>RIGHT(D135,LEN(D135)-4)/10000</f>
        <v>23.295500000000001</v>
      </c>
      <c r="Z135" s="67">
        <f>RIGHT(H135,LEN(H135)-4)/10000</f>
        <v>12.7858</v>
      </c>
      <c r="AA135" s="67">
        <f>ABS(Z135-Y135)</f>
        <v>10.5097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>IF(LEN(A135)=6,"0"&amp;A135,A135)</f>
        <v>0222-05</v>
      </c>
      <c r="AE135" s="91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s3://rtdc.mdm.uploadarchive.raw/RTDC4039/ "%USERPROFILE%\AppData\Local\Temp\OnboardLogs"\RTDC4039\2016-12-05 --exclude "*" --recursive --include "*20161205*" &amp; "%USERPROFILE%\Documents\GitHub\mrs-test-scripts\Headless Mode &amp; Sideloading\WalkAndUnGZ.bat" "%USERPROFILE%\AppData\Local\Temp\OnboardLogs"\RTDC4039\2016-12-05 &amp; aws s3 cp s3://rtdc.mdm.uploadarchive.raw/RTDC4039/ "%USERPROFILE%\AppData\Local\Temp\OnboardLogs"\RTDC4039\2016-12-06 --exclude "*" --recursive --include "*20161206*" &amp; "%USERPROFILE%\Documents\GitHub\mrs-test-scripts\Headless Mode &amp; Sideloading\WalkAndUnGZ.bat" "%USERPROFILE%\AppData\Local\Temp\OnboardLogs"\RTDC4039\2016-12-06</v>
      </c>
      <c r="AF135" s="88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/stypes="app*4039*20161206*" /stext=" 03:.+((SYSTEM_STATE.+slice.+state.+changed )|(ment ac)|(multiple cpu faults)|(system.+state.+changed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92" t="str">
        <f t="shared" si="4"/>
        <v>"%USERPROFILE%\Documents\GitHub\eaglep3\Utilities\RefineRTDCRunTimes.py" --tripid 222-05 --locoid 4039 --swversion DE.1.0.8.0 --startMP 204:232955 --initTime 2016-12-05T19:47:53 --startdatetime 2016-12-05T19:49:13 --delay 1 --endMP 204:127858 --enddatetime 2016-12-05T20:09:40 --enforcementcount 0 &gt;&gt;C:\Users\stu\Documents\GitHub\eaglep3-reporting\EC\2016-12-05-refined-times.txt</v>
      </c>
      <c r="AI135" s="119" t="str">
        <f t="shared" si="5"/>
        <v>echo {"issue":{"subject":"Onboard in-route failure","project_id":79,"tracker_id":40,"status_id":1,"priority_id":2,"assigned_to_id":23,"start_date":"2016-12-05","description":"","custom_fields":[{"id":1,"name":"Subdivision","value":"EC"},{"id":4,"name":"Milepost","value":"12.7858"},{"id":17,"name":"Train ID","value":"222-05"},{"id":16,"name":"Locomotive ID","value":"4039"},{"id":130,"name":"Impact","value":""},{"id":150,"name":"Time of Event (Mountain Time)","value":"20:09:40"},{"id":151,"name":"Denver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x14ac:dyDescent="0.25">
      <c r="A136" s="37" t="s">
        <v>640</v>
      </c>
      <c r="B136" s="7">
        <v>4039</v>
      </c>
      <c r="C136" s="22" t="s">
        <v>208</v>
      </c>
      <c r="D136" s="22" t="s">
        <v>731</v>
      </c>
      <c r="E136" s="13">
        <v>42709.845104166663</v>
      </c>
      <c r="F136" s="13">
        <v>42709.845775462964</v>
      </c>
      <c r="G136" s="7">
        <v>0</v>
      </c>
      <c r="H136" s="22" t="s">
        <v>732</v>
      </c>
      <c r="I136" s="13">
        <v>42709.860601851855</v>
      </c>
      <c r="J136" s="7">
        <v>0</v>
      </c>
      <c r="K136" s="109" t="str">
        <f>IF(ISEVEN(B136),(B136-1)&amp;"/"&amp;B136,B136&amp;"/"&amp;(B136+1))</f>
        <v>4039/4040</v>
      </c>
      <c r="L136" s="22" t="str">
        <f>VLOOKUP(A136,'Trips&amp;Operators'!$C$1:$G$99999,5,FALSE)</f>
        <v>DELGADO DIANAH</v>
      </c>
      <c r="M136" s="6">
        <f>I136-F136</f>
        <v>1.4826388891378883E-2</v>
      </c>
      <c r="N136" s="7"/>
      <c r="O136" s="7"/>
      <c r="P136" s="7"/>
      <c r="Q136" s="23"/>
      <c r="R136" s="23"/>
      <c r="S136" s="35"/>
      <c r="T136" s="50" t="str">
        <f>IF(ISEVEN(LEFT(AD136,4)),"Southbound","NorthBound")</f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10</v>
      </c>
      <c r="V136" s="98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hh:mm:ss")&amp;utc_offset&amp;"00',mode:absolute,to:'"&amp;TEXT(I136+1/24,"yyyy-MM-DD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https://search-rtdc-monitor-bjffxe2xuh6vdkpspy63sjmuny.us-east-1.es.amazonaws.com/_plugin/kibana/#/discover/Steve-Slow-Train-Analysis-(2080s-and-2083s)?_g=(refreshInterval:(display:Off,section:0,value:0),time:(from:'2016-12-05 19:16:57-700',mode:absolute,to:'2016-12-05 21:39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6" s="52" t="str">
        <f>IF(AA136&lt;IF(AG136="EC",23,5.65),"Y","N")</f>
        <v>Y</v>
      </c>
      <c r="X136" s="177">
        <f>VALUE(LEFT(AD136,4))-VALUE(LEFT(AD135,4))</f>
        <v>0</v>
      </c>
      <c r="Y136" s="67">
        <f>RIGHT(D136,LEN(D136)-4)/10000</f>
        <v>8.6353000000000009</v>
      </c>
      <c r="Z136" s="67">
        <f>RIGHT(H136,LEN(H136)-4)/10000</f>
        <v>1.38E-2</v>
      </c>
      <c r="AA136" s="67">
        <f>ABS(Z136-Y136)</f>
        <v>8.6215000000000011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>IF(LEN(A136)=6,"0"&amp;A136,A136)</f>
        <v>0222-05</v>
      </c>
      <c r="AE136" s="91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s3://rtdc.mdm.uploadarchive.raw/RTDC4039/ "%USERPROFILE%\AppData\Local\Temp\OnboardLogs"\RTDC4039\2016-12-05 --exclude "*" --recursive --include "*20161205*" &amp; "%USERPROFILE%\Documents\GitHub\mrs-test-scripts\Headless Mode &amp; Sideloading\WalkAndUnGZ.bat" "%USERPROFILE%\AppData\Local\Temp\OnboardLogs"\RTDC4039\2016-12-05 &amp; aws s3 cp s3://rtdc.mdm.uploadarchive.raw/RTDC4039/ "%USERPROFILE%\AppData\Local\Temp\OnboardLogs"\RTDC4039\2016-12-06 --exclude "*" --recursive --include "*20161206*" &amp; "%USERPROFILE%\Documents\GitHub\mrs-test-scripts\Headless Mode &amp; Sideloading\WalkAndUnGZ.bat" "%USERPROFILE%\AppData\Local\Temp\OnboardLogs"\RTDC4039\2016-12-06</v>
      </c>
      <c r="AF136" s="88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/stypes="app*4039*20161206*" /stext=" 03:.+((SYSTEM_STATE.+slice.+state.+changed )|(ment ac)|(multiple cpu faults)|(system.+state.+changed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92" t="str">
        <f t="shared" si="4"/>
        <v>"%USERPROFILE%\Documents\GitHub\eaglep3\Utilities\RefineRTDCRunTimes.py" --tripid 222-05 --locoid 4039 --swversion DE.1.0.8.0 --startMP 204:86353 --initTime 2016-12-05T20:16:57 --startdatetime 2016-12-05T20:17:55 --delay 0 --endMP 204:138 --enddatetime 2016-12-05T20:39:16 --enforcementcount 0 &gt;&gt;C:\Users\stu\Documents\GitHub\eaglep3-reporting\EC\2016-12-05-refined-times.txt</v>
      </c>
      <c r="AI136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{"issue":{"subject":"","project_id":79,"tracker_id":40,"status_id":1,"priority_id":2,"assigned_to_id":23,"start_date":"2016-12-05","description":"","custom_fields":[{"id":1,"name":"Subdivision","value":"EC"},{"id":4,"name":"Milepost","value":"0.0138"},{"id":17,"name":"Train ID","value":"222-05"},{"id":16,"name":"Locomotive ID","value":"4039"},{"id":130,"name":"Impact","value":""},{"id":150,"name":"Time of Event (Mountain Time)","value":"20:39:16"},{"id":151,"name":"Denver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s="21" customFormat="1" x14ac:dyDescent="0.25">
      <c r="A137" s="37" t="s">
        <v>637</v>
      </c>
      <c r="B137" s="7">
        <v>4038</v>
      </c>
      <c r="C137" s="22" t="s">
        <v>208</v>
      </c>
      <c r="D137" s="22" t="s">
        <v>686</v>
      </c>
      <c r="E137" s="13">
        <v>42709.806562500002</v>
      </c>
      <c r="F137" s="13">
        <v>42709.812650462962</v>
      </c>
      <c r="G137" s="7">
        <v>2</v>
      </c>
      <c r="H137" s="22" t="s">
        <v>401</v>
      </c>
      <c r="I137" s="13">
        <v>42709.836875000001</v>
      </c>
      <c r="J137" s="7">
        <v>2</v>
      </c>
      <c r="K137" s="109" t="str">
        <f>IF(ISEVEN(B137),(B137-1)&amp;"/"&amp;B137,B137&amp;"/"&amp;(B137+1))</f>
        <v>4037/4038</v>
      </c>
      <c r="L137" s="22" t="str">
        <f>VLOOKUP(A137,'Trips&amp;Operators'!$C$1:$G$99999,5,FALSE)</f>
        <v>NEWELL JAMES</v>
      </c>
      <c r="M137" s="6">
        <f>I137-F137</f>
        <v>2.4224537039117422E-2</v>
      </c>
      <c r="N137" s="7">
        <f>24*60*SUM($M137:$M137)</f>
        <v>34.883333336329088</v>
      </c>
      <c r="O137" s="7"/>
      <c r="P137" s="7"/>
      <c r="Q137" s="23"/>
      <c r="R137" s="23"/>
      <c r="S137" s="35">
        <f>SUM(U137:U137)/IF(AG137="EC",12,1)</f>
        <v>1</v>
      </c>
      <c r="T137" s="50" t="str">
        <f>IF(ISEVEN(LEFT(AD137,4)),"Southbound","NorthBound")</f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hh:mm:ss")&amp;utc_offset&amp;"00',mode:absolute,to:'"&amp;TEXT(I137+1/24,"yyyy-MM-DD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https://search-rtdc-monitor-bjffxe2xuh6vdkpspy63sjmuny.us-east-1.es.amazonaws.com/_plugin/kibana/#/discover/Steve-Slow-Train-Analysis-(2080s-and-2083s)?_g=(refreshInterval:(display:Off,section:0,value:0),time:(from:'2016-12-05 18:21:27-700',mode:absolute,to:'2016-12-05 21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7" s="52" t="str">
        <f>IF(AA137&lt;IF(AG137="EC",23,5.65),"Y","N")</f>
        <v>N</v>
      </c>
      <c r="X137" s="177">
        <f>VALUE(LEFT(AD137,4))-VALUE(LEFT(AD136,4))</f>
        <v>1</v>
      </c>
      <c r="Y137" s="67">
        <f>RIGHT(D137,LEN(D137)-4)/10000</f>
        <v>4.8399999999999999E-2</v>
      </c>
      <c r="Z137" s="67">
        <f>RIGHT(H137,LEN(H137)-4)/10000</f>
        <v>23.33</v>
      </c>
      <c r="AA137" s="67">
        <f>ABS(Z137-Y137)</f>
        <v>23.281599999999997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>IF(LEN(A137)=6,"0"&amp;A137,A137)</f>
        <v>0223-05</v>
      </c>
      <c r="AE137" s="91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 &amp; aws s3 cp s3://rtdc.mdm.uploadarchive.raw/RTDC4038/ "%USERPROFILE%\AppData\Local\Temp\OnboardLogs"\RTDC4038\2016-12-06 --exclude "*" --recursive --include "*20161206*" &amp; "%USERPROFILE%\Documents\GitHub\mrs-test-scripts\Headless Mode &amp; Sideloading\WalkAndUnGZ.bat" "%USERPROFILE%\AppData\Local\Temp\OnboardLogs"\RTDC4038\2016-12-06</v>
      </c>
      <c r="AF137" s="88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/stypes="app*4038*20161206*" /stext=" 03:.+((SYSTEM_STATE.+slice.+state.+changed )|(ment ac)|(multiple cpu faults)|(system.+state.+changed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92" t="str">
        <f t="shared" si="4"/>
        <v>"%USERPROFILE%\Documents\GitHub\eaglep3\Utilities\RefineRTDCRunTimes.py" --tripid 223-05 --locoid 4038 --swversion DE.1.0.8.0 --startMP 204:484 --initTime 2016-12-05T19:21:27 --startdatetime 2016-12-05T19:30:13 --delay 2 --endMP 204:233300 --enddatetime 2016-12-05T20:05:06 --enforcementcount 2 &gt;&gt;C:\Users\stu\Documents\GitHub\eaglep3-reporting\EC\2016-12-05-refined-times.txt</v>
      </c>
      <c r="AI137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{"issue":{"subject":"","project_id":79,"tracker_id":40,"status_id":1,"priority_id":2,"assigned_to_id":23,"start_date":"2016-12-05","description":"","custom_fields":[{"id":1,"name":"Subdivision","value":"EC"},{"id":4,"name":"Milepost","value":"23.33"},{"id":17,"name":"Train ID","value":"223-05"},{"id":16,"name":"Locomotive ID","value":"4038"},{"id":130,"name":"Impact","value":""},{"id":150,"name":"Time of Event (Mountain Time)","value":"20:05:06"},{"id":151,"name":"Denver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644</v>
      </c>
      <c r="B138" s="7">
        <v>4037</v>
      </c>
      <c r="C138" s="22" t="s">
        <v>208</v>
      </c>
      <c r="D138" s="22" t="s">
        <v>369</v>
      </c>
      <c r="E138" s="13">
        <v>42709.845659722225</v>
      </c>
      <c r="F138" s="13">
        <v>42709.8515625</v>
      </c>
      <c r="G138" s="7">
        <v>1</v>
      </c>
      <c r="H138" s="22" t="s">
        <v>733</v>
      </c>
      <c r="I138" s="13">
        <v>42709.877002314817</v>
      </c>
      <c r="J138" s="7">
        <v>2</v>
      </c>
      <c r="K138" s="109" t="str">
        <f>IF(ISEVEN(B138),(B138-1)&amp;"/"&amp;B138,B138&amp;"/"&amp;(B138+1))</f>
        <v>4037/4038</v>
      </c>
      <c r="L138" s="22" t="str">
        <f>VLOOKUP(A138,'Trips&amp;Operators'!$C$1:$G$99999,5,FALSE)</f>
        <v>NEWELL JAMES</v>
      </c>
      <c r="M138" s="6">
        <f>I138-F138</f>
        <v>2.5439814817218576E-2</v>
      </c>
      <c r="N138" s="7">
        <f>24*60*SUM($M138:$M138)</f>
        <v>36.633333336794749</v>
      </c>
      <c r="O138" s="7"/>
      <c r="P138" s="7"/>
      <c r="Q138" s="23"/>
      <c r="R138" s="23"/>
      <c r="S138" s="35">
        <f>SUM(U138:U138)/IF(AG138="EC",12,1)</f>
        <v>1</v>
      </c>
      <c r="T138" s="50" t="str">
        <f>IF(ISEVEN(LEFT(AD138,4)),"Southbound","NorthBound")</f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hh:mm:ss")&amp;utc_offset&amp;"00',mode:absolute,to:'"&amp;TEXT(I138+1/24,"yyyy-MM-DD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https://search-rtdc-monitor-bjffxe2xuh6vdkpspy63sjmuny.us-east-1.es.amazonaws.com/_plugin/kibana/#/discover/Steve-Slow-Train-Analysis-(2080s-and-2083s)?_g=(refreshInterval:(display:Off,section:0,value:0),time:(from:'2016-12-05 19:17:45-700',mode:absolute,to:'2016-12-05 22:02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8" s="52" t="str">
        <f>IF(AA138&lt;IF(AG138="EC",23,5.65),"Y","N")</f>
        <v>N</v>
      </c>
      <c r="X138" s="177">
        <f>VALUE(LEFT(AD138,4))-VALUE(LEFT(AD137,4))</f>
        <v>1</v>
      </c>
      <c r="Y138" s="67">
        <f>RIGHT(D138,LEN(D138)-4)/10000</f>
        <v>23.298500000000001</v>
      </c>
      <c r="Z138" s="67">
        <f>RIGHT(H138,LEN(H138)-4)/10000</f>
        <v>1.23E-2</v>
      </c>
      <c r="AA138" s="67">
        <f>ABS(Z138-Y138)</f>
        <v>23.286200000000001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>IF(LEN(A138)=6,"0"&amp;A138,A138)</f>
        <v>0224-05</v>
      </c>
      <c r="AE138" s="91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 &amp; aws s3 cp s3://rtdc.mdm.uploadarchive.raw/RTDC4037/ "%USERPROFILE%\AppData\Local\Temp\OnboardLogs"\RTDC4037\2016-12-06 --exclude "*" --recursive --include "*20161206*" &amp; "%USERPROFILE%\Documents\GitHub\mrs-test-scripts\Headless Mode &amp; Sideloading\WalkAndUnGZ.bat" "%USERPROFILE%\AppData\Local\Temp\OnboardLogs"\RTDC4037\2016-12-06</v>
      </c>
      <c r="AF138" s="88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/stypes="app*4037*20161206*" /stext=" 04:.+((SYSTEM_STATE.+slice.+state.+changed )|(ment ac)|(multiple cpu faults)|(system.+state.+changed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92" t="str">
        <f t="shared" si="4"/>
        <v>"%USERPROFILE%\Documents\GitHub\eaglep3\Utilities\RefineRTDCRunTimes.py" --tripid 224-05 --locoid 4037 --swversion DE.1.0.8.0 --startMP 204:232985 --initTime 2016-12-05T20:17:45 --startdatetime 2016-12-05T20:26:15 --delay 1 --endMP 204:123 --enddatetime 2016-12-05T21:02:53 --enforcementcount 2 &gt;&gt;C:\Users\stu\Documents\GitHub\eaglep3-reporting\EC\2016-12-05-refined-times.txt</v>
      </c>
      <c r="AI138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{"issue":{"subject":"","project_id":79,"tracker_id":40,"status_id":1,"priority_id":2,"assigned_to_id":23,"start_date":"2016-12-05","description":"","custom_fields":[{"id":1,"name":"Subdivision","value":"EC"},{"id":4,"name":"Milepost","value":"0.0123"},{"id":17,"name":"Train ID","value":"224-05"},{"id":16,"name":"Locomotive ID","value":"4037"},{"id":130,"name":"Impact","value":""},{"id":150,"name":"Time of Event (Mountain Time)","value":"21:02:53"},{"id":151,"name":"Denver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641</v>
      </c>
      <c r="B139" s="7">
        <v>4042</v>
      </c>
      <c r="C139" s="22" t="s">
        <v>208</v>
      </c>
      <c r="D139" s="22" t="s">
        <v>244</v>
      </c>
      <c r="E139" s="13">
        <v>42709.830312500002</v>
      </c>
      <c r="F139" s="13">
        <v>42709.83357638889</v>
      </c>
      <c r="G139" s="7">
        <v>1</v>
      </c>
      <c r="H139" s="22" t="s">
        <v>734</v>
      </c>
      <c r="I139" s="13">
        <v>42709.858101851853</v>
      </c>
      <c r="J139" s="7">
        <v>2</v>
      </c>
      <c r="K139" s="109" t="str">
        <f>IF(ISEVEN(B139),(B139-1)&amp;"/"&amp;B139,B139&amp;"/"&amp;(B139+1))</f>
        <v>4041/4042</v>
      </c>
      <c r="L139" s="22" t="str">
        <f>VLOOKUP(A139,'Trips&amp;Operators'!$C$1:$G$99999,5,FALSE)</f>
        <v>CHANDLER KELVIN</v>
      </c>
      <c r="M139" s="6">
        <f>I139-F139</f>
        <v>2.4525462962628808E-2</v>
      </c>
      <c r="N139" s="7">
        <f>24*60*SUM($M139:$M139)</f>
        <v>35.316666666185483</v>
      </c>
      <c r="O139" s="7"/>
      <c r="P139" s="7"/>
      <c r="Q139" s="23"/>
      <c r="R139" s="23"/>
      <c r="S139" s="35">
        <f>SUM(U139:U139)/IF(AG139="EC",12,1)</f>
        <v>1</v>
      </c>
      <c r="T139" s="50" t="str">
        <f>IF(ISEVEN(LEFT(AD139,4)),"Southbound","NorthBound")</f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hh:mm:ss")&amp;utc_offset&amp;"00',mode:absolute,to:'"&amp;TEXT(I139+1/24,"yyyy-MM-DD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https://search-rtdc-monitor-bjffxe2xuh6vdkpspy63sjmuny.us-east-1.es.amazonaws.com/_plugin/kibana/#/discover/Steve-Slow-Train-Analysis-(2080s-and-2083s)?_g=(refreshInterval:(display:Off,section:0,value:0),time:(from:'2016-12-05 18:55:39-700',mode:absolute,to:'2016-12-05 21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9" s="52" t="str">
        <f>IF(AA139&lt;IF(AG139="EC",23,5.65),"Y","N")</f>
        <v>N</v>
      </c>
      <c r="X139" s="177">
        <f>VALUE(LEFT(AD139,4))-VALUE(LEFT(AD138,4))</f>
        <v>1</v>
      </c>
      <c r="Y139" s="67">
        <f>RIGHT(D139,LEN(D139)-4)/10000</f>
        <v>4.5999999999999999E-2</v>
      </c>
      <c r="Z139" s="67">
        <f>RIGHT(H139,LEN(H139)-4)/10000</f>
        <v>23.3306</v>
      </c>
      <c r="AA139" s="67">
        <f>ABS(Z139-Y139)</f>
        <v>23.284600000000001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>IF(LEN(A139)=6,"0"&amp;A139,A139)</f>
        <v>0225-05</v>
      </c>
      <c r="AE139" s="91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s3://rtdc.mdm.uploadarchive.raw/RTDC4042/ "%USERPROFILE%\AppData\Local\Temp\OnboardLogs"\RTDC4042\2016-12-05 --exclude "*" --recursive --include "*20161205*" &amp; "%USERPROFILE%\Documents\GitHub\mrs-test-scripts\Headless Mode &amp; Sideloading\WalkAndUnGZ.bat" "%USERPROFILE%\AppData\Local\Temp\OnboardLogs"\RTDC4042\2016-12-05 &amp; aws s3 cp s3://rtdc.mdm.uploadarchive.raw/RTDC4042/ "%USERPROFILE%\AppData\Local\Temp\OnboardLogs"\RTDC4042\2016-12-06 --exclude "*" --recursive --include "*20161206*" &amp; "%USERPROFILE%\Documents\GitHub\mrs-test-scripts\Headless Mode &amp; Sideloading\WalkAndUnGZ.bat" "%USERPROFILE%\AppData\Local\Temp\OnboardLogs"\RTDC4042\2016-12-06</v>
      </c>
      <c r="AF139" s="88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/stypes="app*4042*20161206*" /stext=" 03:.+((SYSTEM_STATE.+slice.+state.+changed )|(ment ac)|(multiple cpu faults)|(system.+state.+changed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92" t="str">
        <f t="shared" si="4"/>
        <v>"%USERPROFILE%\Documents\GitHub\eaglep3\Utilities\RefineRTDCRunTimes.py" --tripid 225-05 --locoid 4042 --swversion DE.1.0.8.0 --startMP 204:460 --initTime 2016-12-05T19:55:39 --startdatetime 2016-12-05T20:00:21 --delay 1 --endMP 204:233306 --enddatetime 2016-12-05T20:35:40 --enforcementcount 2 &gt;&gt;C:\Users\stu\Documents\GitHub\eaglep3-reporting\EC\2016-12-05-refined-times.txt</v>
      </c>
      <c r="AI139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{"issue":{"subject":"","project_id":79,"tracker_id":40,"status_id":1,"priority_id":2,"assigned_to_id":23,"start_date":"2016-12-05","description":"","custom_fields":[{"id":1,"name":"Subdivision","value":"EC"},{"id":4,"name":"Milepost","value":"23.3306"},{"id":17,"name":"Train ID","value":"225-05"},{"id":16,"name":"Locomotive ID","value":"4042"},{"id":130,"name":"Impact","value":""},{"id":150,"name":"Time of Event (Mountain Time)","value":"20:35:40"},{"id":151,"name":"Denver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646</v>
      </c>
      <c r="B140" s="7">
        <v>4041</v>
      </c>
      <c r="C140" s="22" t="s">
        <v>208</v>
      </c>
      <c r="D140" s="22" t="s">
        <v>735</v>
      </c>
      <c r="E140" s="13">
        <v>42709.869583333333</v>
      </c>
      <c r="F140" s="13">
        <v>42709.872430555559</v>
      </c>
      <c r="G140" s="7">
        <v>1</v>
      </c>
      <c r="H140" s="22" t="s">
        <v>228</v>
      </c>
      <c r="I140" s="13">
        <v>42709.899722222224</v>
      </c>
      <c r="J140" s="7">
        <v>2</v>
      </c>
      <c r="K140" s="109" t="str">
        <f>IF(ISEVEN(B140),(B140-1)&amp;"/"&amp;B140,B140&amp;"/"&amp;(B140+1))</f>
        <v>4041/4042</v>
      </c>
      <c r="L140" s="22" t="str">
        <f>VLOOKUP(A140,'Trips&amp;Operators'!$C$1:$G$99999,5,FALSE)</f>
        <v>CHANDLER KELVIN</v>
      </c>
      <c r="M140" s="6">
        <f>I140-F140</f>
        <v>2.7291666665405501E-2</v>
      </c>
      <c r="N140" s="7">
        <f>24*60*SUM($M140:$M140)</f>
        <v>39.299999998183921</v>
      </c>
      <c r="O140" s="7"/>
      <c r="P140" s="7"/>
      <c r="Q140" s="23"/>
      <c r="R140" s="23"/>
      <c r="S140" s="35">
        <f>SUM(U140:U140)/IF(AG140="EC",12,1)</f>
        <v>1</v>
      </c>
      <c r="T140" s="50" t="str">
        <f>IF(ISEVEN(LEFT(AD140,4)),"Southbound","NorthBound")</f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hh:mm:ss")&amp;utc_offset&amp;"00',mode:absolute,to:'"&amp;TEXT(I140+1/24,"yyyy-MM-DD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https://search-rtdc-monitor-bjffxe2xuh6vdkpspy63sjmuny.us-east-1.es.amazonaws.com/_plugin/kibana/#/discover/Steve-Slow-Train-Analysis-(2080s-and-2083s)?_g=(refreshInterval:(display:Off,section:0,value:0),time:(from:'2016-12-05 19:52:12-700',mode:absolute,to:'2016-12-05 22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0" s="52" t="str">
        <f>IF(AA140&lt;IF(AG140="EC",23,5.65),"Y","N")</f>
        <v>N</v>
      </c>
      <c r="X140" s="177">
        <f>VALUE(LEFT(AD140,4))-VALUE(LEFT(AD139,4))</f>
        <v>1</v>
      </c>
      <c r="Y140" s="67">
        <f>RIGHT(D140,LEN(D140)-4)/10000</f>
        <v>23.296600000000002</v>
      </c>
      <c r="Z140" s="67">
        <f>RIGHT(H140,LEN(H140)-4)/10000</f>
        <v>1.54E-2</v>
      </c>
      <c r="AA140" s="67">
        <f>ABS(Z140-Y140)</f>
        <v>23.281200000000002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>IF(LEN(A140)=6,"0"&amp;A140,A140)</f>
        <v>0226-05</v>
      </c>
      <c r="AE140" s="91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 &amp; aws s3 cp s3://rtdc.mdm.uploadarchive.raw/RTDC4041/ "%USERPROFILE%\AppData\Local\Temp\OnboardLogs"\RTDC4041\2016-12-06 --exclude "*" --recursive --include "*20161206*" &amp; "%USERPROFILE%\Documents\GitHub\mrs-test-scripts\Headless Mode &amp; Sideloading\WalkAndUnGZ.bat" "%USERPROFILE%\AppData\Local\Temp\OnboardLogs"\RTDC4041\2016-12-06</v>
      </c>
      <c r="AF140" s="88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/stypes="app*4041*20161206*" /stext=" 04:.+((SYSTEM_STATE.+slice.+state.+changed )|(ment ac)|(multiple cpu faults)|(system.+state.+changed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92" t="str">
        <f t="shared" si="4"/>
        <v>"%USERPROFILE%\Documents\GitHub\eaglep3\Utilities\RefineRTDCRunTimes.py" --tripid 226-05 --locoid 4041 --swversion DE.1.0.8.0 --startMP 204:232966 --initTime 2016-12-05T20:52:12 --startdatetime 2016-12-05T20:56:18 --delay 1 --endMP 204:154 --enddatetime 2016-12-05T21:35:36 --enforcementcount 2 &gt;&gt;C:\Users\stu\Documents\GitHub\eaglep3-reporting\EC\2016-12-05-refined-times.txt</v>
      </c>
      <c r="AI140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{"issue":{"subject":"","project_id":79,"tracker_id":40,"status_id":1,"priority_id":2,"assigned_to_id":23,"start_date":"2016-12-05","description":"","custom_fields":[{"id":1,"name":"Subdivision","value":"EC"},{"id":4,"name":"Milepost","value":"0.0154"},{"id":17,"name":"Train ID","value":"226-05"},{"id":16,"name":"Locomotive ID","value":"4041"},{"id":130,"name":"Impact","value":""},{"id":150,"name":"Time of Event (Mountain Time)","value":"21:35:36"},{"id":151,"name":"Denver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643</v>
      </c>
      <c r="B141" s="7">
        <v>4002</v>
      </c>
      <c r="C141" s="22" t="s">
        <v>208</v>
      </c>
      <c r="D141" s="22" t="s">
        <v>229</v>
      </c>
      <c r="E141" s="13">
        <v>42709.838530092595</v>
      </c>
      <c r="F141" s="13">
        <v>42709.854386574072</v>
      </c>
      <c r="G141" s="7">
        <v>1</v>
      </c>
      <c r="H141" s="22" t="s">
        <v>299</v>
      </c>
      <c r="I141" s="13">
        <v>42709.878622685188</v>
      </c>
      <c r="J141" s="7">
        <v>2</v>
      </c>
      <c r="K141" s="109" t="str">
        <f>IF(ISEVEN(B141),(B141-1)&amp;"/"&amp;B141,B141&amp;"/"&amp;(B141+1))</f>
        <v>4001/4002</v>
      </c>
      <c r="L141" s="22" t="str">
        <f>VLOOKUP(A141,'Trips&amp;Operators'!$C$1:$G$99999,5,FALSE)</f>
        <v>YANAI IAN</v>
      </c>
      <c r="M141" s="6">
        <f>I141-F141</f>
        <v>2.4236111115897074E-2</v>
      </c>
      <c r="N141" s="7">
        <f>24*60*SUM($M141:$M141)</f>
        <v>34.900000006891787</v>
      </c>
      <c r="O141" s="7"/>
      <c r="P141" s="7"/>
      <c r="Q141" s="23"/>
      <c r="R141" s="23"/>
      <c r="S141" s="35">
        <f>SUM(U141:U141)/IF(AG141="EC",12,1)</f>
        <v>1</v>
      </c>
      <c r="T141" s="50" t="str">
        <f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https://search-rtdc-monitor-bjffxe2xuh6vdkpspy63sjmuny.us-east-1.es.amazonaws.com/_plugin/kibana/#/discover/Steve-Slow-Train-Analysis-(2080s-and-2083s)?_g=(refreshInterval:(display:Off,section:0,value:0),time:(from:'2016-12-05 19:07:29-700',mode:absolute,to:'2016-12-05 22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1" s="52" t="str">
        <f>IF(AA141&lt;IF(AG141="EC",23,5.65),"Y","N")</f>
        <v>N</v>
      </c>
      <c r="X141" s="177">
        <f>VALUE(LEFT(AD141,4))-VALUE(LEFT(AD140,4))</f>
        <v>1</v>
      </c>
      <c r="Y141" s="67">
        <f>RIGHT(D141,LEN(D141)-4)/10000</f>
        <v>4.6600000000000003E-2</v>
      </c>
      <c r="Z141" s="67">
        <f>RIGHT(H141,LEN(H141)-4)/10000</f>
        <v>23.331</v>
      </c>
      <c r="AA141" s="67">
        <f>ABS(Z141-Y141)</f>
        <v>23.284399999999998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>IF(LEN(A141)=6,"0"&amp;A141,A141)</f>
        <v>0227-05</v>
      </c>
      <c r="AE141" s="91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s3://rtdc.mdm.uploadarchive.raw/RTDC4002/ "%USERPROFILE%\AppData\Local\Temp\OnboardLogs"\RTDC4002\2016-12-05 --exclude "*" --recursive --include "*20161205*" &amp; "%USERPROFILE%\Documents\GitHub\mrs-test-scripts\Headless Mode &amp; Sideloading\WalkAndUnGZ.bat" "%USERPROFILE%\AppData\Local\Temp\OnboardLogs"\RTDC4002\2016-12-05 &amp; aws s3 cp s3://rtdc.mdm.uploadarchive.raw/RTDC4002/ "%USERPROFILE%\AppData\Local\Temp\OnboardLogs"\RTDC4002\2016-12-06 --exclude "*" --recursive --include "*20161206*" &amp; "%USERPROFILE%\Documents\GitHub\mrs-test-scripts\Headless Mode &amp; Sideloading\WalkAndUnGZ.bat" "%USERPROFILE%\AppData\Local\Temp\OnboardLogs"\RTDC4002\2016-12-06</v>
      </c>
      <c r="AF141" s="88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/stypes="app*4002*20161206*" /stext=" 04:.+((SYSTEM_STATE.+slice.+state.+changed )|(ment ac)|(multiple cpu faults)|(system.+state.+changed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92" t="str">
        <f t="shared" si="4"/>
        <v>"%USERPROFILE%\Documents\GitHub\eaglep3\Utilities\RefineRTDCRunTimes.py" --tripid 227-05 --locoid 4002 --swversion DE.1.0.8.0 --startMP 204:466 --initTime 2016-12-05T20:07:29 --startdatetime 2016-12-05T20:30:19 --delay 1 --endMP 204:233310 --enddatetime 2016-12-05T21:05:13 --enforcementcount 2 &gt;&gt;C:\Users\stu\Documents\GitHub\eaglep3-reporting\EC\2016-12-05-refined-times.txt</v>
      </c>
      <c r="AI141" s="119" t="str">
        <f t="shared" si="5"/>
        <v>echo {"issue":{"subject":"","project_id":79,"tracker_id":40,"status_id":1,"priority_id":2,"assigned_to_id":23,"start_date":"2016-12-05","description":"","custom_fields":[{"id":1,"name":"Subdivision","value":"EC"},{"id":4,"name":"Milepost","value":"23.331"},{"id":17,"name":"Train ID","value":"227-05"},{"id":16,"name":"Locomotive ID","value":"4002"},{"id":130,"name":"Impact","value":""},{"id":150,"name":"Time of Event (Mountain Time)","value":"21:05:13"},{"id":151,"name":"Denver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649</v>
      </c>
      <c r="B142" s="7">
        <v>4001</v>
      </c>
      <c r="C142" s="22" t="s">
        <v>208</v>
      </c>
      <c r="D142" s="22" t="s">
        <v>369</v>
      </c>
      <c r="E142" s="13">
        <v>42709.8903587963</v>
      </c>
      <c r="F142" s="13">
        <v>42709.893321759257</v>
      </c>
      <c r="G142" s="7">
        <v>1</v>
      </c>
      <c r="H142" s="22" t="s">
        <v>210</v>
      </c>
      <c r="I142" s="13">
        <v>42709.918645833335</v>
      </c>
      <c r="J142" s="7">
        <v>2</v>
      </c>
      <c r="K142" s="109" t="str">
        <f>IF(ISEVEN(B142),(B142-1)&amp;"/"&amp;B142,B142&amp;"/"&amp;(B142+1))</f>
        <v>4001/4002</v>
      </c>
      <c r="L142" s="22" t="str">
        <f>VLOOKUP(A142,'Trips&amp;Operators'!$C$1:$G$99999,5,FALSE)</f>
        <v>YANAI IAN</v>
      </c>
      <c r="M142" s="6">
        <f>I142-F142</f>
        <v>2.5324074078525882E-2</v>
      </c>
      <c r="N142" s="7">
        <f>24*60*SUM($M142:$M142)</f>
        <v>36.46666667307727</v>
      </c>
      <c r="O142" s="7"/>
      <c r="P142" s="7"/>
      <c r="Q142" s="23"/>
      <c r="R142" s="23"/>
      <c r="S142" s="35">
        <f>SUM(U142:U142)/IF(AG142="EC",12,1)</f>
        <v>1</v>
      </c>
      <c r="T142" s="50" t="str">
        <f>IF(ISEVEN(LEFT(AD142,4)),"Southbound","NorthBound")</f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hh:mm:ss")&amp;utc_offset&amp;"00',mode:absolute,to:'"&amp;TEXT(I142+1/24,"yyyy-MM-DD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https://search-rtdc-monitor-bjffxe2xuh6vdkpspy63sjmuny.us-east-1.es.amazonaws.com/_plugin/kibana/#/discover/Steve-Slow-Train-Analysis-(2080s-and-2083s)?_g=(refreshInterval:(display:Off,section:0,value:0),time:(from:'2016-12-05 20:22:07-700',mode:absolute,to:'2016-12-05 23:02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2" s="52" t="str">
        <f>IF(AA142&lt;IF(AG142="EC",23,5.65),"Y","N")</f>
        <v>N</v>
      </c>
      <c r="X142" s="177">
        <f>VALUE(LEFT(AD142,4))-VALUE(LEFT(AD141,4))</f>
        <v>1</v>
      </c>
      <c r="Y142" s="67">
        <f>RIGHT(D142,LEN(D142)-4)/10000</f>
        <v>23.298500000000001</v>
      </c>
      <c r="Z142" s="67">
        <f>RIGHT(H142,LEN(H142)-4)/10000</f>
        <v>1.5800000000000002E-2</v>
      </c>
      <c r="AA142" s="67">
        <f>ABS(Z142-Y142)</f>
        <v>23.282700000000002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>IF(LEN(A142)=6,"0"&amp;A142,A142)</f>
        <v>0228-05</v>
      </c>
      <c r="AE142" s="91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s3://rtdc.mdm.uploadarchive.raw/RTDC4001/ "%USERPROFILE%\AppData\Local\Temp\OnboardLogs"\RTDC4001\2016-12-05 --exclude "*" --recursive --include "*20161205*" &amp; "%USERPROFILE%\Documents\GitHub\mrs-test-scripts\Headless Mode &amp; Sideloading\WalkAndUnGZ.bat" "%USERPROFILE%\AppData\Local\Temp\OnboardLogs"\RTDC4001\2016-12-05 &amp; aws s3 cp s3://rtdc.mdm.uploadarchive.raw/RTDC4001/ "%USERPROFILE%\AppData\Local\Temp\OnboardLogs"\RTDC4001\2016-12-06 --exclude "*" --recursive --include "*20161206*" &amp; "%USERPROFILE%\Documents\GitHub\mrs-test-scripts\Headless Mode &amp; Sideloading\WalkAndUnGZ.bat" "%USERPROFILE%\AppData\Local\Temp\OnboardLogs"\RTDC4001\2016-12-06</v>
      </c>
      <c r="AF142" s="88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/stypes="app*4001*20161206*" /stext=" 05:.+((SYSTEM_STATE.+slice.+state.+changed )|(ment ac)|(multiple cpu faults)|(system.+state.+changed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92" t="str">
        <f t="shared" ref="AH142:AH205" si="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228-05 --locoid 4001 --swversion DE.1.0.8.0 --startMP 204:232985 --initTime 2016-12-05T21:22:07 --startdatetime 2016-12-05T21:26:23 --delay 1 --endMP 204:158 --enddatetime 2016-12-05T22:02:51 --enforcementcount 2 &gt;&gt;C:\Users\stu\Documents\GitHub\eaglep3-reporting\EC\2016-12-05-refined-times.txt</v>
      </c>
      <c r="AI142" s="119" t="str">
        <f t="shared" ref="AI142:AI205" si="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{"issue":{"subject":"","project_id":79,"tracker_id":40,"status_id":1,"priority_id":2,"assigned_to_id":23,"start_date":"2016-12-05","description":"","custom_fields":[{"id":1,"name":"Subdivision","value":"EC"},{"id":4,"name":"Milepost","value":"0.0158"},{"id":17,"name":"Train ID","value":"228-05"},{"id":16,"name":"Locomotive ID","value":"4001"},{"id":130,"name":"Impact","value":""},{"id":150,"name":"Time of Event (Mountain Time)","value":"22:02:51"},{"id":151,"name":"Denver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647</v>
      </c>
      <c r="B143" s="7">
        <v>4040</v>
      </c>
      <c r="C143" s="22" t="s">
        <v>208</v>
      </c>
      <c r="D143" s="22" t="s">
        <v>363</v>
      </c>
      <c r="E143" s="13">
        <v>42709.869375000002</v>
      </c>
      <c r="F143" s="13">
        <v>42709.875219907408</v>
      </c>
      <c r="G143" s="7">
        <v>1</v>
      </c>
      <c r="H143" s="22" t="s">
        <v>299</v>
      </c>
      <c r="I143" s="13">
        <v>42709.900254629632</v>
      </c>
      <c r="J143" s="7">
        <v>2</v>
      </c>
      <c r="K143" s="109" t="str">
        <f>IF(ISEVEN(B143),(B143-1)&amp;"/"&amp;B143,B143&amp;"/"&amp;(B143+1))</f>
        <v>4039/4040</v>
      </c>
      <c r="L143" s="22" t="str">
        <f>VLOOKUP(A143,'Trips&amp;Operators'!$C$1:$G$99999,5,FALSE)</f>
        <v>LEVERE CRAIG</v>
      </c>
      <c r="M143" s="6">
        <f>I143-F143</f>
        <v>2.5034722224518191E-2</v>
      </c>
      <c r="N143" s="7">
        <f>24*60*SUM($M143:$M143)</f>
        <v>36.050000003306195</v>
      </c>
      <c r="O143" s="7"/>
      <c r="P143" s="7"/>
      <c r="Q143" s="23"/>
      <c r="R143" s="23"/>
      <c r="S143" s="35">
        <f>SUM(U143:U143)/IF(AG143="EC",12,1)</f>
        <v>1</v>
      </c>
      <c r="T143" s="50" t="str">
        <f>IF(ISEVEN(LEFT(AD143,4)),"Southbound","NorthBound")</f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hh:mm:ss")&amp;utc_offset&amp;"00',mode:absolute,to:'"&amp;TEXT(I143+1/24,"yyyy-MM-DD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https://search-rtdc-monitor-bjffxe2xuh6vdkpspy63sjmuny.us-east-1.es.amazonaws.com/_plugin/kibana/#/discover/Steve-Slow-Train-Analysis-(2080s-and-2083s)?_g=(refreshInterval:(display:Off,section:0,value:0),time:(from:'2016-12-05 19:51:54-700',mode:absolute,to:'2016-12-05 22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3" s="52" t="str">
        <f>IF(AA143&lt;IF(AG143="EC",23,5.65),"Y","N")</f>
        <v>N</v>
      </c>
      <c r="X143" s="177">
        <f>VALUE(LEFT(AD143,4))-VALUE(LEFT(AD142,4))</f>
        <v>1</v>
      </c>
      <c r="Y143" s="67">
        <f>RIGHT(D143,LEN(D143)-4)/10000</f>
        <v>4.4400000000000002E-2</v>
      </c>
      <c r="Z143" s="67">
        <f>RIGHT(H143,LEN(H143)-4)/10000</f>
        <v>23.331</v>
      </c>
      <c r="AA143" s="67">
        <f>ABS(Z143-Y143)</f>
        <v>23.2866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>IF(LEN(A143)=6,"0"&amp;A143,A143)</f>
        <v>0229-05</v>
      </c>
      <c r="AE143" s="91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s3://rtdc.mdm.uploadarchive.raw/RTDC4040/ "%USERPROFILE%\AppData\Local\Temp\OnboardLogs"\RTDC4040\2016-12-05 --exclude "*" --recursive --include "*20161205*" &amp; "%USERPROFILE%\Documents\GitHub\mrs-test-scripts\Headless Mode &amp; Sideloading\WalkAndUnGZ.bat" "%USERPROFILE%\AppData\Local\Temp\OnboardLogs"\RTDC4040\2016-12-05 &amp; aws s3 cp s3://rtdc.mdm.uploadarchive.raw/RTDC4040/ "%USERPROFILE%\AppData\Local\Temp\OnboardLogs"\RTDC4040\2016-12-06 --exclude "*" --recursive --include "*20161206*" &amp; "%USERPROFILE%\Documents\GitHub\mrs-test-scripts\Headless Mode &amp; Sideloading\WalkAndUnGZ.bat" "%USERPROFILE%\AppData\Local\Temp\OnboardLogs"\RTDC4040\2016-12-06</v>
      </c>
      <c r="AF143" s="88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/stypes="app*4040*20161206*" /stext=" 04:.+((SYSTEM_STATE.+slice.+state.+changed )|(ment ac)|(multiple cpu faults)|(system.+state.+changed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92" t="str">
        <f t="shared" si="6"/>
        <v>"%USERPROFILE%\Documents\GitHub\eaglep3\Utilities\RefineRTDCRunTimes.py" --tripid 229-05 --locoid 4040 --swversion DE.1.0.8.0 --startMP 204:444 --initTime 2016-12-05T20:51:54 --startdatetime 2016-12-05T21:00:19 --delay 1 --endMP 204:233310 --enddatetime 2016-12-05T21:36:22 --enforcementcount 2 &gt;&gt;C:\Users\stu\Documents\GitHub\eaglep3-reporting\EC\2016-12-05-refined-times.txt</v>
      </c>
      <c r="AI143" s="119" t="str">
        <f t="shared" si="7"/>
        <v>echo {"issue":{"subject":"","project_id":79,"tracker_id":40,"status_id":1,"priority_id":2,"assigned_to_id":23,"start_date":"2016-12-05","description":"","custom_fields":[{"id":1,"name":"Subdivision","value":"EC"},{"id":4,"name":"Milepost","value":"23.331"},{"id":17,"name":"Train ID","value":"229-05"},{"id":16,"name":"Locomotive ID","value":"4040"},{"id":130,"name":"Impact","value":""},{"id":150,"name":"Time of Event (Mountain Time)","value":"21:36:22"},{"id":151,"name":"Denver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652</v>
      </c>
      <c r="B144" s="7">
        <v>4039</v>
      </c>
      <c r="C144" s="22" t="s">
        <v>208</v>
      </c>
      <c r="D144" s="22" t="s">
        <v>237</v>
      </c>
      <c r="E144" s="13">
        <v>42709.909398148149</v>
      </c>
      <c r="F144" s="13">
        <v>42709.914236111108</v>
      </c>
      <c r="G144" s="7">
        <v>1</v>
      </c>
      <c r="H144" s="22" t="s">
        <v>345</v>
      </c>
      <c r="I144" s="13">
        <v>42709.941030092596</v>
      </c>
      <c r="J144" s="7">
        <v>2</v>
      </c>
      <c r="K144" s="109" t="str">
        <f>IF(ISEVEN(B144),(B144-1)&amp;"/"&amp;B144,B144&amp;"/"&amp;(B144+1))</f>
        <v>4039/4040</v>
      </c>
      <c r="L144" s="22" t="str">
        <f>VLOOKUP(A144,'Trips&amp;Operators'!$C$1:$G$99999,5,FALSE)</f>
        <v>LEVERE CRAIG</v>
      </c>
      <c r="M144" s="6">
        <f>I144-F144</f>
        <v>2.6793981487571727E-2</v>
      </c>
      <c r="N144" s="7">
        <f>24*60*SUM($M144:$M144)</f>
        <v>38.583333342103288</v>
      </c>
      <c r="O144" s="7"/>
      <c r="P144" s="7"/>
      <c r="Q144" s="23"/>
      <c r="R144" s="23"/>
      <c r="S144" s="35">
        <f>SUM(U144:U144)/IF(AG144="EC",12,1)</f>
        <v>1</v>
      </c>
      <c r="T144" s="50" t="str">
        <f>IF(ISEVEN(LEFT(AD144,4)),"Southbound","NorthBound")</f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hh:mm:ss")&amp;utc_offset&amp;"00',mode:absolute,to:'"&amp;TEXT(I144+1/24,"yyyy-MM-DD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https://search-rtdc-monitor-bjffxe2xuh6vdkpspy63sjmuny.us-east-1.es.amazonaws.com/_plugin/kibana/#/discover/Steve-Slow-Train-Analysis-(2080s-and-2083s)?_g=(refreshInterval:(display:Off,section:0,value:0),time:(from:'2016-12-05 20:49:32-700',mode:absolute,to:'2016-12-05 23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4" s="52" t="str">
        <f>IF(AA144&lt;IF(AG144="EC",23,5.65),"Y","N")</f>
        <v>N</v>
      </c>
      <c r="X144" s="177">
        <f>VALUE(LEFT(AD144,4))-VALUE(LEFT(AD143,4))</f>
        <v>1</v>
      </c>
      <c r="Y144" s="67">
        <f>RIGHT(D144,LEN(D144)-4)/10000</f>
        <v>23.299299999999999</v>
      </c>
      <c r="Z144" s="67">
        <f>RIGHT(H144,LEN(H144)-4)/10000</f>
        <v>1.2699999999999999E-2</v>
      </c>
      <c r="AA144" s="67">
        <f>ABS(Z144-Y144)</f>
        <v>23.2866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>IF(LEN(A144)=6,"0"&amp;A144,A144)</f>
        <v>0230-05</v>
      </c>
      <c r="AE144" s="91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s3://rtdc.mdm.uploadarchive.raw/RTDC4039/ "%USERPROFILE%\AppData\Local\Temp\OnboardLogs"\RTDC4039\2016-12-05 --exclude "*" --recursive --include "*20161205*" &amp; "%USERPROFILE%\Documents\GitHub\mrs-test-scripts\Headless Mode &amp; Sideloading\WalkAndUnGZ.bat" "%USERPROFILE%\AppData\Local\Temp\OnboardLogs"\RTDC4039\2016-12-05 &amp; aws s3 cp s3://rtdc.mdm.uploadarchive.raw/RTDC4039/ "%USERPROFILE%\AppData\Local\Temp\OnboardLogs"\RTDC4039\2016-12-06 --exclude "*" --recursive --include "*20161206*" &amp; "%USERPROFILE%\Documents\GitHub\mrs-test-scripts\Headless Mode &amp; Sideloading\WalkAndUnGZ.bat" "%USERPROFILE%\AppData\Local\Temp\OnboardLogs"\RTDC4039\2016-12-06</v>
      </c>
      <c r="AF144" s="88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/stypes="app*4039*20161206*" /stext=" 05:.+((SYSTEM_STATE.+slice.+state.+changed )|(ment ac)|(multiple cpu faults)|(system.+state.+changed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92" t="str">
        <f t="shared" si="6"/>
        <v>"%USERPROFILE%\Documents\GitHub\eaglep3\Utilities\RefineRTDCRunTimes.py" --tripid 230-05 --locoid 4039 --swversion DE.1.0.8.0 --startMP 204:232993 --initTime 2016-12-05T21:49:32 --startdatetime 2016-12-05T21:56:30 --delay 1 --endMP 204:127 --enddatetime 2016-12-05T22:35:05 --enforcementcount 2 &gt;&gt;C:\Users\stu\Documents\GitHub\eaglep3-reporting\EC\2016-12-05-refined-times.txt</v>
      </c>
      <c r="AI144" s="119" t="str">
        <f t="shared" si="7"/>
        <v>echo {"issue":{"subject":"","project_id":79,"tracker_id":40,"status_id":1,"priority_id":2,"assigned_to_id":23,"start_date":"2016-12-05","description":"","custom_fields":[{"id":1,"name":"Subdivision","value":"EC"},{"id":4,"name":"Milepost","value":"0.0127"},{"id":17,"name":"Train ID","value":"230-05"},{"id":16,"name":"Locomotive ID","value":"4039"},{"id":130,"name":"Impact","value":""},{"id":150,"name":"Time of Event (Mountain Time)","value":"22:35:05"},{"id":151,"name":"Denver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650</v>
      </c>
      <c r="B145" s="7">
        <v>4038</v>
      </c>
      <c r="C145" s="22" t="s">
        <v>208</v>
      </c>
      <c r="D145" s="22" t="s">
        <v>241</v>
      </c>
      <c r="E145" s="13">
        <v>42709.890717592592</v>
      </c>
      <c r="F145" s="13">
        <v>42709.895983796298</v>
      </c>
      <c r="G145" s="7">
        <v>1</v>
      </c>
      <c r="H145" s="22" t="s">
        <v>300</v>
      </c>
      <c r="I145" s="13">
        <v>42709.920844907407</v>
      </c>
      <c r="J145" s="7">
        <v>2</v>
      </c>
      <c r="K145" s="109" t="str">
        <f>IF(ISEVEN(B145),(B145-1)&amp;"/"&amp;B145,B145&amp;"/"&amp;(B145+1))</f>
        <v>4037/4038</v>
      </c>
      <c r="L145" s="22" t="str">
        <f>VLOOKUP(A145,'Trips&amp;Operators'!$C$1:$G$99999,5,FALSE)</f>
        <v>NEWELL JAMES</v>
      </c>
      <c r="M145" s="6">
        <f>I145-F145</f>
        <v>2.4861111109203193E-2</v>
      </c>
      <c r="N145" s="7">
        <f>24*60*SUM($M145:$M145)</f>
        <v>35.799999997252598</v>
      </c>
      <c r="O145" s="7"/>
      <c r="P145" s="7"/>
      <c r="Q145" s="23"/>
      <c r="R145" s="23"/>
      <c r="S145" s="35">
        <f>SUM(U145:U145)/IF(AG145="EC",12,1)</f>
        <v>1</v>
      </c>
      <c r="T145" s="50" t="str">
        <f>IF(ISEVEN(LEFT(AD145,4)),"Southbound","NorthBound")</f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hh:mm:ss")&amp;utc_offset&amp;"00',mode:absolute,to:'"&amp;TEXT(I145+1/24,"yyyy-MM-DD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https://search-rtdc-monitor-bjffxe2xuh6vdkpspy63sjmuny.us-east-1.es.amazonaws.com/_plugin/kibana/#/discover/Steve-Slow-Train-Analysis-(2080s-and-2083s)?_g=(refreshInterval:(display:Off,section:0,value:0),time:(from:'2016-12-05 20:22:38-700',mode:absolute,to:'2016-12-05 23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5" s="52" t="str">
        <f>IF(AA145&lt;IF(AG145="EC",23,5.65),"Y","N")</f>
        <v>N</v>
      </c>
      <c r="X145" s="177">
        <f>VALUE(LEFT(AD145,4))-VALUE(LEFT(AD144,4))</f>
        <v>1</v>
      </c>
      <c r="Y145" s="67">
        <f>RIGHT(D145,LEN(D145)-4)/10000</f>
        <v>4.4200000000000003E-2</v>
      </c>
      <c r="Z145" s="67">
        <f>RIGHT(H145,LEN(H145)-4)/10000</f>
        <v>23.331199999999999</v>
      </c>
      <c r="AA145" s="67">
        <f>ABS(Z145-Y145)</f>
        <v>23.286999999999999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>IF(LEN(A145)=6,"0"&amp;A145,A145)</f>
        <v>0231-05</v>
      </c>
      <c r="AE145" s="91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 &amp; aws s3 cp s3://rtdc.mdm.uploadarchive.raw/RTDC4038/ "%USERPROFILE%\AppData\Local\Temp\OnboardLogs"\RTDC4038\2016-12-06 --exclude "*" --recursive --include "*20161206*" &amp; "%USERPROFILE%\Documents\GitHub\mrs-test-scripts\Headless Mode &amp; Sideloading\WalkAndUnGZ.bat" "%USERPROFILE%\AppData\Local\Temp\OnboardLogs"\RTDC4038\2016-12-06</v>
      </c>
      <c r="AF145" s="88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/stypes="app*4038*20161206*" /stext=" 05:.+((SYSTEM_STATE.+slice.+state.+changed )|(ment ac)|(multiple cpu faults)|(system.+state.+changed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92" t="str">
        <f t="shared" si="6"/>
        <v>"%USERPROFILE%\Documents\GitHub\eaglep3\Utilities\RefineRTDCRunTimes.py" --tripid 231-05 --locoid 4038 --swversion DE.1.0.8.0 --startMP 204:442 --initTime 2016-12-05T21:22:38 --startdatetime 2016-12-05T21:30:13 --delay 1 --endMP 204:233312 --enddatetime 2016-12-05T22:06:01 --enforcementcount 2 &gt;&gt;C:\Users\stu\Documents\GitHub\eaglep3-reporting\EC\2016-12-05-refined-times.txt</v>
      </c>
      <c r="AI145" s="119" t="str">
        <f t="shared" si="7"/>
        <v>echo {"issue":{"subject":"","project_id":79,"tracker_id":40,"status_id":1,"priority_id":2,"assigned_to_id":23,"start_date":"2016-12-05","description":"","custom_fields":[{"id":1,"name":"Subdivision","value":"EC"},{"id":4,"name":"Milepost","value":"23.3312"},{"id":17,"name":"Train ID","value":"231-05"},{"id":16,"name":"Locomotive ID","value":"4038"},{"id":130,"name":"Impact","value":""},{"id":150,"name":"Time of Event (Mountain Time)","value":"22:06:01"},{"id":151,"name":"Denver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655</v>
      </c>
      <c r="B146" s="7">
        <v>4037</v>
      </c>
      <c r="C146" s="22" t="s">
        <v>208</v>
      </c>
      <c r="D146" s="22" t="s">
        <v>416</v>
      </c>
      <c r="E146" s="13">
        <v>42709.929027777776</v>
      </c>
      <c r="F146" s="13">
        <v>42709.934872685182</v>
      </c>
      <c r="G146" s="7">
        <v>1</v>
      </c>
      <c r="H146" s="22" t="s">
        <v>284</v>
      </c>
      <c r="I146" s="13">
        <v>42709.960914351854</v>
      </c>
      <c r="J146" s="7">
        <v>2</v>
      </c>
      <c r="K146" s="109" t="str">
        <f>IF(ISEVEN(B146),(B146-1)&amp;"/"&amp;B146,B146&amp;"/"&amp;(B146+1))</f>
        <v>4037/4038</v>
      </c>
      <c r="L146" s="22" t="str">
        <f>VLOOKUP(A146,'Trips&amp;Operators'!$C$1:$G$99999,5,FALSE)</f>
        <v>NEWELL JAMES</v>
      </c>
      <c r="M146" s="6">
        <f>I146-F146</f>
        <v>2.6041666671517305E-2</v>
      </c>
      <c r="N146" s="7">
        <f>24*60*SUM($M146:$M146)</f>
        <v>37.500000006984919</v>
      </c>
      <c r="O146" s="7"/>
      <c r="P146" s="7"/>
      <c r="Q146" s="23"/>
      <c r="R146" s="23"/>
      <c r="S146" s="35">
        <f>SUM(U146:U146)/IF(AG146="EC",12,1)</f>
        <v>1</v>
      </c>
      <c r="T146" s="50" t="str">
        <f>IF(ISEVEN(LEFT(AD146,4)),"Southbound","NorthBound")</f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hh:mm:ss")&amp;utc_offset&amp;"00',mode:absolute,to:'"&amp;TEXT(I146+1/24,"yyyy-MM-DD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https://search-rtdc-monitor-bjffxe2xuh6vdkpspy63sjmuny.us-east-1.es.amazonaws.com/_plugin/kibana/#/discover/Steve-Slow-Train-Analysis-(2080s-and-2083s)?_g=(refreshInterval:(display:Off,section:0,value:0),time:(from:'2016-12-05 21:17:48-700',mode:absolute,to:'2016-12-06 00:03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6" s="52" t="str">
        <f>IF(AA146&lt;IF(AG146="EC",23,5.65),"Y","N")</f>
        <v>N</v>
      </c>
      <c r="X146" s="177">
        <f>VALUE(LEFT(AD146,4))-VALUE(LEFT(AD145,4))</f>
        <v>1</v>
      </c>
      <c r="Y146" s="67">
        <f>RIGHT(D146,LEN(D146)-4)/10000</f>
        <v>23.299399999999999</v>
      </c>
      <c r="Z146" s="67">
        <f>RIGHT(H146,LEN(H146)-4)/10000</f>
        <v>1.6299999999999999E-2</v>
      </c>
      <c r="AA146" s="67">
        <f>ABS(Z146-Y146)</f>
        <v>23.283099999999997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>IF(LEN(A146)=6,"0"&amp;A146,A146)</f>
        <v>0232-05</v>
      </c>
      <c r="AE146" s="91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 &amp; aws s3 cp s3://rtdc.mdm.uploadarchive.raw/RTDC4037/ "%USERPROFILE%\AppData\Local\Temp\OnboardLogs"\RTDC4037\2016-12-06 --exclude "*" --recursive --include "*20161206*" &amp; "%USERPROFILE%\Documents\GitHub\mrs-test-scripts\Headless Mode &amp; Sideloading\WalkAndUnGZ.bat" "%USERPROFILE%\AppData\Local\Temp\OnboardLogs"\RTDC4037\2016-12-06</v>
      </c>
      <c r="AF146" s="88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/stypes="app*4037*20161206*" /stext=" 06:.+((SYSTEM_STATE.+slice.+state.+changed )|(ment ac)|(multiple cpu faults)|(system.+state.+changed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92" t="str">
        <f t="shared" si="6"/>
        <v>"%USERPROFILE%\Documents\GitHub\eaglep3\Utilities\RefineRTDCRunTimes.py" --tripid 232-05 --locoid 4037 --swversion DE.1.0.8.0 --startMP 204:232994 --initTime 2016-12-05T22:17:48 --startdatetime 2016-12-05T22:26:13 --delay 1 --endMP 204:163 --enddatetime 2016-12-05T23:03:43 --enforcementcount 2 &gt;&gt;C:\Users\stu\Documents\GitHub\eaglep3-reporting\EC\2016-12-05-refined-times.txt</v>
      </c>
      <c r="AI146" s="119" t="str">
        <f t="shared" si="7"/>
        <v>echo {"issue":{"subject":"","project_id":79,"tracker_id":40,"status_id":1,"priority_id":2,"assigned_to_id":23,"start_date":"2016-12-05","description":"","custom_fields":[{"id":1,"name":"Subdivision","value":"EC"},{"id":4,"name":"Milepost","value":"0.0163"},{"id":17,"name":"Train ID","value":"232-05"},{"id":16,"name":"Locomotive ID","value":"4037"},{"id":130,"name":"Impact","value":""},{"id":150,"name":"Time of Event (Mountain Time)","value":"23:03:43"},{"id":151,"name":"Denver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653</v>
      </c>
      <c r="B147" s="7">
        <v>4042</v>
      </c>
      <c r="C147" s="22" t="s">
        <v>208</v>
      </c>
      <c r="D147" s="22" t="s">
        <v>229</v>
      </c>
      <c r="E147" s="13">
        <v>42709.913657407407</v>
      </c>
      <c r="F147" s="13">
        <v>42709.917025462964</v>
      </c>
      <c r="G147" s="7">
        <v>1</v>
      </c>
      <c r="H147" s="22" t="s">
        <v>300</v>
      </c>
      <c r="I147" s="13">
        <v>42709.941620370373</v>
      </c>
      <c r="J147" s="7">
        <v>2</v>
      </c>
      <c r="K147" s="109" t="str">
        <f>IF(ISEVEN(B147),(B147-1)&amp;"/"&amp;B147,B147&amp;"/"&amp;(B147+1))</f>
        <v>4041/4042</v>
      </c>
      <c r="L147" s="22" t="str">
        <f>VLOOKUP(A147,'Trips&amp;Operators'!$C$1:$G$99999,5,FALSE)</f>
        <v>CHANDLER KELVIN</v>
      </c>
      <c r="M147" s="6">
        <f>I147-F147</f>
        <v>2.4594907408754807E-2</v>
      </c>
      <c r="N147" s="7">
        <f>24*60*SUM($M147:$M147)</f>
        <v>35.416666668606922</v>
      </c>
      <c r="O147" s="7"/>
      <c r="P147" s="7"/>
      <c r="Q147" s="23"/>
      <c r="R147" s="23"/>
      <c r="S147" s="35">
        <f>SUM(U147:U147)/IF(AG147="EC",12,1)</f>
        <v>1</v>
      </c>
      <c r="T147" s="50" t="str">
        <f>IF(ISEVEN(LEFT(AD147,4)),"Southbound","NorthBound")</f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hh:mm:ss")&amp;utc_offset&amp;"00',mode:absolute,to:'"&amp;TEXT(I147+1/24,"yyyy-MM-DD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https://search-rtdc-monitor-bjffxe2xuh6vdkpspy63sjmuny.us-east-1.es.amazonaws.com/_plugin/kibana/#/discover/Steve-Slow-Train-Analysis-(2080s-and-2083s)?_g=(refreshInterval:(display:Off,section:0,value:0),time:(from:'2016-12-05 20:55:40-700',mode:absolute,to:'2016-12-05 23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7" s="52" t="str">
        <f>IF(AA147&lt;IF(AG147="EC",23,5.65),"Y","N")</f>
        <v>N</v>
      </c>
      <c r="X147" s="177">
        <f>VALUE(LEFT(AD147,4))-VALUE(LEFT(AD146,4))</f>
        <v>1</v>
      </c>
      <c r="Y147" s="67">
        <f>RIGHT(D147,LEN(D147)-4)/10000</f>
        <v>4.6600000000000003E-2</v>
      </c>
      <c r="Z147" s="67">
        <f>RIGHT(H147,LEN(H147)-4)/10000</f>
        <v>23.331199999999999</v>
      </c>
      <c r="AA147" s="67">
        <f>ABS(Z147-Y147)</f>
        <v>23.284599999999998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>IF(LEN(A147)=6,"0"&amp;A147,A147)</f>
        <v>0233-05</v>
      </c>
      <c r="AE147" s="91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s3://rtdc.mdm.uploadarchive.raw/RTDC4042/ "%USERPROFILE%\AppData\Local\Temp\OnboardLogs"\RTDC4042\2016-12-05 --exclude "*" --recursive --include "*20161205*" &amp; "%USERPROFILE%\Documents\GitHub\mrs-test-scripts\Headless Mode &amp; Sideloading\WalkAndUnGZ.bat" "%USERPROFILE%\AppData\Local\Temp\OnboardLogs"\RTDC4042\2016-12-05 &amp; aws s3 cp s3://rtdc.mdm.uploadarchive.raw/RTDC4042/ "%USERPROFILE%\AppData\Local\Temp\OnboardLogs"\RTDC4042\2016-12-06 --exclude "*" --recursive --include "*20161206*" &amp; "%USERPROFILE%\Documents\GitHub\mrs-test-scripts\Headless Mode &amp; Sideloading\WalkAndUnGZ.bat" "%USERPROFILE%\AppData\Local\Temp\OnboardLogs"\RTDC4042\2016-12-06</v>
      </c>
      <c r="AF147" s="88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/stypes="app*4042*20161206*" /stext=" 05:.+((SYSTEM_STATE.+slice.+state.+changed )|(ment ac)|(multiple cpu faults)|(system.+state.+changed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92" t="str">
        <f t="shared" si="6"/>
        <v>"%USERPROFILE%\Documents\GitHub\eaglep3\Utilities\RefineRTDCRunTimes.py" --tripid 233-05 --locoid 4042 --swversion DE.1.0.8.0 --startMP 204:466 --initTime 2016-12-05T21:55:40 --startdatetime 2016-12-05T22:00:31 --delay 1 --endMP 204:233312 --enddatetime 2016-12-05T22:35:56 --enforcementcount 2 &gt;&gt;C:\Users\stu\Documents\GitHub\eaglep3-reporting\EC\2016-12-05-refined-times.txt</v>
      </c>
      <c r="AI147" s="119" t="str">
        <f t="shared" si="7"/>
        <v>echo {"issue":{"subject":"","project_id":79,"tracker_id":40,"status_id":1,"priority_id":2,"assigned_to_id":23,"start_date":"2016-12-05","description":"","custom_fields":[{"id":1,"name":"Subdivision","value":"EC"},{"id":4,"name":"Milepost","value":"23.3312"},{"id":17,"name":"Train ID","value":"233-05"},{"id":16,"name":"Locomotive ID","value":"4042"},{"id":130,"name":"Impact","value":""},{"id":150,"name":"Time of Event (Mountain Time)","value":"22:35:56"},{"id":151,"name":"Denver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7" t="s">
        <v>657</v>
      </c>
      <c r="B148" s="7">
        <v>4041</v>
      </c>
      <c r="C148" s="22" t="s">
        <v>208</v>
      </c>
      <c r="D148" s="22" t="s">
        <v>419</v>
      </c>
      <c r="E148" s="13">
        <v>42709.950775462959</v>
      </c>
      <c r="F148" s="13">
        <v>42709.955995370372</v>
      </c>
      <c r="G148" s="7">
        <v>1</v>
      </c>
      <c r="H148" s="22" t="s">
        <v>238</v>
      </c>
      <c r="I148" s="13">
        <v>42709.983263888891</v>
      </c>
      <c r="J148" s="7">
        <v>2</v>
      </c>
      <c r="K148" s="109" t="str">
        <f>IF(ISEVEN(B148),(B148-1)&amp;"/"&amp;B148,B148&amp;"/"&amp;(B148+1))</f>
        <v>4041/4042</v>
      </c>
      <c r="L148" s="22" t="str">
        <f>VLOOKUP(A148,'Trips&amp;Operators'!$C$1:$G$99999,5,FALSE)</f>
        <v>CHANDLER KELVIN</v>
      </c>
      <c r="M148" s="6">
        <f>I148-F148</f>
        <v>2.7268518519122154E-2</v>
      </c>
      <c r="N148" s="7">
        <f>24*60*SUM($M148:$M148)</f>
        <v>39.266666667535901</v>
      </c>
      <c r="O148" s="7"/>
      <c r="P148" s="7"/>
      <c r="Q148" s="23"/>
      <c r="R148" s="23"/>
      <c r="S148" s="35">
        <f>SUM(U148:U148)/IF(AG148="EC",12,1)</f>
        <v>1</v>
      </c>
      <c r="T148" s="50" t="str">
        <f>IF(ISEVEN(LEFT(AD148,4)),"Southbound","NorthBound")</f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hh:mm:ss")&amp;utc_offset&amp;"00',mode:absolute,to:'"&amp;TEXT(I148+1/24,"yyyy-MM-DD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https://search-rtdc-monitor-bjffxe2xuh6vdkpspy63sjmuny.us-east-1.es.amazonaws.com/_plugin/kibana/#/discover/Steve-Slow-Train-Analysis-(2080s-and-2083s)?_g=(refreshInterval:(display:Off,section:0,value:0),time:(from:'2016-12-05 21:49:07-700',mode:absolute,to:'2016-12-06 00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8" s="52" t="str">
        <f>IF(AA148&lt;IF(AG148="EC",23,5.65),"Y","N")</f>
        <v>N</v>
      </c>
      <c r="X148" s="177">
        <f>VALUE(LEFT(AD148,4))-VALUE(LEFT(AD147,4))</f>
        <v>1</v>
      </c>
      <c r="Y148" s="67">
        <f>RIGHT(D148,LEN(D148)-4)/10000</f>
        <v>23.2972</v>
      </c>
      <c r="Z148" s="67">
        <f>RIGHT(H148,LEN(H148)-4)/10000</f>
        <v>1.6500000000000001E-2</v>
      </c>
      <c r="AA148" s="67">
        <f>ABS(Z148-Y148)</f>
        <v>23.2807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>IF(LEN(A148)=6,"0"&amp;A148,A148)</f>
        <v>0234-05</v>
      </c>
      <c r="AE148" s="91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 &amp; aws s3 cp s3://rtdc.mdm.uploadarchive.raw/RTDC4041/ "%USERPROFILE%\AppData\Local\Temp\OnboardLogs"\RTDC4041\2016-12-06 --exclude "*" --recursive --include "*20161206*" &amp; "%USERPROFILE%\Documents\GitHub\mrs-test-scripts\Headless Mode &amp; Sideloading\WalkAndUnGZ.bat" "%USERPROFILE%\AppData\Local\Temp\OnboardLogs"\RTDC4041\2016-12-06</v>
      </c>
      <c r="AF148" s="88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/stypes="app*4041*20161206*" /stext=" 06:.+((SYSTEM_STATE.+slice.+state.+changed )|(ment ac)|(multiple cpu faults)|(system.+state.+changed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92" t="str">
        <f t="shared" si="6"/>
        <v>"%USERPROFILE%\Documents\GitHub\eaglep3\Utilities\RefineRTDCRunTimes.py" --tripid 234-05 --locoid 4041 --swversion DE.1.0.8.0 --startMP 204:232972 --initTime 2016-12-05T22:49:07 --startdatetime 2016-12-05T22:56:38 --delay 1 --endMP 204:165 --enddatetime 2016-12-05T23:35:54 --enforcementcount 2 &gt;&gt;C:\Users\stu\Documents\GitHub\eaglep3-reporting\EC\2016-12-05-refined-times.txt</v>
      </c>
      <c r="AI148" s="119" t="str">
        <f t="shared" si="7"/>
        <v>echo {"issue":{"subject":"","project_id":79,"tracker_id":40,"status_id":1,"priority_id":2,"assigned_to_id":23,"start_date":"2016-12-05","description":"","custom_fields":[{"id":1,"name":"Subdivision","value":"EC"},{"id":4,"name":"Milepost","value":"0.0165"},{"id":17,"name":"Train ID","value":"234-05"},{"id":16,"name":"Locomotive ID","value":"4041"},{"id":130,"name":"Impact","value":""},{"id":150,"name":"Time of Event (Mountain Time)","value":"23:35:54"},{"id":151,"name":"Denver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654</v>
      </c>
      <c r="B149" s="7">
        <v>4002</v>
      </c>
      <c r="C149" s="22" t="s">
        <v>208</v>
      </c>
      <c r="D149" s="22" t="s">
        <v>244</v>
      </c>
      <c r="E149" s="13">
        <v>42709.920555555553</v>
      </c>
      <c r="F149" s="13">
        <v>42709.937673611108</v>
      </c>
      <c r="G149" s="7">
        <v>1</v>
      </c>
      <c r="H149" s="22" t="s">
        <v>286</v>
      </c>
      <c r="I149" s="13">
        <v>42709.961944444447</v>
      </c>
      <c r="J149" s="7">
        <v>2</v>
      </c>
      <c r="K149" s="109" t="str">
        <f>IF(ISEVEN(B149),(B149-1)&amp;"/"&amp;B149,B149&amp;"/"&amp;(B149+1))</f>
        <v>4001/4002</v>
      </c>
      <c r="L149" s="22" t="str">
        <f>VLOOKUP(A149,'Trips&amp;Operators'!$C$1:$G$99999,5,FALSE)</f>
        <v>YANAI IAN</v>
      </c>
      <c r="M149" s="6">
        <f>I149-F149</f>
        <v>2.4270833338960074E-2</v>
      </c>
      <c r="N149" s="7">
        <f>24*60*SUM($M149:$M149)</f>
        <v>34.950000008102506</v>
      </c>
      <c r="O149" s="7"/>
      <c r="P149" s="7"/>
      <c r="Q149" s="23"/>
      <c r="R149" s="23"/>
      <c r="S149" s="35">
        <f>SUM(U149:U149)/IF(AG149="EC",12,1)</f>
        <v>1</v>
      </c>
      <c r="T149" s="50" t="str">
        <f>IF(ISEVEN(LEFT(AD149,4)),"Southbound","NorthBound")</f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hh:mm:ss")&amp;utc_offset&amp;"00',mode:absolute,to:'"&amp;TEXT(I149+1/24,"yyyy-MM-DD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https://search-rtdc-monitor-bjffxe2xuh6vdkpspy63sjmuny.us-east-1.es.amazonaws.com/_plugin/kibana/#/discover/Steve-Slow-Train-Analysis-(2080s-and-2083s)?_g=(refreshInterval:(display:Off,section:0,value:0),time:(from:'2016-12-05 21:05:36-700',mode:absolute,to:'2016-12-06 00:05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9" s="52" t="str">
        <f>IF(AA149&lt;IF(AG149="EC",23,5.65),"Y","N")</f>
        <v>N</v>
      </c>
      <c r="X149" s="177">
        <f>VALUE(LEFT(AD149,4))-VALUE(LEFT(AD148,4))</f>
        <v>1</v>
      </c>
      <c r="Y149" s="67">
        <f>RIGHT(D149,LEN(D149)-4)/10000</f>
        <v>4.5999999999999999E-2</v>
      </c>
      <c r="Z149" s="67">
        <f>RIGHT(H149,LEN(H149)-4)/10000</f>
        <v>23.329699999999999</v>
      </c>
      <c r="AA149" s="67">
        <f>ABS(Z149-Y149)</f>
        <v>23.2837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>IF(LEN(A149)=6,"0"&amp;A149,A149)</f>
        <v>0235-05</v>
      </c>
      <c r="AE149" s="91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s3://rtdc.mdm.uploadarchive.raw/RTDC4002/ "%USERPROFILE%\AppData\Local\Temp\OnboardLogs"\RTDC4002\2016-12-05 --exclude "*" --recursive --include "*20161205*" &amp; "%USERPROFILE%\Documents\GitHub\mrs-test-scripts\Headless Mode &amp; Sideloading\WalkAndUnGZ.bat" "%USERPROFILE%\AppData\Local\Temp\OnboardLogs"\RTDC4002\2016-12-05 &amp; aws s3 cp s3://rtdc.mdm.uploadarchive.raw/RTDC4002/ "%USERPROFILE%\AppData\Local\Temp\OnboardLogs"\RTDC4002\2016-12-06 --exclude "*" --recursive --include "*20161206*" &amp; "%USERPROFILE%\Documents\GitHub\mrs-test-scripts\Headless Mode &amp; Sideloading\WalkAndUnGZ.bat" "%USERPROFILE%\AppData\Local\Temp\OnboardLogs"\RTDC4002\2016-12-06</v>
      </c>
      <c r="AF149" s="88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/stypes="app*4002*20161206*" /stext=" 06:.+((SYSTEM_STATE.+slice.+state.+changed )|(ment ac)|(multiple cpu faults)|(system.+state.+changed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92" t="str">
        <f t="shared" si="6"/>
        <v>"%USERPROFILE%\Documents\GitHub\eaglep3\Utilities\RefineRTDCRunTimes.py" --tripid 235-05 --locoid 4002 --swversion DE.1.0.8.0 --startMP 204:460 --initTime 2016-12-05T22:05:36 --startdatetime 2016-12-05T22:30:15 --delay 1 --endMP 204:233297 --enddatetime 2016-12-05T23:05:12 --enforcementcount 2 &gt;&gt;C:\Users\stu\Documents\GitHub\eaglep3-reporting\EC\2016-12-05-refined-times.txt</v>
      </c>
      <c r="AI149" s="119" t="str">
        <f t="shared" si="7"/>
        <v>echo {"issue":{"subject":"","project_id":79,"tracker_id":40,"status_id":1,"priority_id":2,"assigned_to_id":23,"start_date":"2016-12-05","description":"","custom_fields":[{"id":1,"name":"Subdivision","value":"EC"},{"id":4,"name":"Milepost","value":"23.3297"},{"id":17,"name":"Train ID","value":"235-05"},{"id":16,"name":"Locomotive ID","value":"4002"},{"id":130,"name":"Impact","value":""},{"id":150,"name":"Time of Event (Mountain Time)","value":"23:05:12"},{"id":151,"name":"Denver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659</v>
      </c>
      <c r="B150" s="7">
        <v>4001</v>
      </c>
      <c r="C150" s="22" t="s">
        <v>208</v>
      </c>
      <c r="D150" s="22" t="s">
        <v>685</v>
      </c>
      <c r="E150" s="13">
        <v>42709.963645833333</v>
      </c>
      <c r="F150" s="13">
        <v>42709.976539351854</v>
      </c>
      <c r="G150" s="7">
        <v>0</v>
      </c>
      <c r="H150" s="22" t="s">
        <v>228</v>
      </c>
      <c r="I150" s="13">
        <v>42710.00236111111</v>
      </c>
      <c r="J150" s="7">
        <v>2</v>
      </c>
      <c r="K150" s="109" t="str">
        <f>IF(ISEVEN(B150),(B150-1)&amp;"/"&amp;B150,B150&amp;"/"&amp;(B150+1))</f>
        <v>4001/4002</v>
      </c>
      <c r="L150" s="22" t="str">
        <f>VLOOKUP(A150,'Trips&amp;Operators'!$C$1:$G$99999,5,FALSE)</f>
        <v>YANAI IAN</v>
      </c>
      <c r="M150" s="6">
        <f>I150-F150</f>
        <v>2.5821759256359655E-2</v>
      </c>
      <c r="N150" s="7">
        <f>24*60*SUM($M150:$M150)</f>
        <v>37.183333329157904</v>
      </c>
      <c r="O150" s="7"/>
      <c r="P150" s="7"/>
      <c r="Q150" s="23"/>
      <c r="R150" s="23"/>
      <c r="S150" s="35">
        <f>SUM(U150:U150)/IF(AG150="EC",12,1)</f>
        <v>1</v>
      </c>
      <c r="T150" s="50" t="str">
        <f>IF(ISEVEN(LEFT(AD150,4)),"Southbound","NorthBound")</f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hh:mm:ss")&amp;utc_offset&amp;"00',mode:absolute,to:'"&amp;TEXT(I150+1/24,"yyyy-MM-DD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https://search-rtdc-monitor-bjffxe2xuh6vdkpspy63sjmuny.us-east-1.es.amazonaws.com/_plugin/kibana/#/discover/Steve-Slow-Train-Analysis-(2080s-and-2083s)?_g=(refreshInterval:(display:Off,section:0,value:0),time:(from:'2016-12-05 22:07:39-700',mode:absolute,to:'2016-12-06 01:03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0" s="52" t="str">
        <f>IF(AA150&lt;IF(AG150="EC",23,5.65),"Y","N")</f>
        <v>N</v>
      </c>
      <c r="X150" s="177">
        <f>VALUE(LEFT(AD150,4))-VALUE(LEFT(AD149,4))</f>
        <v>1</v>
      </c>
      <c r="Y150" s="67">
        <f>RIGHT(D150,LEN(D150)-4)/10000</f>
        <v>23.297599999999999</v>
      </c>
      <c r="Z150" s="67">
        <f>RIGHT(H150,LEN(H150)-4)/10000</f>
        <v>1.54E-2</v>
      </c>
      <c r="AA150" s="67">
        <f>ABS(Z150-Y150)</f>
        <v>23.2822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>IF(LEN(A150)=6,"0"&amp;A150,A150)</f>
        <v>0236-05</v>
      </c>
      <c r="AE150" s="91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s3://rtdc.mdm.uploadarchive.raw/RTDC4001/ "%USERPROFILE%\AppData\Local\Temp\OnboardLogs"\RTDC4001\2016-12-05 --exclude "*" --recursive --include "*20161205*" &amp; "%USERPROFILE%\Documents\GitHub\mrs-test-scripts\Headless Mode &amp; Sideloading\WalkAndUnGZ.bat" "%USERPROFILE%\AppData\Local\Temp\OnboardLogs"\RTDC4001\2016-12-05 &amp; aws s3 cp s3://rtdc.mdm.uploadarchive.raw/RTDC4001/ "%USERPROFILE%\AppData\Local\Temp\OnboardLogs"\RTDC4001\2016-12-06 --exclude "*" --recursive --include "*20161206*" &amp; "%USERPROFILE%\Documents\GitHub\mrs-test-scripts\Headless Mode &amp; Sideloading\WalkAndUnGZ.bat" "%USERPROFILE%\AppData\Local\Temp\OnboardLogs"\RTDC4001\2016-12-06</v>
      </c>
      <c r="AF150" s="88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/stypes="app*4001*20161206*" /stext=" 07:.+((SYSTEM_STATE.+slice.+state.+changed )|(ment ac)|(multiple cpu faults)|(system.+state.+changed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92" t="str">
        <f t="shared" si="6"/>
        <v>"%USERPROFILE%\Documents\GitHub\eaglep3\Utilities\RefineRTDCRunTimes.py" --tripid 236-05 --locoid 4001 --swversion DE.1.0.8.0 --startMP 204:232976 --initTime 2016-12-05T23:07:39 --startdatetime 2016-12-05T23:26:13 --delay 0 --endMP 204:154 --enddatetime 2016-12-06T00:03:24 --enforcementcount 2 &gt;&gt;C:\Users\stu\Documents\GitHub\eaglep3-reporting\EC\2016-12-05-refined-times.txt</v>
      </c>
      <c r="AI150" s="119" t="str">
        <f t="shared" si="7"/>
        <v>echo {"issue":{"subject":"","project_id":79,"tracker_id":40,"status_id":1,"priority_id":2,"assigned_to_id":23,"start_date":"2016-12-06","description":"","custom_fields":[{"id":1,"name":"Subdivision","value":"EC"},{"id":4,"name":"Milepost","value":"0.0154"},{"id":17,"name":"Train ID","value":"236-05"},{"id":16,"name":"Locomotive ID","value":"4001"},{"id":130,"name":"Impact","value":""},{"id":150,"name":"Time of Event (Mountain Time)","value":"00:03:24"},{"id":151,"name":"Denver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x14ac:dyDescent="0.25">
      <c r="A151" s="37" t="s">
        <v>658</v>
      </c>
      <c r="B151" s="7">
        <v>4040</v>
      </c>
      <c r="C151" s="22" t="s">
        <v>208</v>
      </c>
      <c r="D151" s="22" t="s">
        <v>239</v>
      </c>
      <c r="E151" s="13">
        <v>42709.950740740744</v>
      </c>
      <c r="F151" s="13">
        <v>42709.958541666667</v>
      </c>
      <c r="G151" s="7">
        <v>1</v>
      </c>
      <c r="H151" s="22" t="s">
        <v>401</v>
      </c>
      <c r="I151" s="13">
        <v>42709.983530092592</v>
      </c>
      <c r="J151" s="7">
        <v>2</v>
      </c>
      <c r="K151" s="109" t="str">
        <f>IF(ISEVEN(B151),(B151-1)&amp;"/"&amp;B151,B151&amp;"/"&amp;(B151+1))</f>
        <v>4039/4040</v>
      </c>
      <c r="L151" s="22" t="str">
        <f>VLOOKUP(A151,'Trips&amp;Operators'!$C$1:$G$99999,5,FALSE)</f>
        <v>LEVERE CRAIG</v>
      </c>
      <c r="M151" s="6">
        <f>I151-F151</f>
        <v>2.4988425924675539E-2</v>
      </c>
      <c r="N151" s="7">
        <f>24*60*SUM($M151:$M151)</f>
        <v>35.983333331532776</v>
      </c>
      <c r="O151" s="7"/>
      <c r="P151" s="7"/>
      <c r="Q151" s="23"/>
      <c r="R151" s="23"/>
      <c r="S151" s="35">
        <f>SUM(U151:U151)/IF(AG151="EC",12,1)</f>
        <v>1</v>
      </c>
      <c r="T151" s="50" t="str">
        <f>IF(ISEVEN(LEFT(AD151,4)),"Southbound","NorthBound")</f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hh:mm:ss")&amp;utc_offset&amp;"00',mode:absolute,to:'"&amp;TEXT(I151+1/24,"yyyy-MM-DD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https://search-rtdc-monitor-bjffxe2xuh6vdkpspy63sjmuny.us-east-1.es.amazonaws.com/_plugin/kibana/#/discover/Steve-Slow-Train-Analysis-(2080s-and-2083s)?_g=(refreshInterval:(display:Off,section:0,value:0),time:(from:'2016-12-05 21:49:04-700',mode:absolute,to:'2016-12-06 00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1" s="52" t="str">
        <f>IF(AA151&lt;IF(AG151="EC",23,5.65),"Y","N")</f>
        <v>N</v>
      </c>
      <c r="X151" s="177">
        <f>VALUE(LEFT(AD151,4))-VALUE(LEFT(AD150,4))</f>
        <v>1</v>
      </c>
      <c r="Y151" s="67">
        <f>RIGHT(D151,LEN(D151)-4)/10000</f>
        <v>4.5499999999999999E-2</v>
      </c>
      <c r="Z151" s="67">
        <f>RIGHT(H151,LEN(H151)-4)/10000</f>
        <v>23.33</v>
      </c>
      <c r="AA151" s="67">
        <f>ABS(Z151-Y151)</f>
        <v>23.284499999999998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>IF(LEN(A151)=6,"0"&amp;A151,A151)</f>
        <v>0237-05</v>
      </c>
      <c r="AE151" s="91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s3://rtdc.mdm.uploadarchive.raw/RTDC4040/ "%USERPROFILE%\AppData\Local\Temp\OnboardLogs"\RTDC4040\2016-12-05 --exclude "*" --recursive --include "*20161205*" &amp; "%USERPROFILE%\Documents\GitHub\mrs-test-scripts\Headless Mode &amp; Sideloading\WalkAndUnGZ.bat" "%USERPROFILE%\AppData\Local\Temp\OnboardLogs"\RTDC4040\2016-12-05 &amp; aws s3 cp s3://rtdc.mdm.uploadarchive.raw/RTDC4040/ "%USERPROFILE%\AppData\Local\Temp\OnboardLogs"\RTDC4040\2016-12-06 --exclude "*" --recursive --include "*20161206*" &amp; "%USERPROFILE%\Documents\GitHub\mrs-test-scripts\Headless Mode &amp; Sideloading\WalkAndUnGZ.bat" "%USERPROFILE%\AppData\Local\Temp\OnboardLogs"\RTDC4040\2016-12-06</v>
      </c>
      <c r="AF151" s="88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/stypes="app*4040*20161206*" /stext=" 06:.+((SYSTEM_STATE.+slice.+state.+changed )|(ment ac)|(multiple cpu faults)|(system.+state.+changed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92" t="str">
        <f t="shared" si="6"/>
        <v>"%USERPROFILE%\Documents\GitHub\eaglep3\Utilities\RefineRTDCRunTimes.py" --tripid 237-05 --locoid 4040 --swversion DE.1.0.8.0 --startMP 204:455 --initTime 2016-12-05T22:49:04 --startdatetime 2016-12-05T23:00:18 --delay 1 --endMP 204:233300 --enddatetime 2016-12-05T23:36:17 --enforcementcount 2 &gt;&gt;C:\Users\stu\Documents\GitHub\eaglep3-reporting\EC\2016-12-05-refined-times.txt</v>
      </c>
      <c r="AI151" s="119" t="str">
        <f t="shared" si="7"/>
        <v>echo {"issue":{"subject":"","project_id":79,"tracker_id":40,"status_id":1,"priority_id":2,"assigned_to_id":23,"start_date":"2016-12-05","description":"","custom_fields":[{"id":1,"name":"Subdivision","value":"EC"},{"id":4,"name":"Milepost","value":"23.33"},{"id":17,"name":"Train ID","value":"237-05"},{"id":16,"name":"Locomotive ID","value":"4040"},{"id":130,"name":"Impact","value":""},{"id":150,"name":"Time of Event (Mountain Time)","value":"23:36:17"},{"id":151,"name":"Denver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s="21" customFormat="1" x14ac:dyDescent="0.25">
      <c r="A152" s="37" t="s">
        <v>661</v>
      </c>
      <c r="B152" s="7">
        <v>4039</v>
      </c>
      <c r="C152" s="22" t="s">
        <v>208</v>
      </c>
      <c r="D152" s="22" t="s">
        <v>306</v>
      </c>
      <c r="E152" s="13">
        <v>42709.993310185186</v>
      </c>
      <c r="F152" s="13">
        <v>42709.997488425928</v>
      </c>
      <c r="G152" s="7">
        <v>1</v>
      </c>
      <c r="H152" s="22" t="s">
        <v>284</v>
      </c>
      <c r="I152" s="13">
        <v>42710.025289351855</v>
      </c>
      <c r="J152" s="7">
        <v>2</v>
      </c>
      <c r="K152" s="109" t="str">
        <f>IF(ISEVEN(B152),(B152-1)&amp;"/"&amp;B152,B152&amp;"/"&amp;(B152+1))</f>
        <v>4039/4040</v>
      </c>
      <c r="L152" s="22" t="str">
        <f>VLOOKUP(A152,'Trips&amp;Operators'!$C$1:$G$99999,5,FALSE)</f>
        <v>LEVERE CRAIG</v>
      </c>
      <c r="M152" s="6">
        <f>I152-F152</f>
        <v>2.7800925927294884E-2</v>
      </c>
      <c r="N152" s="7">
        <f>24*60*SUM($M152:$M152)</f>
        <v>40.033333335304633</v>
      </c>
      <c r="O152" s="7"/>
      <c r="P152" s="7"/>
      <c r="Q152" s="23"/>
      <c r="R152" s="23"/>
      <c r="S152" s="35">
        <f>SUM(U152:U152)/IF(AG152="EC",12,1)</f>
        <v>1</v>
      </c>
      <c r="T152" s="50" t="str">
        <f>IF(ISEVEN(LEFT(AD152,4)),"Southbound","NorthBound")</f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hh:mm:ss")&amp;utc_offset&amp;"00',mode:absolute,to:'"&amp;TEXT(I152+1/24,"yyyy-MM-DD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https://search-rtdc-monitor-bjffxe2xuh6vdkpspy63sjmuny.us-east-1.es.amazonaws.com/_plugin/kibana/#/discover/Steve-Slow-Train-Analysis-(2080s-and-2083s)?_g=(refreshInterval:(display:Off,section:0,value:0),time:(from:'2016-12-05 22:50:22-700',mode:absolute,to:'2016-12-06 01:36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2" s="52" t="str">
        <f>IF(AA152&lt;IF(AG152="EC",23,5.65),"Y","N")</f>
        <v>N</v>
      </c>
      <c r="X152" s="177">
        <f>VALUE(LEFT(AD152,4))-VALUE(LEFT(AD151,4))</f>
        <v>1</v>
      </c>
      <c r="Y152" s="67">
        <f>RIGHT(D152,LEN(D152)-4)/10000</f>
        <v>23.299099999999999</v>
      </c>
      <c r="Z152" s="67">
        <f>RIGHT(H152,LEN(H152)-4)/10000</f>
        <v>1.6299999999999999E-2</v>
      </c>
      <c r="AA152" s="67">
        <f>ABS(Z152-Y152)</f>
        <v>23.282799999999998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>IF(LEN(A152)=6,"0"&amp;A152,A152)</f>
        <v>0238-05</v>
      </c>
      <c r="AE152" s="91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s3://rtdc.mdm.uploadarchive.raw/RTDC4039/ "%USERPROFILE%\AppData\Local\Temp\OnboardLogs"\RTDC4039\2016-12-05 --exclude "*" --recursive --include "*20161205*" &amp; "%USERPROFILE%\Documents\GitHub\mrs-test-scripts\Headless Mode &amp; Sideloading\WalkAndUnGZ.bat" "%USERPROFILE%\AppData\Local\Temp\OnboardLogs"\RTDC4039\2016-12-05 &amp; aws s3 cp s3://rtdc.mdm.uploadarchive.raw/RTDC4039/ "%USERPROFILE%\AppData\Local\Temp\OnboardLogs"\RTDC4039\2016-12-06 --exclude "*" --recursive --include "*20161206*" &amp; "%USERPROFILE%\Documents\GitHub\mrs-test-scripts\Headless Mode &amp; Sideloading\WalkAndUnGZ.bat" "%USERPROFILE%\AppData\Local\Temp\OnboardLogs"\RTDC4039\2016-12-06</v>
      </c>
      <c r="AF152" s="88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/stypes="app*4039*20161206*" /stext=" 07:.+((SYSTEM_STATE.+slice.+state.+changed )|(ment ac)|(multiple cpu faults)|(system.+state.+changed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92" t="str">
        <f t="shared" si="6"/>
        <v>"%USERPROFILE%\Documents\GitHub\eaglep3\Utilities\RefineRTDCRunTimes.py" --tripid 238-05 --locoid 4039 --swversion DE.1.0.8.0 --startMP 204:232991 --initTime 2016-12-05T23:50:22 --startdatetime 2016-12-05T23:56:23 --delay 1 --endMP 204:163 --enddatetime 2016-12-06T00:36:25 --enforcementcount 2 &gt;&gt;C:\Users\stu\Documents\GitHub\eaglep3-reporting\EC\2016-12-05-refined-times.txt</v>
      </c>
      <c r="AI152" s="119" t="str">
        <f t="shared" si="7"/>
        <v>echo {"issue":{"subject":"","project_id":79,"tracker_id":40,"status_id":1,"priority_id":2,"assigned_to_id":23,"start_date":"2016-12-06","description":"","custom_fields":[{"id":1,"name":"Subdivision","value":"EC"},{"id":4,"name":"Milepost","value":"0.0163"},{"id":17,"name":"Train ID","value":"238-05"},{"id":16,"name":"Locomotive ID","value":"4039"},{"id":130,"name":"Impact","value":""},{"id":150,"name":"Time of Event (Mountain Time)","value":"00:36:25"},{"id":151,"name":"Denver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660</v>
      </c>
      <c r="B153" s="7">
        <v>4038</v>
      </c>
      <c r="C153" s="22" t="s">
        <v>208</v>
      </c>
      <c r="D153" s="22" t="s">
        <v>693</v>
      </c>
      <c r="E153" s="13">
        <v>42709.975312499999</v>
      </c>
      <c r="F153" s="13">
        <v>42709.979328703703</v>
      </c>
      <c r="G153" s="7">
        <v>1</v>
      </c>
      <c r="H153" s="22" t="s">
        <v>694</v>
      </c>
      <c r="I153" s="13">
        <v>42710.005219907405</v>
      </c>
      <c r="J153" s="7">
        <v>2</v>
      </c>
      <c r="K153" s="109" t="str">
        <f>IF(ISEVEN(B153),(B153-1)&amp;"/"&amp;B153,B153&amp;"/"&amp;(B153+1))</f>
        <v>4037/4038</v>
      </c>
      <c r="L153" s="22" t="str">
        <f>VLOOKUP(A153,'Trips&amp;Operators'!$C$1:$G$99999,5,FALSE)</f>
        <v>NEWELL JAMES</v>
      </c>
      <c r="M153" s="6">
        <f>I153-F153</f>
        <v>2.5891203702485655E-2</v>
      </c>
      <c r="N153" s="7">
        <f>24*60*SUM($M153:$M153)</f>
        <v>37.283333331579342</v>
      </c>
      <c r="O153" s="7"/>
      <c r="P153" s="7"/>
      <c r="Q153" s="23"/>
      <c r="R153" s="23"/>
      <c r="S153" s="35">
        <f>SUM(U153:U153)/IF(AG153="EC",12,1)</f>
        <v>1</v>
      </c>
      <c r="T153" s="50" t="str">
        <f>IF(ISEVEN(LEFT(AD153,4)),"Southbound","NorthBound")</f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hh:mm:ss")&amp;utc_offset&amp;"00',mode:absolute,to:'"&amp;TEXT(I153+1/24,"yyyy-MM-DD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https://search-rtdc-monitor-bjffxe2xuh6vdkpspy63sjmuny.us-east-1.es.amazonaws.com/_plugin/kibana/#/discover/Steve-Slow-Train-Analysis-(2080s-and-2083s)?_g=(refreshInterval:(display:Off,section:0,value:0),time:(from:'2016-12-05 22:24:27-700',mode:absolute,to:'2016-12-06 01:07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3" s="52" t="str">
        <f>IF(AA153&lt;IF(AG153="EC",23,5.65),"Y","N")</f>
        <v>N</v>
      </c>
      <c r="X153" s="177">
        <f>VALUE(LEFT(AD153,4))-VALUE(LEFT(AD152,4))</f>
        <v>1</v>
      </c>
      <c r="Y153" s="67">
        <f>RIGHT(D153,LEN(D153)-4)/10000</f>
        <v>4.6199999999999998E-2</v>
      </c>
      <c r="Z153" s="67">
        <f>RIGHT(H153,LEN(H153)-4)/10000</f>
        <v>23.331900000000001</v>
      </c>
      <c r="AA153" s="67">
        <f>ABS(Z153-Y153)</f>
        <v>23.285700000000002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>IF(LEN(A153)=6,"0"&amp;A153,A153)</f>
        <v>0239-05</v>
      </c>
      <c r="AE153" s="91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 &amp; aws s3 cp s3://rtdc.mdm.uploadarchive.raw/RTDC4038/ "%USERPROFILE%\AppData\Local\Temp\OnboardLogs"\RTDC4038\2016-12-06 --exclude "*" --recursive --include "*20161206*" &amp; "%USERPROFILE%\Documents\GitHub\mrs-test-scripts\Headless Mode &amp; Sideloading\WalkAndUnGZ.bat" "%USERPROFILE%\AppData\Local\Temp\OnboardLogs"\RTDC4038\2016-12-06</v>
      </c>
      <c r="AF153" s="88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/stypes="app*4038*20161206*" /stext=" 07:.+((SYSTEM_STATE.+slice.+state.+changed )|(ment ac)|(multiple cpu faults)|(system.+state.+changed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92" t="str">
        <f t="shared" si="6"/>
        <v>"%USERPROFILE%\Documents\GitHub\eaglep3\Utilities\RefineRTDCRunTimes.py" --tripid 239-05 --locoid 4038 --swversion DE.1.0.8.0 --startMP 204:462 --initTime 2016-12-05T23:24:27 --startdatetime 2016-12-05T23:30:14 --delay 1 --endMP 204:233319 --enddatetime 2016-12-06T00:07:31 --enforcementcount 2 &gt;&gt;C:\Users\stu\Documents\GitHub\eaglep3-reporting\EC\2016-12-05-refined-times.txt</v>
      </c>
      <c r="AI153" s="119" t="str">
        <f t="shared" si="7"/>
        <v>echo {"issue":{"subject":"","project_id":79,"tracker_id":40,"status_id":1,"priority_id":2,"assigned_to_id":23,"start_date":"2016-12-06","description":"","custom_fields":[{"id":1,"name":"Subdivision","value":"EC"},{"id":4,"name":"Milepost","value":"23.3319"},{"id":17,"name":"Train ID","value":"239-05"},{"id":16,"name":"Locomotive ID","value":"4038"},{"id":130,"name":"Impact","value":""},{"id":150,"name":"Time of Event (Mountain Time)","value":"00:07:31"},{"id":151,"name":"Denver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664</v>
      </c>
      <c r="B154" s="7">
        <v>4037</v>
      </c>
      <c r="C154" s="22" t="s">
        <v>208</v>
      </c>
      <c r="D154" s="22" t="s">
        <v>255</v>
      </c>
      <c r="E154" s="13">
        <v>42710.012569444443</v>
      </c>
      <c r="F154" s="13">
        <v>42710.018206018518</v>
      </c>
      <c r="G154" s="7">
        <v>1</v>
      </c>
      <c r="H154" s="22" t="s">
        <v>192</v>
      </c>
      <c r="I154" s="13">
        <v>42710.043738425928</v>
      </c>
      <c r="J154" s="7">
        <v>2</v>
      </c>
      <c r="K154" s="109" t="str">
        <f>IF(ISEVEN(B154),(B154-1)&amp;"/"&amp;B154,B154&amp;"/"&amp;(B154+1))</f>
        <v>4037/4038</v>
      </c>
      <c r="L154" s="22" t="str">
        <f>VLOOKUP(A154,'Trips&amp;Operators'!$C$1:$G$99999,5,FALSE)</f>
        <v>NEWELL JAMES</v>
      </c>
      <c r="M154" s="6">
        <f>I154-F154</f>
        <v>2.5532407409627922E-2</v>
      </c>
      <c r="N154" s="7">
        <f>24*60*SUM($M154:$M154)</f>
        <v>36.766666669864208</v>
      </c>
      <c r="O154" s="7"/>
      <c r="P154" s="7"/>
      <c r="Q154" s="23"/>
      <c r="R154" s="23"/>
      <c r="S154" s="35">
        <f>SUM(U154:U154)/IF(AG154="EC",12,1)</f>
        <v>1</v>
      </c>
      <c r="T154" s="50" t="str">
        <f>IF(ISEVEN(LEFT(AD154,4)),"Southbound","NorthBound")</f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hh:mm:ss")&amp;utc_offset&amp;"00',mode:absolute,to:'"&amp;TEXT(I154+1/24,"yyyy-MM-DD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https://search-rtdc-monitor-bjffxe2xuh6vdkpspy63sjmuny.us-east-1.es.amazonaws.com/_plugin/kibana/#/discover/Steve-Slow-Train-Analysis-(2080s-and-2083s)?_g=(refreshInterval:(display:Off,section:0,value:0),time:(from:'2016-12-05 23:18:06-700',mode:absolute,to:'2016-12-06 02:02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4" s="52" t="str">
        <f>IF(AA154&lt;IF(AG154="EC",23,5.65),"Y","N")</f>
        <v>N</v>
      </c>
      <c r="X154" s="177">
        <f>VALUE(LEFT(AD154,4))-VALUE(LEFT(AD153,4))</f>
        <v>1</v>
      </c>
      <c r="Y154" s="67">
        <f>RIGHT(D154,LEN(D154)-4)/10000</f>
        <v>23.2989</v>
      </c>
      <c r="Z154" s="67">
        <f>RIGHT(H154,LEN(H154)-4)/10000</f>
        <v>1.49E-2</v>
      </c>
      <c r="AA154" s="67">
        <f>ABS(Z154-Y154)</f>
        <v>23.283999999999999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>IF(LEN(A154)=6,"0"&amp;A154,A154)</f>
        <v>0240-05</v>
      </c>
      <c r="AE154" s="91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s3://rtdc.mdm.uploadarchive.raw/RTDC4037/ "%USERPROFILE%\AppData\Local\Temp\OnboardLogs"\RTDC4037\2016-12-06 --exclude "*" --recursive --include "*20161206*" &amp; "%USERPROFILE%\Documents\GitHub\mrs-test-scripts\Headless Mode &amp; Sideloading\WalkAndUnGZ.bat" "%USERPROFILE%\AppData\Local\Temp\OnboardLogs"\RTDC4037\2016-12-06 &amp; aws s3 cp s3://rtdc.mdm.uploadarchive.raw/RTDC4037/ "%USERPROFILE%\AppData\Local\Temp\OnboardLogs"\RTDC4037\2016-12-07 --exclude "*" --recursive --include "*20161207*" &amp; "%USERPROFILE%\Documents\GitHub\mrs-test-scripts\Headless Mode &amp; Sideloading\WalkAndUnGZ.bat" "%USERPROFILE%\AppData\Local\Temp\OnboardLogs"\RTDC4037\2016-12-07</v>
      </c>
      <c r="AF154" s="88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/stypes="app*4037*20161206*" /stext=" 08:.+((SYSTEM_STATE.+slice.+state.+changed )|(ment ac)|(multiple cpu faults)|(system.+state.+changed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92" t="str">
        <f t="shared" si="6"/>
        <v>"%USERPROFILE%\Documents\GitHub\eaglep3\Utilities\RefineRTDCRunTimes.py" --tripid 240-05 --locoid 4037 --swversion DE.1.0.8.0 --startMP 204:232989 --initTime 2016-12-06T00:18:06 --startdatetime 2016-12-06T00:26:13 --delay 1 --endMP 204:149 --enddatetime 2016-12-06T01:02:59 --enforcementcount 2 &gt;&gt;C:\Users\stu\Documents\GitHub\eaglep3-reporting\EC\2016-12-05-refined-times.txt</v>
      </c>
      <c r="AI154" s="119" t="str">
        <f t="shared" si="7"/>
        <v>echo {"issue":{"subject":"","project_id":79,"tracker_id":40,"status_id":1,"priority_id":2,"assigned_to_id":23,"start_date":"2016-12-06","description":"","custom_fields":[{"id":1,"name":"Subdivision","value":"EC"},{"id":4,"name":"Milepost","value":"0.0149"},{"id":17,"name":"Train ID","value":"240-05"},{"id":16,"name":"Locomotive ID","value":"4037"},{"id":130,"name":"Impact","value":""},{"id":150,"name":"Time of Event (Mountain Time)","value":"01:02:59"},{"id":151,"name":"Denver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662</v>
      </c>
      <c r="B155" s="7">
        <v>4042</v>
      </c>
      <c r="C155" s="22" t="s">
        <v>208</v>
      </c>
      <c r="D155" s="22" t="s">
        <v>736</v>
      </c>
      <c r="E155" s="13">
        <v>42709.997615740744</v>
      </c>
      <c r="F155" s="13">
        <v>42710.000335648147</v>
      </c>
      <c r="G155" s="7">
        <v>1</v>
      </c>
      <c r="H155" s="22" t="s">
        <v>285</v>
      </c>
      <c r="I155" s="13">
        <v>42710.024513888886</v>
      </c>
      <c r="J155" s="7">
        <v>2</v>
      </c>
      <c r="K155" s="109" t="str">
        <f>IF(ISEVEN(B155),(B155-1)&amp;"/"&amp;B155,B155&amp;"/"&amp;(B155+1))</f>
        <v>4041/4042</v>
      </c>
      <c r="L155" s="22" t="str">
        <f>VLOOKUP(A155,'Trips&amp;Operators'!$C$1:$G$99999,5,FALSE)</f>
        <v>CHANDLER KELVIN</v>
      </c>
      <c r="M155" s="6">
        <f>I155-F155</f>
        <v>2.417824073927477E-2</v>
      </c>
      <c r="N155" s="7">
        <f>24*60*SUM($M155:$M155)</f>
        <v>34.816666664555669</v>
      </c>
      <c r="O155" s="7"/>
      <c r="P155" s="7"/>
      <c r="Q155" s="23"/>
      <c r="R155" s="23"/>
      <c r="S155" s="35">
        <f>SUM(U155:U155)/IF(AG155="EC",12,1)</f>
        <v>1</v>
      </c>
      <c r="T155" s="50" t="str">
        <f>IF(ISEVEN(LEFT(AD155,4)),"Southbound","NorthBound")</f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hh:mm:ss")&amp;utc_offset&amp;"00',mode:absolute,to:'"&amp;TEXT(I155+1/24,"yyyy-MM-DD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https://search-rtdc-monitor-bjffxe2xuh6vdkpspy63sjmuny.us-east-1.es.amazonaws.com/_plugin/kibana/#/discover/Steve-Slow-Train-Analysis-(2080s-and-2083s)?_g=(refreshInterval:(display:Off,section:0,value:0),time:(from:'2016-12-05 22:56:34-700',mode:absolute,to:'2016-12-06 01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5" s="52" t="str">
        <f>IF(AA155&lt;IF(AG155="EC",23,5.65),"Y","N")</f>
        <v>N</v>
      </c>
      <c r="X155" s="177">
        <f>VALUE(LEFT(AD155,4))-VALUE(LEFT(AD154,4))</f>
        <v>1</v>
      </c>
      <c r="Y155" s="67">
        <f>RIGHT(D155,LEN(D155)-4)/10000</f>
        <v>4.3700000000000003E-2</v>
      </c>
      <c r="Z155" s="67">
        <f>RIGHT(H155,LEN(H155)-4)/10000</f>
        <v>23.328900000000001</v>
      </c>
      <c r="AA155" s="67">
        <f>ABS(Z155-Y155)</f>
        <v>23.2852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>IF(LEN(A155)=6,"0"&amp;A155,A155)</f>
        <v>0241-05</v>
      </c>
      <c r="AE155" s="91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s3://rtdc.mdm.uploadarchive.raw/RTDC4042/ "%USERPROFILE%\AppData\Local\Temp\OnboardLogs"\RTDC4042\2016-12-06 --exclude "*" --recursive --include "*20161206*" &amp; "%USERPROFILE%\Documents\GitHub\mrs-test-scripts\Headless Mode &amp; Sideloading\WalkAndUnGZ.bat" "%USERPROFILE%\AppData\Local\Temp\OnboardLogs"\RTDC4042\2016-12-06 &amp; aws s3 cp s3://rtdc.mdm.uploadarchive.raw/RTDC4042/ "%USERPROFILE%\AppData\Local\Temp\OnboardLogs"\RTDC4042\2016-12-07 --exclude "*" --recursive --include "*20161207*" &amp; "%USERPROFILE%\Documents\GitHub\mrs-test-scripts\Headless Mode &amp; Sideloading\WalkAndUnGZ.bat" "%USERPROFILE%\AppData\Local\Temp\OnboardLogs"\RTDC4042\2016-12-07</v>
      </c>
      <c r="AF155" s="88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/stypes="app*4042*20161206*" /stext=" 07:.+((SYSTEM_STATE.+slice.+state.+changed )|(ment ac)|(multiple cpu faults)|(system.+state.+changed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92" t="str">
        <f t="shared" si="6"/>
        <v>"%USERPROFILE%\Documents\GitHub\eaglep3\Utilities\RefineRTDCRunTimes.py" --tripid 241-05 --locoid 4042 --swversion DE.1.0.8.0 --startMP 204:437 --initTime 2016-12-05T23:56:34 --startdatetime 2016-12-06T00:00:29 --delay 1 --endMP 204:233289 --enddatetime 2016-12-06T00:35:18 --enforcementcount 2 &gt;&gt;C:\Users\stu\Documents\GitHub\eaglep3-reporting\EC\2016-12-05-refined-times.txt</v>
      </c>
      <c r="AI155" s="119" t="str">
        <f t="shared" si="7"/>
        <v>echo {"issue":{"subject":"","project_id":79,"tracker_id":40,"status_id":1,"priority_id":2,"assigned_to_id":23,"start_date":"2016-12-06","description":"","custom_fields":[{"id":1,"name":"Subdivision","value":"EC"},{"id":4,"name":"Milepost","value":"23.3289"},{"id":17,"name":"Train ID","value":"241-05"},{"id":16,"name":"Locomotive ID","value":"4042"},{"id":130,"name":"Impact","value":""},{"id":150,"name":"Time of Event (Mountain Time)","value":"00:35:18"},{"id":151,"name":"Denver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666</v>
      </c>
      <c r="B156" s="7">
        <v>4041</v>
      </c>
      <c r="C156" s="22" t="s">
        <v>208</v>
      </c>
      <c r="D156" s="22" t="s">
        <v>737</v>
      </c>
      <c r="E156" s="13">
        <v>42710.036099537036</v>
      </c>
      <c r="F156" s="13">
        <v>42710.039421296293</v>
      </c>
      <c r="G156" s="7">
        <v>1</v>
      </c>
      <c r="H156" s="22" t="s">
        <v>238</v>
      </c>
      <c r="I156" s="13">
        <v>42710.066400462965</v>
      </c>
      <c r="J156" s="7">
        <v>2</v>
      </c>
      <c r="K156" s="109" t="str">
        <f>IF(ISEVEN(B156),(B156-1)&amp;"/"&amp;B156,B156&amp;"/"&amp;(B156+1))</f>
        <v>4041/4042</v>
      </c>
      <c r="L156" s="22" t="str">
        <f>VLOOKUP(A156,'Trips&amp;Operators'!$C$1:$G$99999,5,FALSE)</f>
        <v>CHANDLER KELVIN</v>
      </c>
      <c r="M156" s="6">
        <f>I156-F156</f>
        <v>2.697916667239042E-2</v>
      </c>
      <c r="N156" s="7">
        <f>24*60*SUM($M156:$M156)</f>
        <v>38.850000008242205</v>
      </c>
      <c r="O156" s="7"/>
      <c r="P156" s="7"/>
      <c r="Q156" s="23"/>
      <c r="R156" s="23"/>
      <c r="S156" s="35">
        <f>SUM(U156:U156)/IF(AG156="EC",12,1)</f>
        <v>1</v>
      </c>
      <c r="T156" s="50" t="str">
        <f>IF(ISEVEN(LEFT(AD156,4)),"Southbound","NorthBound")</f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hh:mm:ss")&amp;utc_offset&amp;"00',mode:absolute,to:'"&amp;TEXT(I156+1/24,"yyyy-MM-DD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https://search-rtdc-monitor-bjffxe2xuh6vdkpspy63sjmuny.us-east-1.es.amazonaws.com/_plugin/kibana/#/discover/Steve-Slow-Train-Analysis-(2080s-and-2083s)?_g=(refreshInterval:(display:Off,section:0,value:0),time:(from:'2016-12-05 23:51:59-700',mode:absolute,to:'2016-12-06 02:35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6" s="52" t="str">
        <f>IF(AA156&lt;IF(AG156="EC",23,5.65),"Y","N")</f>
        <v>N</v>
      </c>
      <c r="X156" s="177">
        <f>VALUE(LEFT(AD156,4))-VALUE(LEFT(AD155,4))</f>
        <v>1</v>
      </c>
      <c r="Y156" s="67">
        <f>RIGHT(D156,LEN(D156)-4)/10000</f>
        <v>23.296399999999998</v>
      </c>
      <c r="Z156" s="67">
        <f>RIGHT(H156,LEN(H156)-4)/10000</f>
        <v>1.6500000000000001E-2</v>
      </c>
      <c r="AA156" s="67">
        <f>ABS(Z156-Y156)</f>
        <v>23.279899999999998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>IF(LEN(A156)=6,"0"&amp;A156,A156)</f>
        <v>0242-05</v>
      </c>
      <c r="AE156" s="91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s3://rtdc.mdm.uploadarchive.raw/RTDC4041/ "%USERPROFILE%\AppData\Local\Temp\OnboardLogs"\RTDC4041\2016-12-06 --exclude "*" --recursive --include "*20161206*" &amp; "%USERPROFILE%\Documents\GitHub\mrs-test-scripts\Headless Mode &amp; Sideloading\WalkAndUnGZ.bat" "%USERPROFILE%\AppData\Local\Temp\OnboardLogs"\RTDC4041\2016-12-06 &amp; aws s3 cp s3://rtdc.mdm.uploadarchive.raw/RTDC4041/ "%USERPROFILE%\AppData\Local\Temp\OnboardLogs"\RTDC4041\2016-12-07 --exclude "*" --recursive --include "*20161207*" &amp; "%USERPROFILE%\Documents\GitHub\mrs-test-scripts\Headless Mode &amp; Sideloading\WalkAndUnGZ.bat" "%USERPROFILE%\AppData\Local\Temp\OnboardLogs"\RTDC4041\2016-12-07</v>
      </c>
      <c r="AF156" s="88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/stypes="app*4041*20161206*" /stext=" 08:.+((SYSTEM_STATE.+slice.+state.+changed )|(ment ac)|(multiple cpu faults)|(system.+state.+changed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92" t="str">
        <f t="shared" si="6"/>
        <v>"%USERPROFILE%\Documents\GitHub\eaglep3\Utilities\RefineRTDCRunTimes.py" --tripid 242-05 --locoid 4041 --swversion DE.1.0.8.0 --startMP 204:232964 --initTime 2016-12-06T00:51:59 --startdatetime 2016-12-06T00:56:46 --delay 1 --endMP 204:165 --enddatetime 2016-12-06T01:35:37 --enforcementcount 2 &gt;&gt;C:\Users\stu\Documents\GitHub\eaglep3-reporting\EC\2016-12-05-refined-times.txt</v>
      </c>
      <c r="AI156" s="119" t="str">
        <f t="shared" si="7"/>
        <v>echo {"issue":{"subject":"","project_id":79,"tracker_id":40,"status_id":1,"priority_id":2,"assigned_to_id":23,"start_date":"2016-12-06","description":"","custom_fields":[{"id":1,"name":"Subdivision","value":"EC"},{"id":4,"name":"Milepost","value":"0.0165"},{"id":17,"name":"Train ID","value":"242-05"},{"id":16,"name":"Locomotive ID","value":"4041"},{"id":130,"name":"Impact","value":""},{"id":150,"name":"Time of Event (Mountain Time)","value":"01:35:37"},{"id":151,"name":"Denver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663</v>
      </c>
      <c r="B157" s="7">
        <v>4002</v>
      </c>
      <c r="C157" s="22" t="s">
        <v>208</v>
      </c>
      <c r="D157" s="22" t="s">
        <v>247</v>
      </c>
      <c r="E157" s="13">
        <v>42710.004120370373</v>
      </c>
      <c r="F157" s="13">
        <v>42710.021018518521</v>
      </c>
      <c r="G157" s="7">
        <v>1</v>
      </c>
      <c r="H157" s="22" t="s">
        <v>245</v>
      </c>
      <c r="I157" s="13">
        <v>42710.045358796298</v>
      </c>
      <c r="J157" s="7">
        <v>2</v>
      </c>
      <c r="K157" s="109" t="str">
        <f>IF(ISEVEN(B157),(B157-1)&amp;"/"&amp;B157,B157&amp;"/"&amp;(B157+1))</f>
        <v>4001/4002</v>
      </c>
      <c r="L157" s="22" t="str">
        <f>VLOOKUP(A157,'Trips&amp;Operators'!$C$1:$G$99999,5,FALSE)</f>
        <v>YANAI IAN</v>
      </c>
      <c r="M157" s="6">
        <f>I157-F157</f>
        <v>2.4340277777810115E-2</v>
      </c>
      <c r="N157" s="7">
        <f>24*60*SUM($M157:$M157)</f>
        <v>35.050000000046566</v>
      </c>
      <c r="O157" s="7"/>
      <c r="P157" s="7"/>
      <c r="Q157" s="23"/>
      <c r="R157" s="23"/>
      <c r="S157" s="35">
        <f>SUM(U157:U157)/IF(AG157="EC",12,1)</f>
        <v>1</v>
      </c>
      <c r="T157" s="50" t="str">
        <f>IF(ISEVEN(LEFT(AD157,4)),"Southbound","NorthBound")</f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hh:mm:ss")&amp;utc_offset&amp;"00',mode:absolute,to:'"&amp;TEXT(I157+1/24,"yyyy-MM-DD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https://search-rtdc-monitor-bjffxe2xuh6vdkpspy63sjmuny.us-east-1.es.amazonaws.com/_plugin/kibana/#/discover/Steve-Slow-Train-Analysis-(2080s-and-2083s)?_g=(refreshInterval:(display:Off,section:0,value:0),time:(from:'2016-12-05 23:05:56-700',mode:absolute,to:'2016-12-06 02:05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7" s="52" t="str">
        <f>IF(AA157&lt;IF(AG157="EC",23,5.65),"Y","N")</f>
        <v>N</v>
      </c>
      <c r="X157" s="177">
        <f>VALUE(LEFT(AD157,4))-VALUE(LEFT(AD156,4))</f>
        <v>1</v>
      </c>
      <c r="Y157" s="67">
        <f>RIGHT(D157,LEN(D157)-4)/10000</f>
        <v>4.7100000000000003E-2</v>
      </c>
      <c r="Z157" s="67">
        <f>RIGHT(H157,LEN(H157)-4)/10000</f>
        <v>23.330200000000001</v>
      </c>
      <c r="AA157" s="67">
        <f>ABS(Z157-Y157)</f>
        <v>23.283100000000001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>IF(LEN(A157)=6,"0"&amp;A157,A157)</f>
        <v>0243-05</v>
      </c>
      <c r="AE157" s="91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s3://rtdc.mdm.uploadarchive.raw/RTDC4002/ "%USERPROFILE%\AppData\Local\Temp\OnboardLogs"\RTDC4002\2016-12-06 --exclude "*" --recursive --include "*20161206*" &amp; "%USERPROFILE%\Documents\GitHub\mrs-test-scripts\Headless Mode &amp; Sideloading\WalkAndUnGZ.bat" "%USERPROFILE%\AppData\Local\Temp\OnboardLogs"\RTDC4002\2016-12-06 &amp; 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</v>
      </c>
      <c r="AF157" s="88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/stypes="app*4002*20161206*" /stext=" 08:.+((SYSTEM_STATE.+slice.+state.+changed )|(ment ac)|(multiple cpu faults)|(system.+state.+changed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92" t="str">
        <f t="shared" si="6"/>
        <v>"%USERPROFILE%\Documents\GitHub\eaglep3\Utilities\RefineRTDCRunTimes.py" --tripid 243-05 --locoid 4002 --swversion DE.1.0.8.0 --startMP 204:471 --initTime 2016-12-06T00:05:56 --startdatetime 2016-12-06T00:30:16 --delay 1 --endMP 204:233302 --enddatetime 2016-12-06T01:05:19 --enforcementcount 2 &gt;&gt;C:\Users\stu\Documents\GitHub\eaglep3-reporting\EC\2016-12-05-refined-times.txt</v>
      </c>
      <c r="AI157" s="119" t="str">
        <f t="shared" si="7"/>
        <v>echo {"issue":{"subject":"","project_id":79,"tracker_id":40,"status_id":1,"priority_id":2,"assigned_to_id":23,"start_date":"2016-12-06","description":"","custom_fields":[{"id":1,"name":"Subdivision","value":"EC"},{"id":4,"name":"Milepost","value":"23.3302"},{"id":17,"name":"Train ID","value":"243-05"},{"id":16,"name":"Locomotive ID","value":"4002"},{"id":130,"name":"Impact","value":""},{"id":150,"name":"Time of Event (Mountain Time)","value":"01:05:19"},{"id":151,"name":"Denver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668</v>
      </c>
      <c r="B158" s="7">
        <v>4001</v>
      </c>
      <c r="C158" s="22" t="s">
        <v>208</v>
      </c>
      <c r="D158" s="22" t="s">
        <v>394</v>
      </c>
      <c r="E158" s="13">
        <v>42710.0471412037</v>
      </c>
      <c r="F158" s="13">
        <v>42710.060069444444</v>
      </c>
      <c r="G158" s="7">
        <v>0</v>
      </c>
      <c r="H158" s="22" t="s">
        <v>738</v>
      </c>
      <c r="I158" s="13">
        <v>42710.085335648146</v>
      </c>
      <c r="J158" s="7">
        <v>2</v>
      </c>
      <c r="K158" s="109" t="str">
        <f>IF(ISEVEN(B158),(B158-1)&amp;"/"&amp;B158,B158&amp;"/"&amp;(B158+1))</f>
        <v>4001/4002</v>
      </c>
      <c r="L158" s="22" t="str">
        <f>VLOOKUP(A158,'Trips&amp;Operators'!$C$1:$G$99999,5,FALSE)</f>
        <v>YANAI IAN</v>
      </c>
      <c r="M158" s="6">
        <f>I158-F158</f>
        <v>2.5266203701903578E-2</v>
      </c>
      <c r="N158" s="7">
        <f>24*60*SUM($M158:$M158)</f>
        <v>36.383333330741152</v>
      </c>
      <c r="O158" s="7"/>
      <c r="P158" s="7"/>
      <c r="Q158" s="23"/>
      <c r="R158" s="23"/>
      <c r="S158" s="35">
        <f>SUM(U158:U158)/IF(AG158="EC",12,1)</f>
        <v>1</v>
      </c>
      <c r="T158" s="50" t="str">
        <f>IF(ISEVEN(LEFT(AD158,4)),"Southbound","NorthBound")</f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hh:mm:ss")&amp;utc_offset&amp;"00',mode:absolute,to:'"&amp;TEXT(I158+1/24,"yyyy-MM-DD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https://search-rtdc-monitor-bjffxe2xuh6vdkpspy63sjmuny.us-east-1.es.amazonaws.com/_plugin/kibana/#/discover/Steve-Slow-Train-Analysis-(2080s-and-2083s)?_g=(refreshInterval:(display:Off,section:0,value:0),time:(from:'2016-12-06 00:07:53-700',mode:absolute,to:'2016-12-06 03:02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8" s="52" t="str">
        <f>IF(AA158&lt;IF(AG158="EC",23,5.65),"Y","N")</f>
        <v>N</v>
      </c>
      <c r="X158" s="177">
        <f>VALUE(LEFT(AD158,4))-VALUE(LEFT(AD157,4))</f>
        <v>1</v>
      </c>
      <c r="Y158" s="67">
        <f>RIGHT(D158,LEN(D158)-4)/10000</f>
        <v>23.298300000000001</v>
      </c>
      <c r="Z158" s="67">
        <f>RIGHT(H158,LEN(H158)-4)/10000</f>
        <v>2.3599999999999999E-2</v>
      </c>
      <c r="AA158" s="67">
        <f>ABS(Z158-Y158)</f>
        <v>23.274700000000003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>IF(LEN(A158)=6,"0"&amp;A158,A158)</f>
        <v>0244-05</v>
      </c>
      <c r="AE158" s="91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s3://rtdc.mdm.uploadarchive.raw/RTDC4001/ "%USERPROFILE%\AppData\Local\Temp\OnboardLogs"\RTDC4001\2016-12-06 --exclude "*" --recursive --include "*20161206*" &amp; "%USERPROFILE%\Documents\GitHub\mrs-test-scripts\Headless Mode &amp; Sideloading\WalkAndUnGZ.bat" "%USERPROFILE%\AppData\Local\Temp\OnboardLogs"\RTDC4001\2016-12-06 &amp; 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</v>
      </c>
      <c r="AF158" s="88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/stypes="app*4001*20161206*" /stext=" 09:.+((SYSTEM_STATE.+slice.+state.+changed )|(ment ac)|(multiple cpu faults)|(system.+state.+changed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EC</v>
      </c>
      <c r="AH158" s="92" t="str">
        <f t="shared" si="6"/>
        <v>"%USERPROFILE%\Documents\GitHub\eaglep3\Utilities\RefineRTDCRunTimes.py" --tripid 244-05 --locoid 4001 --swversion DE.1.0.8.0 --startMP 204:232983 --initTime 2016-12-06T01:07:53 --startdatetime 2016-12-06T01:26:30 --delay 0 --endMP 204:236 --enddatetime 2016-12-06T02:02:53 --enforcementcount 2 &gt;&gt;C:\Users\stu\Documents\GitHub\eaglep3-reporting\EC\2016-12-05-refined-times.txt</v>
      </c>
      <c r="AI158" s="119" t="str">
        <f t="shared" si="7"/>
        <v>echo {"issue":{"subject":"","project_id":79,"tracker_id":40,"status_id":1,"priority_id":2,"assigned_to_id":23,"start_date":"2016-12-06","description":"","custom_fields":[{"id":1,"name":"Subdivision","value":"EC"},{"id":4,"name":"Milepost","value":"0.0236"},{"id":17,"name":"Train ID","value":"244-05"},{"id":16,"name":"Locomotive ID","value":"4001"},{"id":130,"name":"Impact","value":""},{"id":150,"name":"Time of Event (Mountain Time)","value":"02:02:53"},{"id":151,"name":"Denver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429</v>
      </c>
      <c r="B159" s="7">
        <v>4015</v>
      </c>
      <c r="C159" s="22" t="s">
        <v>208</v>
      </c>
      <c r="D159" s="22" t="s">
        <v>768</v>
      </c>
      <c r="E159" s="13">
        <v>42709.212754629632</v>
      </c>
      <c r="F159" s="13">
        <v>42709.214456018519</v>
      </c>
      <c r="G159" s="7">
        <v>1</v>
      </c>
      <c r="H159" s="22" t="s">
        <v>769</v>
      </c>
      <c r="I159" s="13">
        <v>42709.226099537038</v>
      </c>
      <c r="J159" s="7">
        <v>2</v>
      </c>
      <c r="K159" s="109" t="str">
        <f>IF(ISEVEN(B159),(B159-1)&amp;"/"&amp;B159,B159&amp;"/"&amp;(B159+1))</f>
        <v>4015/4016</v>
      </c>
      <c r="L159" s="22" t="str">
        <f>VLOOKUP(A159,'Trips&amp;Operators'!$C$1:$G$99999,5,FALSE)</f>
        <v>DAVIS WENDY</v>
      </c>
      <c r="M159" s="6">
        <f>I159-F159</f>
        <v>1.1643518519122154E-2</v>
      </c>
      <c r="N159" s="7">
        <f>24*60*SUM($M159:$M159)</f>
        <v>16.766666667535901</v>
      </c>
      <c r="O159" s="7"/>
      <c r="P159" s="7"/>
      <c r="Q159" s="23"/>
      <c r="R159" s="23"/>
      <c r="S159" s="35">
        <f>SUM(U159:U159)/IF(AG159="EC",12,1)</f>
        <v>1</v>
      </c>
      <c r="T159" s="50" t="str">
        <f>IF(ISEVEN(LEFT(AD159,4)),"Southbound","NorthBound")</f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hh:mm:ss")&amp;utc_offset&amp;"00',mode:absolute,to:'"&amp;TEXT(I159+1/24,"yyyy-MM-DD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https://search-rtdc-monitor-bjffxe2xuh6vdkpspy63sjmuny.us-east-1.es.amazonaws.com/_plugin/kibana/#/discover/Steve-Slow-Train-Analysis-(2080s-and-2083s)?_g=(refreshInterval:(display:Off,section:0,value:0),time:(from:'2016-12-05 04:06:22-700',mode:absolute,to:'2016-12-05 06:25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9" s="52" t="str">
        <f>IF(AA159&lt;IF(AG159="EC",23,5.65),"Y","N")</f>
        <v>N</v>
      </c>
      <c r="X159" s="177">
        <f>VALUE(LEFT(AD159,4))-VALUE(LEFT(AD158,4))</f>
        <v>556</v>
      </c>
      <c r="Y159" s="67">
        <f>RIGHT(D159,LEN(D159)-4)/10000</f>
        <v>5.8692000000000002</v>
      </c>
      <c r="Z159" s="67">
        <f>RIGHT(H159,LEN(H159)-4)/10000</f>
        <v>6.8400000000000002E-2</v>
      </c>
      <c r="AA159" s="67">
        <f>ABS(Z159-Y159)</f>
        <v>5.8008000000000006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>IF(LEN(A159)=6,"0"&amp;A159,A159)</f>
        <v>0800-05</v>
      </c>
      <c r="AE159" s="91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s3://rtdc.mdm.uploadarchive.raw/RTDC4015/ "%USERPROFILE%\AppData\Local\Temp\OnboardLogs"\RTDC4015\2016-12-05 --exclude "*" --recursive --include "*20161205*" &amp; "%USERPROFILE%\Documents\GitHub\mrs-test-scripts\Headless Mode &amp; Sideloading\WalkAndUnGZ.bat" "%USERPROFILE%\AppData\Local\Temp\OnboardLogs"\RTDC4015\2016-12-05 &amp; 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</v>
      </c>
      <c r="AF159" s="88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/stypes="app*4015*20161205*" /stext=" 12:.+((SYSTEM_STATE.+slice.+state.+changed )|(ment ac)|(multiple cpu faults)|(system.+state.+changed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NW</v>
      </c>
      <c r="AH159" s="92" t="str">
        <f t="shared" si="6"/>
        <v>"%USERPROFILE%\Documents\GitHub\eaglep3\Utilities\RefineRTDCRunTimes.py" --tripid 800-05 --locoid 4015 --swversion DE.1.0.8.0 --startMP 300:58692 --initTime 2016-12-05T05:06:22 --startdatetime 2016-12-05T05:08:49 --delay 1 --endMP 204:684 --enddatetime 2016-12-05T05:25:35 --enforcementcount 2 &gt;&gt;C:\Users\stu\Documents\GitHub\eaglep3-reporting\EC\2016-12-05-refined-times.txt</v>
      </c>
      <c r="AI159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{"issue":{"subject":"","project_id":79,"tracker_id":40,"status_id":1,"priority_id":2,"assigned_to_id":23,"start_date":"2016-12-05","description":"","custom_fields":[{"id":1,"name":"Subdivision","value":"NW"},{"id":4,"name":"Milepost","value":"0.0684"},{"id":17,"name":"Train ID","value":"800-05"},{"id":16,"name":"Locomotive ID","value":"4015"},{"id":130,"name":"Impact","value":""},{"id":150,"name":"Time of Event (Mountain Time)","value":"05:25:35"},{"id":151,"name":"Denver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430</v>
      </c>
      <c r="B160" s="7">
        <v>4016</v>
      </c>
      <c r="C160" s="22" t="s">
        <v>208</v>
      </c>
      <c r="D160" s="22" t="s">
        <v>770</v>
      </c>
      <c r="E160" s="13">
        <v>42709.238564814812</v>
      </c>
      <c r="F160" s="13">
        <v>42709.243923611109</v>
      </c>
      <c r="G160" s="7">
        <v>2</v>
      </c>
      <c r="H160" s="22" t="s">
        <v>771</v>
      </c>
      <c r="I160" s="13">
        <v>42709.254699074074</v>
      </c>
      <c r="J160" s="7">
        <v>2</v>
      </c>
      <c r="K160" s="109" t="str">
        <f>IF(ISEVEN(B160),(B160-1)&amp;"/"&amp;B160,B160&amp;"/"&amp;(B160+1))</f>
        <v>4015/4016</v>
      </c>
      <c r="L160" s="22" t="str">
        <f>VLOOKUP(A160,'Trips&amp;Operators'!$C$1:$G$99999,5,FALSE)</f>
        <v>DAVIS WENDY</v>
      </c>
      <c r="M160" s="6">
        <f>I160-F160</f>
        <v>1.0775462964375038E-2</v>
      </c>
      <c r="N160" s="7">
        <f>24*60*SUM($M160:$M160)</f>
        <v>15.516666668700054</v>
      </c>
      <c r="O160" s="7"/>
      <c r="P160" s="7"/>
      <c r="Q160" s="23"/>
      <c r="R160" s="23"/>
      <c r="S160" s="35">
        <f>SUM(U160:U160)/IF(AG160="EC",12,1)</f>
        <v>1</v>
      </c>
      <c r="T160" s="50" t="str">
        <f>IF(ISEVEN(LEFT(AD160,4)),"Southbound","NorthBound")</f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hh:mm:ss")&amp;utc_offset&amp;"00',mode:absolute,to:'"&amp;TEXT(I160+1/24,"yyyy-MM-DD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https://search-rtdc-monitor-bjffxe2xuh6vdkpspy63sjmuny.us-east-1.es.amazonaws.com/_plugin/kibana/#/discover/Steve-Slow-Train-Analysis-(2080s-and-2083s)?_g=(refreshInterval:(display:Off,section:0,value:0),time:(from:'2016-12-05 04:43:32-700',mode:absolute,to:'2016-12-05 07:06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0" s="52" t="str">
        <f>IF(AA160&lt;IF(AG160="EC",23,5.65),"Y","N")</f>
        <v>N</v>
      </c>
      <c r="X160" s="177">
        <f>VALUE(LEFT(AD160,4))-VALUE(LEFT(AD159,4))</f>
        <v>1</v>
      </c>
      <c r="Y160" s="67">
        <f>RIGHT(D160,LEN(D160)-4)/10000</f>
        <v>9.7799999999999998E-2</v>
      </c>
      <c r="Z160" s="67">
        <f>RIGHT(H160,LEN(H160)-4)/10000</f>
        <v>5.8087999999999997</v>
      </c>
      <c r="AA160" s="67">
        <f>ABS(Z160-Y160)</f>
        <v>5.7109999999999994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>IF(LEN(A160)=6,"0"&amp;A160,A160)</f>
        <v>0801-05</v>
      </c>
      <c r="AE160" s="91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s3://rtdc.mdm.uploadarchive.raw/RTDC4016/ "%USERPROFILE%\AppData\Local\Temp\OnboardLogs"\RTDC4016\2016-12-05 --exclude "*" --recursive --include "*20161205*" &amp; "%USERPROFILE%\Documents\GitHub\mrs-test-scripts\Headless Mode &amp; Sideloading\WalkAndUnGZ.bat" "%USERPROFILE%\AppData\Local\Temp\OnboardLogs"\RTDC4016\2016-12-05 &amp; 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</v>
      </c>
      <c r="AF160" s="88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/stypes="app*4016*20161205*" /stext=" 13:.+((SYSTEM_STATE.+slice.+state.+changed )|(ment ac)|(multiple cpu faults)|(system.+state.+changed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92" t="str">
        <f t="shared" si="6"/>
        <v>"%USERPROFILE%\Documents\GitHub\eaglep3\Utilities\RefineRTDCRunTimes.py" --tripid 801-05 --locoid 4016 --swversion DE.1.0.8.0 --startMP 204:978 --initTime 2016-12-05T05:43:32 --startdatetime 2016-12-05T05:51:15 --delay 2 --endMP 300:58088 --enddatetime 2016-12-05T06:06:46 --enforcementcount 2 &gt;&gt;C:\Users\stu\Documents\GitHub\eaglep3-reporting\EC\2016-12-05-refined-times.txt</v>
      </c>
      <c r="AI160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{"issue":{"subject":"","project_id":79,"tracker_id":40,"status_id":1,"priority_id":2,"assigned_to_id":23,"start_date":"2016-12-05","description":"","custom_fields":[{"id":1,"name":"Subdivision","value":"NW"},{"id":4,"name":"Milepost","value":"5.8088"},{"id":17,"name":"Train ID","value":"801-05"},{"id":16,"name":"Locomotive ID","value":"4016"},{"id":130,"name":"Impact","value":""},{"id":150,"name":"Time of Event (Mountain Time)","value":"06:06:46"},{"id":151,"name":"Denver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489</v>
      </c>
      <c r="B161" s="7">
        <v>4015</v>
      </c>
      <c r="C161" s="22" t="s">
        <v>208</v>
      </c>
      <c r="D161" s="22" t="s">
        <v>772</v>
      </c>
      <c r="E161" s="13">
        <v>42709.255856481483</v>
      </c>
      <c r="F161" s="13">
        <v>42709.257013888891</v>
      </c>
      <c r="G161" s="7">
        <v>1</v>
      </c>
      <c r="H161" s="22" t="s">
        <v>773</v>
      </c>
      <c r="I161" s="13">
        <v>42709.268171296295</v>
      </c>
      <c r="J161" s="7">
        <v>2</v>
      </c>
      <c r="K161" s="109" t="str">
        <f>IF(ISEVEN(B161),(B161-1)&amp;"/"&amp;B161,B161&amp;"/"&amp;(B161+1))</f>
        <v>4015/4016</v>
      </c>
      <c r="L161" s="22" t="str">
        <f>VLOOKUP(A161,'Trips&amp;Operators'!$C$1:$G$99999,5,FALSE)</f>
        <v>DAVIS WENDY</v>
      </c>
      <c r="M161" s="6">
        <f>I161-F161</f>
        <v>1.1157407403516117E-2</v>
      </c>
      <c r="N161" s="7">
        <f>24*60*SUM($M161:$M161)</f>
        <v>16.066666661063209</v>
      </c>
      <c r="O161" s="7"/>
      <c r="P161" s="7"/>
      <c r="Q161" s="23"/>
      <c r="R161" s="23"/>
      <c r="S161" s="35">
        <f>SUM(U161:U161)/IF(AG161="EC",12,1)</f>
        <v>1</v>
      </c>
      <c r="T161" s="50" t="str">
        <f>IF(ISEVEN(LEFT(AD161,4)),"Southbound","NorthBound")</f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hh:mm:ss")&amp;utc_offset&amp;"00',mode:absolute,to:'"&amp;TEXT(I161+1/24,"yyyy-MM-DD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https://search-rtdc-monitor-bjffxe2xuh6vdkpspy63sjmuny.us-east-1.es.amazonaws.com/_plugin/kibana/#/discover/Steve-Slow-Train-Analysis-(2080s-and-2083s)?_g=(refreshInterval:(display:Off,section:0,value:0),time:(from:'2016-12-05 05:08:26-700',mode:absolute,to:'2016-12-05 07:26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1" s="52" t="str">
        <f>IF(AA161&lt;IF(AG161="EC",23,5.65),"Y","N")</f>
        <v>N</v>
      </c>
      <c r="X161" s="177">
        <f>VALUE(LEFT(AD161,4))-VALUE(LEFT(AD160,4))</f>
        <v>1</v>
      </c>
      <c r="Y161" s="67">
        <f>RIGHT(D161,LEN(D161)-4)/10000</f>
        <v>5.8708999999999998</v>
      </c>
      <c r="Z161" s="67">
        <f>RIGHT(H161,LEN(H161)-4)/10000</f>
        <v>6.2899999999999998E-2</v>
      </c>
      <c r="AA161" s="67">
        <f>ABS(Z161-Y161)</f>
        <v>5.8079999999999998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>IF(LEN(A161)=6,"0"&amp;A161,A161)</f>
        <v>0802-05</v>
      </c>
      <c r="AE161" s="91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s3://rtdc.mdm.uploadarchive.raw/RTDC4015/ "%USERPROFILE%\AppData\Local\Temp\OnboardLogs"\RTDC4015\2016-12-05 --exclude "*" --recursive --include "*20161205*" &amp; "%USERPROFILE%\Documents\GitHub\mrs-test-scripts\Headless Mode &amp; Sideloading\WalkAndUnGZ.bat" "%USERPROFILE%\AppData\Local\Temp\OnboardLogs"\RTDC4015\2016-12-05 &amp; 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</v>
      </c>
      <c r="AF161" s="88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/stypes="app*4015*20161205*" /stext=" 13:.+((SYSTEM_STATE.+slice.+state.+changed )|(ment ac)|(multiple cpu faults)|(system.+state.+changed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92" t="str">
        <f t="shared" si="6"/>
        <v>"%USERPROFILE%\Documents\GitHub\eaglep3\Utilities\RefineRTDCRunTimes.py" --tripid 802-05 --locoid 4015 --swversion DE.1.0.8.0 --startMP 300:58709 --initTime 2016-12-05T06:08:26 --startdatetime 2016-12-05T06:10:06 --delay 1 --endMP 204:629 --enddatetime 2016-12-05T06:26:10 --enforcementcount 2 &gt;&gt;C:\Users\stu\Documents\GitHub\eaglep3-reporting\EC\2016-12-05-refined-times.txt</v>
      </c>
      <c r="AI161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{"issue":{"subject":"","project_id":79,"tracker_id":40,"status_id":1,"priority_id":2,"assigned_to_id":23,"start_date":"2016-12-05","description":"","custom_fields":[{"id":1,"name":"Subdivision","value":"NW"},{"id":4,"name":"Milepost","value":"0.0629"},{"id":17,"name":"Train ID","value":"802-05"},{"id":16,"name":"Locomotive ID","value":"4015"},{"id":130,"name":"Impact","value":""},{"id":150,"name":"Time of Event (Mountain Time)","value":"06:26:10"},{"id":151,"name":"Denver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490</v>
      </c>
      <c r="B162" s="7">
        <v>4014</v>
      </c>
      <c r="C162" s="22" t="s">
        <v>208</v>
      </c>
      <c r="D162" s="22" t="s">
        <v>774</v>
      </c>
      <c r="E162" s="13">
        <v>42709.26021990741</v>
      </c>
      <c r="F162" s="13">
        <v>42709.264791666668</v>
      </c>
      <c r="G162" s="7">
        <v>1</v>
      </c>
      <c r="H162" s="22" t="s">
        <v>411</v>
      </c>
      <c r="I162" s="13">
        <v>42709.273923611108</v>
      </c>
      <c r="J162" s="7">
        <v>2</v>
      </c>
      <c r="K162" s="109" t="str">
        <f>IF(ISEVEN(B162),(B162-1)&amp;"/"&amp;B162,B162&amp;"/"&amp;(B162+1))</f>
        <v>4013/4014</v>
      </c>
      <c r="L162" s="22" t="str">
        <f>VLOOKUP(A162,'Trips&amp;Operators'!$C$1:$G$99999,5,FALSE)</f>
        <v>SAFIEF AEIMEN</v>
      </c>
      <c r="M162" s="6">
        <f>I162-F162</f>
        <v>9.1319444400141947E-3</v>
      </c>
      <c r="N162" s="7">
        <f>24*60*SUM($M162:$M162)</f>
        <v>13.14999999362044</v>
      </c>
      <c r="O162" s="7"/>
      <c r="P162" s="7"/>
      <c r="Q162" s="23"/>
      <c r="R162" s="23"/>
      <c r="S162" s="35">
        <f>SUM(U162:U162)/IF(AG162="EC",12,1)</f>
        <v>1</v>
      </c>
      <c r="T162" s="50" t="str">
        <f>IF(ISEVEN(LEFT(AD162,4)),"Southbound","NorthBound")</f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hh:mm:ss")&amp;utc_offset&amp;"00',mode:absolute,to:'"&amp;TEXT(I162+1/24,"yyyy-MM-DD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https://search-rtdc-monitor-bjffxe2xuh6vdkpspy63sjmuny.us-east-1.es.amazonaws.com/_plugin/kibana/#/discover/Steve-Slow-Train-Analysis-(2080s-and-2083s)?_g=(refreshInterval:(display:Off,section:0,value:0),time:(from:'2016-12-05 05:14:43-700',mode:absolute,to:'2016-12-05 07:34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2" s="52" t="str">
        <f>IF(AA162&lt;IF(AG162="EC",23,5.65),"Y","N")</f>
        <v>N</v>
      </c>
      <c r="X162" s="177">
        <f>VALUE(LEFT(AD162,4))-VALUE(LEFT(AD161,4))</f>
        <v>1</v>
      </c>
      <c r="Y162" s="67">
        <f>RIGHT(D162,LEN(D162)-4)/10000</f>
        <v>9.5699999999999993E-2</v>
      </c>
      <c r="Z162" s="67">
        <f>RIGHT(H162,LEN(H162)-4)/10000</f>
        <v>5.8939000000000004</v>
      </c>
      <c r="AA162" s="67">
        <f>ABS(Z162-Y162)</f>
        <v>5.7982000000000005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>IF(LEN(A162)=6,"0"&amp;A162,A162)</f>
        <v>0803-05</v>
      </c>
      <c r="AE162" s="91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AF162" s="88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/stypes="app*4014*20161205*" /stext=" 13:.+((SYSTEM_STATE.+slice.+state.+changed )|(ment ac)|(multiple cpu faults)|(system.+state.+changed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92" t="str">
        <f t="shared" si="6"/>
        <v>"%USERPROFILE%\Documents\GitHub\eaglep3\Utilities\RefineRTDCRunTimes.py" --tripid 803-05 --locoid 4014 --swversion DE.1.0.8.0 --startMP 204:957 --initTime 2016-12-05T06:14:43 --startdatetime 2016-12-05T06:21:18 --delay 1 --endMP 300:58939 --enddatetime 2016-12-05T06:34:27 --enforcementcount 2 &gt;&gt;C:\Users\stu\Documents\GitHub\eaglep3-reporting\EC\2016-12-05-refined-times.txt</v>
      </c>
      <c r="AI162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{"issue":{"subject":"","project_id":79,"tracker_id":40,"status_id":1,"priority_id":2,"assigned_to_id":23,"start_date":"2016-12-05","description":"","custom_fields":[{"id":1,"name":"Subdivision","value":"NW"},{"id":4,"name":"Milepost","value":"5.8939"},{"id":17,"name":"Train ID","value":"803-05"},{"id":16,"name":"Locomotive ID","value":"4014"},{"id":130,"name":"Impact","value":""},{"id":150,"name":"Time of Event (Mountain Time)","value":"06:34:27"},{"id":151,"name":"Denver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494</v>
      </c>
      <c r="B163" s="7">
        <v>4013</v>
      </c>
      <c r="C163" s="22" t="s">
        <v>208</v>
      </c>
      <c r="D163" s="22" t="s">
        <v>346</v>
      </c>
      <c r="E163" s="13">
        <v>42709.275023148148</v>
      </c>
      <c r="F163" s="13">
        <v>42709.276388888888</v>
      </c>
      <c r="G163" s="7">
        <v>1</v>
      </c>
      <c r="H163" s="22" t="s">
        <v>412</v>
      </c>
      <c r="I163" s="13">
        <v>42709.288842592592</v>
      </c>
      <c r="J163" s="7">
        <v>2</v>
      </c>
      <c r="K163" s="109" t="str">
        <f>IF(ISEVEN(B163),(B163-1)&amp;"/"&amp;B163,B163&amp;"/"&amp;(B163+1))</f>
        <v>4013/4014</v>
      </c>
      <c r="L163" s="22" t="str">
        <f>VLOOKUP(A163,'Trips&amp;Operators'!$C$1:$G$99999,5,FALSE)</f>
        <v>SAFIEF AEIMEN</v>
      </c>
      <c r="M163" s="6">
        <f>I163-F163</f>
        <v>1.2453703704522923E-2</v>
      </c>
      <c r="N163" s="7">
        <f>24*60*SUM($M163:$M163)</f>
        <v>17.933333334513009</v>
      </c>
      <c r="O163" s="7"/>
      <c r="P163" s="7"/>
      <c r="Q163" s="23"/>
      <c r="R163" s="23"/>
      <c r="S163" s="35">
        <f>SUM(U163:U163)/IF(AG163="EC",12,1)</f>
        <v>1</v>
      </c>
      <c r="T163" s="50" t="str">
        <f>IF(ISEVEN(LEFT(AD163,4)),"Southbound","NorthBound")</f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hh:mm:ss")&amp;utc_offset&amp;"00',mode:absolute,to:'"&amp;TEXT(I163+1/24,"yyyy-MM-DD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https://search-rtdc-monitor-bjffxe2xuh6vdkpspy63sjmuny.us-east-1.es.amazonaws.com/_plugin/kibana/#/discover/Steve-Slow-Train-Analysis-(2080s-and-2083s)?_g=(refreshInterval:(display:Off,section:0,value:0),time:(from:'2016-12-05 05:36:02-700',mode:absolute,to:'2016-12-05 07:55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3" s="52" t="str">
        <f>IF(AA163&lt;IF(AG163="EC",23,5.65),"Y","N")</f>
        <v>N</v>
      </c>
      <c r="X163" s="177">
        <f>VALUE(LEFT(AD163,4))-VALUE(LEFT(AD162,4))</f>
        <v>1</v>
      </c>
      <c r="Y163" s="67">
        <f>RIGHT(D163,LEN(D163)-4)/10000</f>
        <v>5.8619000000000003</v>
      </c>
      <c r="Z163" s="67">
        <f>RIGHT(H163,LEN(H163)-4)/10000</f>
        <v>6.8000000000000005E-2</v>
      </c>
      <c r="AA163" s="67">
        <f>ABS(Z163-Y163)</f>
        <v>5.7939000000000007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>IF(LEN(A163)=6,"0"&amp;A163,A163)</f>
        <v>0804-05</v>
      </c>
      <c r="AE163" s="91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AF163" s="88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/stypes="app*4013*20161205*" /stext=" 13:.+((SYSTEM_STATE.+slice.+state.+changed )|(ment ac)|(multiple cpu faults)|(system.+state.+changed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92" t="str">
        <f t="shared" si="6"/>
        <v>"%USERPROFILE%\Documents\GitHub\eaglep3\Utilities\RefineRTDCRunTimes.py" --tripid 804-05 --locoid 4013 --swversion DE.1.0.8.0 --startMP 300:58619 --initTime 2016-12-05T06:36:02 --startdatetime 2016-12-05T06:38:00 --delay 1 --endMP 204:680 --enddatetime 2016-12-05T06:55:56 --enforcementcount 2 &gt;&gt;C:\Users\stu\Documents\GitHub\eaglep3-reporting\EC\2016-12-05-refined-times.txt</v>
      </c>
      <c r="AI163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{"issue":{"subject":"","project_id":79,"tracker_id":40,"status_id":1,"priority_id":2,"assigned_to_id":23,"start_date":"2016-12-05","description":"","custom_fields":[{"id":1,"name":"Subdivision","value":"NW"},{"id":4,"name":"Milepost","value":"0.068"},{"id":17,"name":"Train ID","value":"804-05"},{"id":16,"name":"Locomotive ID","value":"4013"},{"id":130,"name":"Impact","value":""},{"id":150,"name":"Time of Event (Mountain Time)","value":"06:55:56"},{"id":151,"name":"Denver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496</v>
      </c>
      <c r="B164" s="7">
        <v>4016</v>
      </c>
      <c r="C164" s="22" t="s">
        <v>208</v>
      </c>
      <c r="D164" s="22" t="s">
        <v>775</v>
      </c>
      <c r="E164" s="13">
        <v>42709.280810185184</v>
      </c>
      <c r="F164" s="13">
        <v>42709.285567129627</v>
      </c>
      <c r="G164" s="7">
        <v>1</v>
      </c>
      <c r="H164" s="22" t="s">
        <v>776</v>
      </c>
      <c r="I164" s="13">
        <v>42709.293946759259</v>
      </c>
      <c r="J164" s="7">
        <v>2</v>
      </c>
      <c r="K164" s="109" t="str">
        <f>IF(ISEVEN(B164),(B164-1)&amp;"/"&amp;B164,B164&amp;"/"&amp;(B164+1))</f>
        <v>4015/4016</v>
      </c>
      <c r="L164" s="22" t="str">
        <f>VLOOKUP(A164,'Trips&amp;Operators'!$C$1:$G$99999,5,FALSE)</f>
        <v>DAVIS WENDY</v>
      </c>
      <c r="M164" s="6">
        <f>I164-F164</f>
        <v>8.3796296312357299E-3</v>
      </c>
      <c r="N164" s="7"/>
      <c r="O164" s="7"/>
      <c r="P164" s="7">
        <f>24*60*SUM($M164:$M164)</f>
        <v>12.066666668979451</v>
      </c>
      <c r="Q164" s="23"/>
      <c r="R164" s="23" t="s">
        <v>851</v>
      </c>
      <c r="S164" s="35">
        <f>SUM(U164:U164)/IF(AG164="EC",12,1)</f>
        <v>1</v>
      </c>
      <c r="T164" s="50" t="str">
        <f>IF(ISEVEN(LEFT(AD164,4)),"Southbound","NorthBound")</f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hh:mm:ss")&amp;utc_offset&amp;"00',mode:absolute,to:'"&amp;TEXT(I164+1/24,"yyyy-MM-DD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https://search-rtdc-monitor-bjffxe2xuh6vdkpspy63sjmuny.us-east-1.es.amazonaws.com/_plugin/kibana/#/discover/Steve-Slow-Train-Analysis-(2080s-and-2083s)?_g=(refreshInterval:(display:Off,section:0,value:0),time:(from:'2016-12-05 05:44:22-700',mode:absolute,to:'2016-12-05 08:03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4" s="52" t="str">
        <f>IF(AA164&lt;IF(AG164="EC",23,5.65),"Y","N")</f>
        <v>Y</v>
      </c>
      <c r="X164" s="177">
        <f>VALUE(LEFT(AD164,4))-VALUE(LEFT(AD163,4))</f>
        <v>1</v>
      </c>
      <c r="Y164" s="67">
        <f>RIGHT(D164,LEN(D164)-4)/10000</f>
        <v>9.2200000000000004E-2</v>
      </c>
      <c r="Z164" s="67">
        <f>RIGHT(H164,LEN(H164)-4)/10000</f>
        <v>2.6579999999999999</v>
      </c>
      <c r="AA164" s="67">
        <f>ABS(Z164-Y164)</f>
        <v>2.5657999999999999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>IF(LEN(A164)=6,"0"&amp;A164,A164)</f>
        <v>0805-05</v>
      </c>
      <c r="AE164" s="91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s3://rtdc.mdm.uploadarchive.raw/RTDC4016/ "%USERPROFILE%\AppData\Local\Temp\OnboardLogs"\RTDC4016\2016-12-05 --exclude "*" --recursive --include "*20161205*" &amp; "%USERPROFILE%\Documents\GitHub\mrs-test-scripts\Headless Mode &amp; Sideloading\WalkAndUnGZ.bat" "%USERPROFILE%\AppData\Local\Temp\OnboardLogs"\RTDC4016\2016-12-05 &amp; 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</v>
      </c>
      <c r="AF164" s="88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/stypes="app*4016*20161205*" /stext=" 14:.+((SYSTEM_STATE.+slice.+state.+changed )|(ment ac)|(multiple cpu faults)|(system.+state.+changed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92" t="str">
        <f t="shared" si="6"/>
        <v>"%USERPROFILE%\Documents\GitHub\eaglep3\Utilities\RefineRTDCRunTimes.py" --tripid 805-05 --locoid 4016 --swversion DE.1.0.8.0 --startMP 204:922 --initTime 2016-12-05T06:44:22 --startdatetime 2016-12-05T06:51:13 --delay 1 --endMP 300:26580 --enddatetime 2016-12-05T07:03:17 --enforcementcount 2 &gt;&gt;C:\Users\stu\Documents\GitHub\eaglep3-reporting\EC\2016-12-05-refined-times.txt</v>
      </c>
      <c r="AI164" s="119" t="str">
        <f t="shared" si="7"/>
        <v>echo {"issue":{"subject":"TMDS Freeze? No clear controls sent to CRMFN 2N","project_id":79,"tracker_id":40,"status_id":1,"priority_id":2,"assigned_to_id":23,"start_date":"2016-12-05","description":"","custom_fields":[{"id":1,"name":"Subdivision","value":"NW"},{"id":4,"name":"Milepost","value":"2.658"},{"id":17,"name":"Train ID","value":"805-05"},{"id":16,"name":"Locomotive ID","value":"4016"},{"id":130,"name":"Impact","value":""},{"id":150,"name":"Time of Event (Mountain Time)","value":"07:03:17"},{"id":151,"name":"Denver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7" t="s">
        <v>433</v>
      </c>
      <c r="B165" s="7">
        <v>4015</v>
      </c>
      <c r="C165" s="22" t="s">
        <v>208</v>
      </c>
      <c r="D165" s="22" t="s">
        <v>777</v>
      </c>
      <c r="E165" s="13">
        <v>42709.306967592594</v>
      </c>
      <c r="F165" s="13">
        <v>42709.307928240742</v>
      </c>
      <c r="G165" s="7">
        <v>0</v>
      </c>
      <c r="H165" s="22" t="s">
        <v>778</v>
      </c>
      <c r="I165" s="13">
        <v>42709.317199074074</v>
      </c>
      <c r="J165" s="7">
        <v>2</v>
      </c>
      <c r="K165" s="109" t="str">
        <f>IF(ISEVEN(B165),(B165-1)&amp;"/"&amp;B165,B165&amp;"/"&amp;(B165+1))</f>
        <v>4015/4016</v>
      </c>
      <c r="L165" s="22" t="str">
        <f>VLOOKUP(A165,'Trips&amp;Operators'!$C$1:$G$99999,5,FALSE)</f>
        <v>DAVIS WENDY</v>
      </c>
      <c r="M165" s="6">
        <f>I165-F165</f>
        <v>9.2708333322661929E-3</v>
      </c>
      <c r="N165" s="7">
        <f>24*60*SUM($M165:$M165)</f>
        <v>13.349999998463318</v>
      </c>
      <c r="O165" s="7"/>
      <c r="P165" s="7"/>
      <c r="Q165" s="23"/>
      <c r="R165" s="23"/>
      <c r="S165" s="35">
        <f>SUM(U165:U165)/IF(AG165="EC",12,1)</f>
        <v>1</v>
      </c>
      <c r="T165" s="50" t="str">
        <f>IF(ISEVEN(LEFT(AD165,4)),"Southbound","NorthBound")</f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hh:mm:ss")&amp;utc_offset&amp;"00',mode:absolute,to:'"&amp;TEXT(I165+1/24,"yyyy-MM-DD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https://search-rtdc-monitor-bjffxe2xuh6vdkpspy63sjmuny.us-east-1.es.amazonaws.com/_plugin/kibana/#/discover/Steve-Slow-Train-Analysis-(2080s-and-2083s)?_g=(refreshInterval:(display:Off,section:0,value:0),time:(from:'2016-12-05 06:22:02-700',mode:absolute,to:'2016-12-05 08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5" s="52" t="str">
        <f>IF(AA165&lt;IF(AG165="EC",23,5.65),"Y","N")</f>
        <v>N</v>
      </c>
      <c r="X165" s="177">
        <f>VALUE(LEFT(AD165,4))-VALUE(LEFT(AD164,4))</f>
        <v>1</v>
      </c>
      <c r="Y165" s="67">
        <f>RIGHT(D165,LEN(D165)-4)/10000</f>
        <v>5.8723999999999998</v>
      </c>
      <c r="Z165" s="67">
        <f>RIGHT(H165,LEN(H165)-4)/10000</f>
        <v>6.5199999999999994E-2</v>
      </c>
      <c r="AA165" s="67">
        <f>ABS(Z165-Y165)</f>
        <v>5.8071999999999999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>IF(LEN(A165)=6,"0"&amp;A165,A165)</f>
        <v>0806-05</v>
      </c>
      <c r="AE165" s="91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s3://rtdc.mdm.uploadarchive.raw/RTDC4015/ "%USERPROFILE%\AppData\Local\Temp\OnboardLogs"\RTDC4015\2016-12-05 --exclude "*" --recursive --include "*20161205*" &amp; "%USERPROFILE%\Documents\GitHub\mrs-test-scripts\Headless Mode &amp; Sideloading\WalkAndUnGZ.bat" "%USERPROFILE%\AppData\Local\Temp\OnboardLogs"\RTDC4015\2016-12-05 &amp; 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</v>
      </c>
      <c r="AF165" s="88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/stypes="app*4015*20161205*" /stext=" 14:.+((SYSTEM_STATE.+slice.+state.+changed )|(ment ac)|(multiple cpu faults)|(system.+state.+changed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92" t="str">
        <f t="shared" si="6"/>
        <v>"%USERPROFILE%\Documents\GitHub\eaglep3\Utilities\RefineRTDCRunTimes.py" --tripid 806-05 --locoid 4015 --swversion DE.1.0.8.0 --startMP 300:58724 --initTime 2016-12-05T07:22:02 --startdatetime 2016-12-05T07:23:25 --delay 0 --endMP 204:652 --enddatetime 2016-12-05T07:36:46 --enforcementcount 2 &gt;&gt;C:\Users\stu\Documents\GitHub\eaglep3-reporting\EC\2016-12-05-refined-times.txt</v>
      </c>
      <c r="AI165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{"issue":{"subject":"","project_id":79,"tracker_id":40,"status_id":1,"priority_id":2,"assigned_to_id":23,"start_date":"2016-12-05","description":"","custom_fields":[{"id":1,"name":"Subdivision","value":"NW"},{"id":4,"name":"Milepost","value":"0.0652"},{"id":17,"name":"Train ID","value":"806-05"},{"id":16,"name":"Locomotive ID","value":"4015"},{"id":130,"name":"Impact","value":""},{"id":150,"name":"Time of Event (Mountain Time)","value":"07:36:46"},{"id":151,"name":"Denver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x14ac:dyDescent="0.25">
      <c r="A166" s="37" t="s">
        <v>500</v>
      </c>
      <c r="B166" s="7">
        <v>4014</v>
      </c>
      <c r="C166" s="22" t="s">
        <v>208</v>
      </c>
      <c r="D166" s="22" t="s">
        <v>779</v>
      </c>
      <c r="E166" s="13">
        <v>42709.295578703706</v>
      </c>
      <c r="F166" s="13">
        <v>42709.306504629632</v>
      </c>
      <c r="G166" s="7">
        <v>1</v>
      </c>
      <c r="H166" s="22" t="s">
        <v>780</v>
      </c>
      <c r="I166" s="13">
        <v>42709.317187499997</v>
      </c>
      <c r="J166" s="7">
        <v>2</v>
      </c>
      <c r="K166" s="109" t="str">
        <f>IF(ISEVEN(B166),(B166-1)&amp;"/"&amp;B166,B166&amp;"/"&amp;(B166+1))</f>
        <v>4013/4014</v>
      </c>
      <c r="L166" s="22" t="str">
        <f>VLOOKUP(A166,'Trips&amp;Operators'!$C$1:$G$99999,5,FALSE)</f>
        <v>DE LA ROSA ALEX</v>
      </c>
      <c r="M166" s="6">
        <f>I166-F166</f>
        <v>1.0682870364689734E-2</v>
      </c>
      <c r="N166" s="7"/>
      <c r="O166" s="7"/>
      <c r="P166" s="7">
        <f>24*60*SUM($M166:$M166)</f>
        <v>15.383333325153217</v>
      </c>
      <c r="Q166" s="23"/>
      <c r="R166" s="23" t="s">
        <v>852</v>
      </c>
      <c r="S166" s="35">
        <f>SUM(U166:U166)/IF(AG166="EC",12,1)</f>
        <v>1</v>
      </c>
      <c r="T166" s="50" t="str">
        <f>IF(ISEVEN(LEFT(AD166,4)),"Southbound","NorthBound")</f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hh:mm:ss")&amp;utc_offset&amp;"00',mode:absolute,to:'"&amp;TEXT(I166+1/24,"yyyy-MM-DD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https://search-rtdc-monitor-bjffxe2xuh6vdkpspy63sjmuny.us-east-1.es.amazonaws.com/_plugin/kibana/#/discover/Steve-Slow-Train-Analysis-(2080s-and-2083s)?_g=(refreshInterval:(display:Off,section:0,value:0),time:(from:'2016-12-05 06:05:38-700',mode:absolute,to:'2016-12-05 08:36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6" s="52" t="str">
        <f>IF(AA166&lt;IF(AG166="EC",23,5.65),"Y","N")</f>
        <v>Y</v>
      </c>
      <c r="X166" s="177">
        <f>VALUE(LEFT(AD166,4))-VALUE(LEFT(AD165,4))</f>
        <v>1</v>
      </c>
      <c r="Y166" s="67">
        <f>RIGHT(D166,LEN(D166)-4)/10000</f>
        <v>9.5299999999999996E-2</v>
      </c>
      <c r="Z166" s="67">
        <f>RIGHT(H166,LEN(H166)-4)/10000</f>
        <v>3.9077999999999999</v>
      </c>
      <c r="AA166" s="67">
        <f>ABS(Z166-Y166)</f>
        <v>3.8125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>IF(LEN(A166)=6,"0"&amp;A166,A166)</f>
        <v>0807-05</v>
      </c>
      <c r="AE166" s="91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AF166" s="88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/stypes="app*4014*20161205*" /stext=" 14:.+((SYSTEM_STATE.+slice.+state.+changed )|(ment ac)|(multiple cpu faults)|(system.+state.+changed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92" t="str">
        <f t="shared" si="6"/>
        <v>"%USERPROFILE%\Documents\GitHub\eaglep3\Utilities\RefineRTDCRunTimes.py" --tripid 807-05 --locoid 4014 --swversion DE.1.0.8.0 --startMP 204:953 --initTime 2016-12-05T07:05:38 --startdatetime 2016-12-05T07:21:22 --delay 1 --endMP 300:39078 --enddatetime 2016-12-05T07:36:45 --enforcementcount 2 &gt;&gt;C:\Users\stu\Documents\GitHub\eaglep3-reporting\EC\2016-12-05-refined-times.txt</v>
      </c>
      <c r="AI166" s="119" t="str">
        <f t="shared" si="7"/>
        <v>echo {"issue":{"subject":"TMDS Freeze? No clear controls sent to Pecos 4N","project_id":79,"tracker_id":40,"status_id":1,"priority_id":2,"assigned_to_id":23,"start_date":"2016-12-05","description":"","custom_fields":[{"id":1,"name":"Subdivision","value":"NW"},{"id":4,"name":"Milepost","value":"3.9078"},{"id":17,"name":"Train ID","value":"807-05"},{"id":16,"name":"Locomotive ID","value":"4014"},{"id":130,"name":"Impact","value":""},{"id":150,"name":"Time of Event (Mountain Time)","value":"07:36:45"},{"id":151,"name":"Denver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</row>
    <row r="167" spans="1:91" s="21" customFormat="1" x14ac:dyDescent="0.25">
      <c r="A167" s="37" t="s">
        <v>507</v>
      </c>
      <c r="B167" s="7">
        <v>4013</v>
      </c>
      <c r="C167" s="22" t="s">
        <v>208</v>
      </c>
      <c r="D167" s="22" t="s">
        <v>781</v>
      </c>
      <c r="E167" s="13">
        <v>42709.325509259259</v>
      </c>
      <c r="F167" s="13">
        <v>42709.326932870368</v>
      </c>
      <c r="G167" s="7">
        <v>1</v>
      </c>
      <c r="H167" s="22" t="s">
        <v>782</v>
      </c>
      <c r="I167" s="13">
        <v>42709.337627314817</v>
      </c>
      <c r="J167" s="7">
        <v>2</v>
      </c>
      <c r="K167" s="109" t="str">
        <f>IF(ISEVEN(B167),(B167-1)&amp;"/"&amp;B167,B167&amp;"/"&amp;(B167+1))</f>
        <v>4013/4014</v>
      </c>
      <c r="L167" s="22" t="str">
        <f>VLOOKUP(A167,'Trips&amp;Operators'!$C$1:$G$99999,5,FALSE)</f>
        <v>DE LA ROSA ALEX</v>
      </c>
      <c r="M167" s="6">
        <f>I167-F167</f>
        <v>1.0694444448745344E-2</v>
      </c>
      <c r="N167" s="7">
        <f>24*60*SUM($M167:$M167)</f>
        <v>15.400000006193295</v>
      </c>
      <c r="O167" s="7"/>
      <c r="P167" s="7"/>
      <c r="Q167" s="23"/>
      <c r="R167" s="23"/>
      <c r="S167" s="35">
        <f>SUM(U167:U167)/IF(AG167="EC",12,1)</f>
        <v>1</v>
      </c>
      <c r="T167" s="50" t="str">
        <f>IF(ISEVEN(LEFT(AD167,4)),"Southbound","NorthBound")</f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hh:mm:ss")&amp;utc_offset&amp;"00',mode:absolute,to:'"&amp;TEXT(I167+1/24,"yyyy-MM-DD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https://search-rtdc-monitor-bjffxe2xuh6vdkpspy63sjmuny.us-east-1.es.amazonaws.com/_plugin/kibana/#/discover/Steve-Slow-Train-Analysis-(2080s-and-2083s)?_g=(refreshInterval:(display:Off,section:0,value:0),time:(from:'2016-12-05 06:48:44-700',mode:absolute,to:'2016-12-05 09:06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7" s="52" t="str">
        <f>IF(AA167&lt;IF(AG167="EC",23,5.65),"Y","N")</f>
        <v>N</v>
      </c>
      <c r="X167" s="177">
        <f>VALUE(LEFT(AD167,4))-VALUE(LEFT(AD166,4))</f>
        <v>1</v>
      </c>
      <c r="Y167" s="67">
        <f>RIGHT(D167,LEN(D167)-4)/10000</f>
        <v>5.8639999999999999</v>
      </c>
      <c r="Z167" s="67">
        <f>RIGHT(H167,LEN(H167)-4)/10000</f>
        <v>6.8199999999999997E-2</v>
      </c>
      <c r="AA167" s="67">
        <f>ABS(Z167-Y167)</f>
        <v>5.7957999999999998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>IF(LEN(A167)=6,"0"&amp;A167,A167)</f>
        <v>0808-05</v>
      </c>
      <c r="AE167" s="91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AF167" s="88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/stypes="app*4013*20161205*" /stext=" 15:.+((SYSTEM_STATE.+slice.+state.+changed )|(ment ac)|(multiple cpu faults)|(system.+state.+changed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92" t="str">
        <f t="shared" si="6"/>
        <v>"%USERPROFILE%\Documents\GitHub\eaglep3\Utilities\RefineRTDCRunTimes.py" --tripid 808-05 --locoid 4013 --swversion DE.1.0.8.0 --startMP 300:58640 --initTime 2016-12-05T07:48:44 --startdatetime 2016-12-05T07:50:47 --delay 1 --endMP 204:682 --enddatetime 2016-12-05T08:06:11 --enforcementcount 2 &gt;&gt;C:\Users\stu\Documents\GitHub\eaglep3-reporting\EC\2016-12-05-refined-times.txt</v>
      </c>
      <c r="AI167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{"issue":{"subject":"","project_id":79,"tracker_id":40,"status_id":1,"priority_id":2,"assigned_to_id":23,"start_date":"2016-12-05","description":"","custom_fields":[{"id":1,"name":"Subdivision","value":"NW"},{"id":4,"name":"Milepost","value":"0.0682"},{"id":17,"name":"Train ID","value":"808-05"},{"id":16,"name":"Locomotive ID","value":"4013"},{"id":130,"name":"Impact","value":""},{"id":150,"name":"Time of Event (Mountain Time)","value":"08:06:11"},{"id":151,"name":"Denver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506</v>
      </c>
      <c r="B168" s="7">
        <v>4016</v>
      </c>
      <c r="C168" s="22" t="s">
        <v>208</v>
      </c>
      <c r="D168" s="22" t="s">
        <v>414</v>
      </c>
      <c r="E168" s="13">
        <v>42709.325162037036</v>
      </c>
      <c r="F168" s="13">
        <v>42709.327233796299</v>
      </c>
      <c r="G168" s="7">
        <v>0</v>
      </c>
      <c r="H168" s="22" t="s">
        <v>783</v>
      </c>
      <c r="I168" s="13">
        <v>42709.332824074074</v>
      </c>
      <c r="J168" s="7">
        <v>2</v>
      </c>
      <c r="K168" s="109" t="str">
        <f>IF(ISEVEN(B168),(B168-1)&amp;"/"&amp;B168,B168&amp;"/"&amp;(B168+1))</f>
        <v>4015/4016</v>
      </c>
      <c r="L168" s="22" t="str">
        <f>VLOOKUP(A168,'Trips&amp;Operators'!$C$1:$G$99999,5,FALSE)</f>
        <v>DAVIS WENDY</v>
      </c>
      <c r="M168" s="6">
        <f>I168-F168</f>
        <v>5.5902777748997323E-3</v>
      </c>
      <c r="N168" s="7"/>
      <c r="O168" s="7"/>
      <c r="P168" s="7">
        <f>24*60*SUM($M168:$M168)</f>
        <v>8.0499999958556145</v>
      </c>
      <c r="Q168" s="23"/>
      <c r="R168" s="23" t="s">
        <v>853</v>
      </c>
      <c r="S168" s="35">
        <f>SUM(U168:U168)/IF(AG168="EC",12,1)</f>
        <v>1</v>
      </c>
      <c r="T168" s="50" t="str">
        <f>IF(ISEVEN(LEFT(AD168,4)),"Southbound","NorthBound")</f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hh:mm:ss")&amp;utc_offset&amp;"00',mode:absolute,to:'"&amp;TEXT(I168+1/24,"yyyy-MM-DD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https://search-rtdc-monitor-bjffxe2xuh6vdkpspy63sjmuny.us-east-1.es.amazonaws.com/_plugin/kibana/#/discover/Steve-Slow-Train-Analysis-(2080s-and-2083s)?_g=(refreshInterval:(display:Off,section:0,value:0),time:(from:'2016-12-05 06:48:14-700',mode:absolute,to:'2016-12-05 08:59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8" s="52" t="str">
        <f>IF(AA168&lt;IF(AG168="EC",23,5.65),"Y","N")</f>
        <v>Y</v>
      </c>
      <c r="X168" s="177">
        <f>VALUE(LEFT(AD168,4))-VALUE(LEFT(AD167,4))</f>
        <v>1</v>
      </c>
      <c r="Y168" s="67">
        <f>RIGHT(D168,LEN(D168)-4)/10000</f>
        <v>9.3600000000000003E-2</v>
      </c>
      <c r="Z168" s="67">
        <f>RIGHT(H168,LEN(H168)-4)/10000</f>
        <v>2.9176000000000002</v>
      </c>
      <c r="AA168" s="67">
        <f>ABS(Z168-Y168)</f>
        <v>2.8240000000000003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>IF(LEN(A168)=6,"0"&amp;A168,A168)</f>
        <v>0809-05</v>
      </c>
      <c r="AE168" s="91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s3://rtdc.mdm.uploadarchive.raw/RTDC4016/ "%USERPROFILE%\AppData\Local\Temp\OnboardLogs"\RTDC4016\2016-12-05 --exclude "*" --recursive --include "*20161205*" &amp; "%USERPROFILE%\Documents\GitHub\mrs-test-scripts\Headless Mode &amp; Sideloading\WalkAndUnGZ.bat" "%USERPROFILE%\AppData\Local\Temp\OnboardLogs"\RTDC4016\2016-12-05 &amp; 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</v>
      </c>
      <c r="AF168" s="88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/stypes="app*4016*20161205*" /stext=" 14:.+((SYSTEM_STATE.+slice.+state.+changed )|(ment ac)|(multiple cpu faults)|(system.+state.+changed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92" t="str">
        <f t="shared" si="6"/>
        <v>"%USERPROFILE%\Documents\GitHub\eaglep3\Utilities\RefineRTDCRunTimes.py" --tripid 809-05 --locoid 4016 --swversion DE.1.0.8.0 --startMP 204:936 --initTime 2016-12-05T07:48:14 --startdatetime 2016-12-05T07:51:13 --delay 0 --endMP 300:29176 --enddatetime 2016-12-05T07:59:16 --enforcementcount 2 &gt;&gt;C:\Users\stu\Documents\GitHub\eaglep3-reporting\EC\2016-12-05-refined-times.txt</v>
      </c>
      <c r="AI168" s="119" t="str">
        <f t="shared" si="7"/>
        <v>echo {"issue":{"subject":"TMDS Freeze? No clear controls sent to CRMFN 4N","project_id":79,"tracker_id":40,"status_id":1,"priority_id":2,"assigned_to_id":23,"start_date":"2016-12-05","description":"","custom_fields":[{"id":1,"name":"Subdivision","value":"NW"},{"id":4,"name":"Milepost","value":"2.9176"},{"id":17,"name":"Train ID","value":"809-05"},{"id":16,"name":"Locomotive ID","value":"4016"},{"id":130,"name":"Impact","value":""},{"id":150,"name":"Time of Event (Mountain Time)","value":"07:59:16"},{"id":151,"name":"Denver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435</v>
      </c>
      <c r="B169" s="7">
        <v>4015</v>
      </c>
      <c r="C169" s="22" t="s">
        <v>208</v>
      </c>
      <c r="D169" s="22" t="s">
        <v>784</v>
      </c>
      <c r="E169" s="13">
        <v>42709.34479166667</v>
      </c>
      <c r="F169" s="13">
        <v>42709.345821759256</v>
      </c>
      <c r="G169" s="7">
        <v>0</v>
      </c>
      <c r="H169" s="22" t="s">
        <v>773</v>
      </c>
      <c r="I169" s="13">
        <v>42709.35596064815</v>
      </c>
      <c r="J169" s="7">
        <v>2</v>
      </c>
      <c r="K169" s="109" t="str">
        <f>IF(ISEVEN(B169),(B169-1)&amp;"/"&amp;B169,B169&amp;"/"&amp;(B169+1))</f>
        <v>4015/4016</v>
      </c>
      <c r="L169" s="22" t="str">
        <f>VLOOKUP(A169,'Trips&amp;Operators'!$C$1:$G$99999,5,FALSE)</f>
        <v>DAVIS WENDY</v>
      </c>
      <c r="M169" s="6">
        <f>I169-F169</f>
        <v>1.0138888894289266E-2</v>
      </c>
      <c r="N169" s="7">
        <f>24*60*SUM($M169:$M169)</f>
        <v>14.600000007776543</v>
      </c>
      <c r="O169" s="7"/>
      <c r="P169" s="7"/>
      <c r="Q169" s="23"/>
      <c r="R169" s="23"/>
      <c r="S169" s="35">
        <f>SUM(U169:U169)/IF(AG169="EC",12,1)</f>
        <v>1</v>
      </c>
      <c r="T169" s="50" t="str">
        <f>IF(ISEVEN(LEFT(AD169,4)),"Southbound","NorthBound")</f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hh:mm:ss")&amp;utc_offset&amp;"00',mode:absolute,to:'"&amp;TEXT(I169+1/24,"yyyy-MM-DD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https://search-rtdc-monitor-bjffxe2xuh6vdkpspy63sjmuny.us-east-1.es.amazonaws.com/_plugin/kibana/#/discover/Steve-Slow-Train-Analysis-(2080s-and-2083s)?_g=(refreshInterval:(display:Off,section:0,value:0),time:(from:'2016-12-05 07:16:30-700',mode:absolute,to:'2016-12-05 09:32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9" s="52" t="str">
        <f>IF(AA169&lt;IF(AG169="EC",23,5.65),"Y","N")</f>
        <v>N</v>
      </c>
      <c r="X169" s="177">
        <f>VALUE(LEFT(AD169,4))-VALUE(LEFT(AD168,4))</f>
        <v>1</v>
      </c>
      <c r="Y169" s="67">
        <f>RIGHT(D169,LEN(D169)-4)/10000</f>
        <v>5.8707000000000003</v>
      </c>
      <c r="Z169" s="67">
        <f>RIGHT(H169,LEN(H169)-4)/10000</f>
        <v>6.2899999999999998E-2</v>
      </c>
      <c r="AA169" s="67">
        <f>ABS(Z169-Y169)</f>
        <v>5.8078000000000003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>IF(LEN(A169)=6,"0"&amp;A169,A169)</f>
        <v>0810-05</v>
      </c>
      <c r="AE169" s="91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s3://rtdc.mdm.uploadarchive.raw/RTDC4015/ "%USERPROFILE%\AppData\Local\Temp\OnboardLogs"\RTDC4015\2016-12-05 --exclude "*" --recursive --include "*20161205*" &amp; "%USERPROFILE%\Documents\GitHub\mrs-test-scripts\Headless Mode &amp; Sideloading\WalkAndUnGZ.bat" "%USERPROFILE%\AppData\Local\Temp\OnboardLogs"\RTDC4015\2016-12-05 &amp; 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</v>
      </c>
      <c r="AF169" s="88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/stypes="app*4015*20161205*" /stext=" 15:.+((SYSTEM_STATE.+slice.+state.+changed )|(ment ac)|(multiple cpu faults)|(system.+state.+changed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92" t="str">
        <f t="shared" si="6"/>
        <v>"%USERPROFILE%\Documents\GitHub\eaglep3\Utilities\RefineRTDCRunTimes.py" --tripid 810-05 --locoid 4015 --swversion DE.1.0.8.0 --startMP 300:58707 --initTime 2016-12-05T08:16:30 --startdatetime 2016-12-05T08:17:59 --delay 0 --endMP 204:629 --enddatetime 2016-12-05T08:32:35 --enforcementcount 2 &gt;&gt;C:\Users\stu\Documents\GitHub\eaglep3-reporting\EC\2016-12-05-refined-times.txt</v>
      </c>
      <c r="AI169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{"issue":{"subject":"","project_id":79,"tracker_id":40,"status_id":1,"priority_id":2,"assigned_to_id":23,"start_date":"2016-12-05","description":"","custom_fields":[{"id":1,"name":"Subdivision","value":"NW"},{"id":4,"name":"Milepost","value":"0.0629"},{"id":17,"name":"Train ID","value":"810-05"},{"id":16,"name":"Locomotive ID","value":"4015"},{"id":130,"name":"Impact","value":""},{"id":150,"name":"Time of Event (Mountain Time)","value":"08:32:35"},{"id":151,"name":"Denver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s="21" customFormat="1" x14ac:dyDescent="0.25">
      <c r="A170" s="37" t="s">
        <v>510</v>
      </c>
      <c r="B170" s="7">
        <v>4014</v>
      </c>
      <c r="C170" s="22" t="s">
        <v>208</v>
      </c>
      <c r="D170" s="22" t="s">
        <v>785</v>
      </c>
      <c r="E170" s="13">
        <v>42709.341990740744</v>
      </c>
      <c r="F170" s="13">
        <v>42709.348113425927</v>
      </c>
      <c r="G170" s="7">
        <v>1</v>
      </c>
      <c r="H170" s="22" t="s">
        <v>786</v>
      </c>
      <c r="I170" s="13">
        <v>42709.358124999999</v>
      </c>
      <c r="J170" s="7">
        <v>2</v>
      </c>
      <c r="K170" s="109" t="str">
        <f>IF(ISEVEN(B170),(B170-1)&amp;"/"&amp;B170,B170&amp;"/"&amp;(B170+1))</f>
        <v>4013/4014</v>
      </c>
      <c r="L170" s="22" t="str">
        <f>VLOOKUP(A170,'Trips&amp;Operators'!$C$1:$G$99999,5,FALSE)</f>
        <v>SAFIEF AEIMEN</v>
      </c>
      <c r="M170" s="6">
        <f>I170-F170</f>
        <v>1.0011574071540963E-2</v>
      </c>
      <c r="N170" s="7">
        <f>24*60*SUM($M170:$M170)</f>
        <v>14.416666663018987</v>
      </c>
      <c r="O170" s="7"/>
      <c r="P170" s="7"/>
      <c r="Q170" s="23"/>
      <c r="R170" s="23"/>
      <c r="S170" s="35">
        <f>SUM(U170:U170)/IF(AG170="EC",12,1)</f>
        <v>1</v>
      </c>
      <c r="T170" s="50" t="str">
        <f>IF(ISEVEN(LEFT(AD170,4)),"Southbound","NorthBound")</f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hh:mm:ss")&amp;utc_offset&amp;"00',mode:absolute,to:'"&amp;TEXT(I170+1/24,"yyyy-MM-DD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https://search-rtdc-monitor-bjffxe2xuh6vdkpspy63sjmuny.us-east-1.es.amazonaws.com/_plugin/kibana/#/discover/Steve-Slow-Train-Analysis-(2080s-and-2083s)?_g=(refreshInterval:(display:Off,section:0,value:0),time:(from:'2016-12-05 07:12:28-700',mode:absolute,to:'2016-12-05 09:35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0" s="52" t="str">
        <f>IF(AA170&lt;IF(AG170="EC",23,5.65),"Y","N")</f>
        <v>N</v>
      </c>
      <c r="X170" s="177">
        <f>VALUE(LEFT(AD170,4))-VALUE(LEFT(AD169,4))</f>
        <v>1</v>
      </c>
      <c r="Y170" s="67">
        <f>RIGHT(D170,LEN(D170)-4)/10000</f>
        <v>9.69E-2</v>
      </c>
      <c r="Z170" s="67">
        <f>RIGHT(H170,LEN(H170)-4)/10000</f>
        <v>5.8924000000000003</v>
      </c>
      <c r="AA170" s="67">
        <f>ABS(Z170-Y170)</f>
        <v>5.7955000000000005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>IF(LEN(A170)=6,"0"&amp;A170,A170)</f>
        <v>0811-05</v>
      </c>
      <c r="AE170" s="91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AF170" s="88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/stypes="app*4014*20161205*" /stext=" 15:.+((SYSTEM_STATE.+slice.+state.+changed )|(ment ac)|(multiple cpu faults)|(system.+state.+changed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92" t="str">
        <f t="shared" si="6"/>
        <v>"%USERPROFILE%\Documents\GitHub\eaglep3\Utilities\RefineRTDCRunTimes.py" --tripid 811-05 --locoid 4014 --swversion DE.1.0.8.0 --startMP 204:969 --initTime 2016-12-05T08:12:28 --startdatetime 2016-12-05T08:21:17 --delay 1 --endMP 300:58924 --enddatetime 2016-12-05T08:35:42 --enforcementcount 2 &gt;&gt;C:\Users\stu\Documents\GitHub\eaglep3-reporting\EC\2016-12-05-refined-times.txt</v>
      </c>
      <c r="AI170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{"issue":{"subject":"","project_id":79,"tracker_id":40,"status_id":1,"priority_id":2,"assigned_to_id":23,"start_date":"2016-12-05","description":"","custom_fields":[{"id":1,"name":"Subdivision","value":"NW"},{"id":4,"name":"Milepost","value":"5.8924"},{"id":17,"name":"Train ID","value":"811-05"},{"id":16,"name":"Locomotive ID","value":"4014"},{"id":130,"name":"Impact","value":""},{"id":150,"name":"Time of Event (Mountain Time)","value":"08:35:42"},{"id":151,"name":"Denver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515</v>
      </c>
      <c r="B171" s="7">
        <v>4013</v>
      </c>
      <c r="C171" s="22" t="s">
        <v>208</v>
      </c>
      <c r="D171" s="22" t="s">
        <v>787</v>
      </c>
      <c r="E171" s="13">
        <v>42709.359120370369</v>
      </c>
      <c r="F171" s="13">
        <v>42709.361180555556</v>
      </c>
      <c r="G171" s="7">
        <v>1</v>
      </c>
      <c r="H171" s="22" t="s">
        <v>782</v>
      </c>
      <c r="I171" s="13">
        <v>42709.371886574074</v>
      </c>
      <c r="J171" s="7">
        <v>2</v>
      </c>
      <c r="K171" s="109" t="str">
        <f>IF(ISEVEN(B171),(B171-1)&amp;"/"&amp;B171,B171&amp;"/"&amp;(B171+1))</f>
        <v>4013/4014</v>
      </c>
      <c r="L171" s="22" t="str">
        <f>VLOOKUP(A171,'Trips&amp;Operators'!$C$1:$G$99999,5,FALSE)</f>
        <v>SAFIEF AEIMEN</v>
      </c>
      <c r="M171" s="6">
        <f>I171-F171</f>
        <v>1.0706018518249039E-2</v>
      </c>
      <c r="N171" s="7">
        <f>24*60*SUM($M171:$M171)</f>
        <v>15.416666666278616</v>
      </c>
      <c r="O171" s="7"/>
      <c r="P171" s="7"/>
      <c r="Q171" s="23"/>
      <c r="R171" s="23"/>
      <c r="S171" s="35">
        <f>SUM(U171:U171)/IF(AG171="EC",12,1)</f>
        <v>1</v>
      </c>
      <c r="T171" s="50" t="str">
        <f>IF(ISEVEN(LEFT(AD171,4)),"Southbound","NorthBound")</f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hh:mm:ss")&amp;utc_offset&amp;"00',mode:absolute,to:'"&amp;TEXT(I171+1/24,"yyyy-MM-DD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https://search-rtdc-monitor-bjffxe2xuh6vdkpspy63sjmuny.us-east-1.es.amazonaws.com/_plugin/kibana/#/discover/Steve-Slow-Train-Analysis-(2080s-and-2083s)?_g=(refreshInterval:(display:Off,section:0,value:0),time:(from:'2016-12-05 07:37:08-700',mode:absolute,to:'2016-12-05 09:55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1" s="52" t="str">
        <f>IF(AA171&lt;IF(AG171="EC",23,5.65),"Y","N")</f>
        <v>N</v>
      </c>
      <c r="X171" s="177">
        <f>VALUE(LEFT(AD171,4))-VALUE(LEFT(AD170,4))</f>
        <v>1</v>
      </c>
      <c r="Y171" s="67">
        <f>RIGHT(D171,LEN(D171)-4)/10000</f>
        <v>5.8605999999999998</v>
      </c>
      <c r="Z171" s="67">
        <f>RIGHT(H171,LEN(H171)-4)/10000</f>
        <v>6.8199999999999997E-2</v>
      </c>
      <c r="AA171" s="67">
        <f>ABS(Z171-Y171)</f>
        <v>5.7923999999999998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>IF(LEN(A171)=6,"0"&amp;A171,A171)</f>
        <v>0812-05</v>
      </c>
      <c r="AE171" s="91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AF171" s="88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/stypes="app*4013*20161205*" /stext=" 15:.+((SYSTEM_STATE.+slice.+state.+changed )|(ment ac)|(multiple cpu faults)|(system.+state.+changed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92" t="str">
        <f t="shared" si="6"/>
        <v>"%USERPROFILE%\Documents\GitHub\eaglep3\Utilities\RefineRTDCRunTimes.py" --tripid 812-05 --locoid 4013 --swversion DE.1.0.8.0 --startMP 300:58606 --initTime 2016-12-05T08:37:08 --startdatetime 2016-12-05T08:40:06 --delay 1 --endMP 204:682 --enddatetime 2016-12-05T08:55:31 --enforcementcount 2 &gt;&gt;C:\Users\stu\Documents\GitHub\eaglep3-reporting\EC\2016-12-05-refined-times.txt</v>
      </c>
      <c r="AI171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{"issue":{"subject":"","project_id":79,"tracker_id":40,"status_id":1,"priority_id":2,"assigned_to_id":23,"start_date":"2016-12-05","description":"","custom_fields":[{"id":1,"name":"Subdivision","value":"NW"},{"id":4,"name":"Milepost","value":"0.0682"},{"id":17,"name":"Train ID","value":"812-05"},{"id":16,"name":"Locomotive ID","value":"4013"},{"id":130,"name":"Impact","value":""},{"id":150,"name":"Time of Event (Mountain Time)","value":"08:55:31"},{"id":151,"name":"Denver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521</v>
      </c>
      <c r="B172" s="7">
        <v>4014</v>
      </c>
      <c r="C172" s="22" t="s">
        <v>208</v>
      </c>
      <c r="D172" s="22" t="s">
        <v>774</v>
      </c>
      <c r="E172" s="13">
        <v>42709.383657407408</v>
      </c>
      <c r="F172" s="13">
        <v>42709.389780092592</v>
      </c>
      <c r="G172" s="7">
        <v>1</v>
      </c>
      <c r="H172" s="22" t="s">
        <v>408</v>
      </c>
      <c r="I172" s="13">
        <v>42709.398333333331</v>
      </c>
      <c r="J172" s="7">
        <v>2</v>
      </c>
      <c r="K172" s="109" t="str">
        <f>IF(ISEVEN(B172),(B172-1)&amp;"/"&amp;B172,B172&amp;"/"&amp;(B172+1))</f>
        <v>4013/4014</v>
      </c>
      <c r="L172" s="22" t="str">
        <f>VLOOKUP(A172,'Trips&amp;Operators'!$C$1:$G$99999,5,FALSE)</f>
        <v>SAFIEF AEIMEN</v>
      </c>
      <c r="M172" s="6">
        <f>I172-F172</f>
        <v>8.55324073927477E-3</v>
      </c>
      <c r="N172" s="7">
        <f>24*60*SUM($M172:$M172)</f>
        <v>12.316666664555669</v>
      </c>
      <c r="O172" s="7"/>
      <c r="P172" s="7"/>
      <c r="Q172" s="23"/>
      <c r="R172" s="23"/>
      <c r="S172" s="35">
        <f>SUM(U172:U172)/IF(AG172="EC",12,1)</f>
        <v>1</v>
      </c>
      <c r="T172" s="50" t="str">
        <f>IF(ISEVEN(LEFT(AD172,4)),"Southbound","NorthBound")</f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hh:mm:ss")&amp;utc_offset&amp;"00',mode:absolute,to:'"&amp;TEXT(I172+1/24,"yyyy-MM-DD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https://search-rtdc-monitor-bjffxe2xuh6vdkpspy63sjmuny.us-east-1.es.amazonaws.com/_plugin/kibana/#/discover/Steve-Slow-Train-Analysis-(2080s-and-2083s)?_g=(refreshInterval:(display:Off,section:0,value:0),time:(from:'2016-12-05 08:12:28-700',mode:absolute,to:'2016-12-05 10:33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2" s="52" t="str">
        <f>IF(AA172&lt;IF(AG172="EC",23,5.65),"Y","N")</f>
        <v>N</v>
      </c>
      <c r="X172" s="177">
        <f>VALUE(LEFT(AD172,4))-VALUE(LEFT(AD171,4))</f>
        <v>1</v>
      </c>
      <c r="Y172" s="67">
        <f>RIGHT(D172,LEN(D172)-4)/10000</f>
        <v>9.5699999999999993E-2</v>
      </c>
      <c r="Z172" s="67">
        <f>RIGHT(H172,LEN(H172)-4)/10000</f>
        <v>5.8958000000000004</v>
      </c>
      <c r="AA172" s="67">
        <f>ABS(Z172-Y172)</f>
        <v>5.8001000000000005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>IF(LEN(A172)=6,"0"&amp;A172,A172)</f>
        <v>0813-05</v>
      </c>
      <c r="AE172" s="91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AF172" s="88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/stypes="app*4014*20161205*" /stext=" 16:.+((SYSTEM_STATE.+slice.+state.+changed )|(ment ac)|(multiple cpu faults)|(system.+state.+changed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92" t="str">
        <f t="shared" si="6"/>
        <v>"%USERPROFILE%\Documents\GitHub\eaglep3\Utilities\RefineRTDCRunTimes.py" --tripid 813-05 --locoid 4014 --swversion DE.1.0.8.0 --startMP 204:957 --initTime 2016-12-05T09:12:28 --startdatetime 2016-12-05T09:21:17 --delay 1 --endMP 300:58958 --enddatetime 2016-12-05T09:33:36 --enforcementcount 2 &gt;&gt;C:\Users\stu\Documents\GitHub\eaglep3-reporting\EC\2016-12-05-refined-times.txt</v>
      </c>
      <c r="AI172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{"issue":{"subject":"","project_id":79,"tracker_id":40,"status_id":1,"priority_id":2,"assigned_to_id":23,"start_date":"2016-12-05","description":"","custom_fields":[{"id":1,"name":"Subdivision","value":"NW"},{"id":4,"name":"Milepost","value":"5.8958"},{"id":17,"name":"Train ID","value":"813-05"},{"id":16,"name":"Locomotive ID","value":"4014"},{"id":130,"name":"Impact","value":""},{"id":150,"name":"Time of Event (Mountain Time)","value":"09:33:36"},{"id":151,"name":"Denver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7" t="s">
        <v>438</v>
      </c>
      <c r="B173" s="7">
        <v>4013</v>
      </c>
      <c r="C173" s="22" t="s">
        <v>208</v>
      </c>
      <c r="D173" s="22" t="s">
        <v>781</v>
      </c>
      <c r="E173" s="13">
        <v>42709.399641203701</v>
      </c>
      <c r="F173" s="13">
        <v>42709.401319444441</v>
      </c>
      <c r="G173" s="7">
        <v>1</v>
      </c>
      <c r="H173" s="22" t="s">
        <v>788</v>
      </c>
      <c r="I173" s="13">
        <v>42709.413425925923</v>
      </c>
      <c r="J173" s="7">
        <v>2</v>
      </c>
      <c r="K173" s="109" t="str">
        <f>IF(ISEVEN(B173),(B173-1)&amp;"/"&amp;B173,B173&amp;"/"&amp;(B173+1))</f>
        <v>4013/4014</v>
      </c>
      <c r="L173" s="22" t="str">
        <f>VLOOKUP(A173,'Trips&amp;Operators'!$C$1:$G$99999,5,FALSE)</f>
        <v>SAFIEF AEIMEN</v>
      </c>
      <c r="M173" s="6">
        <f>I173-F173</f>
        <v>1.2106481481168885E-2</v>
      </c>
      <c r="N173" s="7">
        <f>24*60*SUM($M173:$M173)</f>
        <v>17.433333332883194</v>
      </c>
      <c r="O173" s="7"/>
      <c r="P173" s="7"/>
      <c r="Q173" s="23"/>
      <c r="R173" s="23"/>
      <c r="S173" s="35">
        <f>SUM(U173:U173)/IF(AG173="EC",12,1)</f>
        <v>1</v>
      </c>
      <c r="T173" s="50" t="str">
        <f>IF(ISEVEN(LEFT(AD173,4)),"Southbound","NorthBound")</f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hh:mm:ss")&amp;utc_offset&amp;"00',mode:absolute,to:'"&amp;TEXT(I173+1/24,"yyyy-MM-DD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https://search-rtdc-monitor-bjffxe2xuh6vdkpspy63sjmuny.us-east-1.es.amazonaws.com/_plugin/kibana/#/discover/Steve-Slow-Train-Analysis-(2080s-and-2083s)?_g=(refreshInterval:(display:Off,section:0,value:0),time:(from:'2016-12-05 08:35:29-700',mode:absolute,to:'2016-12-05 10:55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3" s="52" t="str">
        <f>IF(AA173&lt;IF(AG173="EC",23,5.65),"Y","N")</f>
        <v>N</v>
      </c>
      <c r="X173" s="177">
        <f>VALUE(LEFT(AD173,4))-VALUE(LEFT(AD172,4))</f>
        <v>1</v>
      </c>
      <c r="Y173" s="67">
        <f>RIGHT(D173,LEN(D173)-4)/10000</f>
        <v>5.8639999999999999</v>
      </c>
      <c r="Z173" s="67">
        <f>RIGHT(H173,LEN(H173)-4)/10000</f>
        <v>6.7100000000000007E-2</v>
      </c>
      <c r="AA173" s="67">
        <f>ABS(Z173-Y173)</f>
        <v>5.7968999999999999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>IF(LEN(A173)=6,"0"&amp;A173,A173)</f>
        <v>0814-05</v>
      </c>
      <c r="AE173" s="91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AF173" s="88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/stypes="app*4013*20161205*" /stext=" 16:.+((SYSTEM_STATE.+slice.+state.+changed )|(ment ac)|(multiple cpu faults)|(system.+state.+changed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92" t="str">
        <f t="shared" si="6"/>
        <v>"%USERPROFILE%\Documents\GitHub\eaglep3\Utilities\RefineRTDCRunTimes.py" --tripid 814-05 --locoid 4013 --swversion DE.1.0.8.0 --startMP 300:58640 --initTime 2016-12-05T09:35:29 --startdatetime 2016-12-05T09:37:54 --delay 1 --endMP 204:671 --enddatetime 2016-12-05T09:55:20 --enforcementcount 2 &gt;&gt;C:\Users\stu\Documents\GitHub\eaglep3-reporting\EC\2016-12-05-refined-times.txt</v>
      </c>
      <c r="AI173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{"issue":{"subject":"","project_id":79,"tracker_id":40,"status_id":1,"priority_id":2,"assigned_to_id":23,"start_date":"2016-12-05","description":"","custom_fields":[{"id":1,"name":"Subdivision","value":"NW"},{"id":4,"name":"Milepost","value":"0.0671"},{"id":17,"name":"Train ID","value":"814-05"},{"id":16,"name":"Locomotive ID","value":"4013"},{"id":130,"name":"Impact","value":""},{"id":150,"name":"Time of Event (Mountain Time)","value":"09:55:20"},{"id":151,"name":"Denver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s="21" customFormat="1" x14ac:dyDescent="0.25">
      <c r="A174" s="37" t="s">
        <v>527</v>
      </c>
      <c r="B174" s="7">
        <v>4014</v>
      </c>
      <c r="C174" s="22" t="s">
        <v>208</v>
      </c>
      <c r="D174" s="22" t="s">
        <v>347</v>
      </c>
      <c r="E174" s="13">
        <v>42709.415416666663</v>
      </c>
      <c r="F174" s="13">
        <v>42709.431550925925</v>
      </c>
      <c r="G174" s="7">
        <v>1</v>
      </c>
      <c r="H174" s="22" t="s">
        <v>786</v>
      </c>
      <c r="I174" s="13">
        <v>42709.441064814811</v>
      </c>
      <c r="J174" s="7">
        <v>2</v>
      </c>
      <c r="K174" s="109" t="str">
        <f>IF(ISEVEN(B174),(B174-1)&amp;"/"&amp;B174,B174&amp;"/"&amp;(B174+1))</f>
        <v>4013/4014</v>
      </c>
      <c r="L174" s="22" t="str">
        <f>VLOOKUP(A174,'Trips&amp;Operators'!$C$1:$G$99999,5,FALSE)</f>
        <v>SAFIEF AEIMEN</v>
      </c>
      <c r="M174" s="6">
        <f>I174-F174</f>
        <v>9.5138888864312321E-3</v>
      </c>
      <c r="N174" s="7">
        <f>24*60*SUM($M174:$M174)</f>
        <v>13.699999996460974</v>
      </c>
      <c r="O174" s="7"/>
      <c r="P174" s="7"/>
      <c r="Q174" s="23"/>
      <c r="R174" s="23"/>
      <c r="S174" s="35">
        <f>SUM(U174:U174)/IF(AG174="EC",12,1)</f>
        <v>1</v>
      </c>
      <c r="T174" s="50" t="str">
        <f>IF(ISEVEN(LEFT(AD174,4)),"Southbound","NorthBound")</f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hh:mm:ss")&amp;utc_offset&amp;"00',mode:absolute,to:'"&amp;TEXT(I174+1/24,"yyyy-MM-DD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https://search-rtdc-monitor-bjffxe2xuh6vdkpspy63sjmuny.us-east-1.es.amazonaws.com/_plugin/kibana/#/discover/Steve-Slow-Train-Analysis-(2080s-and-2083s)?_g=(refreshInterval:(display:Off,section:0,value:0),time:(from:'2016-12-05 08:58:12-700',mode:absolute,to:'2016-12-05 11:35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4" s="52" t="str">
        <f>IF(AA174&lt;IF(AG174="EC",23,5.65),"Y","N")</f>
        <v>N</v>
      </c>
      <c r="X174" s="177">
        <f>VALUE(LEFT(AD174,4))-VALUE(LEFT(AD173,4))</f>
        <v>1</v>
      </c>
      <c r="Y174" s="67">
        <f>RIGHT(D174,LEN(D174)-4)/10000</f>
        <v>9.74E-2</v>
      </c>
      <c r="Z174" s="67">
        <f>RIGHT(H174,LEN(H174)-4)/10000</f>
        <v>5.8924000000000003</v>
      </c>
      <c r="AA174" s="67">
        <f>ABS(Z174-Y174)</f>
        <v>5.7949999999999999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>IF(LEN(A174)=6,"0"&amp;A174,A174)</f>
        <v>0815-05</v>
      </c>
      <c r="AE174" s="91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AF174" s="88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/stypes="app*4014*20161205*" /stext=" 17:.+((SYSTEM_STATE.+slice.+state.+changed )|(ment ac)|(multiple cpu faults)|(system.+state.+changed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92" t="str">
        <f t="shared" si="6"/>
        <v>"%USERPROFILE%\Documents\GitHub\eaglep3\Utilities\RefineRTDCRunTimes.py" --tripid 815-05 --locoid 4014 --swversion DE.1.0.8.0 --startMP 204:974 --initTime 2016-12-05T09:58:12 --startdatetime 2016-12-05T10:21:26 --delay 1 --endMP 300:58924 --enddatetime 2016-12-05T10:35:08 --enforcementcount 2 &gt;&gt;C:\Users\stu\Documents\GitHub\eaglep3-reporting\EC\2016-12-05-refined-times.txt</v>
      </c>
      <c r="AI174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{"issue":{"subject":"","project_id":79,"tracker_id":40,"status_id":1,"priority_id":2,"assigned_to_id":23,"start_date":"2016-12-05","description":"","custom_fields":[{"id":1,"name":"Subdivision","value":"NW"},{"id":4,"name":"Milepost","value":"5.8924"},{"id":17,"name":"Train ID","value":"815-05"},{"id":16,"name":"Locomotive ID","value":"4014"},{"id":130,"name":"Impact","value":""},{"id":150,"name":"Time of Event (Mountain Time)","value":"10:35:08"},{"id":151,"name":"Denver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535</v>
      </c>
      <c r="B175" s="7">
        <v>4013</v>
      </c>
      <c r="C175" s="22" t="s">
        <v>208</v>
      </c>
      <c r="D175" s="22" t="s">
        <v>789</v>
      </c>
      <c r="E175" s="13">
        <v>42709.442013888889</v>
      </c>
      <c r="F175" s="13">
        <v>42709.443576388891</v>
      </c>
      <c r="G175" s="7">
        <v>1</v>
      </c>
      <c r="H175" s="22" t="s">
        <v>782</v>
      </c>
      <c r="I175" s="13">
        <v>42709.455289351848</v>
      </c>
      <c r="J175" s="7">
        <v>2</v>
      </c>
      <c r="K175" s="109" t="str">
        <f>IF(ISEVEN(B175),(B175-1)&amp;"/"&amp;B175,B175&amp;"/"&amp;(B175+1))</f>
        <v>4013/4014</v>
      </c>
      <c r="L175" s="22" t="str">
        <f>VLOOKUP(A175,'Trips&amp;Operators'!$C$1:$G$99999,5,FALSE)</f>
        <v>SAFIEF AEIMEN</v>
      </c>
      <c r="M175" s="6">
        <f>I175-F175</f>
        <v>1.1712962957972195E-2</v>
      </c>
      <c r="N175" s="7">
        <f>24*60*SUM($M175:$M175)</f>
        <v>16.866666659479961</v>
      </c>
      <c r="O175" s="7"/>
      <c r="P175" s="7"/>
      <c r="Q175" s="23"/>
      <c r="R175" s="23"/>
      <c r="S175" s="35">
        <f>SUM(U175:U175)/IF(AG175="EC",12,1)</f>
        <v>1</v>
      </c>
      <c r="T175" s="50" t="str">
        <f>IF(ISEVEN(LEFT(AD175,4)),"Southbound","NorthBound")</f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hh:mm:ss")&amp;utc_offset&amp;"00',mode:absolute,to:'"&amp;TEXT(I175+1/24,"yyyy-MM-DD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https://search-rtdc-monitor-bjffxe2xuh6vdkpspy63sjmuny.us-east-1.es.amazonaws.com/_plugin/kibana/#/discover/Steve-Slow-Train-Analysis-(2080s-and-2083s)?_g=(refreshInterval:(display:Off,section:0,value:0),time:(from:'2016-12-05 09:36:30-700',mode:absolute,to:'2016-12-05 11:55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5" s="52" t="str">
        <f>IF(AA175&lt;IF(AG175="EC",23,5.65),"Y","N")</f>
        <v>N</v>
      </c>
      <c r="X175" s="177">
        <f>VALUE(LEFT(AD175,4))-VALUE(LEFT(AD174,4))</f>
        <v>1</v>
      </c>
      <c r="Y175" s="67">
        <f>RIGHT(D175,LEN(D175)-4)/10000</f>
        <v>5.86</v>
      </c>
      <c r="Z175" s="67">
        <f>RIGHT(H175,LEN(H175)-4)/10000</f>
        <v>6.8199999999999997E-2</v>
      </c>
      <c r="AA175" s="67">
        <f>ABS(Z175-Y175)</f>
        <v>5.7918000000000003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>IF(LEN(A175)=6,"0"&amp;A175,A175)</f>
        <v>0816-05</v>
      </c>
      <c r="AE175" s="91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AF175" s="88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/stypes="app*4013*20161205*" /stext=" 17:.+((SYSTEM_STATE.+slice.+state.+changed )|(ment ac)|(multiple cpu faults)|(system.+state.+changed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92" t="str">
        <f t="shared" si="6"/>
        <v>"%USERPROFILE%\Documents\GitHub\eaglep3\Utilities\RefineRTDCRunTimes.py" --tripid 816-05 --locoid 4013 --swversion DE.1.0.8.0 --startMP 300:58600 --initTime 2016-12-05T10:36:30 --startdatetime 2016-12-05T10:38:45 --delay 1 --endMP 204:682 --enddatetime 2016-12-05T10:55:37 --enforcementcount 2 &gt;&gt;C:\Users\stu\Documents\GitHub\eaglep3-reporting\EC\2016-12-05-refined-times.txt</v>
      </c>
      <c r="AI175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{"issue":{"subject":"","project_id":79,"tracker_id":40,"status_id":1,"priority_id":2,"assigned_to_id":23,"start_date":"2016-12-05","description":"","custom_fields":[{"id":1,"name":"Subdivision","value":"NW"},{"id":4,"name":"Milepost","value":"0.0682"},{"id":17,"name":"Train ID","value":"816-05"},{"id":16,"name":"Locomotive ID","value":"4013"},{"id":130,"name":"Impact","value":""},{"id":150,"name":"Time of Event (Mountain Time)","value":"10:55:37"},{"id":151,"name":"Denver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543</v>
      </c>
      <c r="B176" s="7">
        <v>4014</v>
      </c>
      <c r="C176" s="22" t="s">
        <v>208</v>
      </c>
      <c r="D176" s="22" t="s">
        <v>790</v>
      </c>
      <c r="E176" s="13">
        <v>42709.470092592594</v>
      </c>
      <c r="F176" s="13">
        <v>42709.473368055558</v>
      </c>
      <c r="G176" s="7">
        <v>1</v>
      </c>
      <c r="H176" s="22" t="s">
        <v>409</v>
      </c>
      <c r="I176" s="13">
        <v>42709.483206018522</v>
      </c>
      <c r="J176" s="7">
        <v>2</v>
      </c>
      <c r="K176" s="109" t="str">
        <f>IF(ISEVEN(B176),(B176-1)&amp;"/"&amp;B176,B176&amp;"/"&amp;(B176+1))</f>
        <v>4013/4014</v>
      </c>
      <c r="L176" s="22" t="str">
        <f>VLOOKUP(A176,'Trips&amp;Operators'!$C$1:$G$99999,5,FALSE)</f>
        <v>SAFIEF AEIMEN</v>
      </c>
      <c r="M176" s="6">
        <f>I176-F176</f>
        <v>9.8379629635019228E-3</v>
      </c>
      <c r="N176" s="7">
        <f>24*60*SUM($M176:$M176)</f>
        <v>14.166666667442769</v>
      </c>
      <c r="O176" s="7"/>
      <c r="P176" s="7"/>
      <c r="Q176" s="23"/>
      <c r="R176" s="23"/>
      <c r="S176" s="35">
        <f>SUM(U176:U176)/IF(AG176="EC",12,1)</f>
        <v>1</v>
      </c>
      <c r="T176" s="50" t="str">
        <f>IF(ISEVEN(LEFT(AD176,4)),"Southbound","NorthBound")</f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hh:mm:ss")&amp;utc_offset&amp;"00',mode:absolute,to:'"&amp;TEXT(I176+1/24,"yyyy-MM-DD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https://search-rtdc-monitor-bjffxe2xuh6vdkpspy63sjmuny.us-east-1.es.amazonaws.com/_plugin/kibana/#/discover/Steve-Slow-Train-Analysis-(2080s-and-2083s)?_g=(refreshInterval:(display:Off,section:0,value:0),time:(from:'2016-12-05 10:16:56-700',mode:absolute,to:'2016-12-05 12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6" s="52" t="str">
        <f>IF(AA176&lt;IF(AG176="EC",23,5.65),"Y","N")</f>
        <v>N</v>
      </c>
      <c r="X176" s="177">
        <f>VALUE(LEFT(AD176,4))-VALUE(LEFT(AD175,4))</f>
        <v>1</v>
      </c>
      <c r="Y176" s="67">
        <f>RIGHT(D176,LEN(D176)-4)/10000</f>
        <v>9.5799999999999996E-2</v>
      </c>
      <c r="Z176" s="67">
        <f>RIGHT(H176,LEN(H176)-4)/10000</f>
        <v>5.8944000000000001</v>
      </c>
      <c r="AA176" s="67">
        <f>ABS(Z176-Y176)</f>
        <v>5.7986000000000004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>IF(LEN(A176)=6,"0"&amp;A176,A176)</f>
        <v>0817-05</v>
      </c>
      <c r="AE176" s="91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AF176" s="88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/stypes="app*4014*20161205*" /stext=" 18:.+((SYSTEM_STATE.+slice.+state.+changed )|(ment ac)|(multiple cpu faults)|(system.+state.+changed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92" t="str">
        <f t="shared" si="6"/>
        <v>"%USERPROFILE%\Documents\GitHub\eaglep3\Utilities\RefineRTDCRunTimes.py" --tripid 817-05 --locoid 4014 --swversion DE.1.0.8.0 --startMP 204:958 --initTime 2016-12-05T11:16:56 --startdatetime 2016-12-05T11:21:39 --delay 1 --endMP 300:58944 --enddatetime 2016-12-05T11:35:49 --enforcementcount 2 &gt;&gt;C:\Users\stu\Documents\GitHub\eaglep3-reporting\EC\2016-12-05-refined-times.txt</v>
      </c>
      <c r="AI176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{"issue":{"subject":"","project_id":79,"tracker_id":40,"status_id":1,"priority_id":2,"assigned_to_id":23,"start_date":"2016-12-05","description":"","custom_fields":[{"id":1,"name":"Subdivision","value":"NW"},{"id":4,"name":"Milepost","value":"5.8944"},{"id":17,"name":"Train ID","value":"817-05"},{"id":16,"name":"Locomotive ID","value":"4014"},{"id":130,"name":"Impact","value":""},{"id":150,"name":"Time of Event (Mountain Time)","value":"11:35:49"},{"id":151,"name":"Denver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553</v>
      </c>
      <c r="B177" s="7">
        <v>4013</v>
      </c>
      <c r="C177" s="22" t="s">
        <v>208</v>
      </c>
      <c r="D177" s="22" t="s">
        <v>348</v>
      </c>
      <c r="E177" s="13">
        <v>42709.484120370369</v>
      </c>
      <c r="F177" s="13">
        <v>42709.485451388886</v>
      </c>
      <c r="G177" s="7">
        <v>0</v>
      </c>
      <c r="H177" s="22" t="s">
        <v>412</v>
      </c>
      <c r="I177" s="13">
        <v>42709.496203703704</v>
      </c>
      <c r="J177" s="7">
        <v>2</v>
      </c>
      <c r="K177" s="109" t="str">
        <f>IF(ISEVEN(B177),(B177-1)&amp;"/"&amp;B177,B177&amp;"/"&amp;(B177+1))</f>
        <v>4013/4014</v>
      </c>
      <c r="L177" s="22" t="str">
        <f>VLOOKUP(A177,'Trips&amp;Operators'!$C$1:$G$99999,5,FALSE)</f>
        <v>SAFIEF AEIMEN</v>
      </c>
      <c r="M177" s="6">
        <f>I177-F177</f>
        <v>1.0752314818091691E-2</v>
      </c>
      <c r="N177" s="7">
        <f>24*60*SUM($M177:$M177)</f>
        <v>15.483333338052034</v>
      </c>
      <c r="O177" s="7"/>
      <c r="P177" s="7"/>
      <c r="Q177" s="23"/>
      <c r="R177" s="23"/>
      <c r="S177" s="35">
        <f>SUM(U177:U177)/IF(AG177="EC",12,1)</f>
        <v>1</v>
      </c>
      <c r="T177" s="50" t="str">
        <f>IF(ISEVEN(LEFT(AD177,4)),"Southbound","NorthBound")</f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hh:mm:ss")&amp;utc_offset&amp;"00',mode:absolute,to:'"&amp;TEXT(I177+1/24,"yyyy-MM-DD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https://search-rtdc-monitor-bjffxe2xuh6vdkpspy63sjmuny.us-east-1.es.amazonaws.com/_plugin/kibana/#/discover/Steve-Slow-Train-Analysis-(2080s-and-2083s)?_g=(refreshInterval:(display:Off,section:0,value:0),time:(from:'2016-12-05 10:37:08-700',mode:absolute,to:'2016-12-05 12:54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7" s="52" t="str">
        <f>IF(AA177&lt;IF(AG177="EC",23,5.65),"Y","N")</f>
        <v>N</v>
      </c>
      <c r="X177" s="177">
        <f>VALUE(LEFT(AD177,4))-VALUE(LEFT(AD176,4))</f>
        <v>1</v>
      </c>
      <c r="Y177" s="67">
        <f>RIGHT(D177,LEN(D177)-4)/10000</f>
        <v>5.8620999999999999</v>
      </c>
      <c r="Z177" s="67">
        <f>RIGHT(H177,LEN(H177)-4)/10000</f>
        <v>6.8000000000000005E-2</v>
      </c>
      <c r="AA177" s="67">
        <f>ABS(Z177-Y177)</f>
        <v>5.7941000000000003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>IF(LEN(A177)=6,"0"&amp;A177,A177)</f>
        <v>0818-05</v>
      </c>
      <c r="AE177" s="91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AF177" s="88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/stypes="app*4013*20161205*" /stext=" 18:.+((SYSTEM_STATE.+slice.+state.+changed )|(ment ac)|(multiple cpu faults)|(system.+state.+changed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92" t="str">
        <f t="shared" si="6"/>
        <v>"%USERPROFILE%\Documents\GitHub\eaglep3\Utilities\RefineRTDCRunTimes.py" --tripid 818-05 --locoid 4013 --swversion DE.1.0.8.0 --startMP 300:58621 --initTime 2016-12-05T11:37:08 --startdatetime 2016-12-05T11:39:03 --delay 0 --endMP 204:680 --enddatetime 2016-12-05T11:54:32 --enforcementcount 2 &gt;&gt;C:\Users\stu\Documents\GitHub\eaglep3-reporting\EC\2016-12-05-refined-times.txt</v>
      </c>
      <c r="AI177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{"issue":{"subject":"","project_id":79,"tracker_id":40,"status_id":1,"priority_id":2,"assigned_to_id":23,"start_date":"2016-12-05","description":"","custom_fields":[{"id":1,"name":"Subdivision","value":"NW"},{"id":4,"name":"Milepost","value":"0.068"},{"id":17,"name":"Train ID","value":"818-05"},{"id":16,"name":"Locomotive ID","value":"4013"},{"id":130,"name":"Impact","value":""},{"id":150,"name":"Time of Event (Mountain Time)","value":"11:54:32"},{"id":151,"name":"Denver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556</v>
      </c>
      <c r="B178" s="7">
        <v>4014</v>
      </c>
      <c r="C178" s="22" t="s">
        <v>208</v>
      </c>
      <c r="D178" s="22" t="s">
        <v>791</v>
      </c>
      <c r="E178" s="13">
        <v>42709.49863425926</v>
      </c>
      <c r="F178" s="13">
        <v>42709.514791666668</v>
      </c>
      <c r="G178" s="7">
        <v>1</v>
      </c>
      <c r="H178" s="22" t="s">
        <v>792</v>
      </c>
      <c r="I178" s="13">
        <v>42709.524155092593</v>
      </c>
      <c r="J178" s="7">
        <v>2</v>
      </c>
      <c r="K178" s="109" t="str">
        <f>IF(ISEVEN(B178),(B178-1)&amp;"/"&amp;B178,B178&amp;"/"&amp;(B178+1))</f>
        <v>4013/4014</v>
      </c>
      <c r="L178" s="22" t="str">
        <f>VLOOKUP(A178,'Trips&amp;Operators'!$C$1:$G$99999,5,FALSE)</f>
        <v>SAFIEF AEIMEN</v>
      </c>
      <c r="M178" s="6">
        <f>I178-F178</f>
        <v>9.3634259246755391E-3</v>
      </c>
      <c r="N178" s="7">
        <f>24*60*SUM($M178:$M178)</f>
        <v>13.483333331532776</v>
      </c>
      <c r="O178" s="7"/>
      <c r="P178" s="7"/>
      <c r="Q178" s="23"/>
      <c r="R178" s="23"/>
      <c r="S178" s="35">
        <f>SUM(U178:U178)/IF(AG178="EC",12,1)</f>
        <v>1</v>
      </c>
      <c r="T178" s="50" t="str">
        <f>IF(ISEVEN(LEFT(AD178,4)),"Southbound","NorthBound")</f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hh:mm:ss")&amp;utc_offset&amp;"00',mode:absolute,to:'"&amp;TEXT(I178+1/24,"yyyy-MM-DD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https://search-rtdc-monitor-bjffxe2xuh6vdkpspy63sjmuny.us-east-1.es.amazonaws.com/_plugin/kibana/#/discover/Steve-Slow-Train-Analysis-(2080s-and-2083s)?_g=(refreshInterval:(display:Off,section:0,value:0),time:(from:'2016-12-05 10:58:02-700',mode:absolute,to:'2016-12-05 13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8" s="52" t="str">
        <f>IF(AA178&lt;IF(AG178="EC",23,5.65),"Y","N")</f>
        <v>N</v>
      </c>
      <c r="X178" s="177">
        <f>VALUE(LEFT(AD178,4))-VALUE(LEFT(AD177,4))</f>
        <v>1</v>
      </c>
      <c r="Y178" s="67">
        <f>RIGHT(D178,LEN(D178)-4)/10000</f>
        <v>9.6199999999999994E-2</v>
      </c>
      <c r="Z178" s="67">
        <f>RIGHT(H178,LEN(H178)-4)/10000</f>
        <v>5.8910999999999998</v>
      </c>
      <c r="AA178" s="67">
        <f>ABS(Z178-Y178)</f>
        <v>5.7949000000000002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>IF(LEN(A178)=6,"0"&amp;A178,A178)</f>
        <v>0819-05</v>
      </c>
      <c r="AE178" s="91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AF178" s="88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/stypes="app*4014*20161205*" /stext=" 19:.+((SYSTEM_STATE.+slice.+state.+changed )|(ment ac)|(multiple cpu faults)|(system.+state.+changed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92" t="str">
        <f t="shared" si="6"/>
        <v>"%USERPROFILE%\Documents\GitHub\eaglep3\Utilities\RefineRTDCRunTimes.py" --tripid 819-05 --locoid 4014 --swversion DE.1.0.8.0 --startMP 204:962 --initTime 2016-12-05T11:58:02 --startdatetime 2016-12-05T12:21:18 --delay 1 --endMP 300:58911 --enddatetime 2016-12-05T12:34:47 --enforcementcount 2 &gt;&gt;C:\Users\stu\Documents\GitHub\eaglep3-reporting\EC\2016-12-05-refined-times.txt</v>
      </c>
      <c r="AI178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{"issue":{"subject":"","project_id":79,"tracker_id":40,"status_id":1,"priority_id":2,"assigned_to_id":23,"start_date":"2016-12-05","description":"","custom_fields":[{"id":1,"name":"Subdivision","value":"NW"},{"id":4,"name":"Milepost","value":"5.8911"},{"id":17,"name":"Train ID","value":"819-05"},{"id":16,"name":"Locomotive ID","value":"4014"},{"id":130,"name":"Impact","value":""},{"id":150,"name":"Time of Event (Mountain Time)","value":"12:34:47"},{"id":151,"name":"Denver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561</v>
      </c>
      <c r="B179" s="7">
        <v>4013</v>
      </c>
      <c r="C179" s="22" t="s">
        <v>208</v>
      </c>
      <c r="D179" s="22" t="s">
        <v>789</v>
      </c>
      <c r="E179" s="13">
        <v>42709.525289351855</v>
      </c>
      <c r="F179" s="13">
        <v>42709.527071759258</v>
      </c>
      <c r="G179" s="7">
        <v>1</v>
      </c>
      <c r="H179" s="22" t="s">
        <v>793</v>
      </c>
      <c r="I179" s="13">
        <v>42709.538460648146</v>
      </c>
      <c r="J179" s="7">
        <v>2</v>
      </c>
      <c r="K179" s="109" t="str">
        <f>IF(ISEVEN(B179),(B179-1)&amp;"/"&amp;B179,B179&amp;"/"&amp;(B179+1))</f>
        <v>4013/4014</v>
      </c>
      <c r="L179" s="22" t="str">
        <f>VLOOKUP(A179,'Trips&amp;Operators'!$C$1:$G$99999,5,FALSE)</f>
        <v>SAFIEF AEIMEN</v>
      </c>
      <c r="M179" s="6">
        <f>I179-F179</f>
        <v>1.1388888888177462E-2</v>
      </c>
      <c r="N179" s="7">
        <f>24*60*SUM($M179:$M179)</f>
        <v>16.399999998975545</v>
      </c>
      <c r="O179" s="7"/>
      <c r="P179" s="7"/>
      <c r="Q179" s="23"/>
      <c r="R179" s="23"/>
      <c r="S179" s="35">
        <f>SUM(U179:U179)/IF(AG179="EC",12,1)</f>
        <v>1</v>
      </c>
      <c r="T179" s="50" t="str">
        <f>IF(ISEVEN(LEFT(AD179,4)),"Southbound","NorthBound")</f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hh:mm:ss")&amp;utc_offset&amp;"00',mode:absolute,to:'"&amp;TEXT(I179+1/24,"yyyy-MM-DD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https://search-rtdc-monitor-bjffxe2xuh6vdkpspy63sjmuny.us-east-1.es.amazonaws.com/_plugin/kibana/#/discover/Steve-Slow-Train-Analysis-(2080s-and-2083s)?_g=(refreshInterval:(display:Off,section:0,value:0),time:(from:'2016-12-05 11:36:25-700',mode:absolute,to:'2016-12-05 13:55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9" s="52" t="str">
        <f>IF(AA179&lt;IF(AG179="EC",23,5.65),"Y","N")</f>
        <v>N</v>
      </c>
      <c r="X179" s="177">
        <f>VALUE(LEFT(AD179,4))-VALUE(LEFT(AD178,4))</f>
        <v>1</v>
      </c>
      <c r="Y179" s="67">
        <f>RIGHT(D179,LEN(D179)-4)/10000</f>
        <v>5.86</v>
      </c>
      <c r="Z179" s="67">
        <f>RIGHT(H179,LEN(H179)-4)/10000</f>
        <v>6.6799999999999998E-2</v>
      </c>
      <c r="AA179" s="67">
        <f>ABS(Z179-Y179)</f>
        <v>5.7932000000000006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>IF(LEN(A179)=6,"0"&amp;A179,A179)</f>
        <v>0820-05</v>
      </c>
      <c r="AE179" s="91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AF179" s="88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/stypes="app*4013*20161205*" /stext=" 19:.+((SYSTEM_STATE.+slice.+state.+changed )|(ment ac)|(multiple cpu faults)|(system.+state.+changed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92" t="str">
        <f t="shared" si="6"/>
        <v>"%USERPROFILE%\Documents\GitHub\eaglep3\Utilities\RefineRTDCRunTimes.py" --tripid 820-05 --locoid 4013 --swversion DE.1.0.8.0 --startMP 300:58600 --initTime 2016-12-05T12:36:25 --startdatetime 2016-12-05T12:38:59 --delay 1 --endMP 204:668 --enddatetime 2016-12-05T12:55:23 --enforcementcount 2 &gt;&gt;C:\Users\stu\Documents\GitHub\eaglep3-reporting\EC\2016-12-05-refined-times.txt</v>
      </c>
      <c r="AI179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{"issue":{"subject":"","project_id":79,"tracker_id":40,"status_id":1,"priority_id":2,"assigned_to_id":23,"start_date":"2016-12-05","description":"","custom_fields":[{"id":1,"name":"Subdivision","value":"NW"},{"id":4,"name":"Milepost","value":"0.0668"},{"id":17,"name":"Train ID","value":"820-05"},{"id":16,"name":"Locomotive ID","value":"4013"},{"id":130,"name":"Impact","value":""},{"id":150,"name":"Time of Event (Mountain Time)","value":"12:55:23"},{"id":151,"name":"Denver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447</v>
      </c>
      <c r="B180" s="7">
        <v>4014</v>
      </c>
      <c r="C180" s="22" t="s">
        <v>208</v>
      </c>
      <c r="D180" s="22" t="s">
        <v>794</v>
      </c>
      <c r="E180" s="13">
        <v>42709.546412037038</v>
      </c>
      <c r="F180" s="13">
        <v>42709.556469907409</v>
      </c>
      <c r="G180" s="7">
        <v>1</v>
      </c>
      <c r="H180" s="22" t="s">
        <v>407</v>
      </c>
      <c r="I180" s="13">
        <v>42709.565648148149</v>
      </c>
      <c r="J180" s="7">
        <v>2</v>
      </c>
      <c r="K180" s="109" t="str">
        <f>IF(ISEVEN(B180),(B180-1)&amp;"/"&amp;B180,B180&amp;"/"&amp;(B180+1))</f>
        <v>4013/4014</v>
      </c>
      <c r="L180" s="22" t="str">
        <f>VLOOKUP(A180,'Trips&amp;Operators'!$C$1:$G$99999,5,FALSE)</f>
        <v>BRUDER RICHARD</v>
      </c>
      <c r="M180" s="6">
        <f>I180-F180</f>
        <v>9.1782407398568466E-3</v>
      </c>
      <c r="N180" s="7">
        <f>24*60*SUM($M180:$M180)</f>
        <v>13.216666665393859</v>
      </c>
      <c r="O180" s="7"/>
      <c r="P180" s="7"/>
      <c r="Q180" s="23"/>
      <c r="R180" s="23"/>
      <c r="S180" s="35">
        <f>SUM(U180:U180)/IF(AG180="EC",12,1)</f>
        <v>1</v>
      </c>
      <c r="T180" s="50" t="str">
        <f>IF(ISEVEN(LEFT(AD180,4)),"Southbound","NorthBound")</f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hh:mm:ss")&amp;utc_offset&amp;"00',mode:absolute,to:'"&amp;TEXT(I180+1/24,"yyyy-MM-DD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https://search-rtdc-monitor-bjffxe2xuh6vdkpspy63sjmuny.us-east-1.es.amazonaws.com/_plugin/kibana/#/discover/Steve-Slow-Train-Analysis-(2080s-and-2083s)?_g=(refreshInterval:(display:Off,section:0,value:0),time:(from:'2016-12-05 12:06:50-700',mode:absolute,to:'2016-12-05 14:34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0" s="52" t="str">
        <f>IF(AA180&lt;IF(AG180="EC",23,5.65),"Y","N")</f>
        <v>N</v>
      </c>
      <c r="X180" s="177">
        <f>VALUE(LEFT(AD180,4))-VALUE(LEFT(AD179,4))</f>
        <v>1</v>
      </c>
      <c r="Y180" s="67">
        <f>RIGHT(D180,LEN(D180)-4)/10000</f>
        <v>9.64E-2</v>
      </c>
      <c r="Z180" s="67">
        <f>RIGHT(H180,LEN(H180)-4)/10000</f>
        <v>5.8943000000000003</v>
      </c>
      <c r="AA180" s="67">
        <f>ABS(Z180-Y180)</f>
        <v>5.7979000000000003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>IF(LEN(A180)=6,"0"&amp;A180,A180)</f>
        <v>0821-05</v>
      </c>
      <c r="AE180" s="91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AF180" s="88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/stypes="app*4014*20161205*" /stext=" 20:.+((SYSTEM_STATE.+slice.+state.+changed )|(ment ac)|(multiple cpu faults)|(system.+state.+changed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92" t="str">
        <f t="shared" si="6"/>
        <v>"%USERPROFILE%\Documents\GitHub\eaglep3\Utilities\RefineRTDCRunTimes.py" --tripid 821-05 --locoid 4014 --swversion DE.1.0.8.0 --startMP 204:964 --initTime 2016-12-05T13:06:50 --startdatetime 2016-12-05T13:21:19 --delay 1 --endMP 300:58943 --enddatetime 2016-12-05T13:34:32 --enforcementcount 2 &gt;&gt;C:\Users\stu\Documents\GitHub\eaglep3-reporting\EC\2016-12-05-refined-times.txt</v>
      </c>
      <c r="AI180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{"issue":{"subject":"","project_id":79,"tracker_id":40,"status_id":1,"priority_id":2,"assigned_to_id":23,"start_date":"2016-12-05","description":"","custom_fields":[{"id":1,"name":"Subdivision","value":"NW"},{"id":4,"name":"Milepost","value":"5.8943"},{"id":17,"name":"Train ID","value":"821-05"},{"id":16,"name":"Locomotive ID","value":"4014"},{"id":130,"name":"Impact","value":""},{"id":150,"name":"Time of Event (Mountain Time)","value":"13:34:32"},{"id":151,"name":"Denver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569</v>
      </c>
      <c r="B181" s="7">
        <v>4013</v>
      </c>
      <c r="C181" s="22" t="s">
        <v>208</v>
      </c>
      <c r="D181" s="22" t="s">
        <v>795</v>
      </c>
      <c r="E181" s="13">
        <v>42709.566643518519</v>
      </c>
      <c r="F181" s="13">
        <v>42709.568715277775</v>
      </c>
      <c r="G181" s="7">
        <v>1</v>
      </c>
      <c r="H181" s="22" t="s">
        <v>796</v>
      </c>
      <c r="I181" s="13">
        <v>42709.579618055555</v>
      </c>
      <c r="J181" s="7">
        <v>2</v>
      </c>
      <c r="K181" s="109" t="str">
        <f>IF(ISEVEN(B181),(B181-1)&amp;"/"&amp;B181,B181&amp;"/"&amp;(B181+1))</f>
        <v>4013/4014</v>
      </c>
      <c r="L181" s="22" t="str">
        <f>VLOOKUP(A181,'Trips&amp;Operators'!$C$1:$G$99999,5,FALSE)</f>
        <v>BRUDER RICHARD</v>
      </c>
      <c r="M181" s="6">
        <f>I181-F181</f>
        <v>1.0902777779847383E-2</v>
      </c>
      <c r="N181" s="7">
        <f>24*60*SUM($M181:$M181)</f>
        <v>15.700000002980232</v>
      </c>
      <c r="O181" s="7"/>
      <c r="P181" s="7"/>
      <c r="Q181" s="23"/>
      <c r="R181" s="23"/>
      <c r="S181" s="35">
        <f>SUM(U181:U181)/IF(AG181="EC",12,1)</f>
        <v>1</v>
      </c>
      <c r="T181" s="50" t="str">
        <f>IF(ISEVEN(LEFT(AD181,4)),"Southbound","NorthBound")</f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hh:mm:ss")&amp;utc_offset&amp;"00',mode:absolute,to:'"&amp;TEXT(I181+1/24,"yyyy-MM-DD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https://search-rtdc-monitor-bjffxe2xuh6vdkpspy63sjmuny.us-east-1.es.amazonaws.com/_plugin/kibana/#/discover/Steve-Slow-Train-Analysis-(2080s-and-2083s)?_g=(refreshInterval:(display:Off,section:0,value:0),time:(from:'2016-12-05 12:35:58-700',mode:absolute,to:'2016-12-05 14:54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1" s="52" t="str">
        <f>IF(AA181&lt;IF(AG181="EC",23,5.65),"Y","N")</f>
        <v>N</v>
      </c>
      <c r="X181" s="177">
        <f>VALUE(LEFT(AD181,4))-VALUE(LEFT(AD180,4))</f>
        <v>1</v>
      </c>
      <c r="Y181" s="67">
        <f>RIGHT(D181,LEN(D181)-4)/10000</f>
        <v>5.8632</v>
      </c>
      <c r="Z181" s="67">
        <f>RIGHT(H181,LEN(H181)-4)/10000</f>
        <v>6.9400000000000003E-2</v>
      </c>
      <c r="AA181" s="67">
        <f>ABS(Z181-Y181)</f>
        <v>5.7938000000000001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>IF(LEN(A181)=6,"0"&amp;A181,A181)</f>
        <v>0822-05</v>
      </c>
      <c r="AE181" s="91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AF181" s="88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/stypes="app*4013*20161205*" /stext=" 20:.+((SYSTEM_STATE.+slice.+state.+changed )|(ment ac)|(multiple cpu faults)|(system.+state.+changed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92" t="str">
        <f t="shared" si="6"/>
        <v>"%USERPROFILE%\Documents\GitHub\eaglep3\Utilities\RefineRTDCRunTimes.py" --tripid 822-05 --locoid 4013 --swversion DE.1.0.8.0 --startMP 300:58632 --initTime 2016-12-05T13:35:58 --startdatetime 2016-12-05T13:38:57 --delay 1 --endMP 204:694 --enddatetime 2016-12-05T13:54:39 --enforcementcount 2 &gt;&gt;C:\Users\stu\Documents\GitHub\eaglep3-reporting\EC\2016-12-05-refined-times.txt</v>
      </c>
      <c r="AI181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{"issue":{"subject":"","project_id":79,"tracker_id":40,"status_id":1,"priority_id":2,"assigned_to_id":23,"start_date":"2016-12-05","description":"","custom_fields":[{"id":1,"name":"Subdivision","value":"NW"},{"id":4,"name":"Milepost","value":"0.0694"},{"id":17,"name":"Train ID","value":"822-05"},{"id":16,"name":"Locomotive ID","value":"4013"},{"id":130,"name":"Impact","value":""},{"id":150,"name":"Time of Event (Mountain Time)","value":"13:54:39"},{"id":151,"name":"Denver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574</v>
      </c>
      <c r="B182" s="7">
        <v>4014</v>
      </c>
      <c r="C182" s="22" t="s">
        <v>208</v>
      </c>
      <c r="D182" s="22" t="s">
        <v>790</v>
      </c>
      <c r="E182" s="13">
        <v>42709.592766203707</v>
      </c>
      <c r="F182" s="13">
        <v>42709.598113425927</v>
      </c>
      <c r="G182" s="7">
        <v>1</v>
      </c>
      <c r="H182" s="22" t="s">
        <v>797</v>
      </c>
      <c r="I182" s="13">
        <v>42709.60696759259</v>
      </c>
      <c r="J182" s="7">
        <v>2</v>
      </c>
      <c r="K182" s="109" t="str">
        <f>IF(ISEVEN(B182),(B182-1)&amp;"/"&amp;B182,B182&amp;"/"&amp;(B182+1))</f>
        <v>4013/4014</v>
      </c>
      <c r="L182" s="22" t="str">
        <f>VLOOKUP(A182,'Trips&amp;Operators'!$C$1:$G$99999,5,FALSE)</f>
        <v>BRUDER RICHARD</v>
      </c>
      <c r="M182" s="6">
        <f>I182-F182</f>
        <v>8.8541666627861559E-3</v>
      </c>
      <c r="N182" s="7">
        <f>24*60*SUM($M182:$M182)</f>
        <v>12.749999994412065</v>
      </c>
      <c r="O182" s="7"/>
      <c r="P182" s="7"/>
      <c r="Q182" s="23"/>
      <c r="R182" s="23"/>
      <c r="S182" s="35">
        <f>SUM(U182:U182)/IF(AG182="EC",12,1)</f>
        <v>1</v>
      </c>
      <c r="T182" s="50" t="str">
        <f>IF(ISEVEN(LEFT(AD182,4)),"Southbound","NorthBound")</f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hh:mm:ss")&amp;utc_offset&amp;"00',mode:absolute,to:'"&amp;TEXT(I182+1/24,"yyyy-MM-DD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https://search-rtdc-monitor-bjffxe2xuh6vdkpspy63sjmuny.us-east-1.es.amazonaws.com/_plugin/kibana/#/discover/Steve-Slow-Train-Analysis-(2080s-and-2083s)?_g=(refreshInterval:(display:Off,section:0,value:0),time:(from:'2016-12-05 13:13:35-700',mode:absolute,to:'2016-12-05 15:34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2" s="52" t="str">
        <f>IF(AA182&lt;IF(AG182="EC",23,5.65),"Y","N")</f>
        <v>N</v>
      </c>
      <c r="X182" s="177">
        <f>VALUE(LEFT(AD182,4))-VALUE(LEFT(AD181,4))</f>
        <v>1</v>
      </c>
      <c r="Y182" s="67">
        <f>RIGHT(D182,LEN(D182)-4)/10000</f>
        <v>9.5799999999999996E-2</v>
      </c>
      <c r="Z182" s="67">
        <f>RIGHT(H182,LEN(H182)-4)/10000</f>
        <v>5.8935000000000004</v>
      </c>
      <c r="AA182" s="67">
        <f>ABS(Z182-Y182)</f>
        <v>5.7977000000000007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>IF(LEN(A182)=6,"0"&amp;A182,A182)</f>
        <v>0823-05</v>
      </c>
      <c r="AE182" s="91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AF182" s="88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/stypes="app*4014*20161205*" /stext=" 21:.+((SYSTEM_STATE.+slice.+state.+changed )|(ment ac)|(multiple cpu faults)|(system.+state.+changed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92" t="str">
        <f t="shared" si="6"/>
        <v>"%USERPROFILE%\Documents\GitHub\eaglep3\Utilities\RefineRTDCRunTimes.py" --tripid 823-05 --locoid 4014 --swversion DE.1.0.8.0 --startMP 204:958 --initTime 2016-12-05T14:13:35 --startdatetime 2016-12-05T14:21:17 --delay 1 --endMP 300:58935 --enddatetime 2016-12-05T14:34:02 --enforcementcount 2 &gt;&gt;C:\Users\stu\Documents\GitHub\eaglep3-reporting\EC\2016-12-05-refined-times.txt</v>
      </c>
      <c r="AI182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{"issue":{"subject":"","project_id":79,"tracker_id":40,"status_id":1,"priority_id":2,"assigned_to_id":23,"start_date":"2016-12-05","description":"","custom_fields":[{"id":1,"name":"Subdivision","value":"NW"},{"id":4,"name":"Milepost","value":"5.8935"},{"id":17,"name":"Train ID","value":"823-05"},{"id":16,"name":"Locomotive ID","value":"4014"},{"id":130,"name":"Impact","value":""},{"id":150,"name":"Time of Event (Mountain Time)","value":"14:34:02"},{"id":151,"name":"Denver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578</v>
      </c>
      <c r="B183" s="7">
        <v>4013</v>
      </c>
      <c r="C183" s="22" t="s">
        <v>208</v>
      </c>
      <c r="D183" s="22" t="s">
        <v>292</v>
      </c>
      <c r="E183" s="13">
        <v>42709.607777777775</v>
      </c>
      <c r="F183" s="13">
        <v>42709.609178240738</v>
      </c>
      <c r="G183" s="7">
        <v>1</v>
      </c>
      <c r="H183" s="22" t="s">
        <v>798</v>
      </c>
      <c r="I183" s="13">
        <v>42709.621319444443</v>
      </c>
      <c r="J183" s="7">
        <v>2</v>
      </c>
      <c r="K183" s="109" t="str">
        <f>IF(ISEVEN(B183),(B183-1)&amp;"/"&amp;B183,B183&amp;"/"&amp;(B183+1))</f>
        <v>4013/4014</v>
      </c>
      <c r="L183" s="22" t="str">
        <f>VLOOKUP(A183,'Trips&amp;Operators'!$C$1:$G$99999,5,FALSE)</f>
        <v>BRUDER RICHARD</v>
      </c>
      <c r="M183" s="6">
        <f>I183-F183</f>
        <v>1.2141203704231884E-2</v>
      </c>
      <c r="N183" s="7">
        <f>24*60*SUM($M183:$M183)</f>
        <v>17.483333334093913</v>
      </c>
      <c r="O183" s="7"/>
      <c r="P183" s="7"/>
      <c r="Q183" s="23"/>
      <c r="R183" s="23"/>
      <c r="S183" s="35">
        <f>SUM(U183:U183)/IF(AG183="EC",12,1)</f>
        <v>1</v>
      </c>
      <c r="T183" s="50" t="str">
        <f>IF(ISEVEN(LEFT(AD183,4)),"Southbound","NorthBound")</f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hh:mm:ss")&amp;utc_offset&amp;"00',mode:absolute,to:'"&amp;TEXT(I183+1/24,"yyyy-MM-DD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https://search-rtdc-monitor-bjffxe2xuh6vdkpspy63sjmuny.us-east-1.es.amazonaws.com/_plugin/kibana/#/discover/Steve-Slow-Train-Analysis-(2080s-and-2083s)?_g=(refreshInterval:(display:Off,section:0,value:0),time:(from:'2016-12-05 13:35:12-700',mode:absolute,to:'2016-12-05 15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3" s="52" t="str">
        <f>IF(AA183&lt;IF(AG183="EC",23,5.65),"Y","N")</f>
        <v>N</v>
      </c>
      <c r="X183" s="177">
        <f>VALUE(LEFT(AD183,4))-VALUE(LEFT(AD182,4))</f>
        <v>1</v>
      </c>
      <c r="Y183" s="67">
        <f>RIGHT(D183,LEN(D183)-4)/10000</f>
        <v>5.8623000000000003</v>
      </c>
      <c r="Z183" s="67">
        <f>RIGHT(H183,LEN(H183)-4)/10000</f>
        <v>6.7799999999999999E-2</v>
      </c>
      <c r="AA183" s="67">
        <f>ABS(Z183-Y183)</f>
        <v>5.7945000000000002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>IF(LEN(A183)=6,"0"&amp;A183,A183)</f>
        <v>0824-05</v>
      </c>
      <c r="AE183" s="91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AF183" s="88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/stypes="app*4013*20161205*" /stext=" 21:.+((SYSTEM_STATE.+slice.+state.+changed )|(ment ac)|(multiple cpu faults)|(system.+state.+changed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92" t="str">
        <f t="shared" si="6"/>
        <v>"%USERPROFILE%\Documents\GitHub\eaglep3\Utilities\RefineRTDCRunTimes.py" --tripid 824-05 --locoid 4013 --swversion DE.1.0.8.0 --startMP 300:58623 --initTime 2016-12-05T14:35:12 --startdatetime 2016-12-05T14:37:13 --delay 1 --endMP 204:678 --enddatetime 2016-12-05T14:54:42 --enforcementcount 2 &gt;&gt;C:\Users\stu\Documents\GitHub\eaglep3-reporting\EC\2016-12-05-refined-times.txt</v>
      </c>
      <c r="AI183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{"issue":{"subject":"","project_id":79,"tracker_id":40,"status_id":1,"priority_id":2,"assigned_to_id":23,"start_date":"2016-12-05","description":"","custom_fields":[{"id":1,"name":"Subdivision","value":"NW"},{"id":4,"name":"Milepost","value":"0.0678"},{"id":17,"name":"Train ID","value":"824-05"},{"id":16,"name":"Locomotive ID","value":"4013"},{"id":130,"name":"Impact","value":""},{"id":150,"name":"Time of Event (Mountain Time)","value":"14:54:42"},{"id":151,"name":"Denver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s="21" customFormat="1" x14ac:dyDescent="0.25">
      <c r="A184" s="37" t="s">
        <v>583</v>
      </c>
      <c r="B184" s="7">
        <v>4014</v>
      </c>
      <c r="C184" s="22" t="s">
        <v>208</v>
      </c>
      <c r="D184" s="22" t="s">
        <v>799</v>
      </c>
      <c r="E184" s="13">
        <v>42709.637476851851</v>
      </c>
      <c r="F184" s="13">
        <v>42709.639872685184</v>
      </c>
      <c r="G184" s="7">
        <v>1</v>
      </c>
      <c r="H184" s="22" t="s">
        <v>800</v>
      </c>
      <c r="I184" s="13">
        <v>42709.649502314816</v>
      </c>
      <c r="J184" s="7">
        <v>2</v>
      </c>
      <c r="K184" s="109" t="str">
        <f>IF(ISEVEN(B184),(B184-1)&amp;"/"&amp;B184,B184&amp;"/"&amp;(B184+1))</f>
        <v>4013/4014</v>
      </c>
      <c r="L184" s="22" t="str">
        <f>VLOOKUP(A184,'Trips&amp;Operators'!$C$1:$G$99999,5,FALSE)</f>
        <v>BRUDER RICHARD</v>
      </c>
      <c r="M184" s="6">
        <f>I184-F184</f>
        <v>9.6296296323998831E-3</v>
      </c>
      <c r="N184" s="7">
        <f>24*60*SUM($M184:$M184)</f>
        <v>13.866666670655832</v>
      </c>
      <c r="O184" s="7"/>
      <c r="P184" s="7"/>
      <c r="Q184" s="23"/>
      <c r="R184" s="23"/>
      <c r="S184" s="35">
        <f>SUM(U184:U184)/IF(AG184="EC",12,1)</f>
        <v>1</v>
      </c>
      <c r="T184" s="50" t="str">
        <f>IF(ISEVEN(LEFT(AD184,4)),"Southbound","NorthBound")</f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hh:mm:ss")&amp;utc_offset&amp;"00',mode:absolute,to:'"&amp;TEXT(I184+1/24,"yyyy-MM-DD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https://search-rtdc-monitor-bjffxe2xuh6vdkpspy63sjmuny.us-east-1.es.amazonaws.com/_plugin/kibana/#/discover/Steve-Slow-Train-Analysis-(2080s-and-2083s)?_g=(refreshInterval:(display:Off,section:0,value:0),time:(from:'2016-12-05 14:17:58-700',mode:absolute,to:'2016-12-05 16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4" s="52" t="str">
        <f>IF(AA184&lt;IF(AG184="EC",23,5.65),"Y","N")</f>
        <v>N</v>
      </c>
      <c r="X184" s="177">
        <f>VALUE(LEFT(AD184,4))-VALUE(LEFT(AD183,4))</f>
        <v>1</v>
      </c>
      <c r="Y184" s="67">
        <f>RIGHT(D184,LEN(D184)-4)/10000</f>
        <v>9.6000000000000002E-2</v>
      </c>
      <c r="Z184" s="67">
        <f>RIGHT(H184,LEN(H184)-4)/10000</f>
        <v>5.8929</v>
      </c>
      <c r="AA184" s="67">
        <f>ABS(Z184-Y184)</f>
        <v>5.7968999999999999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>IF(LEN(A184)=6,"0"&amp;A184,A184)</f>
        <v>0825-05</v>
      </c>
      <c r="AE184" s="91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AF184" s="88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/stypes="app*4014*20161205*" /stext=" 22:.+((SYSTEM_STATE.+slice.+state.+changed )|(ment ac)|(multiple cpu faults)|(system.+state.+changed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92" t="str">
        <f t="shared" si="6"/>
        <v>"%USERPROFILE%\Documents\GitHub\eaglep3\Utilities\RefineRTDCRunTimes.py" --tripid 825-05 --locoid 4014 --swversion DE.1.0.8.0 --startMP 204:960 --initTime 2016-12-05T15:17:58 --startdatetime 2016-12-05T15:21:25 --delay 1 --endMP 300:58929 --enddatetime 2016-12-05T15:35:17 --enforcementcount 2 &gt;&gt;C:\Users\stu\Documents\GitHub\eaglep3-reporting\EC\2016-12-05-refined-times.txt</v>
      </c>
      <c r="AI184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{"issue":{"subject":"","project_id":79,"tracker_id":40,"status_id":1,"priority_id":2,"assigned_to_id":23,"start_date":"2016-12-05","description":"","custom_fields":[{"id":1,"name":"Subdivision","value":"NW"},{"id":4,"name":"Milepost","value":"5.8929"},{"id":17,"name":"Train ID","value":"825-05"},{"id":16,"name":"Locomotive ID","value":"4014"},{"id":130,"name":"Impact","value":""},{"id":150,"name":"Time of Event (Mountain Time)","value":"15:35:17"},{"id":151,"name":"Denver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7" t="s">
        <v>586</v>
      </c>
      <c r="B185" s="7">
        <v>4013</v>
      </c>
      <c r="C185" s="22" t="s">
        <v>208</v>
      </c>
      <c r="D185" s="22" t="s">
        <v>348</v>
      </c>
      <c r="E185" s="13">
        <v>42709.65048611111</v>
      </c>
      <c r="F185" s="13">
        <v>42709.652083333334</v>
      </c>
      <c r="G185" s="7">
        <v>1</v>
      </c>
      <c r="H185" s="22" t="s">
        <v>801</v>
      </c>
      <c r="I185" s="13">
        <v>42709.664224537039</v>
      </c>
      <c r="J185" s="7">
        <v>2</v>
      </c>
      <c r="K185" s="109" t="str">
        <f>IF(ISEVEN(B185),(B185-1)&amp;"/"&amp;B185,B185&amp;"/"&amp;(B185+1))</f>
        <v>4013/4014</v>
      </c>
      <c r="L185" s="22" t="str">
        <f>VLOOKUP(A185,'Trips&amp;Operators'!$C$1:$G$99999,5,FALSE)</f>
        <v>BRUDER RICHARD</v>
      </c>
      <c r="M185" s="6">
        <f>I185-F185</f>
        <v>1.2141203704231884E-2</v>
      </c>
      <c r="N185" s="7">
        <f>24*60*SUM($M185:$M185)</f>
        <v>17.483333334093913</v>
      </c>
      <c r="O185" s="7"/>
      <c r="P185" s="7"/>
      <c r="Q185" s="23"/>
      <c r="R185" s="23"/>
      <c r="S185" s="35">
        <f>SUM(U185:U185)/IF(AG185="EC",12,1)</f>
        <v>1</v>
      </c>
      <c r="T185" s="50" t="str">
        <f>IF(ISEVEN(LEFT(AD185,4)),"Southbound","NorthBound")</f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hh:mm:ss")&amp;utc_offset&amp;"00',mode:absolute,to:'"&amp;TEXT(I185+1/24,"yyyy-MM-DD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https://search-rtdc-monitor-bjffxe2xuh6vdkpspy63sjmuny.us-east-1.es.amazonaws.com/_plugin/kibana/#/discover/Steve-Slow-Train-Analysis-(2080s-and-2083s)?_g=(refreshInterval:(display:Off,section:0,value:0),time:(from:'2016-12-05 14:36:42-700',mode:absolute,to:'2016-12-05 16:56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5" s="52" t="str">
        <f>IF(AA185&lt;IF(AG185="EC",23,5.65),"Y","N")</f>
        <v>N</v>
      </c>
      <c r="X185" s="177">
        <f>VALUE(LEFT(AD185,4))-VALUE(LEFT(AD184,4))</f>
        <v>1</v>
      </c>
      <c r="Y185" s="67">
        <f>RIGHT(D185,LEN(D185)-4)/10000</f>
        <v>5.8620999999999999</v>
      </c>
      <c r="Z185" s="67">
        <f>RIGHT(H185,LEN(H185)-4)/10000</f>
        <v>6.9900000000000004E-2</v>
      </c>
      <c r="AA185" s="67">
        <f>ABS(Z185-Y185)</f>
        <v>5.7922000000000002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>IF(LEN(A185)=6,"0"&amp;A185,A185)</f>
        <v>0826-05</v>
      </c>
      <c r="AE185" s="91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AF185" s="88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/stypes="app*4013*20161205*" /stext=" 22:.+((SYSTEM_STATE.+slice.+state.+changed )|(ment ac)|(multiple cpu faults)|(system.+state.+changed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92" t="str">
        <f t="shared" si="6"/>
        <v>"%USERPROFILE%\Documents\GitHub\eaglep3\Utilities\RefineRTDCRunTimes.py" --tripid 826-05 --locoid 4013 --swversion DE.1.0.8.0 --startMP 300:58621 --initTime 2016-12-05T15:36:42 --startdatetime 2016-12-05T15:39:00 --delay 1 --endMP 204:699 --enddatetime 2016-12-05T15:56:29 --enforcementcount 2 &gt;&gt;C:\Users\stu\Documents\GitHub\eaglep3-reporting\EC\2016-12-05-refined-times.txt</v>
      </c>
      <c r="AI185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{"issue":{"subject":"","project_id":79,"tracker_id":40,"status_id":1,"priority_id":2,"assigned_to_id":23,"start_date":"2016-12-05","description":"","custom_fields":[{"id":1,"name":"Subdivision","value":"NW"},{"id":4,"name":"Milepost","value":"0.0699"},{"id":17,"name":"Train ID","value":"826-05"},{"id":16,"name":"Locomotive ID","value":"4013"},{"id":130,"name":"Impact","value":""},{"id":150,"name":"Time of Event (Mountain Time)","value":"15:56:29"},{"id":151,"name":"Denver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588</v>
      </c>
      <c r="B186" s="7">
        <v>4016</v>
      </c>
      <c r="C186" s="22" t="s">
        <v>208</v>
      </c>
      <c r="D186" s="22" t="s">
        <v>802</v>
      </c>
      <c r="E186" s="13">
        <v>42709.653634259259</v>
      </c>
      <c r="F186" s="13">
        <v>42709.660960648151</v>
      </c>
      <c r="G186" s="7">
        <v>2</v>
      </c>
      <c r="H186" s="22" t="s">
        <v>803</v>
      </c>
      <c r="I186" s="13">
        <v>42709.670752314814</v>
      </c>
      <c r="J186" s="7">
        <v>2</v>
      </c>
      <c r="K186" s="109" t="str">
        <f>IF(ISEVEN(B186),(B186-1)&amp;"/"&amp;B186,B186&amp;"/"&amp;(B186+1))</f>
        <v>4015/4016</v>
      </c>
      <c r="L186" s="22" t="str">
        <f>VLOOKUP(A186,'Trips&amp;Operators'!$C$1:$G$99999,5,FALSE)</f>
        <v>COOLAHAN JOHN</v>
      </c>
      <c r="M186" s="6">
        <f>I186-F186</f>
        <v>9.7916666636592709E-3</v>
      </c>
      <c r="N186" s="7">
        <f>24*60*SUM($M186:$M186)</f>
        <v>14.09999999566935</v>
      </c>
      <c r="O186" s="7"/>
      <c r="P186" s="7"/>
      <c r="Q186" s="23"/>
      <c r="R186" s="23"/>
      <c r="S186" s="35">
        <f>SUM(U186:U186)/IF(AG186="EC",12,1)</f>
        <v>1</v>
      </c>
      <c r="T186" s="50" t="str">
        <f>IF(ISEVEN(LEFT(AD186,4)),"Southbound","NorthBound")</f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hh:mm:ss")&amp;utc_offset&amp;"00',mode:absolute,to:'"&amp;TEXT(I186+1/24,"yyyy-MM-DD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https://search-rtdc-monitor-bjffxe2xuh6vdkpspy63sjmuny.us-east-1.es.amazonaws.com/_plugin/kibana/#/discover/Steve-Slow-Train-Analysis-(2080s-and-2083s)?_g=(refreshInterval:(display:Off,section:0,value:0),time:(from:'2016-12-05 14:41:14-700',mode:absolute,to:'2016-12-05 17:05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86" s="52" t="str">
        <f>IF(AA186&lt;IF(AG186="EC",23,5.65),"Y","N")</f>
        <v>N</v>
      </c>
      <c r="X186" s="177">
        <f>VALUE(LEFT(AD186,4))-VALUE(LEFT(AD185,4))</f>
        <v>1</v>
      </c>
      <c r="Y186" s="67">
        <f>RIGHT(D186,LEN(D186)-4)/10000</f>
        <v>8.8700000000000001E-2</v>
      </c>
      <c r="Z186" s="67">
        <f>RIGHT(H186,LEN(H186)-4)/10000</f>
        <v>5.8987999999999996</v>
      </c>
      <c r="AA186" s="67">
        <f>ABS(Z186-Y186)</f>
        <v>5.8100999999999994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>IF(LEN(A186)=6,"0"&amp;A186,A186)</f>
        <v>0827-05</v>
      </c>
      <c r="AE186" s="91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s3://rtdc.mdm.uploadarchive.raw/RTDC4016/ "%USERPROFILE%\AppData\Local\Temp\OnboardLogs"\RTDC4016\2016-12-05 --exclude "*" --recursive --include "*20161205*" &amp; "%USERPROFILE%\Documents\GitHub\mrs-test-scripts\Headless Mode &amp; Sideloading\WalkAndUnGZ.bat" "%USERPROFILE%\AppData\Local\Temp\OnboardLogs"\RTDC4016\2016-12-05 &amp; 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</v>
      </c>
      <c r="AF186" s="88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/stypes="app*4016*20161205*" /stext=" 23:.+((SYSTEM_STATE.+slice.+state.+changed )|(ment ac)|(multiple cpu faults)|(system.+state.+changed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92" t="str">
        <f t="shared" si="6"/>
        <v>"%USERPROFILE%\Documents\GitHub\eaglep3\Utilities\RefineRTDCRunTimes.py" --tripid 827-05 --locoid 4016 --swversion DE.1.0.8.0 --startMP 204:887 --initTime 2016-12-05T15:41:14 --startdatetime 2016-12-05T15:51:47 --delay 2 --endMP 300:58988 --enddatetime 2016-12-05T16:05:53 --enforcementcount 2 &gt;&gt;C:\Users\stu\Documents\GitHub\eaglep3-reporting\EC\2016-12-05-refined-times.txt</v>
      </c>
      <c r="AI186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{"issue":{"subject":"","project_id":79,"tracker_id":40,"status_id":1,"priority_id":2,"assigned_to_id":23,"start_date":"2016-12-05","description":"","custom_fields":[{"id":1,"name":"Subdivision","value":"NW"},{"id":4,"name":"Milepost","value":"5.8988"},{"id":17,"name":"Train ID","value":"827-05"},{"id":16,"name":"Locomotive ID","value":"4016"},{"id":130,"name":"Impact","value":""},{"id":150,"name":"Time of Event (Mountain Time)","value":"16:05:53"},{"id":151,"name":"Denver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591</v>
      </c>
      <c r="B187" s="7">
        <v>4015</v>
      </c>
      <c r="C187" s="22" t="s">
        <v>208</v>
      </c>
      <c r="D187" s="22" t="s">
        <v>804</v>
      </c>
      <c r="E187" s="13">
        <v>42709.671759259261</v>
      </c>
      <c r="F187" s="13">
        <v>42709.673078703701</v>
      </c>
      <c r="G187" s="7">
        <v>1</v>
      </c>
      <c r="H187" s="22" t="s">
        <v>805</v>
      </c>
      <c r="I187" s="13">
        <v>42709.685243055559</v>
      </c>
      <c r="J187" s="7">
        <v>2</v>
      </c>
      <c r="K187" s="109" t="str">
        <f>IF(ISEVEN(B187),(B187-1)&amp;"/"&amp;B187,B187&amp;"/"&amp;(B187+1))</f>
        <v>4015/4016</v>
      </c>
      <c r="L187" s="22" t="str">
        <f>VLOOKUP(A187,'Trips&amp;Operators'!$C$1:$G$99999,5,FALSE)</f>
        <v>COOLAHAN JOHN</v>
      </c>
      <c r="M187" s="6">
        <f>I187-F187</f>
        <v>1.2164351857791189E-2</v>
      </c>
      <c r="N187" s="7">
        <f>24*60*SUM($M187:$M187)</f>
        <v>17.516666675219312</v>
      </c>
      <c r="O187" s="7"/>
      <c r="P187" s="7"/>
      <c r="Q187" s="23"/>
      <c r="R187" s="23"/>
      <c r="S187" s="35">
        <f>SUM(U187:U187)/IF(AG187="EC",12,1)</f>
        <v>1</v>
      </c>
      <c r="T187" s="50" t="str">
        <f>IF(ISEVEN(LEFT(AD187,4)),"Southbound","NorthBound")</f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hh:mm:ss")&amp;utc_offset&amp;"00',mode:absolute,to:'"&amp;TEXT(I187+1/24,"yyyy-MM-DD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https://search-rtdc-monitor-bjffxe2xuh6vdkpspy63sjmuny.us-east-1.es.amazonaws.com/_plugin/kibana/#/discover/Steve-Slow-Train-Analysis-(2080s-and-2083s)?_g=(refreshInterval:(display:Off,section:0,value:0),time:(from:'2016-12-05 15:07:20-700',mode:absolute,to:'2016-12-05 17:26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7" s="52" t="str">
        <f>IF(AA187&lt;IF(AG187="EC",23,5.65),"Y","N")</f>
        <v>N</v>
      </c>
      <c r="X187" s="177">
        <f>VALUE(LEFT(AD187,4))-VALUE(LEFT(AD186,4))</f>
        <v>1</v>
      </c>
      <c r="Y187" s="67">
        <f>RIGHT(D187,LEN(D187)-4)/10000</f>
        <v>5.8672000000000004</v>
      </c>
      <c r="Z187" s="67">
        <f>RIGHT(H187,LEN(H187)-4)/10000</f>
        <v>6.9099999999999995E-2</v>
      </c>
      <c r="AA187" s="67">
        <f>ABS(Z187-Y187)</f>
        <v>5.7981000000000007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>IF(LEN(A187)=6,"0"&amp;A187,A187)</f>
        <v>0828-05</v>
      </c>
      <c r="AE187" s="91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s3://rtdc.mdm.uploadarchive.raw/RTDC4015/ "%USERPROFILE%\AppData\Local\Temp\OnboardLogs"\RTDC4015\2016-12-05 --exclude "*" --recursive --include "*20161205*" &amp; "%USERPROFILE%\Documents\GitHub\mrs-test-scripts\Headless Mode &amp; Sideloading\WalkAndUnGZ.bat" "%USERPROFILE%\AppData\Local\Temp\OnboardLogs"\RTDC4015\2016-12-05 &amp; 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</v>
      </c>
      <c r="AF187" s="88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/stypes="app*4015*20161205*" /stext=" 23:.+((SYSTEM_STATE.+slice.+state.+changed )|(ment ac)|(multiple cpu faults)|(system.+state.+changed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92" t="str">
        <f t="shared" si="6"/>
        <v>"%USERPROFILE%\Documents\GitHub\eaglep3\Utilities\RefineRTDCRunTimes.py" --tripid 828-05 --locoid 4015 --swversion DE.1.0.8.0 --startMP 300:58672 --initTime 2016-12-05T16:07:20 --startdatetime 2016-12-05T16:09:14 --delay 1 --endMP 204:691 --enddatetime 2016-12-05T16:26:45 --enforcementcount 2 &gt;&gt;C:\Users\stu\Documents\GitHub\eaglep3-reporting\EC\2016-12-05-refined-times.txt</v>
      </c>
      <c r="AI187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{"issue":{"subject":"","project_id":79,"tracker_id":40,"status_id":1,"priority_id":2,"assigned_to_id":23,"start_date":"2016-12-05","description":"","custom_fields":[{"id":1,"name":"Subdivision","value":"NW"},{"id":4,"name":"Milepost","value":"0.0691"},{"id":17,"name":"Train ID","value":"828-05"},{"id":16,"name":"Locomotive ID","value":"4015"},{"id":130,"name":"Impact","value":""},{"id":150,"name":"Time of Event (Mountain Time)","value":"16:26:45"},{"id":151,"name":"Denver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455</v>
      </c>
      <c r="B188" s="7">
        <v>4014</v>
      </c>
      <c r="C188" s="22" t="s">
        <v>208</v>
      </c>
      <c r="D188" s="22" t="s">
        <v>291</v>
      </c>
      <c r="E188" s="13">
        <v>42709.67690972222</v>
      </c>
      <c r="F188" s="13">
        <v>42709.681446759256</v>
      </c>
      <c r="G188" s="7">
        <v>1</v>
      </c>
      <c r="H188" s="22" t="s">
        <v>797</v>
      </c>
      <c r="I188" s="13">
        <v>42709.690532407411</v>
      </c>
      <c r="J188" s="7">
        <v>2</v>
      </c>
      <c r="K188" s="109" t="str">
        <f>IF(ISEVEN(B188),(B188-1)&amp;"/"&amp;B188,B188&amp;"/"&amp;(B188+1))</f>
        <v>4013/4014</v>
      </c>
      <c r="L188" s="22" t="str">
        <f>VLOOKUP(A188,'Trips&amp;Operators'!$C$1:$G$99999,5,FALSE)</f>
        <v>BRUDER RICHARD</v>
      </c>
      <c r="M188" s="6">
        <f>I188-F188</f>
        <v>9.085648154723458E-3</v>
      </c>
      <c r="N188" s="7">
        <f>24*60*SUM($M188:$M188)</f>
        <v>13.08333334280178</v>
      </c>
      <c r="O188" s="7"/>
      <c r="P188" s="7"/>
      <c r="Q188" s="23"/>
      <c r="R188" s="23"/>
      <c r="S188" s="35">
        <f>SUM(U188:U188)/IF(AG188="EC",12,1)</f>
        <v>1</v>
      </c>
      <c r="T188" s="50" t="str">
        <f>IF(ISEVEN(LEFT(AD188,4)),"Southbound","NorthBound")</f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hh:mm:ss")&amp;utc_offset&amp;"00',mode:absolute,to:'"&amp;TEXT(I188+1/24,"yyyy-MM-DD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https://search-rtdc-monitor-bjffxe2xuh6vdkpspy63sjmuny.us-east-1.es.amazonaws.com/_plugin/kibana/#/discover/Steve-Slow-Train-Analysis-(2080s-and-2083s)?_g=(refreshInterval:(display:Off,section:0,value:0),time:(from:'2016-12-05 15:14:45-700',mode:absolute,to:'2016-12-05 17:34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8" s="52" t="str">
        <f>IF(AA188&lt;IF(AG188="EC",23,5.65),"Y","N")</f>
        <v>N</v>
      </c>
      <c r="X188" s="177">
        <f>VALUE(LEFT(AD188,4))-VALUE(LEFT(AD187,4))</f>
        <v>1</v>
      </c>
      <c r="Y188" s="67">
        <f>RIGHT(D188,LEN(D188)-4)/10000</f>
        <v>9.7100000000000006E-2</v>
      </c>
      <c r="Z188" s="67">
        <f>RIGHT(H188,LEN(H188)-4)/10000</f>
        <v>5.8935000000000004</v>
      </c>
      <c r="AA188" s="67">
        <f>ABS(Z188-Y188)</f>
        <v>5.7964000000000002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>IF(LEN(A188)=6,"0"&amp;A188,A188)</f>
        <v>0829-05</v>
      </c>
      <c r="AE188" s="91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AF188" s="88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/stypes="app*4014*20161205*" /stext=" 23:.+((SYSTEM_STATE.+slice.+state.+changed )|(ment ac)|(multiple cpu faults)|(system.+state.+changed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92" t="str">
        <f t="shared" si="6"/>
        <v>"%USERPROFILE%\Documents\GitHub\eaglep3\Utilities\RefineRTDCRunTimes.py" --tripid 829-05 --locoid 4014 --swversion DE.1.0.8.0 --startMP 204:971 --initTime 2016-12-05T16:14:45 --startdatetime 2016-12-05T16:21:17 --delay 1 --endMP 300:58935 --enddatetime 2016-12-05T16:34:22 --enforcementcount 2 &gt;&gt;C:\Users\stu\Documents\GitHub\eaglep3-reporting\EC\2016-12-05-refined-times.txt</v>
      </c>
      <c r="AI188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{"issue":{"subject":"","project_id":79,"tracker_id":40,"status_id":1,"priority_id":2,"assigned_to_id":23,"start_date":"2016-12-05","description":"","custom_fields":[{"id":1,"name":"Subdivision","value":"NW"},{"id":4,"name":"Milepost","value":"5.8935"},{"id":17,"name":"Train ID","value":"829-05"},{"id":16,"name":"Locomotive ID","value":"4014"},{"id":130,"name":"Impact","value":""},{"id":150,"name":"Time of Event (Mountain Time)","value":"16:34:22"},{"id":151,"name":"Denver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595</v>
      </c>
      <c r="B189" s="7">
        <v>4013</v>
      </c>
      <c r="C189" s="22" t="s">
        <v>208</v>
      </c>
      <c r="D189" s="22" t="s">
        <v>410</v>
      </c>
      <c r="E189" s="13">
        <v>42709.692048611112</v>
      </c>
      <c r="F189" s="13">
        <v>42709.693749999999</v>
      </c>
      <c r="G189" s="7">
        <v>1</v>
      </c>
      <c r="H189" s="22" t="s">
        <v>806</v>
      </c>
      <c r="I189" s="13">
        <v>42709.705196759256</v>
      </c>
      <c r="J189" s="7">
        <v>2</v>
      </c>
      <c r="K189" s="109" t="str">
        <f>IF(ISEVEN(B189),(B189-1)&amp;"/"&amp;B189,B189&amp;"/"&amp;(B189+1))</f>
        <v>4013/4014</v>
      </c>
      <c r="L189" s="22" t="str">
        <f>VLOOKUP(A189,'Trips&amp;Operators'!$C$1:$G$99999,5,FALSE)</f>
        <v>BRUDER RICHARD</v>
      </c>
      <c r="M189" s="6">
        <f>I189-F189</f>
        <v>1.1446759257523809E-2</v>
      </c>
      <c r="N189" s="7">
        <f>24*60*SUM($M189:$M189)</f>
        <v>16.483333330834284</v>
      </c>
      <c r="O189" s="7"/>
      <c r="P189" s="7"/>
      <c r="Q189" s="23"/>
      <c r="R189" s="23"/>
      <c r="S189" s="35">
        <f>SUM(U189:U189)/IF(AG189="EC",12,1)</f>
        <v>1</v>
      </c>
      <c r="T189" s="50" t="str">
        <f>IF(ISEVEN(LEFT(AD189,4)),"Southbound","NorthBound")</f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hh:mm:ss")&amp;utc_offset&amp;"00',mode:absolute,to:'"&amp;TEXT(I189+1/24,"yyyy-MM-DD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https://search-rtdc-monitor-bjffxe2xuh6vdkpspy63sjmuny.us-east-1.es.amazonaws.com/_plugin/kibana/#/discover/Steve-Slow-Train-Analysis-(2080s-and-2083s)?_g=(refreshInterval:(display:Off,section:0,value:0),time:(from:'2016-12-05 15:36:33-700',mode:absolute,to:'2016-12-05 17:55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9" s="52" t="str">
        <f>IF(AA189&lt;IF(AG189="EC",23,5.65),"Y","N")</f>
        <v>N</v>
      </c>
      <c r="X189" s="177">
        <f>VALUE(LEFT(AD189,4))-VALUE(LEFT(AD188,4))</f>
        <v>1</v>
      </c>
      <c r="Y189" s="67">
        <f>RIGHT(D189,LEN(D189)-4)/10000</f>
        <v>5.8624000000000001</v>
      </c>
      <c r="Z189" s="67">
        <f>RIGHT(H189,LEN(H189)-4)/10000</f>
        <v>6.8500000000000005E-2</v>
      </c>
      <c r="AA189" s="67">
        <f>ABS(Z189-Y189)</f>
        <v>5.7938999999999998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>IF(LEN(A189)=6,"0"&amp;A189,A189)</f>
        <v>0830-05</v>
      </c>
      <c r="AE189" s="91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AF189" s="88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/stypes="app*4013*20161205*" /stext=" 23:.+((SYSTEM_STATE.+slice.+state.+changed )|(ment ac)|(multiple cpu faults)|(system.+state.+changed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92" t="str">
        <f t="shared" si="6"/>
        <v>"%USERPROFILE%\Documents\GitHub\eaglep3\Utilities\RefineRTDCRunTimes.py" --tripid 830-05 --locoid 4013 --swversion DE.1.0.8.0 --startMP 300:58624 --initTime 2016-12-05T16:36:33 --startdatetime 2016-12-05T16:39:00 --delay 1 --endMP 204:685 --enddatetime 2016-12-05T16:55:29 --enforcementcount 2 &gt;&gt;C:\Users\stu\Documents\GitHub\eaglep3-reporting\EC\2016-12-05-refined-times.txt</v>
      </c>
      <c r="AI189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{"issue":{"subject":"","project_id":79,"tracker_id":40,"status_id":1,"priority_id":2,"assigned_to_id":23,"start_date":"2016-12-05","description":"","custom_fields":[{"id":1,"name":"Subdivision","value":"NW"},{"id":4,"name":"Milepost","value":"0.0685"},{"id":17,"name":"Train ID","value":"830-05"},{"id":16,"name":"Locomotive ID","value":"4013"},{"id":130,"name":"Impact","value":""},{"id":150,"name":"Time of Event (Mountain Time)","value":"16:55:29"},{"id":151,"name":"Denver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s="21" customFormat="1" x14ac:dyDescent="0.25">
      <c r="A190" s="37" t="s">
        <v>597</v>
      </c>
      <c r="B190" s="7">
        <v>4016</v>
      </c>
      <c r="C190" s="22" t="s">
        <v>208</v>
      </c>
      <c r="D190" s="22" t="s">
        <v>794</v>
      </c>
      <c r="E190" s="13">
        <v>42709.696018518516</v>
      </c>
      <c r="F190" s="13">
        <v>42709.702314814815</v>
      </c>
      <c r="G190" s="7">
        <v>2</v>
      </c>
      <c r="H190" s="22" t="s">
        <v>807</v>
      </c>
      <c r="I190" s="13">
        <v>42709.711863425924</v>
      </c>
      <c r="J190" s="7">
        <v>2</v>
      </c>
      <c r="K190" s="109" t="str">
        <f>IF(ISEVEN(B190),(B190-1)&amp;"/"&amp;B190,B190&amp;"/"&amp;(B190+1))</f>
        <v>4015/4016</v>
      </c>
      <c r="L190" s="22" t="str">
        <f>VLOOKUP(A190,'Trips&amp;Operators'!$C$1:$G$99999,5,FALSE)</f>
        <v>COOLAHAN JOHN</v>
      </c>
      <c r="M190" s="6">
        <f>I190-F190</f>
        <v>9.5486111094942316E-3</v>
      </c>
      <c r="N190" s="7">
        <f>24*60*SUM($M190:$M190)</f>
        <v>13.749999997671694</v>
      </c>
      <c r="O190" s="7"/>
      <c r="P190" s="7"/>
      <c r="Q190" s="23"/>
      <c r="R190" s="23"/>
      <c r="S190" s="35">
        <f>SUM(U190:U190)/IF(AG190="EC",12,1)</f>
        <v>1</v>
      </c>
      <c r="T190" s="50" t="str">
        <f>IF(ISEVEN(LEFT(AD190,4)),"Southbound","NorthBound")</f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hh:mm:ss")&amp;utc_offset&amp;"00',mode:absolute,to:'"&amp;TEXT(I190+1/24,"yyyy-MM-DD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https://search-rtdc-monitor-bjffxe2xuh6vdkpspy63sjmuny.us-east-1.es.amazonaws.com/_plugin/kibana/#/discover/Steve-Slow-Train-Analysis-(2080s-and-2083s)?_g=(refreshInterval:(display:Off,section:0,value:0),time:(from:'2016-12-05 15:42:16-700',mode:absolute,to:'2016-12-05 18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0" s="52" t="str">
        <f>IF(AA190&lt;IF(AG190="EC",23,5.65),"Y","N")</f>
        <v>N</v>
      </c>
      <c r="X190" s="177">
        <f>VALUE(LEFT(AD190,4))-VALUE(LEFT(AD189,4))</f>
        <v>1</v>
      </c>
      <c r="Y190" s="67">
        <f>RIGHT(D190,LEN(D190)-4)/10000</f>
        <v>9.64E-2</v>
      </c>
      <c r="Z190" s="67">
        <f>RIGHT(H190,LEN(H190)-4)/10000</f>
        <v>5.8983999999999996</v>
      </c>
      <c r="AA190" s="67">
        <f>ABS(Z190-Y190)</f>
        <v>5.8019999999999996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>IF(LEN(A190)=6,"0"&amp;A190,A190)</f>
        <v>0831-05</v>
      </c>
      <c r="AE190" s="91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s3://rtdc.mdm.uploadarchive.raw/RTDC4016/ "%USERPROFILE%\AppData\Local\Temp\OnboardLogs"\RTDC4016\2016-12-05 --exclude "*" --recursive --include "*20161205*" &amp; "%USERPROFILE%\Documents\GitHub\mrs-test-scripts\Headless Mode &amp; Sideloading\WalkAndUnGZ.bat" "%USERPROFILE%\AppData\Local\Temp\OnboardLogs"\RTDC4016\2016-12-05 &amp; 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</v>
      </c>
      <c r="AF190" s="88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/stypes="app*4016*20161206*" /stext=" 00:.+((SYSTEM_STATE.+slice.+state.+changed )|(ment ac)|(multiple cpu faults)|(system.+state.+changed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92" t="str">
        <f t="shared" si="6"/>
        <v>"%USERPROFILE%\Documents\GitHub\eaglep3\Utilities\RefineRTDCRunTimes.py" --tripid 831-05 --locoid 4016 --swversion DE.1.0.8.0 --startMP 204:964 --initTime 2016-12-05T16:42:16 --startdatetime 2016-12-05T16:51:20 --delay 2 --endMP 300:58984 --enddatetime 2016-12-05T17:05:05 --enforcementcount 2 &gt;&gt;C:\Users\stu\Documents\GitHub\eaglep3-reporting\EC\2016-12-05-refined-times.txt</v>
      </c>
      <c r="AI190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{"issue":{"subject":"","project_id":79,"tracker_id":40,"status_id":1,"priority_id":2,"assigned_to_id":23,"start_date":"2016-12-05","description":"","custom_fields":[{"id":1,"name":"Subdivision","value":"NW"},{"id":4,"name":"Milepost","value":"5.8984"},{"id":17,"name":"Train ID","value":"831-05"},{"id":16,"name":"Locomotive ID","value":"4016"},{"id":130,"name":"Impact","value":""},{"id":150,"name":"Time of Event (Mountain Time)","value":"17:05:05"},{"id":151,"name":"Denver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602</v>
      </c>
      <c r="B191" s="7">
        <v>4015</v>
      </c>
      <c r="C191" s="22" t="s">
        <v>208</v>
      </c>
      <c r="D191" s="22" t="s">
        <v>808</v>
      </c>
      <c r="E191" s="13">
        <v>42709.713310185187</v>
      </c>
      <c r="F191" s="13">
        <v>42709.714641203704</v>
      </c>
      <c r="G191" s="7">
        <v>1</v>
      </c>
      <c r="H191" s="22" t="s">
        <v>809</v>
      </c>
      <c r="I191" s="13">
        <v>42709.727314814816</v>
      </c>
      <c r="J191" s="7">
        <v>2</v>
      </c>
      <c r="K191" s="109" t="str">
        <f>IF(ISEVEN(B191),(B191-1)&amp;"/"&amp;B191,B191&amp;"/"&amp;(B191+1))</f>
        <v>4015/4016</v>
      </c>
      <c r="L191" s="22" t="str">
        <f>VLOOKUP(A191,'Trips&amp;Operators'!$C$1:$G$99999,5,FALSE)</f>
        <v>COOLAHAN JOHN</v>
      </c>
      <c r="M191" s="6">
        <f>I191-F191</f>
        <v>1.2673611112404615E-2</v>
      </c>
      <c r="N191" s="7">
        <f>24*60*SUM($M191:$M191)</f>
        <v>18.250000001862645</v>
      </c>
      <c r="O191" s="7"/>
      <c r="P191" s="7"/>
      <c r="Q191" s="23"/>
      <c r="R191" s="23"/>
      <c r="S191" s="35">
        <f>SUM(U191:U191)/IF(AG191="EC",12,1)</f>
        <v>1</v>
      </c>
      <c r="T191" s="50" t="str">
        <f>IF(ISEVEN(LEFT(AD191,4)),"Southbound","NorthBound")</f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hh:mm:ss")&amp;utc_offset&amp;"00',mode:absolute,to:'"&amp;TEXT(I191+1/24,"yyyy-MM-DD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https://search-rtdc-monitor-bjffxe2xuh6vdkpspy63sjmuny.us-east-1.es.amazonaws.com/_plugin/kibana/#/discover/Steve-Slow-Train-Analysis-(2080s-and-2083s)?_g=(refreshInterval:(display:Off,section:0,value:0),time:(from:'2016-12-05 16:07:10-700',mode:absolute,to:'2016-12-05 18:27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1" s="52" t="str">
        <f>IF(AA191&lt;IF(AG191="EC",23,5.65),"Y","N")</f>
        <v>N</v>
      </c>
      <c r="X191" s="177">
        <f>VALUE(LEFT(AD191,4))-VALUE(LEFT(AD190,4))</f>
        <v>1</v>
      </c>
      <c r="Y191" s="67">
        <f>RIGHT(D191,LEN(D191)-4)/10000</f>
        <v>5.8667999999999996</v>
      </c>
      <c r="Z191" s="67">
        <f>RIGHT(H191,LEN(H191)-4)/10000</f>
        <v>6.2100000000000002E-2</v>
      </c>
      <c r="AA191" s="67">
        <f>ABS(Z191-Y191)</f>
        <v>5.8046999999999995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>IF(LEN(A191)=6,"0"&amp;A191,A191)</f>
        <v>0832-05</v>
      </c>
      <c r="AE191" s="91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s3://rtdc.mdm.uploadarchive.raw/RTDC4015/ "%USERPROFILE%\AppData\Local\Temp\OnboardLogs"\RTDC4015\2016-12-05 --exclude "*" --recursive --include "*20161205*" &amp; "%USERPROFILE%\Documents\GitHub\mrs-test-scripts\Headless Mode &amp; Sideloading\WalkAndUnGZ.bat" "%USERPROFILE%\AppData\Local\Temp\OnboardLogs"\RTDC4015\2016-12-05 &amp; 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</v>
      </c>
      <c r="AF191" s="88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/stypes="app*4015*20161206*" /stext=" 00:.+((SYSTEM_STATE.+slice.+state.+changed )|(ment ac)|(multiple cpu faults)|(system.+state.+changed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92" t="str">
        <f t="shared" si="6"/>
        <v>"%USERPROFILE%\Documents\GitHub\eaglep3\Utilities\RefineRTDCRunTimes.py" --tripid 832-05 --locoid 4015 --swversion DE.1.0.8.0 --startMP 300:58668 --initTime 2016-12-05T17:07:10 --startdatetime 2016-12-05T17:09:05 --delay 1 --endMP 204:621 --enddatetime 2016-12-05T17:27:20 --enforcementcount 2 &gt;&gt;C:\Users\stu\Documents\GitHub\eaglep3-reporting\EC\2016-12-05-refined-times.txt</v>
      </c>
      <c r="AI191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{"issue":{"subject":"","project_id":79,"tracker_id":40,"status_id":1,"priority_id":2,"assigned_to_id":23,"start_date":"2016-12-05","description":"","custom_fields":[{"id":1,"name":"Subdivision","value":"NW"},{"id":4,"name":"Milepost","value":"0.0621"},{"id":17,"name":"Train ID","value":"832-05"},{"id":16,"name":"Locomotive ID","value":"4015"},{"id":130,"name":"Impact","value":""},{"id":150,"name":"Time of Event (Mountain Time)","value":"17:27:20"},{"id":151,"name":"Denver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606</v>
      </c>
      <c r="B192" s="7">
        <v>4014</v>
      </c>
      <c r="C192" s="22" t="s">
        <v>208</v>
      </c>
      <c r="D192" s="22" t="s">
        <v>810</v>
      </c>
      <c r="E192" s="13">
        <v>42709.718923611108</v>
      </c>
      <c r="F192" s="13">
        <v>42709.723217592589</v>
      </c>
      <c r="G192" s="7">
        <v>1</v>
      </c>
      <c r="H192" s="22" t="s">
        <v>797</v>
      </c>
      <c r="I192" s="13">
        <v>42709.732557870368</v>
      </c>
      <c r="J192" s="7">
        <v>2</v>
      </c>
      <c r="K192" s="109" t="str">
        <f>IF(ISEVEN(B192),(B192-1)&amp;"/"&amp;B192,B192&amp;"/"&amp;(B192+1))</f>
        <v>4013/4014</v>
      </c>
      <c r="L192" s="22" t="str">
        <f>VLOOKUP(A192,'Trips&amp;Operators'!$C$1:$G$99999,5,FALSE)</f>
        <v>BRUDER RICHARD</v>
      </c>
      <c r="M192" s="6">
        <f>I192-F192</f>
        <v>9.340277778392192E-3</v>
      </c>
      <c r="N192" s="7">
        <f>24*60*SUM($M192:$M192)</f>
        <v>13.450000000884756</v>
      </c>
      <c r="O192" s="7"/>
      <c r="P192" s="7"/>
      <c r="Q192" s="23"/>
      <c r="R192" s="23"/>
      <c r="S192" s="35">
        <f>SUM(U192:U192)/IF(AG192="EC",12,1)</f>
        <v>1</v>
      </c>
      <c r="T192" s="50" t="str">
        <f>IF(ISEVEN(LEFT(AD192,4)),"Southbound","NorthBound")</f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hh:mm:ss")&amp;utc_offset&amp;"00',mode:absolute,to:'"&amp;TEXT(I192+1/24,"yyyy-MM-DD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https://search-rtdc-monitor-bjffxe2xuh6vdkpspy63sjmuny.us-east-1.es.amazonaws.com/_plugin/kibana/#/discover/Steve-Slow-Train-Analysis-(2080s-and-2083s)?_g=(refreshInterval:(display:Off,section:0,value:0),time:(from:'2016-12-05 16:15:15-700',mode:absolute,to:'2016-12-05 18:34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2" s="52" t="str">
        <f>IF(AA192&lt;IF(AG192="EC",23,5.65),"Y","N")</f>
        <v>N</v>
      </c>
      <c r="X192" s="177">
        <f>VALUE(LEFT(AD192,4))-VALUE(LEFT(AD191,4))</f>
        <v>1</v>
      </c>
      <c r="Y192" s="67">
        <f>RIGHT(D192,LEN(D192)-4)/10000</f>
        <v>9.6699999999999994E-2</v>
      </c>
      <c r="Z192" s="67">
        <f>RIGHT(H192,LEN(H192)-4)/10000</f>
        <v>5.8935000000000004</v>
      </c>
      <c r="AA192" s="67">
        <f>ABS(Z192-Y192)</f>
        <v>5.7968000000000002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>IF(LEN(A192)=6,"0"&amp;A192,A192)</f>
        <v>0833-05</v>
      </c>
      <c r="AE192" s="91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AF192" s="88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/stypes="app*4014*20161206*" /stext=" 00:.+((SYSTEM_STATE.+slice.+state.+changed )|(ment ac)|(multiple cpu faults)|(system.+state.+changed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92" t="str">
        <f t="shared" si="6"/>
        <v>"%USERPROFILE%\Documents\GitHub\eaglep3\Utilities\RefineRTDCRunTimes.py" --tripid 833-05 --locoid 4014 --swversion DE.1.0.8.0 --startMP 204:967 --initTime 2016-12-05T17:15:15 --startdatetime 2016-12-05T17:21:26 --delay 1 --endMP 300:58935 --enddatetime 2016-12-05T17:34:53 --enforcementcount 2 &gt;&gt;C:\Users\stu\Documents\GitHub\eaglep3-reporting\EC\2016-12-05-refined-times.txt</v>
      </c>
      <c r="AI192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{"issue":{"subject":"","project_id":79,"tracker_id":40,"status_id":1,"priority_id":2,"assigned_to_id":23,"start_date":"2016-12-05","description":"","custom_fields":[{"id":1,"name":"Subdivision","value":"NW"},{"id":4,"name":"Milepost","value":"5.8935"},{"id":17,"name":"Train ID","value":"833-05"},{"id":16,"name":"Locomotive ID","value":"4014"},{"id":130,"name":"Impact","value":""},{"id":150,"name":"Time of Event (Mountain Time)","value":"17:34:53"},{"id":151,"name":"Denver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38" x14ac:dyDescent="0.25">
      <c r="A193" s="37" t="s">
        <v>609</v>
      </c>
      <c r="B193" s="7">
        <v>4013</v>
      </c>
      <c r="C193" s="22" t="s">
        <v>208</v>
      </c>
      <c r="D193" s="22" t="s">
        <v>348</v>
      </c>
      <c r="E193" s="13">
        <v>42709.733668981484</v>
      </c>
      <c r="F193" s="13">
        <v>42709.735682870371</v>
      </c>
      <c r="G193" s="7">
        <v>1</v>
      </c>
      <c r="H193" s="22" t="s">
        <v>798</v>
      </c>
      <c r="I193" s="13">
        <v>42709.746979166666</v>
      </c>
      <c r="J193" s="7">
        <v>2</v>
      </c>
      <c r="K193" s="109" t="str">
        <f>IF(ISEVEN(B193),(B193-1)&amp;"/"&amp;B193,B193&amp;"/"&amp;(B193+1))</f>
        <v>4013/4014</v>
      </c>
      <c r="L193" s="22" t="str">
        <f>VLOOKUP(A193,'Trips&amp;Operators'!$C$1:$G$99999,5,FALSE)</f>
        <v>BRUDER RICHARD</v>
      </c>
      <c r="M193" s="6">
        <f>I193-F193</f>
        <v>1.1296296295768116E-2</v>
      </c>
      <c r="N193" s="7">
        <f>24*60*SUM($M193:$M193)</f>
        <v>16.266666665906087</v>
      </c>
      <c r="O193" s="7"/>
      <c r="P193" s="7"/>
      <c r="Q193" s="23"/>
      <c r="R193" s="23"/>
      <c r="S193" s="35">
        <f>SUM(U193:U193)/IF(AG193="EC",12,1)</f>
        <v>1</v>
      </c>
      <c r="T193" s="50" t="str">
        <f>IF(ISEVEN(LEFT(AD193,4)),"Southbound","NorthBound")</f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hh:mm:ss")&amp;utc_offset&amp;"00',mode:absolute,to:'"&amp;TEXT(I193+1/24,"yyyy-MM-DD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https://search-rtdc-monitor-bjffxe2xuh6vdkpspy63sjmuny.us-east-1.es.amazonaws.com/_plugin/kibana/#/discover/Steve-Slow-Train-Analysis-(2080s-and-2083s)?_g=(refreshInterval:(display:Off,section:0,value:0),time:(from:'2016-12-05 16:36:29-700',mode:absolute,to:'2016-12-05 18:55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3" s="52" t="str">
        <f>IF(AA193&lt;IF(AG193="EC",23,5.65),"Y","N")</f>
        <v>N</v>
      </c>
      <c r="X193" s="177">
        <f>VALUE(LEFT(AD193,4))-VALUE(LEFT(AD192,4))</f>
        <v>1</v>
      </c>
      <c r="Y193" s="67">
        <f>RIGHT(D193,LEN(D193)-4)/10000</f>
        <v>5.8620999999999999</v>
      </c>
      <c r="Z193" s="67">
        <f>RIGHT(H193,LEN(H193)-4)/10000</f>
        <v>6.7799999999999999E-2</v>
      </c>
      <c r="AA193" s="67">
        <f>ABS(Z193-Y193)</f>
        <v>5.7942999999999998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>IF(LEN(A193)=6,"0"&amp;A193,A193)</f>
        <v>0834-05</v>
      </c>
      <c r="AE193" s="91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AF193" s="88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/stypes="app*4013*20161206*" /stext=" 00:.+((SYSTEM_STATE.+slice.+state.+changed )|(ment ac)|(multiple cpu faults)|(system.+state.+changed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92" t="str">
        <f t="shared" si="6"/>
        <v>"%USERPROFILE%\Documents\GitHub\eaglep3\Utilities\RefineRTDCRunTimes.py" --tripid 834-05 --locoid 4013 --swversion DE.1.0.8.0 --startMP 300:58621 --initTime 2016-12-05T17:36:29 --startdatetime 2016-12-05T17:39:23 --delay 1 --endMP 204:678 --enddatetime 2016-12-05T17:55:39 --enforcementcount 2 &gt;&gt;C:\Users\stu\Documents\GitHub\eaglep3-reporting\EC\2016-12-05-refined-times.txt</v>
      </c>
      <c r="AI193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{"issue":{"subject":"","project_id":79,"tracker_id":40,"status_id":1,"priority_id":2,"assigned_to_id":23,"start_date":"2016-12-05","description":"","custom_fields":[{"id":1,"name":"Subdivision","value":"NW"},{"id":4,"name":"Milepost","value":"0.0678"},{"id":17,"name":"Train ID","value":"834-05"},{"id":16,"name":"Locomotive ID","value":"4013"},{"id":130,"name":"Impact","value":""},{"id":150,"name":"Time of Event (Mountain Time)","value":"17:55:39"},{"id":151,"name":"Denver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38" x14ac:dyDescent="0.25">
      <c r="A194" s="37" t="s">
        <v>612</v>
      </c>
      <c r="B194" s="7">
        <v>4016</v>
      </c>
      <c r="C194" s="22" t="s">
        <v>208</v>
      </c>
      <c r="D194" s="22" t="s">
        <v>811</v>
      </c>
      <c r="E194" s="13">
        <v>42709.741087962961</v>
      </c>
      <c r="F194" s="13">
        <v>42709.744050925925</v>
      </c>
      <c r="G194" s="7">
        <v>1</v>
      </c>
      <c r="H194" s="22" t="s">
        <v>812</v>
      </c>
      <c r="I194" s="13">
        <v>42709.75371527778</v>
      </c>
      <c r="J194" s="7">
        <v>2</v>
      </c>
      <c r="K194" s="109" t="str">
        <f>IF(ISEVEN(B194),(B194-1)&amp;"/"&amp;B194,B194&amp;"/"&amp;(B194+1))</f>
        <v>4015/4016</v>
      </c>
      <c r="L194" s="22" t="str">
        <f>VLOOKUP(A194,'Trips&amp;Operators'!$C$1:$G$99999,5,FALSE)</f>
        <v>COOLAHAN JOHN</v>
      </c>
      <c r="M194" s="6">
        <f>I194-F194</f>
        <v>9.6643518554628827E-3</v>
      </c>
      <c r="N194" s="7">
        <f>24*60*SUM($M194:$M194)</f>
        <v>13.916666671866551</v>
      </c>
      <c r="O194" s="7"/>
      <c r="P194" s="7"/>
      <c r="Q194" s="23"/>
      <c r="R194" s="23"/>
      <c r="S194" s="35">
        <f>SUM(U194:U194)/IF(AG194="EC",12,1)</f>
        <v>1</v>
      </c>
      <c r="T194" s="50" t="str">
        <f>IF(ISEVEN(LEFT(AD194,4)),"Southbound","NorthBound")</f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hh:mm:ss")&amp;utc_offset&amp;"00',mode:absolute,to:'"&amp;TEXT(I194+1/24,"yyyy-MM-DD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https://search-rtdc-monitor-bjffxe2xuh6vdkpspy63sjmuny.us-east-1.es.amazonaws.com/_plugin/kibana/#/discover/Steve-Slow-Train-Analysis-(2080s-and-2083s)?_g=(refreshInterval:(display:Off,section:0,value:0),time:(from:'2016-12-05 16:47:10-700',mode:absolute,to:'2016-12-05 19:05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4" s="52" t="str">
        <f>IF(AA194&lt;IF(AG194="EC",23,5.65),"Y","N")</f>
        <v>N</v>
      </c>
      <c r="X194" s="177">
        <f>VALUE(LEFT(AD194,4))-VALUE(LEFT(AD193,4))</f>
        <v>1</v>
      </c>
      <c r="Y194" s="67">
        <f>RIGHT(D194,LEN(D194)-4)/10000</f>
        <v>9.2899999999999996E-2</v>
      </c>
      <c r="Z194" s="67">
        <f>RIGHT(H194,LEN(H194)-4)/10000</f>
        <v>5.8978000000000002</v>
      </c>
      <c r="AA194" s="67">
        <f>ABS(Z194-Y194)</f>
        <v>5.8048999999999999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>IF(LEN(A194)=6,"0"&amp;A194,A194)</f>
        <v>0835-05</v>
      </c>
      <c r="AE194" s="91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s3://rtdc.mdm.uploadarchive.raw/RTDC4016/ "%USERPROFILE%\AppData\Local\Temp\OnboardLogs"\RTDC4016\2016-12-05 --exclude "*" --recursive --include "*20161205*" &amp; "%USERPROFILE%\Documents\GitHub\mrs-test-scripts\Headless Mode &amp; Sideloading\WalkAndUnGZ.bat" "%USERPROFILE%\AppData\Local\Temp\OnboardLogs"\RTDC4016\2016-12-05 &amp; 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</v>
      </c>
      <c r="AF194" s="88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/stypes="app*4016*20161206*" /stext=" 01:.+((SYSTEM_STATE.+slice.+state.+changed )|(ment ac)|(multiple cpu faults)|(system.+state.+changed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92" t="str">
        <f t="shared" si="6"/>
        <v>"%USERPROFILE%\Documents\GitHub\eaglep3\Utilities\RefineRTDCRunTimes.py" --tripid 835-05 --locoid 4016 --swversion DE.1.0.8.0 --startMP 204:929 --initTime 2016-12-05T17:47:10 --startdatetime 2016-12-05T17:51:26 --delay 1 --endMP 300:58978 --enddatetime 2016-12-05T18:05:21 --enforcementcount 2 &gt;&gt;C:\Users\stu\Documents\GitHub\eaglep3-reporting\EC\2016-12-05-refined-times.txt</v>
      </c>
      <c r="AI194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{"issue":{"subject":"","project_id":79,"tracker_id":40,"status_id":1,"priority_id":2,"assigned_to_id":23,"start_date":"2016-12-05","description":"","custom_fields":[{"id":1,"name":"Subdivision","value":"NW"},{"id":4,"name":"Milepost","value":"5.8978"},{"id":17,"name":"Train ID","value":"835-05"},{"id":16,"name":"Locomotive ID","value":"4016"},{"id":130,"name":"Impact","value":""},{"id":150,"name":"Time of Event (Mountain Time)","value":"18:05:21"},{"id":151,"name":"Denver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38" x14ac:dyDescent="0.25">
      <c r="A195" s="37" t="s">
        <v>457</v>
      </c>
      <c r="B195" s="7">
        <v>4015</v>
      </c>
      <c r="C195" s="22" t="s">
        <v>208</v>
      </c>
      <c r="D195" s="22" t="s">
        <v>813</v>
      </c>
      <c r="E195" s="13">
        <v>42709.754965277774</v>
      </c>
      <c r="F195" s="13">
        <v>42709.756423611114</v>
      </c>
      <c r="G195" s="7">
        <v>1</v>
      </c>
      <c r="H195" s="22" t="s">
        <v>372</v>
      </c>
      <c r="I195" s="13">
        <v>42709.775277777779</v>
      </c>
      <c r="J195" s="7">
        <v>2</v>
      </c>
      <c r="K195" s="109" t="str">
        <f>IF(ISEVEN(B195),(B195-1)&amp;"/"&amp;B195,B195&amp;"/"&amp;(B195+1))</f>
        <v>4015/4016</v>
      </c>
      <c r="L195" s="22" t="str">
        <f>VLOOKUP(A195,'Trips&amp;Operators'!$C$1:$G$99999,5,FALSE)</f>
        <v>COOLAHAN JOHN</v>
      </c>
      <c r="M195" s="6">
        <f>I195-F195</f>
        <v>1.8854166664823424E-2</v>
      </c>
      <c r="N195" s="7">
        <f>24*60*SUM($M195:$M195)</f>
        <v>27.149999997345731</v>
      </c>
      <c r="O195" s="7"/>
      <c r="P195" s="7"/>
      <c r="Q195" s="23"/>
      <c r="R195" s="23" t="s">
        <v>854</v>
      </c>
      <c r="S195" s="35">
        <f>SUM(U195:U195)/IF(AG195="EC",12,1)</f>
        <v>1</v>
      </c>
      <c r="T195" s="50" t="str">
        <f>IF(ISEVEN(LEFT(AD195,4)),"Southbound","NorthBound")</f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hh:mm:ss")&amp;utc_offset&amp;"00',mode:absolute,to:'"&amp;TEXT(I195+1/24,"yyyy-MM-DD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https://search-rtdc-monitor-bjffxe2xuh6vdkpspy63sjmuny.us-east-1.es.amazonaws.com/_plugin/kibana/#/discover/Steve-Slow-Train-Analysis-(2080s-and-2083s)?_g=(refreshInterval:(display:Off,section:0,value:0),time:(from:'2016-12-05 17:07:09-700',mode:absolute,to:'2016-12-05 19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5" s="52" t="str">
        <f>IF(AA195&lt;IF(AG195="EC",23,5.65),"Y","N")</f>
        <v>N</v>
      </c>
      <c r="X195" s="177">
        <f>VALUE(LEFT(AD195,4))-VALUE(LEFT(AD194,4))</f>
        <v>1</v>
      </c>
      <c r="Y195" s="67">
        <f>RIGHT(D195,LEN(D195)-4)/10000</f>
        <v>5.8659999999999997</v>
      </c>
      <c r="Z195" s="67">
        <f>RIGHT(H195,LEN(H195)-4)/10000</f>
        <v>6.8900000000000003E-2</v>
      </c>
      <c r="AA195" s="67">
        <f>ABS(Z195-Y195)</f>
        <v>5.7970999999999995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>IF(LEN(A195)=6,"0"&amp;A195,A195)</f>
        <v>0836-05</v>
      </c>
      <c r="AE195" s="91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s3://rtdc.mdm.uploadarchive.raw/RTDC4015/ "%USERPROFILE%\AppData\Local\Temp\OnboardLogs"\RTDC4015\2016-12-05 --exclude "*" --recursive --include "*20161205*" &amp; "%USERPROFILE%\Documents\GitHub\mrs-test-scripts\Headless Mode &amp; Sideloading\WalkAndUnGZ.bat" "%USERPROFILE%\AppData\Local\Temp\OnboardLogs"\RTDC4015\2016-12-05 &amp; 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</v>
      </c>
      <c r="AF195" s="88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/stypes="app*4015*20161206*" /stext=" 01:.+((SYSTEM_STATE.+slice.+state.+changed )|(ment ac)|(multiple cpu faults)|(system.+state.+changed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92" t="str">
        <f t="shared" si="6"/>
        <v>"%USERPROFILE%\Documents\GitHub\eaglep3\Utilities\RefineRTDCRunTimes.py" --tripid 836-05 --locoid 4015 --swversion DE.1.0.8.0 --startMP 300:58660 --initTime 2016-12-05T18:07:09 --startdatetime 2016-12-05T18:09:15 --delay 1 --endMP 204:689 --enddatetime 2016-12-05T18:36:24 --enforcementcount 2 &gt;&gt;C:\Users\stu\Documents\GitHub\eaglep3-reporting\EC\2016-12-05-refined-times.txt</v>
      </c>
      <c r="AI195" s="119" t="str">
        <f t="shared" si="7"/>
        <v>echo {"issue":{"subject":"Delayed by Train 73 delay (yard entry issue)","project_id":79,"tracker_id":40,"status_id":1,"priority_id":2,"assigned_to_id":23,"start_date":"2016-12-05","description":"","custom_fields":[{"id":1,"name":"Subdivision","value":"NW"},{"id":4,"name":"Milepost","value":"0.0689"},{"id":17,"name":"Train ID","value":"836-05"},{"id":16,"name":"Locomotive ID","value":"4015"},{"id":130,"name":"Impact","value":""},{"id":150,"name":"Time of Event (Mountain Time)","value":"18:36:24"},{"id":151,"name":"Denver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38" x14ac:dyDescent="0.25">
      <c r="A196" s="37" t="s">
        <v>621</v>
      </c>
      <c r="B196" s="7">
        <v>4014</v>
      </c>
      <c r="C196" s="22" t="s">
        <v>208</v>
      </c>
      <c r="D196" s="22" t="s">
        <v>347</v>
      </c>
      <c r="E196" s="13">
        <v>42709.760231481479</v>
      </c>
      <c r="F196" s="13">
        <v>42709.764756944445</v>
      </c>
      <c r="G196" s="7">
        <v>2</v>
      </c>
      <c r="H196" s="22" t="s">
        <v>786</v>
      </c>
      <c r="I196" s="13">
        <v>42709.774224537039</v>
      </c>
      <c r="J196" s="7">
        <v>2</v>
      </c>
      <c r="K196" s="109" t="str">
        <f>IF(ISEVEN(B196),(B196-1)&amp;"/"&amp;B196,B196&amp;"/"&amp;(B196+1))</f>
        <v>4013/4014</v>
      </c>
      <c r="L196" s="22" t="str">
        <f>VLOOKUP(A196,'Trips&amp;Operators'!$C$1:$G$99999,5,FALSE)</f>
        <v>ROMERO CHAD</v>
      </c>
      <c r="M196" s="6">
        <f>I196-F196</f>
        <v>9.4675925938645378E-3</v>
      </c>
      <c r="N196" s="7">
        <f>24*60*SUM($M196:$M196)</f>
        <v>13.633333335164934</v>
      </c>
      <c r="O196" s="7"/>
      <c r="P196" s="7"/>
      <c r="Q196" s="23"/>
      <c r="R196" s="23"/>
      <c r="S196" s="35">
        <f>SUM(U196:U196)/IF(AG196="EC",12,1)</f>
        <v>1</v>
      </c>
      <c r="T196" s="50" t="str">
        <f>IF(ISEVEN(LEFT(AD196,4)),"Southbound","NorthBound")</f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hh:mm:ss")&amp;utc_offset&amp;"00',mode:absolute,to:'"&amp;TEXT(I196+1/24,"yyyy-MM-DD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https://search-rtdc-monitor-bjffxe2xuh6vdkpspy63sjmuny.us-east-1.es.amazonaws.com/_plugin/kibana/#/discover/Steve-Slow-Train-Analysis-(2080s-and-2083s)?_g=(refreshInterval:(display:Off,section:0,value:0),time:(from:'2016-12-05 17:14:44-700',mode:absolute,to:'2016-12-05 19:34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6" s="52" t="str">
        <f>IF(AA196&lt;IF(AG196="EC",23,5.65),"Y","N")</f>
        <v>N</v>
      </c>
      <c r="X196" s="177">
        <f>VALUE(LEFT(AD196,4))-VALUE(LEFT(AD195,4))</f>
        <v>1</v>
      </c>
      <c r="Y196" s="67">
        <f>RIGHT(D196,LEN(D196)-4)/10000</f>
        <v>9.74E-2</v>
      </c>
      <c r="Z196" s="67">
        <f>RIGHT(H196,LEN(H196)-4)/10000</f>
        <v>5.8924000000000003</v>
      </c>
      <c r="AA196" s="67">
        <f>ABS(Z196-Y196)</f>
        <v>5.7949999999999999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>IF(LEN(A196)=6,"0"&amp;A196,A196)</f>
        <v>0837-05</v>
      </c>
      <c r="AE196" s="91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AF196" s="88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/stypes="app*4014*20161206*" /stext=" 01:.+((SYSTEM_STATE.+slice.+state.+changed )|(ment ac)|(multiple cpu faults)|(system.+state.+changed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92" t="str">
        <f t="shared" si="6"/>
        <v>"%USERPROFILE%\Documents\GitHub\eaglep3\Utilities\RefineRTDCRunTimes.py" --tripid 837-05 --locoid 4014 --swversion DE.1.0.8.0 --startMP 204:974 --initTime 2016-12-05T18:14:44 --startdatetime 2016-12-05T18:21:15 --delay 2 --endMP 300:58924 --enddatetime 2016-12-05T18:34:53 --enforcementcount 2 &gt;&gt;C:\Users\stu\Documents\GitHub\eaglep3-reporting\EC\2016-12-05-refined-times.txt</v>
      </c>
      <c r="AI196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{"issue":{"subject":"","project_id":79,"tracker_id":40,"status_id":1,"priority_id":2,"assigned_to_id":23,"start_date":"2016-12-05","description":"","custom_fields":[{"id":1,"name":"Subdivision","value":"NW"},{"id":4,"name":"Milepost","value":"5.8924"},{"id":17,"name":"Train ID","value":"837-05"},{"id":16,"name":"Locomotive ID","value":"4014"},{"id":130,"name":"Impact","value":""},{"id":150,"name":"Time of Event (Mountain Time)","value":"18:34:53"},{"id":151,"name":"Denver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38" x14ac:dyDescent="0.25">
      <c r="A197" s="37" t="s">
        <v>624</v>
      </c>
      <c r="B197" s="7">
        <v>4013</v>
      </c>
      <c r="C197" s="22" t="s">
        <v>208</v>
      </c>
      <c r="D197" s="22" t="s">
        <v>814</v>
      </c>
      <c r="E197" s="13">
        <v>42709.775381944448</v>
      </c>
      <c r="F197" s="13">
        <v>42709.777395833335</v>
      </c>
      <c r="G197" s="7">
        <v>2</v>
      </c>
      <c r="H197" s="22" t="s">
        <v>815</v>
      </c>
      <c r="I197" s="13">
        <v>42709.789166666669</v>
      </c>
      <c r="J197" s="7">
        <v>2</v>
      </c>
      <c r="K197" s="109" t="str">
        <f>IF(ISEVEN(B197),(B197-1)&amp;"/"&amp;B197,B197&amp;"/"&amp;(B197+1))</f>
        <v>4013/4014</v>
      </c>
      <c r="L197" s="22" t="str">
        <f>VLOOKUP(A197,'Trips&amp;Operators'!$C$1:$G$99999,5,FALSE)</f>
        <v>ROMERO CHAD</v>
      </c>
      <c r="M197" s="6">
        <f>I197-F197</f>
        <v>1.1770833334594499E-2</v>
      </c>
      <c r="N197" s="7">
        <f>24*60*SUM($M197:$M197)</f>
        <v>16.950000001816079</v>
      </c>
      <c r="O197" s="7"/>
      <c r="P197" s="7"/>
      <c r="Q197" s="23"/>
      <c r="R197" s="23"/>
      <c r="S197" s="35">
        <f>SUM(U197:U197)/IF(AG197="EC",12,1)</f>
        <v>1</v>
      </c>
      <c r="T197" s="50" t="str">
        <f>IF(ISEVEN(LEFT(AD197,4)),"Southbound","NorthBound")</f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hh:mm:ss")&amp;utc_offset&amp;"00',mode:absolute,to:'"&amp;TEXT(I197+1/24,"yyyy-MM-DD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https://search-rtdc-monitor-bjffxe2xuh6vdkpspy63sjmuny.us-east-1.es.amazonaws.com/_plugin/kibana/#/discover/Steve-Slow-Train-Analysis-(2080s-and-2083s)?_g=(refreshInterval:(display:Off,section:0,value:0),time:(from:'2016-12-05 17:36:33-700',mode:absolute,to:'2016-12-05 19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7" s="52" t="str">
        <f>IF(AA197&lt;IF(AG197="EC",23,5.65),"Y","N")</f>
        <v>N</v>
      </c>
      <c r="X197" s="177">
        <f>VALUE(LEFT(AD197,4))-VALUE(LEFT(AD196,4))</f>
        <v>1</v>
      </c>
      <c r="Y197" s="67">
        <f>RIGHT(D197,LEN(D197)-4)/10000</f>
        <v>5.8613</v>
      </c>
      <c r="Z197" s="67">
        <f>RIGHT(H197,LEN(H197)-4)/10000</f>
        <v>6.6600000000000006E-2</v>
      </c>
      <c r="AA197" s="67">
        <f>ABS(Z197-Y197)</f>
        <v>5.7946999999999997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>IF(LEN(A197)=6,"0"&amp;A197,A197)</f>
        <v>0838-05</v>
      </c>
      <c r="AE197" s="91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AF197" s="88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/stypes="app*4013*20161206*" /stext=" 01:.+((SYSTEM_STATE.+slice.+state.+changed )|(ment ac)|(multiple cpu faults)|(system.+state.+changed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92" t="str">
        <f t="shared" si="6"/>
        <v>"%USERPROFILE%\Documents\GitHub\eaglep3\Utilities\RefineRTDCRunTimes.py" --tripid 838-05 --locoid 4013 --swversion DE.1.0.8.0 --startMP 300:58613 --initTime 2016-12-05T18:36:33 --startdatetime 2016-12-05T18:39:27 --delay 2 --endMP 204:666 --enddatetime 2016-12-05T18:56:24 --enforcementcount 2 &gt;&gt;C:\Users\stu\Documents\GitHub\eaglep3-reporting\EC\2016-12-05-refined-times.txt</v>
      </c>
      <c r="AI197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{"issue":{"subject":"","project_id":79,"tracker_id":40,"status_id":1,"priority_id":2,"assigned_to_id":23,"start_date":"2016-12-05","description":"","custom_fields":[{"id":1,"name":"Subdivision","value":"NW"},{"id":4,"name":"Milepost","value":"0.0666"},{"id":17,"name":"Train ID","value":"838-05"},{"id":16,"name":"Locomotive ID","value":"4013"},{"id":130,"name":"Impact","value":""},{"id":150,"name":"Time of Event (Mountain Time)","value":"18:56:24"},{"id":151,"name":"Denver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38" x14ac:dyDescent="0.25">
      <c r="A198" s="37" t="s">
        <v>625</v>
      </c>
      <c r="B198" s="7">
        <v>4016</v>
      </c>
      <c r="C198" s="22" t="s">
        <v>208</v>
      </c>
      <c r="D198" s="22" t="s">
        <v>774</v>
      </c>
      <c r="E198" s="13">
        <v>42709.781724537039</v>
      </c>
      <c r="F198" s="13">
        <v>42709.78570601852</v>
      </c>
      <c r="G198" s="7">
        <v>2</v>
      </c>
      <c r="H198" s="22" t="s">
        <v>816</v>
      </c>
      <c r="I198" s="13">
        <v>42709.795370370368</v>
      </c>
      <c r="J198" s="7">
        <v>2</v>
      </c>
      <c r="K198" s="109" t="str">
        <f>IF(ISEVEN(B198),(B198-1)&amp;"/"&amp;B198,B198&amp;"/"&amp;(B198+1))</f>
        <v>4015/4016</v>
      </c>
      <c r="L198" s="22" t="str">
        <f>VLOOKUP(A198,'Trips&amp;Operators'!$C$1:$G$99999,5,FALSE)</f>
        <v>COOLAHAN JOHN</v>
      </c>
      <c r="M198" s="6">
        <f>I198-F198</f>
        <v>9.6643518481869251E-3</v>
      </c>
      <c r="N198" s="7">
        <f>24*60*SUM($M198:$M198)</f>
        <v>13.916666661389172</v>
      </c>
      <c r="O198" s="7"/>
      <c r="P198" s="7"/>
      <c r="Q198" s="23"/>
      <c r="R198" s="23"/>
      <c r="S198" s="35">
        <f>SUM(U198:U198)/IF(AG198="EC",12,1)</f>
        <v>1</v>
      </c>
      <c r="T198" s="50" t="str">
        <f>IF(ISEVEN(LEFT(AD198,4)),"Southbound","NorthBound")</f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hh:mm:ss")&amp;utc_offset&amp;"00',mode:absolute,to:'"&amp;TEXT(I198+1/24,"yyyy-MM-DD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https://search-rtdc-monitor-bjffxe2xuh6vdkpspy63sjmuny.us-east-1.es.amazonaws.com/_plugin/kibana/#/discover/Steve-Slow-Train-Analysis-(2080s-and-2083s)?_g=(refreshInterval:(display:Off,section:0,value:0),time:(from:'2016-12-05 17:45:41-700',mode:absolute,to:'2016-12-05 20:05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8" s="52" t="str">
        <f>IF(AA198&lt;IF(AG198="EC",23,5.65),"Y","N")</f>
        <v>N</v>
      </c>
      <c r="X198" s="177">
        <f>VALUE(LEFT(AD198,4))-VALUE(LEFT(AD197,4))</f>
        <v>1</v>
      </c>
      <c r="Y198" s="67">
        <f>RIGHT(D198,LEN(D198)-4)/10000</f>
        <v>9.5699999999999993E-2</v>
      </c>
      <c r="Z198" s="67">
        <f>RIGHT(H198,LEN(H198)-4)/10000</f>
        <v>5.8971</v>
      </c>
      <c r="AA198" s="67">
        <f>ABS(Z198-Y198)</f>
        <v>5.8014000000000001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>IF(LEN(A198)=6,"0"&amp;A198,A198)</f>
        <v>0839-05</v>
      </c>
      <c r="AE198" s="91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s3://rtdc.mdm.uploadarchive.raw/RTDC4016/ "%USERPROFILE%\AppData\Local\Temp\OnboardLogs"\RTDC4016\2016-12-05 --exclude "*" --recursive --include "*20161205*" &amp; "%USERPROFILE%\Documents\GitHub\mrs-test-scripts\Headless Mode &amp; Sideloading\WalkAndUnGZ.bat" "%USERPROFILE%\AppData\Local\Temp\OnboardLogs"\RTDC4016\2016-12-05 &amp; 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</v>
      </c>
      <c r="AF198" s="88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/stypes="app*4016*20161206*" /stext=" 02:.+((SYSTEM_STATE.+slice.+state.+changed )|(ment ac)|(multiple cpu faults)|(system.+state.+changed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NW</v>
      </c>
      <c r="AH198" s="92" t="str">
        <f t="shared" si="6"/>
        <v>"%USERPROFILE%\Documents\GitHub\eaglep3\Utilities\RefineRTDCRunTimes.py" --tripid 839-05 --locoid 4016 --swversion DE.1.0.8.0 --startMP 204:957 --initTime 2016-12-05T18:45:41 --startdatetime 2016-12-05T18:51:25 --delay 2 --endMP 300:58971 --enddatetime 2016-12-05T19:05:20 --enforcementcount 2 &gt;&gt;C:\Users\stu\Documents\GitHub\eaglep3-reporting\EC\2016-12-05-refined-times.txt</v>
      </c>
      <c r="AI198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{"issue":{"subject":"","project_id":79,"tracker_id":40,"status_id":1,"priority_id":2,"assigned_to_id":23,"start_date":"2016-12-05","description":"","custom_fields":[{"id":1,"name":"Subdivision","value":"NW"},{"id":4,"name":"Milepost","value":"5.8971"},{"id":17,"name":"Train ID","value":"839-05"},{"id":16,"name":"Locomotive ID","value":"4016"},{"id":130,"name":"Impact","value":""},{"id":150,"name":"Time of Event (Mountain Time)","value":"19:05:20"},{"id":151,"name":"Denver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38" x14ac:dyDescent="0.25">
      <c r="A199" s="37" t="s">
        <v>638</v>
      </c>
      <c r="B199" s="7">
        <v>4013</v>
      </c>
      <c r="C199" s="22" t="s">
        <v>208</v>
      </c>
      <c r="D199" s="22" t="s">
        <v>410</v>
      </c>
      <c r="E199" s="13">
        <v>42709.817175925928</v>
      </c>
      <c r="F199" s="13">
        <v>42709.818726851852</v>
      </c>
      <c r="G199" s="7">
        <v>1</v>
      </c>
      <c r="H199" s="22" t="s">
        <v>817</v>
      </c>
      <c r="I199" s="13">
        <v>42709.830810185187</v>
      </c>
      <c r="J199" s="7">
        <v>2</v>
      </c>
      <c r="K199" s="109" t="str">
        <f>IF(ISEVEN(B199),(B199-1)&amp;"/"&amp;B199,B199&amp;"/"&amp;(B199+1))</f>
        <v>4013/4014</v>
      </c>
      <c r="L199" s="22" t="str">
        <f>VLOOKUP(A199,'Trips&amp;Operators'!$C$1:$G$99999,5,FALSE)</f>
        <v>LALONDE GREGORY</v>
      </c>
      <c r="M199" s="6">
        <f>I199-F199</f>
        <v>1.2083333334885538E-2</v>
      </c>
      <c r="N199" s="7">
        <f>24*60*SUM($M199:$M199)</f>
        <v>17.400000002235174</v>
      </c>
      <c r="O199" s="7"/>
      <c r="P199" s="7"/>
      <c r="Q199" s="23"/>
      <c r="R199" s="23"/>
      <c r="S199" s="35">
        <f>SUM(U199:U199)/IF(AG199="EC",12,1)</f>
        <v>1</v>
      </c>
      <c r="T199" s="50" t="str">
        <f>IF(ISEVEN(LEFT(AD199,4)),"Southbound","NorthBound")</f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hh:mm:ss")&amp;utc_offset&amp;"00',mode:absolute,to:'"&amp;TEXT(I199+1/24,"yyyy-MM-DD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https://search-rtdc-monitor-bjffxe2xuh6vdkpspy63sjmuny.us-east-1.es.amazonaws.com/_plugin/kibana/#/discover/Steve-Slow-Train-Analysis-(2080s-and-2083s)?_g=(refreshInterval:(display:Off,section:0,value:0),time:(from:'2016-12-05 18:36:44-700',mode:absolute,to:'2016-12-05 20:56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9" s="52" t="str">
        <f>IF(AA199&lt;IF(AG199="EC",23,5.65),"Y","N")</f>
        <v>N</v>
      </c>
      <c r="X199" s="177">
        <f>VALUE(LEFT(AD199,4))-VALUE(LEFT(AD198,4))</f>
        <v>1</v>
      </c>
      <c r="Y199" s="67">
        <f>RIGHT(D199,LEN(D199)-4)/10000</f>
        <v>5.8624000000000001</v>
      </c>
      <c r="Z199" s="67">
        <f>RIGHT(H199,LEN(H199)-4)/10000</f>
        <v>6.7699999999999996E-2</v>
      </c>
      <c r="AA199" s="67">
        <f>ABS(Z199-Y199)</f>
        <v>5.7946999999999997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>IF(LEN(A199)=6,"0"&amp;A199,A199)</f>
        <v>0840-05</v>
      </c>
      <c r="AE199" s="91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AF199" s="88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/stypes="app*4013*20161206*" /stext=" 02:.+((SYSTEM_STATE.+slice.+state.+changed )|(ment ac)|(multiple cpu faults)|(system.+state.+changed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NW</v>
      </c>
      <c r="AH199" s="92" t="str">
        <f t="shared" si="6"/>
        <v>"%USERPROFILE%\Documents\GitHub\eaglep3\Utilities\RefineRTDCRunTimes.py" --tripid 840-05 --locoid 4013 --swversion DE.1.0.8.0 --startMP 300:58624 --initTime 2016-12-05T19:36:44 --startdatetime 2016-12-05T19:38:58 --delay 1 --endMP 204:677 --enddatetime 2016-12-05T19:56:22 --enforcementcount 2 &gt;&gt;C:\Users\stu\Documents\GitHub\eaglep3-reporting\EC\2016-12-05-refined-times.txt</v>
      </c>
      <c r="AI199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{"issue":{"subject":"","project_id":79,"tracker_id":40,"status_id":1,"priority_id":2,"assigned_to_id":23,"start_date":"2016-12-05","description":"","custom_fields":[{"id":1,"name":"Subdivision","value":"NW"},{"id":4,"name":"Milepost","value":"0.0677"},{"id":17,"name":"Train ID","value":"840-05"},{"id":16,"name":"Locomotive ID","value":"4013"},{"id":130,"name":"Impact","value":""},{"id":150,"name":"Time of Event (Mountain Time)","value":"19:56:22"},{"id":151,"name":"Denver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38" x14ac:dyDescent="0.25">
      <c r="A200" s="37" t="s">
        <v>635</v>
      </c>
      <c r="B200" s="7">
        <v>4014</v>
      </c>
      <c r="C200" s="22" t="s">
        <v>208</v>
      </c>
      <c r="D200" s="22" t="s">
        <v>818</v>
      </c>
      <c r="E200" s="13">
        <v>42709.800694444442</v>
      </c>
      <c r="F200" s="13">
        <v>42709.80641203704</v>
      </c>
      <c r="G200" s="7">
        <v>1</v>
      </c>
      <c r="H200" s="22" t="s">
        <v>415</v>
      </c>
      <c r="I200" s="13">
        <v>42709.815682870372</v>
      </c>
      <c r="J200" s="7">
        <v>2</v>
      </c>
      <c r="K200" s="109" t="str">
        <f>IF(ISEVEN(B200),(B200-1)&amp;"/"&amp;B200,B200&amp;"/"&amp;(B200+1))</f>
        <v>4013/4014</v>
      </c>
      <c r="L200" s="22" t="str">
        <f>VLOOKUP(A200,'Trips&amp;Operators'!$C$1:$G$99999,5,FALSE)</f>
        <v>LALONDE GREGORY</v>
      </c>
      <c r="M200" s="6">
        <f>I200-F200</f>
        <v>9.2708333322661929E-3</v>
      </c>
      <c r="N200" s="7">
        <f>24*60*SUM($M200:$M200)</f>
        <v>13.349999998463318</v>
      </c>
      <c r="O200" s="7"/>
      <c r="P200" s="7"/>
      <c r="Q200" s="23"/>
      <c r="R200" s="23"/>
      <c r="S200" s="35">
        <f>SUM(U200:U200)/IF(AG200="EC",12,1)</f>
        <v>1</v>
      </c>
      <c r="T200" s="50" t="str">
        <f>IF(ISEVEN(LEFT(AD200,4)),"Southbound","NorthBound")</f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hh:mm:ss")&amp;utc_offset&amp;"00',mode:absolute,to:'"&amp;TEXT(I200+1/24,"yyyy-MM-DD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https://search-rtdc-monitor-bjffxe2xuh6vdkpspy63sjmuny.us-east-1.es.amazonaws.com/_plugin/kibana/#/discover/Steve-Slow-Train-Analysis-(2080s-and-2083s)?_g=(refreshInterval:(display:Off,section:0,value:0),time:(from:'2016-12-05 18:13:00-700',mode:absolute,to:'2016-12-05 20:34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0" s="52" t="str">
        <f>IF(AA200&lt;IF(AG200="EC",23,5.65),"Y","N")</f>
        <v>N</v>
      </c>
      <c r="X200" s="177">
        <f>VALUE(LEFT(AD200,4))-VALUE(LEFT(AD199,4))</f>
        <v>1</v>
      </c>
      <c r="Y200" s="67">
        <f>RIGHT(D200,LEN(D200)-4)/10000</f>
        <v>9.6500000000000002E-2</v>
      </c>
      <c r="Z200" s="67">
        <f>RIGHT(H200,LEN(H200)-4)/10000</f>
        <v>5.8940999999999999</v>
      </c>
      <c r="AA200" s="67">
        <f>ABS(Z200-Y200)</f>
        <v>5.7976000000000001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>IF(LEN(A200)=6,"0"&amp;A200,A200)</f>
        <v>0841-05</v>
      </c>
      <c r="AE200" s="91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AF200" s="88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/stypes="app*4014*20161206*" /stext=" 02:.+((SYSTEM_STATE.+slice.+state.+changed )|(ment ac)|(multiple cpu faults)|(system.+state.+changed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NW</v>
      </c>
      <c r="AH200" s="92" t="str">
        <f t="shared" si="6"/>
        <v>"%USERPROFILE%\Documents\GitHub\eaglep3\Utilities\RefineRTDCRunTimes.py" --tripid 841-05 --locoid 4014 --swversion DE.1.0.8.0 --startMP 204:965 --initTime 2016-12-05T19:13:00 --startdatetime 2016-12-05T19:21:14 --delay 1 --endMP 300:58941 --enddatetime 2016-12-05T19:34:35 --enforcementcount 2 &gt;&gt;C:\Users\stu\Documents\GitHub\eaglep3-reporting\EC\2016-12-05-refined-times.txt</v>
      </c>
      <c r="AI200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{"issue":{"subject":"","project_id":79,"tracker_id":40,"status_id":1,"priority_id":2,"assigned_to_id":23,"start_date":"2016-12-05","description":"","custom_fields":[{"id":1,"name":"Subdivision","value":"NW"},{"id":4,"name":"Milepost","value":"5.8941"},{"id":17,"name":"Train ID","value":"841-05"},{"id":16,"name":"Locomotive ID","value":"4014"},{"id":130,"name":"Impact","value":""},{"id":150,"name":"Time of Event (Mountain Time)","value":"19:34:35"},{"id":151,"name":"Denver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38" x14ac:dyDescent="0.25">
      <c r="A201" s="37" t="s">
        <v>645</v>
      </c>
      <c r="B201" s="7">
        <v>4013</v>
      </c>
      <c r="C201" s="22" t="s">
        <v>208</v>
      </c>
      <c r="D201" s="22" t="s">
        <v>292</v>
      </c>
      <c r="E201" s="13">
        <v>42709.85869212963</v>
      </c>
      <c r="F201" s="13">
        <v>42709.860381944447</v>
      </c>
      <c r="G201" s="7">
        <v>1</v>
      </c>
      <c r="H201" s="22" t="s">
        <v>817</v>
      </c>
      <c r="I201" s="13">
        <v>42709.871261574073</v>
      </c>
      <c r="J201" s="7">
        <v>2</v>
      </c>
      <c r="K201" s="109" t="str">
        <f>IF(ISEVEN(B201),(B201-1)&amp;"/"&amp;B201,B201&amp;"/"&amp;(B201+1))</f>
        <v>4013/4014</v>
      </c>
      <c r="L201" s="22" t="str">
        <f>VLOOKUP(A201,'Trips&amp;Operators'!$C$1:$G$99999,5,FALSE)</f>
        <v>BRUDER RICHARD</v>
      </c>
      <c r="M201" s="6">
        <f>I201-F201</f>
        <v>1.0879629626288079E-2</v>
      </c>
      <c r="N201" s="7">
        <f>24*60*SUM($M201:$M201)</f>
        <v>15.666666661854833</v>
      </c>
      <c r="O201" s="7"/>
      <c r="P201" s="7"/>
      <c r="Q201" s="23"/>
      <c r="R201" s="23"/>
      <c r="S201" s="35">
        <f>SUM(U201:U201)/IF(AG201="EC",12,1)</f>
        <v>1</v>
      </c>
      <c r="T201" s="50" t="str">
        <f>IF(ISEVEN(LEFT(AD201,4)),"Southbound","NorthBound")</f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hh:mm:ss")&amp;utc_offset&amp;"00',mode:absolute,to:'"&amp;TEXT(I201+1/24,"yyyy-MM-DD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https://search-rtdc-monitor-bjffxe2xuh6vdkpspy63sjmuny.us-east-1.es.amazonaws.com/_plugin/kibana/#/discover/Steve-Slow-Train-Analysis-(2080s-and-2083s)?_g=(refreshInterval:(display:Off,section:0,value:0),time:(from:'2016-12-05 19:36:31-700',mode:absolute,to:'2016-12-05 21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1" s="52" t="str">
        <f>IF(AA201&lt;IF(AG201="EC",23,5.65),"Y","N")</f>
        <v>N</v>
      </c>
      <c r="X201" s="177">
        <f>VALUE(LEFT(AD201,4))-VALUE(LEFT(AD200,4))</f>
        <v>1</v>
      </c>
      <c r="Y201" s="67">
        <f>RIGHT(D201,LEN(D201)-4)/10000</f>
        <v>5.8623000000000003</v>
      </c>
      <c r="Z201" s="67">
        <f>RIGHT(H201,LEN(H201)-4)/10000</f>
        <v>6.7699999999999996E-2</v>
      </c>
      <c r="AA201" s="67">
        <f>ABS(Z201-Y201)</f>
        <v>5.7946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>IF(LEN(A201)=6,"0"&amp;A201,A201)</f>
        <v>0842-05</v>
      </c>
      <c r="AE201" s="91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AF201" s="88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/stypes="app*4013*20161206*" /stext=" 03:.+((SYSTEM_STATE.+slice.+state.+changed )|(ment ac)|(multiple cpu faults)|(system.+state.+changed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NW</v>
      </c>
      <c r="AH201" s="92" t="str">
        <f t="shared" si="6"/>
        <v>"%USERPROFILE%\Documents\GitHub\eaglep3\Utilities\RefineRTDCRunTimes.py" --tripid 842-05 --locoid 4013 --swversion DE.1.0.8.0 --startMP 300:58623 --initTime 2016-12-05T20:36:31 --startdatetime 2016-12-05T20:38:57 --delay 1 --endMP 204:677 --enddatetime 2016-12-05T20:54:37 --enforcementcount 2 &gt;&gt;C:\Users\stu\Documents\GitHub\eaglep3-reporting\EC\2016-12-05-refined-times.txt</v>
      </c>
      <c r="AI201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{"issue":{"subject":"","project_id":79,"tracker_id":40,"status_id":1,"priority_id":2,"assigned_to_id":23,"start_date":"2016-12-05","description":"","custom_fields":[{"id":1,"name":"Subdivision","value":"NW"},{"id":4,"name":"Milepost","value":"0.0677"},{"id":17,"name":"Train ID","value":"842-05"},{"id":16,"name":"Locomotive ID","value":"4013"},{"id":130,"name":"Impact","value":""},{"id":150,"name":"Time of Event (Mountain Time)","value":"20:54:37"},{"id":151,"name":"Denver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38" x14ac:dyDescent="0.25">
      <c r="A202" s="37" t="s">
        <v>642</v>
      </c>
      <c r="B202" s="7">
        <v>4014</v>
      </c>
      <c r="C202" s="22" t="s">
        <v>208</v>
      </c>
      <c r="D202" s="22" t="s">
        <v>790</v>
      </c>
      <c r="E202" s="13">
        <v>42709.83766203704</v>
      </c>
      <c r="F202" s="13">
        <v>42709.848090277781</v>
      </c>
      <c r="G202" s="7">
        <v>1</v>
      </c>
      <c r="H202" s="22" t="s">
        <v>800</v>
      </c>
      <c r="I202" s="13">
        <v>42709.857118055559</v>
      </c>
      <c r="J202" s="7">
        <v>2</v>
      </c>
      <c r="K202" s="109" t="str">
        <f>IF(ISEVEN(B202),(B202-1)&amp;"/"&amp;B202,B202&amp;"/"&amp;(B202+1))</f>
        <v>4013/4014</v>
      </c>
      <c r="L202" s="22" t="str">
        <f>VLOOKUP(A202,'Trips&amp;Operators'!$C$1:$G$99999,5,FALSE)</f>
        <v>BRUDER RICHARD</v>
      </c>
      <c r="M202" s="6">
        <f>I202-F202</f>
        <v>9.0277777781011537E-3</v>
      </c>
      <c r="N202" s="7">
        <f>24*60*SUM($M202:$M202)</f>
        <v>13.000000000465661</v>
      </c>
      <c r="O202" s="7"/>
      <c r="P202" s="7"/>
      <c r="Q202" s="23"/>
      <c r="R202" s="23"/>
      <c r="S202" s="35">
        <f>SUM(U202:U202)/IF(AG202="EC",12,1)</f>
        <v>1</v>
      </c>
      <c r="T202" s="50" t="str">
        <f>IF(ISEVEN(LEFT(AD202,4)),"Southbound","NorthBound")</f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hh:mm:ss")&amp;utc_offset&amp;"00',mode:absolute,to:'"&amp;TEXT(I202+1/24,"yyyy-MM-DD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https://search-rtdc-monitor-bjffxe2xuh6vdkpspy63sjmuny.us-east-1.es.amazonaws.com/_plugin/kibana/#/discover/Steve-Slow-Train-Analysis-(2080s-and-2083s)?_g=(refreshInterval:(display:Off,section:0,value:0),time:(from:'2016-12-05 19:06:14-700',mode:absolute,to:'2016-12-05 21:34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2" s="52" t="str">
        <f>IF(AA202&lt;IF(AG202="EC",23,5.65),"Y","N")</f>
        <v>N</v>
      </c>
      <c r="X202" s="177">
        <f>VALUE(LEFT(AD202,4))-VALUE(LEFT(AD201,4))</f>
        <v>1</v>
      </c>
      <c r="Y202" s="67">
        <f>RIGHT(D202,LEN(D202)-4)/10000</f>
        <v>9.5799999999999996E-2</v>
      </c>
      <c r="Z202" s="67">
        <f>RIGHT(H202,LEN(H202)-4)/10000</f>
        <v>5.8929</v>
      </c>
      <c r="AA202" s="67">
        <f>ABS(Z202-Y202)</f>
        <v>5.7971000000000004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>IF(LEN(A202)=6,"0"&amp;A202,A202)</f>
        <v>0843-05</v>
      </c>
      <c r="AE202" s="91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AF202" s="88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/stypes="app*4014*20161206*" /stext=" 03:.+((SYSTEM_STATE.+slice.+state.+changed )|(ment ac)|(multiple cpu faults)|(system.+state.+changed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NW</v>
      </c>
      <c r="AH202" s="92" t="str">
        <f t="shared" si="6"/>
        <v>"%USERPROFILE%\Documents\GitHub\eaglep3\Utilities\RefineRTDCRunTimes.py" --tripid 843-05 --locoid 4014 --swversion DE.1.0.8.0 --startMP 204:958 --initTime 2016-12-05T20:06:14 --startdatetime 2016-12-05T20:21:15 --delay 1 --endMP 300:58929 --enddatetime 2016-12-05T20:34:15 --enforcementcount 2 &gt;&gt;C:\Users\stu\Documents\GitHub\eaglep3-reporting\EC\2016-12-05-refined-times.txt</v>
      </c>
      <c r="AI202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{"issue":{"subject":"","project_id":79,"tracker_id":40,"status_id":1,"priority_id":2,"assigned_to_id":23,"start_date":"2016-12-05","description":"","custom_fields":[{"id":1,"name":"Subdivision","value":"NW"},{"id":4,"name":"Milepost","value":"5.8929"},{"id":17,"name":"Train ID","value":"843-05"},{"id":16,"name":"Locomotive ID","value":"4014"},{"id":130,"name":"Impact","value":""},{"id":150,"name":"Time of Event (Mountain Time)","value":"20:34:15"},{"id":151,"name":"Denver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38" x14ac:dyDescent="0.25">
      <c r="A203" s="37" t="s">
        <v>651</v>
      </c>
      <c r="B203" s="7">
        <v>4013</v>
      </c>
      <c r="C203" s="22" t="s">
        <v>208</v>
      </c>
      <c r="D203" s="22" t="s">
        <v>819</v>
      </c>
      <c r="E203" s="13">
        <v>42709.901435185187</v>
      </c>
      <c r="F203" s="13">
        <v>42709.90353009259</v>
      </c>
      <c r="G203" s="7">
        <v>2</v>
      </c>
      <c r="H203" s="22" t="s">
        <v>372</v>
      </c>
      <c r="I203" s="13">
        <v>42709.915138888886</v>
      </c>
      <c r="J203" s="7">
        <v>2</v>
      </c>
      <c r="K203" s="109" t="str">
        <f>IF(ISEVEN(B203),(B203-1)&amp;"/"&amp;B203,B203&amp;"/"&amp;(B203+1))</f>
        <v>4013/4014</v>
      </c>
      <c r="L203" s="22" t="str">
        <f>VLOOKUP(A203,'Trips&amp;Operators'!$C$1:$G$99999,5,FALSE)</f>
        <v>COOLAHAN JOHN</v>
      </c>
      <c r="M203" s="6">
        <f>I203-F203</f>
        <v>1.1608796296059154E-2</v>
      </c>
      <c r="N203" s="7">
        <f>24*60*SUM($M203:$M203)</f>
        <v>16.716666666325182</v>
      </c>
      <c r="O203" s="7"/>
      <c r="P203" s="7"/>
      <c r="Q203" s="23"/>
      <c r="R203" s="23"/>
      <c r="S203" s="35">
        <f>SUM(U203:U203)/IF(AG203="EC",12,1)</f>
        <v>1</v>
      </c>
      <c r="T203" s="50" t="str">
        <f>IF(ISEVEN(LEFT(AD203,4)),"Southbound","NorthBound")</f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https://search-rtdc-monitor-bjffxe2xuh6vdkpspy63sjmuny.us-east-1.es.amazonaws.com/_plugin/kibana/#/discover/Steve-Slow-Train-Analysis-(2080s-and-2083s)?_g=(refreshInterval:(display:Off,section:0,value:0),time:(from:'2016-12-05 20:38:04-700',mode:absolute,to:'2016-12-05 22:57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3" s="52" t="str">
        <f>IF(AA203&lt;IF(AG203="EC",23,5.65),"Y","N")</f>
        <v>N</v>
      </c>
      <c r="X203" s="177">
        <f>VALUE(LEFT(AD203,4))-VALUE(LEFT(AD202,4))</f>
        <v>1</v>
      </c>
      <c r="Y203" s="67">
        <f>RIGHT(D203,LEN(D203)-4)/10000</f>
        <v>5.8456999999999999</v>
      </c>
      <c r="Z203" s="67">
        <f>RIGHT(H203,LEN(H203)-4)/10000</f>
        <v>6.8900000000000003E-2</v>
      </c>
      <c r="AA203" s="67">
        <f>ABS(Z203-Y203)</f>
        <v>5.7767999999999997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>IF(LEN(A203)=6,"0"&amp;A203,A203)</f>
        <v>0844-05</v>
      </c>
      <c r="AE203" s="91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AF203" s="88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/stypes="app*4013*20161206*" /stext=" 04:.+((SYSTEM_STATE.+slice.+state.+changed )|(ment ac)|(multiple cpu faults)|(system.+state.+changed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NW</v>
      </c>
      <c r="AH203" s="92" t="str">
        <f t="shared" si="6"/>
        <v>"%USERPROFILE%\Documents\GitHub\eaglep3\Utilities\RefineRTDCRunTimes.py" --tripid 844-05 --locoid 4013 --swversion DE.1.0.8.0 --startMP 300:58457 --initTime 2016-12-05T21:38:04 --startdatetime 2016-12-05T21:41:05 --delay 2 --endMP 204:689 --enddatetime 2016-12-05T21:57:48 --enforcementcount 2 &gt;&gt;C:\Users\stu\Documents\GitHub\eaglep3-reporting\EC\2016-12-05-refined-times.txt</v>
      </c>
      <c r="AI203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{"issue":{"subject":"","project_id":79,"tracker_id":40,"status_id":1,"priority_id":2,"assigned_to_id":23,"start_date":"2016-12-05","description":"","custom_fields":[{"id":1,"name":"Subdivision","value":"NW"},{"id":4,"name":"Milepost","value":"0.0689"},{"id":17,"name":"Train ID","value":"844-05"},{"id":16,"name":"Locomotive ID","value":"4013"},{"id":130,"name":"Impact","value":""},{"id":150,"name":"Time of Event (Mountain Time)","value":"21:57:48"},{"id":151,"name":"Denver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38" x14ac:dyDescent="0.25">
      <c r="A204" s="37" t="s">
        <v>648</v>
      </c>
      <c r="B204" s="7">
        <v>4014</v>
      </c>
      <c r="C204" s="22" t="s">
        <v>208</v>
      </c>
      <c r="D204" s="22" t="s">
        <v>785</v>
      </c>
      <c r="E204" s="13">
        <v>42709.884108796294</v>
      </c>
      <c r="F204" s="13">
        <v>42709.889861111114</v>
      </c>
      <c r="G204" s="7">
        <v>2</v>
      </c>
      <c r="H204" s="22" t="s">
        <v>820</v>
      </c>
      <c r="I204" s="13">
        <v>42709.899733796294</v>
      </c>
      <c r="J204" s="7">
        <v>2</v>
      </c>
      <c r="K204" s="109" t="str">
        <f>IF(ISEVEN(B204),(B204-1)&amp;"/"&amp;B204,B204&amp;"/"&amp;(B204+1))</f>
        <v>4013/4014</v>
      </c>
      <c r="L204" s="22" t="str">
        <f>VLOOKUP(A204,'Trips&amp;Operators'!$C$1:$G$99999,5,FALSE)</f>
        <v>COOLAHAN JOHN</v>
      </c>
      <c r="M204" s="6">
        <f>I204-F204</f>
        <v>9.8726851792889647E-3</v>
      </c>
      <c r="N204" s="7">
        <f>24*60*SUM($M204:$M204)</f>
        <v>14.216666658176109</v>
      </c>
      <c r="O204" s="7"/>
      <c r="P204" s="7"/>
      <c r="Q204" s="23"/>
      <c r="R204" s="23"/>
      <c r="S204" s="35">
        <f>SUM(U204:U204)/IF(AG204="EC",12,1)</f>
        <v>1</v>
      </c>
      <c r="T204" s="50" t="str">
        <f>IF(ISEVEN(LEFT(AD204,4)),"Southbound","NorthBound")</f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hh:mm:ss")&amp;utc_offset&amp;"00',mode:absolute,to:'"&amp;TEXT(I204+1/24,"yyyy-MM-DD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https://search-rtdc-monitor-bjffxe2xuh6vdkpspy63sjmuny.us-east-1.es.amazonaws.com/_plugin/kibana/#/discover/Steve-Slow-Train-Analysis-(2080s-and-2083s)?_g=(refreshInterval:(display:Off,section:0,value:0),time:(from:'2016-12-05 20:13:07-700',mode:absolute,to:'2016-12-05 22:35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4" s="52" t="str">
        <f>IF(AA204&lt;IF(AG204="EC",23,5.65),"Y","N")</f>
        <v>N</v>
      </c>
      <c r="X204" s="177">
        <f>VALUE(LEFT(AD204,4))-VALUE(LEFT(AD203,4))</f>
        <v>1</v>
      </c>
      <c r="Y204" s="67">
        <f>RIGHT(D204,LEN(D204)-4)/10000</f>
        <v>9.69E-2</v>
      </c>
      <c r="Z204" s="67">
        <f>RIGHT(H204,LEN(H204)-4)/10000</f>
        <v>5.8973000000000004</v>
      </c>
      <c r="AA204" s="67">
        <f>ABS(Z204-Y204)</f>
        <v>5.8004000000000007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>IF(LEN(A204)=6,"0"&amp;A204,A204)</f>
        <v>0845-05</v>
      </c>
      <c r="AE204" s="91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AF204" s="88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/stypes="app*4014*20161206*" /stext=" 04:.+((SYSTEM_STATE.+slice.+state.+changed )|(ment ac)|(multiple cpu faults)|(system.+state.+changed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NW</v>
      </c>
      <c r="AH204" s="92" t="str">
        <f t="shared" si="6"/>
        <v>"%USERPROFILE%\Documents\GitHub\eaglep3\Utilities\RefineRTDCRunTimes.py" --tripid 845-05 --locoid 4014 --swversion DE.1.0.8.0 --startMP 204:969 --initTime 2016-12-05T21:13:07 --startdatetime 2016-12-05T21:21:24 --delay 2 --endMP 300:58973 --enddatetime 2016-12-05T21:35:37 --enforcementcount 2 &gt;&gt;C:\Users\stu\Documents\GitHub\eaglep3-reporting\EC\2016-12-05-refined-times.txt</v>
      </c>
      <c r="AI204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{"issue":{"subject":"","project_id":79,"tracker_id":40,"status_id":1,"priority_id":2,"assigned_to_id":23,"start_date":"2016-12-05","description":"","custom_fields":[{"id":1,"name":"Subdivision","value":"NW"},{"id":4,"name":"Milepost","value":"5.8973"},{"id":17,"name":"Train ID","value":"845-05"},{"id":16,"name":"Locomotive ID","value":"4014"},{"id":130,"name":"Impact","value":""},{"id":150,"name":"Time of Event (Mountain Time)","value":"21:35:37"},{"id":151,"name":"Denver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38" x14ac:dyDescent="0.25">
      <c r="A205" s="37" t="s">
        <v>459</v>
      </c>
      <c r="B205" s="7">
        <v>4014</v>
      </c>
      <c r="C205" s="22" t="s">
        <v>208</v>
      </c>
      <c r="D205" s="22" t="s">
        <v>291</v>
      </c>
      <c r="E205" s="13">
        <v>42709.927442129629</v>
      </c>
      <c r="F205" s="13">
        <v>42709.931597222225</v>
      </c>
      <c r="G205" s="7">
        <v>1</v>
      </c>
      <c r="H205" s="22" t="s">
        <v>413</v>
      </c>
      <c r="I205" s="13">
        <v>42709.940567129626</v>
      </c>
      <c r="J205" s="7">
        <v>2</v>
      </c>
      <c r="K205" s="109" t="str">
        <f>IF(ISEVEN(B205),(B205-1)&amp;"/"&amp;B205,B205&amp;"/"&amp;(B205+1))</f>
        <v>4013/4014</v>
      </c>
      <c r="L205" s="22" t="str">
        <f>VLOOKUP(A205,'Trips&amp;Operators'!$C$1:$G$99999,5,FALSE)</f>
        <v>COOLAHAN JOHN</v>
      </c>
      <c r="M205" s="6">
        <f>I205-F205</f>
        <v>8.9699074014788494E-3</v>
      </c>
      <c r="N205" s="7">
        <f>24*60*SUM($M205:$M205)</f>
        <v>12.916666658129543</v>
      </c>
      <c r="O205" s="7"/>
      <c r="P205" s="7"/>
      <c r="Q205" s="23"/>
      <c r="R205" s="23"/>
      <c r="S205" s="35">
        <f>SUM(U205:U205)/IF(AG205="EC",12,1)</f>
        <v>1</v>
      </c>
      <c r="T205" s="50" t="str">
        <f>IF(ISEVEN(LEFT(AD205,4)),"Southbound","NorthBound")</f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https://search-rtdc-monitor-bjffxe2xuh6vdkpspy63sjmuny.us-east-1.es.amazonaws.com/_plugin/kibana/#/discover/Steve-Slow-Train-Analysis-(2080s-and-2083s)?_g=(refreshInterval:(display:Off,section:0,value:0),time:(from:'2016-12-05 21:15:31-700',mode:absolute,to:'2016-12-05 23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5" s="52" t="str">
        <f>IF(AA205&lt;IF(AG205="EC",23,5.65),"Y","N")</f>
        <v>N</v>
      </c>
      <c r="X205" s="177">
        <f>VALUE(LEFT(AD205,4))-VALUE(LEFT(AD204,4))</f>
        <v>2</v>
      </c>
      <c r="Y205" s="67">
        <f>RIGHT(D205,LEN(D205)-4)/10000</f>
        <v>9.7100000000000006E-2</v>
      </c>
      <c r="Z205" s="67">
        <f>RIGHT(H205,LEN(H205)-4)/10000</f>
        <v>5.8949999999999996</v>
      </c>
      <c r="AA205" s="67">
        <f>ABS(Z205-Y205)</f>
        <v>5.7978999999999994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>IF(LEN(A205)=6,"0"&amp;A205,A205)</f>
        <v>0847-05</v>
      </c>
      <c r="AE205" s="91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AF205" s="88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/stypes="app*4014*20161206*" /stext=" 05:.+((SYSTEM_STATE.+slice.+state.+changed )|(ment ac)|(multiple cpu faults)|(system.+state.+changed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NW</v>
      </c>
      <c r="AH205" s="92" t="str">
        <f t="shared" si="6"/>
        <v>"%USERPROFILE%\Documents\GitHub\eaglep3\Utilities\RefineRTDCRunTimes.py" --tripid 847-05 --locoid 4014 --swversion DE.1.0.8.0 --startMP 204:971 --initTime 2016-12-05T22:15:31 --startdatetime 2016-12-05T22:21:30 --delay 1 --endMP 300:58950 --enddatetime 2016-12-05T22:34:25 --enforcementcount 2 &gt;&gt;C:\Users\stu\Documents\GitHub\eaglep3-reporting\EC\2016-12-05-refined-times.txt</v>
      </c>
      <c r="AI205" s="119" t="str">
        <f t="shared" si="7"/>
        <v>echo {"issue":{"subject":"","project_id":79,"tracker_id":40,"status_id":1,"priority_id":2,"assigned_to_id":23,"start_date":"2016-12-05","description":"","custom_fields":[{"id":1,"name":"Subdivision","value":"NW"},{"id":4,"name":"Milepost","value":"5.895"},{"id":17,"name":"Train ID","value":"847-05"},{"id":16,"name":"Locomotive ID","value":"4014"},{"id":130,"name":"Impact","value":""},{"id":150,"name":"Time of Event (Mountain Time)","value":"22:34:25"},{"id":151,"name":"Denver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38" x14ac:dyDescent="0.25">
      <c r="A206" s="37" t="s">
        <v>460</v>
      </c>
      <c r="B206" s="7">
        <v>4021</v>
      </c>
      <c r="C206" s="22" t="s">
        <v>208</v>
      </c>
      <c r="D206" s="22" t="s">
        <v>739</v>
      </c>
      <c r="E206" s="13">
        <v>42709.120300925926</v>
      </c>
      <c r="F206" s="13">
        <v>42709.121805555558</v>
      </c>
      <c r="G206" s="7">
        <v>1</v>
      </c>
      <c r="H206" s="22" t="s">
        <v>243</v>
      </c>
      <c r="I206" s="13">
        <v>42709.127997685187</v>
      </c>
      <c r="J206" s="7">
        <v>2</v>
      </c>
      <c r="K206" s="109" t="str">
        <f>IF(ISEVEN(B206),(B206-1)&amp;"/"&amp;B206,B206&amp;"/"&amp;(B206+1))</f>
        <v>4021/4022</v>
      </c>
      <c r="L206" s="22" t="str">
        <f>VLOOKUP(A206,'Trips&amp;Operators'!$C$1:$G$99999,5,FALSE)</f>
        <v>KILLION DAVID</v>
      </c>
      <c r="M206" s="6">
        <f>I206-F206</f>
        <v>6.1921296291984618E-3</v>
      </c>
      <c r="N206" s="7">
        <f>24*60*SUM($M206:$M206)</f>
        <v>8.916666666045785</v>
      </c>
      <c r="O206" s="7"/>
      <c r="P206" s="7"/>
      <c r="Q206" s="23"/>
      <c r="R206" s="23"/>
      <c r="S206" s="35">
        <f>SUM(U206:U206)/IF(AG206="EC",12,1)</f>
        <v>1</v>
      </c>
      <c r="T206" s="50" t="str">
        <f>IF(ISEVEN(LEFT(AD206,4)),"Southbound","NorthBound")</f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hh:mm:ss")&amp;utc_offset&amp;"00',mode:absolute,to:'"&amp;TEXT(I206+1/24,"yyyy-MM-DD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https://search-rtdc-monitor-bjffxe2xuh6vdkpspy63sjmuny.us-east-1.es.amazonaws.com/_plugin/kibana/#/discover/Steve-Slow-Train-Analysis-(2080s-and-2083s)?_g=(refreshInterval:(display:Off,section:0,value:0),time:(from:'2016-12-05 01:53:14-700',mode:absolute,to:'2016-12-05 04:04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6" s="52" t="str">
        <f>IF(AA206&lt;IF(AG206="EC",23,5.65),"Y","N")</f>
        <v>Y</v>
      </c>
      <c r="X206" s="177">
        <f>VALUE(LEFT(AD206,4))-VALUE(LEFT(AD205,4))</f>
        <v>-545</v>
      </c>
      <c r="Y206" s="67">
        <f>RIGHT(D206,LEN(D206)-4)/10000</f>
        <v>2.3025000000000002</v>
      </c>
      <c r="Z206" s="67">
        <f>RIGHT(H206,LEN(H206)-4)/10000</f>
        <v>1.61E-2</v>
      </c>
      <c r="AA206" s="67">
        <f>ABS(Z206-Y206)</f>
        <v>2.2864000000000004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>IF(LEN(A206)=6,"0"&amp;A206,A206)</f>
        <v>0302-05</v>
      </c>
      <c r="AE206" s="91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s3://rtdc.mdm.uploadarchive.raw/RTDC4021/ "%USERPROFILE%\AppData\Local\Temp\OnboardLogs"\RTDC4021\2016-12-05 --exclude "*" --recursive --include "*20161205*" &amp; "%USERPROFILE%\Documents\GitHub\mrs-test-scripts\Headless Mode &amp; Sideloading\WalkAndUnGZ.bat" "%USERPROFILE%\AppData\Local\Temp\OnboardLogs"\RTDC4021\2016-12-05 &amp; 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</v>
      </c>
      <c r="AF206" s="88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/stypes="app*4021*20161205*" /stext=" 10:.+((SYSTEM_STATE.+slice.+state.+changed )|(ment ac)|(multiple cpu faults)|(system.+state.+changed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Other</v>
      </c>
      <c r="AH206" s="92" t="str">
        <f t="shared" ref="AH206:AH233" si="8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302-05 --locoid 4021 --swversion DE.1.0.8.0 --startMP 300:23025 --initTime 2016-12-05T02:53:14 --startdatetime 2016-12-05T02:55:24 --delay 1 --endMP 204:161 --enddatetime 2016-12-05T03:04:19 --enforcementcount 2 &gt;&gt;C:\Users\stu\Documents\GitHub\eaglep3-reporting\EC\2016-12-05-refined-times.txt</v>
      </c>
      <c r="AI206" s="119" t="str">
        <f t="shared" ref="AI206:AI233" si="9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{"issue":{"subject":"","project_id":79,"tracker_id":40,"status_id":1,"priority_id":2,"assigned_to_id":23,"start_date":"2016-12-05","description":"","custom_fields":[{"id":1,"name":"Subdivision","value":"Other"},{"id":4,"name":"Milepost","value":"0.0161"},{"id":17,"name":"Train ID","value":"302-05"},{"id":16,"name":"Locomotive ID","value":"4021"},{"id":130,"name":"Impact","value":""},{"id":150,"name":"Time of Event (Mountain Time)","value":"03:04:19"},{"id":151,"name":"Denver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38" x14ac:dyDescent="0.25">
      <c r="A207" s="37" t="s">
        <v>630</v>
      </c>
      <c r="B207" s="7">
        <v>4044</v>
      </c>
      <c r="C207" s="22" t="s">
        <v>208</v>
      </c>
      <c r="D207" s="22" t="s">
        <v>740</v>
      </c>
      <c r="E207" s="13">
        <v>42709.789444444446</v>
      </c>
      <c r="F207" s="13">
        <v>42709.792546296296</v>
      </c>
      <c r="G207" s="7">
        <v>1</v>
      </c>
      <c r="H207" s="22" t="s">
        <v>741</v>
      </c>
      <c r="I207" s="13">
        <v>42709.798576388886</v>
      </c>
      <c r="J207" s="7">
        <v>2</v>
      </c>
      <c r="K207" s="109" t="str">
        <f>IF(ISEVEN(B207),(B207-1)&amp;"/"&amp;B207,B207&amp;"/"&amp;(B207+1))</f>
        <v>4043/4044</v>
      </c>
      <c r="L207" s="22" t="str">
        <f>VLOOKUP(A207,'Trips&amp;Operators'!$C$1:$G$99999,5,FALSE)</f>
        <v>CLARK KATHLEEN</v>
      </c>
      <c r="M207" s="6">
        <f>I207-F207</f>
        <v>6.0300925906631164E-3</v>
      </c>
      <c r="N207" s="7">
        <f>24*60*SUM($M207:$M207)</f>
        <v>8.6833333305548877</v>
      </c>
      <c r="O207" s="7"/>
      <c r="P207" s="7"/>
      <c r="Q207" s="23"/>
      <c r="R207" s="23"/>
      <c r="S207" s="35">
        <f>SUM(U207:U207)/IF(AG207="EC",12,1)</f>
        <v>1</v>
      </c>
      <c r="T207" s="50" t="str">
        <f>IF(ISEVEN(LEFT(AD207,4)),"Southbound","NorthBound")</f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hh:mm:ss")&amp;utc_offset&amp;"00',mode:absolute,to:'"&amp;TEXT(I207+1/24,"yyyy-MM-DD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https://search-rtdc-monitor-bjffxe2xuh6vdkpspy63sjmuny.us-east-1.es.amazonaws.com/_plugin/kibana/#/discover/Steve-Slow-Train-Analysis-(2080s-and-2083s)?_g=(refreshInterval:(display:Off,section:0,value:0),time:(from:'2016-12-05 17:56:48-700',mode:absolute,to:'2016-12-05 20:09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7" s="52" t="str">
        <f>IF(AA207&lt;IF(AG207="EC",23,5.65),"Y","N")</f>
        <v>Y</v>
      </c>
      <c r="X207" s="177">
        <f>VALUE(LEFT(AD207,4))-VALUE(LEFT(AD206,4))</f>
        <v>1</v>
      </c>
      <c r="Y207" s="67">
        <f>RIGHT(D207,LEN(D207)-4)/10000</f>
        <v>5.04E-2</v>
      </c>
      <c r="Z207" s="67">
        <f>RIGHT(H207,LEN(H207)-4)/10000</f>
        <v>2.3311999999999999</v>
      </c>
      <c r="AA207" s="67">
        <f>ABS(Z207-Y207)</f>
        <v>2.2808000000000002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>IF(LEN(A207)=6,"0"&amp;A207,A207)</f>
        <v>0303-05</v>
      </c>
      <c r="AE207" s="91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 &amp; 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</v>
      </c>
      <c r="AF207" s="88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/stypes="app*4044*20161206*" /stext=" 02:.+((SYSTEM_STATE.+slice.+state.+changed )|(ment ac)|(multiple cpu faults)|(system.+state.+changed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92" t="str">
        <f t="shared" si="8"/>
        <v>"%USERPROFILE%\Documents\GitHub\eaglep3\Utilities\RefineRTDCRunTimes.py" --tripid 303-05 --locoid 4044 --swversion DE.1.0.8.0 --startMP 204:504 --initTime 2016-12-05T18:56:48 --startdatetime 2016-12-05T19:01:16 --delay 1 --endMP 300:23312 --enddatetime 2016-12-05T19:09:57 --enforcementcount 2 &gt;&gt;C:\Users\stu\Documents\GitHub\eaglep3-reporting\EC\2016-12-05-refined-times.txt</v>
      </c>
      <c r="AI207" s="119" t="str">
        <f t="shared" si="9"/>
        <v>echo {"issue":{"subject":"","project_id":79,"tracker_id":40,"status_id":1,"priority_id":2,"assigned_to_id":23,"start_date":"2016-12-05","description":"","custom_fields":[{"id":1,"name":"Subdivision","value":"Other"},{"id":4,"name":"Milepost","value":"2.3312"},{"id":17,"name":"Train ID","value":"303-05"},{"id":16,"name":"Locomotive ID","value":"4044"},{"id":130,"name":"Impact","value":""},{"id":150,"name":"Time of Event (Mountain Time)","value":"19:09:57"},{"id":151,"name":"Denver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38" x14ac:dyDescent="0.25">
      <c r="A208" s="37" t="s">
        <v>464</v>
      </c>
      <c r="B208" s="7">
        <v>4019</v>
      </c>
      <c r="C208" s="22" t="s">
        <v>208</v>
      </c>
      <c r="D208" s="22" t="s">
        <v>742</v>
      </c>
      <c r="E208" s="13">
        <v>42709.14335648148</v>
      </c>
      <c r="F208" s="13">
        <v>42709.144479166665</v>
      </c>
      <c r="G208" s="7">
        <v>1</v>
      </c>
      <c r="H208" s="22" t="s">
        <v>236</v>
      </c>
      <c r="I208" s="13">
        <v>42709.151354166665</v>
      </c>
      <c r="J208" s="7">
        <v>2</v>
      </c>
      <c r="K208" s="109" t="str">
        <f>IF(ISEVEN(B208),(B208-1)&amp;"/"&amp;B208,B208&amp;"/"&amp;(B208+1))</f>
        <v>4019/4020</v>
      </c>
      <c r="L208" s="22" t="str">
        <f>VLOOKUP(A208,'Trips&amp;Operators'!$C$1:$G$99999,5,FALSE)</f>
        <v>MAGEE KENYA</v>
      </c>
      <c r="M208" s="6">
        <f>I208-F208</f>
        <v>6.8749999991268851E-3</v>
      </c>
      <c r="N208" s="7">
        <f>24*60*SUM($M208:$M208)</f>
        <v>9.8999999987427145</v>
      </c>
      <c r="O208" s="7"/>
      <c r="P208" s="7"/>
      <c r="Q208" s="23"/>
      <c r="R208" s="23"/>
      <c r="S208" s="35">
        <f>SUM(U208:U208)/IF(AG208="EC",12,1)</f>
        <v>1</v>
      </c>
      <c r="T208" s="50" t="str">
        <f>IF(ISEVEN(LEFT(AD208,4)),"Southbound","NorthBound")</f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hh:mm:ss")&amp;utc_offset&amp;"00',mode:absolute,to:'"&amp;TEXT(I208+1/24,"yyyy-MM-DD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https://search-rtdc-monitor-bjffxe2xuh6vdkpspy63sjmuny.us-east-1.es.amazonaws.com/_plugin/kibana/#/discover/Steve-Slow-Train-Analysis-(2080s-and-2083s)?_g=(refreshInterval:(display:Off,section:0,value:0),time:(from:'2016-12-05 02:26:26-700',mode:absolute,to:'2016-12-05 04:37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08" s="52" t="str">
        <f>IF(AA208&lt;IF(AG208="EC",23,5.65),"Y","N")</f>
        <v>Y</v>
      </c>
      <c r="X208" s="177">
        <f>VALUE(LEFT(AD208,4))-VALUE(LEFT(AD207,4))</f>
        <v>1</v>
      </c>
      <c r="Y208" s="67">
        <f>RIGHT(D208,LEN(D208)-4)/10000</f>
        <v>2.2345999999999999</v>
      </c>
      <c r="Z208" s="67">
        <f>RIGHT(H208,LEN(H208)-4)/10000</f>
        <v>1.47E-2</v>
      </c>
      <c r="AA208" s="67">
        <f>ABS(Z208-Y208)</f>
        <v>2.2199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>IF(LEN(A208)=6,"0"&amp;A208,A208)</f>
        <v>0304-05</v>
      </c>
      <c r="AE208" s="91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s3://rtdc.mdm.uploadarchive.raw/RTDC4019/ "%USERPROFILE%\AppData\Local\Temp\OnboardLogs"\RTDC4019\2016-12-05 --exclude "*" --recursive --include "*20161205*" &amp; "%USERPROFILE%\Documents\GitHub\mrs-test-scripts\Headless Mode &amp; Sideloading\WalkAndUnGZ.bat" "%USERPROFILE%\AppData\Local\Temp\OnboardLogs"\RTDC4019\2016-12-05 &amp; 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</v>
      </c>
      <c r="AF208" s="88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/stypes="app*4019*20161205*" /stext=" 10:.+((SYSTEM_STATE.+slice.+state.+changed )|(ment ac)|(multiple cpu faults)|(system.+state.+changed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92" t="str">
        <f t="shared" si="8"/>
        <v>"%USERPROFILE%\Documents\GitHub\eaglep3\Utilities\RefineRTDCRunTimes.py" --tripid 304-05 --locoid 4019 --swversion DE.1.0.8.0 --startMP 300:22346 --initTime 2016-12-05T03:26:26 --startdatetime 2016-12-05T03:28:03 --delay 1 --endMP 204:147 --enddatetime 2016-12-05T03:37:57 --enforcementcount 2 &gt;&gt;C:\Users\stu\Documents\GitHub\eaglep3-reporting\EC\2016-12-05-refined-times.txt</v>
      </c>
      <c r="AI208" s="119" t="str">
        <f t="shared" si="9"/>
        <v>echo {"issue":{"subject":"","project_id":79,"tracker_id":40,"status_id":1,"priority_id":2,"assigned_to_id":23,"start_date":"2016-12-05","description":"","custom_fields":[{"id":1,"name":"Subdivision","value":"Other"},{"id":4,"name":"Milepost","value":"0.0147"},{"id":17,"name":"Train ID","value":"304-05"},{"id":16,"name":"Locomotive ID","value":"4019"},{"id":130,"name":"Impact","value":""},{"id":150,"name":"Time of Event (Mountain Time)","value":"03:37:57"},{"id":151,"name":"Denver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634</v>
      </c>
      <c r="B209" s="7">
        <v>4022</v>
      </c>
      <c r="C209" s="22" t="s">
        <v>208</v>
      </c>
      <c r="D209" s="22" t="s">
        <v>362</v>
      </c>
      <c r="E209" s="13">
        <v>42709.799340277779</v>
      </c>
      <c r="F209" s="13">
        <v>42709.800949074073</v>
      </c>
      <c r="G209" s="7">
        <v>1</v>
      </c>
      <c r="H209" s="22" t="s">
        <v>743</v>
      </c>
      <c r="I209" s="13">
        <v>42709.80667824074</v>
      </c>
      <c r="J209" s="7">
        <v>2</v>
      </c>
      <c r="K209" s="109" t="str">
        <f>IF(ISEVEN(B209),(B209-1)&amp;"/"&amp;B209,B209&amp;"/"&amp;(B209+1))</f>
        <v>4021/4022</v>
      </c>
      <c r="L209" s="22" t="str">
        <f>VLOOKUP(A209,'Trips&amp;Operators'!$C$1:$G$99999,5,FALSE)</f>
        <v>YOUNG ELIZABETH</v>
      </c>
      <c r="M209" s="6">
        <f>I209-F209</f>
        <v>5.7291666671517305E-3</v>
      </c>
      <c r="N209" s="7">
        <f>24*60*SUM($M209:$M209)</f>
        <v>8.2500000006984919</v>
      </c>
      <c r="O209" s="7"/>
      <c r="P209" s="7"/>
      <c r="Q209" s="23"/>
      <c r="R209" s="23"/>
      <c r="S209" s="35">
        <f>SUM(U209:U209)/IF(AG209="EC",12,1)</f>
        <v>1</v>
      </c>
      <c r="T209" s="50" t="str">
        <f>IF(ISEVEN(LEFT(AD209,4)),"Southbound","NorthBound")</f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hh:mm:ss")&amp;utc_offset&amp;"00',mode:absolute,to:'"&amp;TEXT(I209+1/24,"yyyy-MM-DD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https://search-rtdc-monitor-bjffxe2xuh6vdkpspy63sjmuny.us-east-1.es.amazonaws.com/_plugin/kibana/#/discover/Steve-Slow-Train-Analysis-(2080s-and-2083s)?_g=(refreshInterval:(display:Off,section:0,value:0),time:(from:'2016-12-05 18:11:03-700',mode:absolute,to:'2016-12-05 20:21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9" s="52" t="str">
        <f>IF(AA209&lt;IF(AG209="EC",23,5.65),"Y","N")</f>
        <v>Y</v>
      </c>
      <c r="X209" s="177">
        <f>VALUE(LEFT(AD209,4))-VALUE(LEFT(AD208,4))</f>
        <v>1</v>
      </c>
      <c r="Y209" s="67">
        <f>RIGHT(D209,LEN(D209)-4)/10000</f>
        <v>4.53E-2</v>
      </c>
      <c r="Z209" s="67">
        <f>RIGHT(H209,LEN(H209)-4)/10000</f>
        <v>2.2854000000000001</v>
      </c>
      <c r="AA209" s="67">
        <f>ABS(Z209-Y209)</f>
        <v>2.2401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>IF(LEN(A209)=6,"0"&amp;A209,A209)</f>
        <v>0305-05</v>
      </c>
      <c r="AE209" s="91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s3://rtdc.mdm.uploadarchive.raw/RTDC4022/ "%USERPROFILE%\AppData\Local\Temp\OnboardLogs"\RTDC4022\2016-12-05 --exclude "*" --recursive --include "*20161205*" &amp; "%USERPROFILE%\Documents\GitHub\mrs-test-scripts\Headless Mode &amp; Sideloading\WalkAndUnGZ.bat" "%USERPROFILE%\AppData\Local\Temp\OnboardLogs"\RTDC4022\2016-12-05 &amp; 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</v>
      </c>
      <c r="AF209" s="88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/stypes="app*4022*20161206*" /stext=" 02:.+((SYSTEM_STATE.+slice.+state.+changed )|(ment ac)|(multiple cpu faults)|(system.+state.+changed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92" t="str">
        <f t="shared" si="8"/>
        <v>"%USERPROFILE%\Documents\GitHub\eaglep3\Utilities\RefineRTDCRunTimes.py" --tripid 305-05 --locoid 4022 --swversion DE.1.0.8.0 --startMP 204:453 --initTime 2016-12-05T19:11:03 --startdatetime 2016-12-05T19:13:22 --delay 1 --endMP 300:22854 --enddatetime 2016-12-05T19:21:37 --enforcementcount 2 &gt;&gt;C:\Users\stu\Documents\GitHub\eaglep3-reporting\EC\2016-12-05-refined-times.txt</v>
      </c>
      <c r="AI209" s="119" t="str">
        <f t="shared" si="9"/>
        <v>echo {"issue":{"subject":"","project_id":79,"tracker_id":40,"status_id":1,"priority_id":2,"assigned_to_id":23,"start_date":"2016-12-05","description":"","custom_fields":[{"id":1,"name":"Subdivision","value":"Other"},{"id":4,"name":"Milepost","value":"2.2854"},{"id":17,"name":"Train ID","value":"305-05"},{"id":16,"name":"Locomotive ID","value":"4022"},{"id":130,"name":"Impact","value":""},{"id":150,"name":"Time of Event (Mountain Time)","value":"19:21:37"},{"id":151,"name":"Denver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s="21" customFormat="1" x14ac:dyDescent="0.25">
      <c r="A210" s="37" t="s">
        <v>465</v>
      </c>
      <c r="B210" s="7">
        <v>4010</v>
      </c>
      <c r="C210" s="22" t="s">
        <v>208</v>
      </c>
      <c r="D210" s="22" t="s">
        <v>744</v>
      </c>
      <c r="E210" s="13">
        <v>42709.161585648151</v>
      </c>
      <c r="F210" s="13">
        <v>42709.16265046296</v>
      </c>
      <c r="G210" s="7">
        <v>1</v>
      </c>
      <c r="H210" s="22" t="s">
        <v>192</v>
      </c>
      <c r="I210" s="13">
        <v>42709.168495370373</v>
      </c>
      <c r="J210" s="7">
        <v>2</v>
      </c>
      <c r="K210" s="109" t="str">
        <f>IF(ISEVEN(B210),(B210-1)&amp;"/"&amp;B210,B210&amp;"/"&amp;(B210+1))</f>
        <v>4009/4010</v>
      </c>
      <c r="L210" s="22" t="str">
        <f>VLOOKUP(A210,'Trips&amp;Operators'!$C$1:$G$99999,5,FALSE)</f>
        <v>DAVIDSON DAVID</v>
      </c>
      <c r="M210" s="6">
        <f>I210-F210</f>
        <v>5.8449074131203815E-3</v>
      </c>
      <c r="N210" s="7">
        <f>24*60*SUM($M210:$M210)</f>
        <v>8.4166666748933494</v>
      </c>
      <c r="O210" s="7"/>
      <c r="P210" s="7"/>
      <c r="Q210" s="23"/>
      <c r="R210" s="23"/>
      <c r="S210" s="35">
        <f>SUM(U210:U210)/IF(AG210="EC",12,1)</f>
        <v>1</v>
      </c>
      <c r="T210" s="50" t="str">
        <f>IF(ISEVEN(LEFT(AD210,4)),"Southbound","NorthBound")</f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hh:mm:ss")&amp;utc_offset&amp;"00',mode:absolute,to:'"&amp;TEXT(I210+1/24,"yyyy-MM-DD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https://search-rtdc-monitor-bjffxe2xuh6vdkpspy63sjmuny.us-east-1.es.amazonaws.com/_plugin/kibana/#/discover/Steve-Slow-Train-Analysis-(2080s-and-2083s)?_g=(refreshInterval:(display:Off,section:0,value:0),time:(from:'2016-12-05 02:52:41-700',mode:absolute,to:'2016-12-05 05:02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0" s="52" t="str">
        <f>IF(AA210&lt;IF(AG210="EC",23,5.65),"Y","N")</f>
        <v>Y</v>
      </c>
      <c r="X210" s="177">
        <f>VALUE(LEFT(AD210,4))-VALUE(LEFT(AD209,4))</f>
        <v>1</v>
      </c>
      <c r="Y210" s="67">
        <f>RIGHT(D210,LEN(D210)-4)/10000</f>
        <v>2.3283</v>
      </c>
      <c r="Z210" s="67">
        <f>RIGHT(H210,LEN(H210)-4)/10000</f>
        <v>1.49E-2</v>
      </c>
      <c r="AA210" s="67">
        <f>ABS(Z210-Y210)</f>
        <v>2.3134000000000001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>IF(LEN(A210)=6,"0"&amp;A210,A210)</f>
        <v>0306-05</v>
      </c>
      <c r="AE210" s="91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s3://rtdc.mdm.uploadarchive.raw/RTDC4010/ "%USERPROFILE%\AppData\Local\Temp\OnboardLogs"\RTDC4010\2016-12-05 --exclude "*" --recursive --include "*20161205*" &amp; "%USERPROFILE%\Documents\GitHub\mrs-test-scripts\Headless Mode &amp; Sideloading\WalkAndUnGZ.bat" "%USERPROFILE%\AppData\Local\Temp\OnboardLogs"\RTDC4010\2016-12-05 &amp; 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</v>
      </c>
      <c r="AF210" s="88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/stypes="app*4010*20161205*" /stext=" 11:.+((SYSTEM_STATE.+slice.+state.+changed )|(ment ac)|(multiple cpu faults)|(system.+state.+changed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92" t="str">
        <f t="shared" si="8"/>
        <v>"%USERPROFILE%\Documents\GitHub\eaglep3\Utilities\RefineRTDCRunTimes.py" --tripid 306-05 --locoid 4010 --swversion DE.1.0.8.0 --startMP 300:23283 --initTime 2016-12-05T03:52:41 --startdatetime 2016-12-05T03:54:13 --delay 1 --endMP 204:149 --enddatetime 2016-12-05T04:02:38 --enforcementcount 2 &gt;&gt;C:\Users\stu\Documents\GitHub\eaglep3-reporting\EC\2016-12-05-refined-times.txt</v>
      </c>
      <c r="AI210" s="119" t="str">
        <f t="shared" si="9"/>
        <v>echo {"issue":{"subject":"","project_id":79,"tracker_id":40,"status_id":1,"priority_id":2,"assigned_to_id":23,"start_date":"2016-12-05","description":"","custom_fields":[{"id":1,"name":"Subdivision","value":"Other"},{"id":4,"name":"Milepost","value":"0.0149"},{"id":17,"name":"Train ID","value":"306-05"},{"id":16,"name":"Locomotive ID","value":"4010"},{"id":130,"name":"Impact","value":""},{"id":150,"name":"Time of Event (Mountain Time)","value":"04:02:38"},{"id":151,"name":"Denver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639</v>
      </c>
      <c r="B211" s="7">
        <v>4009</v>
      </c>
      <c r="C211" s="22" t="s">
        <v>208</v>
      </c>
      <c r="D211" s="22" t="s">
        <v>720</v>
      </c>
      <c r="E211" s="13">
        <v>42709.817384259259</v>
      </c>
      <c r="F211" s="13">
        <v>25568.708333333332</v>
      </c>
      <c r="G211" s="7">
        <v>1</v>
      </c>
      <c r="H211" s="22" t="s">
        <v>745</v>
      </c>
      <c r="I211" s="13">
        <v>25568.708333333332</v>
      </c>
      <c r="J211" s="7">
        <v>2</v>
      </c>
      <c r="K211" s="109" t="str">
        <f>IF(ISEVEN(B211),(B211-1)&amp;"/"&amp;B211,B211&amp;"/"&amp;(B211+1))</f>
        <v>4009/4010</v>
      </c>
      <c r="L211" s="22" t="str">
        <f>VLOOKUP(A211,'Trips&amp;Operators'!$C$1:$G$99999,5,FALSE)</f>
        <v>SHOOK JOHN</v>
      </c>
      <c r="M211" s="6">
        <f>I211-F211</f>
        <v>0</v>
      </c>
      <c r="N211" s="7">
        <f>24*60*SUM($M211:$M211)</f>
        <v>0</v>
      </c>
      <c r="O211" s="7"/>
      <c r="P211" s="7"/>
      <c r="Q211" s="23"/>
      <c r="R211" s="23"/>
      <c r="S211" s="35">
        <f>SUM(U211:U211)/IF(AG211="EC",12,1)</f>
        <v>1</v>
      </c>
      <c r="T211" s="50" t="str">
        <f>IF(ISEVEN(LEFT(AD211,4)),"Southbound","NorthBound")</f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hh:mm:ss")&amp;utc_offset&amp;"00',mode:absolute,to:'"&amp;TEXT(I211+1/24,"yyyy-MM-DD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https://search-rtdc-monitor-bjffxe2xuh6vdkpspy63sjmuny.us-east-1.es.amazonaws.com/_plugin/kibana/#/discover/Steve-Slow-Train-Analysis-(2080s-and-2083s)?_g=(refreshInterval:(display:Off,section:0,value:0),time:(from:'2016-12-05 18:37:02-700',mode:absolute,to:'1969-12-31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1" s="52" t="str">
        <f>IF(AA211&lt;IF(AG211="EC",23,5.65),"Y","N")</f>
        <v>Y</v>
      </c>
      <c r="X211" s="177">
        <f>VALUE(LEFT(AD211,4))-VALUE(LEFT(AD210,4))</f>
        <v>1</v>
      </c>
      <c r="Y211" s="67">
        <f>RIGHT(D211,LEN(D211)-4)/10000</f>
        <v>4.7800000000000002E-2</v>
      </c>
      <c r="Z211" s="67">
        <f>RIGHT(H211,LEN(H211)-4)/10000</f>
        <v>2.3315999999999999</v>
      </c>
      <c r="AA211" s="67">
        <f>ABS(Z211-Y211)</f>
        <v>2.2837999999999998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>IF(LEN(A211)=6,"0"&amp;A211,A211)</f>
        <v>0307-05</v>
      </c>
      <c r="AE211" s="91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1" s="88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92" t="str">
        <f t="shared" si="8"/>
        <v>"%USERPROFILE%\Documents\GitHub\eaglep3\Utilities\RefineRTDCRunTimes.py" --tripid 307-05 --locoid 4009 --swversion DE.1.0.8.0 --startMP 204:478 --initTime 2016-12-05T19:37:02 --startdatetime 1969-12-31T17:00:00 --delay 1 --endMP 300:23316 --enddatetime 1969-12-31T17:00:00 --enforcementcount 2 &gt;&gt;C:\Users\stu\Documents\GitHub\eaglep3-reporting\EC\2016-12-05-refined-times.txt</v>
      </c>
      <c r="AI211" s="119" t="str">
        <f t="shared" si="9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ID","value":"307-05"},{"id":16,"name":"Locomotive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639</v>
      </c>
      <c r="B212" s="7">
        <v>4009</v>
      </c>
      <c r="C212" s="22" t="s">
        <v>208</v>
      </c>
      <c r="D212" s="22" t="s">
        <v>376</v>
      </c>
      <c r="E212" s="13">
        <v>42709.817384259259</v>
      </c>
      <c r="F212" s="13">
        <v>25568.708333333332</v>
      </c>
      <c r="G212" s="7">
        <v>13</v>
      </c>
      <c r="H212" s="22" t="s">
        <v>745</v>
      </c>
      <c r="I212" s="13">
        <v>25568.708333333332</v>
      </c>
      <c r="J212" s="7">
        <v>2</v>
      </c>
      <c r="K212" s="109" t="str">
        <f>IF(ISEVEN(B212),(B212-1)&amp;"/"&amp;B212,B212&amp;"/"&amp;(B212+1))</f>
        <v>4009/4010</v>
      </c>
      <c r="L212" s="22" t="str">
        <f>VLOOKUP(A212,'Trips&amp;Operators'!$C$1:$G$99999,5,FALSE)</f>
        <v>SHOOK JOHN</v>
      </c>
      <c r="M212" s="6">
        <f>I212-F212</f>
        <v>0</v>
      </c>
      <c r="N212" s="7">
        <f>24*60*SUM($M212:$M212)</f>
        <v>0</v>
      </c>
      <c r="O212" s="7"/>
      <c r="P212" s="7"/>
      <c r="Q212" s="23"/>
      <c r="R212" s="23"/>
      <c r="S212" s="35">
        <f>SUM(U212:U212)/IF(AG212="EC",12,1)</f>
        <v>0</v>
      </c>
      <c r="T212" s="50" t="str">
        <f>IF(ISEVEN(LEFT(AD212,4)),"Southbound","NorthBound")</f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hh:mm:ss")&amp;utc_offset&amp;"00',mode:absolute,to:'"&amp;TEXT(I212+1/24,"yyyy-MM-DD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https://search-rtdc-monitor-bjffxe2xuh6vdkpspy63sjmuny.us-east-1.es.amazonaws.com/_plugin/kibana/#/discover/Steve-Slow-Train-Analysis-(2080s-and-2083s)?_g=(refreshInterval:(display:Off,section:0,value:0),time:(from:'2016-12-05 18:37:02-700',mode:absolute,to:'1969-12-31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2" s="52" t="str">
        <f>IF(AA212&lt;IF(AG212="EC",23,5.65),"Y","N")</f>
        <v>Y</v>
      </c>
      <c r="X212" s="177">
        <f>VALUE(LEFT(AD212,4))-VALUE(LEFT(AD211,4))</f>
        <v>0</v>
      </c>
      <c r="Y212" s="67">
        <f>RIGHT(D212,LEN(D212)-4)/10000</f>
        <v>2.3298999999999999</v>
      </c>
      <c r="Z212" s="67">
        <f>RIGHT(H212,LEN(H212)-4)/10000</f>
        <v>2.3315999999999999</v>
      </c>
      <c r="AA212" s="67">
        <f>ABS(Z212-Y212)</f>
        <v>1.7000000000000348E-3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>IF(LEN(A212)=6,"0"&amp;A212,A212)</f>
        <v>0307-05</v>
      </c>
      <c r="AE212" s="91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2" s="88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92" t="str">
        <f t="shared" si="8"/>
        <v>"%USERPROFILE%\Documents\GitHub\eaglep3\Utilities\RefineRTDCRunTimes.py" --tripid 307-05 --locoid 4009 --swversion DE.1.0.8.0 --startMP 300:23299 --initTime 2016-12-05T19:37:02 --startdatetime 1969-12-31T17:00:00 --delay 13 --endMP 300:23316 --enddatetime 1969-12-31T17:00:00 --enforcementcount 2 &gt;&gt;C:\Users\stu\Documents\GitHub\eaglep3-reporting\EC\2016-12-05-refined-times.txt</v>
      </c>
      <c r="AI212" s="119" t="str">
        <f t="shared" si="9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ID","value":"307-05"},{"id":16,"name":"Locomotive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467</v>
      </c>
      <c r="B213" s="7">
        <v>4001</v>
      </c>
      <c r="C213" s="22" t="s">
        <v>208</v>
      </c>
      <c r="D213" s="22" t="s">
        <v>746</v>
      </c>
      <c r="E213" s="13">
        <v>42709.170243055552</v>
      </c>
      <c r="F213" s="13">
        <v>25568.708333333332</v>
      </c>
      <c r="G213" s="7">
        <v>1</v>
      </c>
      <c r="H213" s="22" t="s">
        <v>747</v>
      </c>
      <c r="I213" s="13">
        <v>25568.708333333332</v>
      </c>
      <c r="J213" s="7">
        <v>2</v>
      </c>
      <c r="K213" s="109" t="str">
        <f>IF(ISEVEN(B213),(B213-1)&amp;"/"&amp;B213,B213&amp;"/"&amp;(B213+1))</f>
        <v>4001/4002</v>
      </c>
      <c r="L213" s="22" t="str">
        <f>VLOOKUP(A213,'Trips&amp;Operators'!$C$1:$G$99999,5,FALSE)</f>
        <v>ISHMAEL JOSEPH</v>
      </c>
      <c r="M213" s="6">
        <f>I213-F213</f>
        <v>0</v>
      </c>
      <c r="N213" s="7">
        <f>24*60*SUM($M213:$M213)</f>
        <v>0</v>
      </c>
      <c r="O213" s="7"/>
      <c r="P213" s="7"/>
      <c r="Q213" s="23"/>
      <c r="R213" s="23"/>
      <c r="S213" s="35">
        <f>SUM(U213:U213)/IF(AG213="EC",12,1)</f>
        <v>0</v>
      </c>
      <c r="T213" s="50" t="str">
        <f>IF(ISEVEN(LEFT(AD213,4)),"Southbound","NorthBound")</f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hh:mm:ss")&amp;utc_offset&amp;"00',mode:absolute,to:'"&amp;TEXT(I213+1/24,"yyyy-MM-DD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https://search-rtdc-monitor-bjffxe2xuh6vdkpspy63sjmuny.us-east-1.es.amazonaws.com/_plugin/kibana/#/discover/Steve-Slow-Train-Analysis-(2080s-and-2083s)?_g=(refreshInterval:(display:Off,section:0,value:0),time:(from:'2016-12-05 03:05:09-700',mode:absolute,to:'1969-12-31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3" s="52" t="str">
        <f>IF(AA213&lt;IF(AG213="EC",23,5.65),"Y","N")</f>
        <v>Y</v>
      </c>
      <c r="X213" s="177">
        <f>VALUE(LEFT(AD213,4))-VALUE(LEFT(AD212,4))</f>
        <v>1</v>
      </c>
      <c r="Y213" s="67">
        <f>RIGHT(D213,LEN(D213)-4)/10000</f>
        <v>2.3163</v>
      </c>
      <c r="Z213" s="67">
        <f>RIGHT(H213,LEN(H213)-4)/10000</f>
        <v>2.2225000000000001</v>
      </c>
      <c r="AA213" s="67">
        <f>ABS(Z213-Y213)</f>
        <v>9.3799999999999883E-2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>IF(LEN(A213)=6,"0"&amp;A213,A213)</f>
        <v>0308-05</v>
      </c>
      <c r="AE213" s="91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s3://rtdc.mdm.uploadarchive.raw/RTDC4001/ "%USERPROFILE%\AppData\Local\Temp\OnboardLogs"\RTDC4001\1969-12-31 --exclude "*" --recursive --include "*19691231*" &amp; "%USERPROFILE%\Documents\GitHub\mrs-test-scripts\Headless Mode &amp; Sideloading\WalkAndUnGZ.bat" "%USERPROFILE%\AppData\Local\Temp\OnboardLogs"\RTDC4001\1969-12-31 &amp; aws s3 cp s3://rtdc.mdm.uploadarchive.raw/RTDC4001/ "%USERPROFILE%\AppData\Local\Temp\OnboardLogs"\RTDC4001\1970-01-01 --exclude "*" --recursive --include "*19700101*" &amp; "%USERPROFILE%\Documents\GitHub\mrs-test-scripts\Headless Mode &amp; Sideloading\WalkAndUnGZ.bat" "%USERPROFILE%\AppData\Local\Temp\OnboardLogs"\RTDC4001\1970-01-01</v>
      </c>
      <c r="AF213" s="88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/stypes="app*4001*19700101*" /stext=" 00:.+((SYSTEM_STATE.+slice.+state.+changed )|(ment ac)|(multiple cpu faults)|(system.+state.+changed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92" t="str">
        <f t="shared" si="8"/>
        <v>"%USERPROFILE%\Documents\GitHub\eaglep3\Utilities\RefineRTDCRunTimes.py" --tripid 308-05 --locoid 4001 --swversion DE.1.0.8.0 --startMP 300:23163 --initTime 2016-12-05T04:05:09 --startdatetime 1969-12-31T17:00:00 --delay 1 --endMP 300:22225 --enddatetime 1969-12-31T17:00:00 --enforcementcount 2 &gt;&gt;C:\Users\stu\Documents\GitHub\eaglep3-reporting\EC\2016-12-05-refined-times.txt</v>
      </c>
      <c r="AI213" s="119" t="str">
        <f t="shared" si="9"/>
        <v>echo {"issue":{"subject":"","project_id":79,"tracker_id":40,"status_id":1,"priority_id":2,"assigned_to_id":23,"start_date":"1969-12-31","description":"","custom_fields":[{"id":1,"name":"Subdivision","value":"Other"},{"id":4,"name":"Milepost","value":"2.2225"},{"id":17,"name":"Train ID","value":"308-05"},{"id":16,"name":"Locomotive ID","value":"4001"},{"id":130,"name":"Impact","value":""},{"id":150,"name":"Time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665</v>
      </c>
      <c r="B214" s="7">
        <v>4040</v>
      </c>
      <c r="C214" s="22" t="s">
        <v>208</v>
      </c>
      <c r="D214" s="22" t="s">
        <v>398</v>
      </c>
      <c r="E214" s="13">
        <v>42710.027407407404</v>
      </c>
      <c r="F214" s="13">
        <v>42710.029178240744</v>
      </c>
      <c r="G214" s="7">
        <v>1</v>
      </c>
      <c r="H214" s="22" t="s">
        <v>748</v>
      </c>
      <c r="I214" s="13">
        <v>42710.037372685183</v>
      </c>
      <c r="J214" s="7">
        <v>2</v>
      </c>
      <c r="K214" s="109" t="str">
        <f>IF(ISEVEN(B214),(B214-1)&amp;"/"&amp;B214,B214&amp;"/"&amp;(B214+1))</f>
        <v>4039/4040</v>
      </c>
      <c r="L214" s="22" t="str">
        <f>VLOOKUP(A214,'Trips&amp;Operators'!$C$1:$G$99999,5,FALSE)</f>
        <v>LEVERE CRAIG</v>
      </c>
      <c r="M214" s="6">
        <f>I214-F214</f>
        <v>8.1944444391410798E-3</v>
      </c>
      <c r="N214" s="7">
        <f>24*60*SUM($M214:$M214)</f>
        <v>11.799999992363155</v>
      </c>
      <c r="O214" s="7"/>
      <c r="P214" s="7"/>
      <c r="Q214" s="23"/>
      <c r="R214" s="23"/>
      <c r="S214" s="35">
        <f>SUM(U214:U214)/IF(AG214="EC",12,1)</f>
        <v>1</v>
      </c>
      <c r="T214" s="50" t="str">
        <f>IF(ISEVEN(LEFT(AD214,4)),"Southbound","NorthBound")</f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hh:mm:ss")&amp;utc_offset&amp;"00',mode:absolute,to:'"&amp;TEXT(I214+1/24,"yyyy-MM-DD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https://search-rtdc-monitor-bjffxe2xuh6vdkpspy63sjmuny.us-east-1.es.amazonaws.com/_plugin/kibana/#/discover/Steve-Slow-Train-Analysis-(2080s-and-2083s)?_g=(refreshInterval:(display:Off,section:0,value:0),time:(from:'2016-12-05 23:39:28-700',mode:absolute,to:'2016-12-06 01:53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4" s="52" t="str">
        <f>IF(AA214&lt;IF(AG214="EC",23,5.65),"Y","N")</f>
        <v>Y</v>
      </c>
      <c r="X214" s="177">
        <f>VALUE(LEFT(AD214,4))-VALUE(LEFT(AD213,4))</f>
        <v>1</v>
      </c>
      <c r="Y214" s="67">
        <f>RIGHT(D214,LEN(D214)-4)/10000</f>
        <v>4.6399999999999997E-2</v>
      </c>
      <c r="Z214" s="67">
        <f>RIGHT(H214,LEN(H214)-4)/10000</f>
        <v>2.2848000000000002</v>
      </c>
      <c r="AA214" s="67">
        <f>ABS(Z214-Y214)</f>
        <v>2.2384000000000004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>IF(LEN(A214)=6,"0"&amp;A214,A214)</f>
        <v>0309-05</v>
      </c>
      <c r="AE214" s="91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s3://rtdc.mdm.uploadarchive.raw/RTDC4040/ "%USERPROFILE%\AppData\Local\Temp\OnboardLogs"\RTDC4040\2016-12-06 --exclude "*" --recursive --include "*20161206*" &amp; "%USERPROFILE%\Documents\GitHub\mrs-test-scripts\Headless Mode &amp; Sideloading\WalkAndUnGZ.bat" "%USERPROFILE%\AppData\Local\Temp\OnboardLogs"\RTDC4040\2016-12-06 &amp; 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</v>
      </c>
      <c r="AF214" s="88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/stypes="app*4040*20161206*" /stext=" 07:.+((SYSTEM_STATE.+slice.+state.+changed )|(ment ac)|(multiple cpu faults)|(system.+state.+changed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92" t="str">
        <f t="shared" si="8"/>
        <v>"%USERPROFILE%\Documents\GitHub\eaglep3\Utilities\RefineRTDCRunTimes.py" --tripid 309-05 --locoid 4040 --swversion DE.1.0.8.0 --startMP 204:464 --initTime 2016-12-06T00:39:28 --startdatetime 2016-12-06T00:42:01 --delay 1 --endMP 300:22848 --enddatetime 2016-12-06T00:53:49 --enforcementcount 2 &gt;&gt;C:\Users\stu\Documents\GitHub\eaglep3-reporting\EC\2016-12-05-refined-times.txt</v>
      </c>
      <c r="AI214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{"issue":{"subject":"","project_id":79,"tracker_id":40,"status_id":1,"priority_id":2,"assigned_to_id":23,"start_date":"2016-12-06","description":"","custom_fields":[{"id":1,"name":"Subdivision","value":"Other"},{"id":4,"name":"Milepost","value":"2.2848"},{"id":17,"name":"Train ID","value":"309-05"},{"id":16,"name":"Locomotive ID","value":"4040"},{"id":130,"name":"Impact","value":""},{"id":150,"name":"Time of Event (Mountain Time)","value":"00:53:49"},{"id":151,"name":"Denver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471</v>
      </c>
      <c r="B215" s="7">
        <v>4043</v>
      </c>
      <c r="C215" s="22" t="s">
        <v>208</v>
      </c>
      <c r="D215" s="22" t="s">
        <v>749</v>
      </c>
      <c r="E215" s="13">
        <v>42709.177476851852</v>
      </c>
      <c r="F215" s="13">
        <v>42709.178819444445</v>
      </c>
      <c r="G215" s="7">
        <v>1</v>
      </c>
      <c r="H215" s="22" t="s">
        <v>206</v>
      </c>
      <c r="I215" s="13">
        <v>42709.185960648145</v>
      </c>
      <c r="J215" s="7">
        <v>2</v>
      </c>
      <c r="K215" s="109" t="str">
        <f>IF(ISEVEN(B215),(B215-1)&amp;"/"&amp;B215,B215&amp;"/"&amp;(B215+1))</f>
        <v>4043/4044</v>
      </c>
      <c r="L215" s="22" t="str">
        <f>VLOOKUP(A215,'Trips&amp;Operators'!$C$1:$G$99999,5,FALSE)</f>
        <v>YORK EDGAR</v>
      </c>
      <c r="M215" s="6">
        <f>I215-F215</f>
        <v>7.1412036995752715E-3</v>
      </c>
      <c r="N215" s="7">
        <f>24*60*SUM($M215:$M215)</f>
        <v>10.283333327388391</v>
      </c>
      <c r="O215" s="7"/>
      <c r="P215" s="7"/>
      <c r="Q215" s="23"/>
      <c r="R215" s="23"/>
      <c r="S215" s="35">
        <f>SUM(U215:U215)/IF(AG215="EC",12,1)</f>
        <v>1</v>
      </c>
      <c r="T215" s="50" t="str">
        <f>IF(ISEVEN(LEFT(AD215,4)),"Southbound","NorthBound")</f>
        <v>Southbound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hh:mm:ss")&amp;utc_offset&amp;"00',mode:absolute,to:'"&amp;TEXT(I215+1/24,"yyyy-MM-DD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https://search-rtdc-monitor-bjffxe2xuh6vdkpspy63sjmuny.us-east-1.es.amazonaws.com/_plugin/kibana/#/discover/Steve-Slow-Train-Analysis-(2080s-and-2083s)?_g=(refreshInterval:(display:Off,section:0,value:0),time:(from:'2016-12-05 03:15:34-700',mode:absolute,to:'2016-12-05 05:27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15" s="52" t="str">
        <f>IF(AA215&lt;IF(AG215="EC",23,5.65),"Y","N")</f>
        <v>Y</v>
      </c>
      <c r="X215" s="177">
        <f>VALUE(LEFT(AD215,4))-VALUE(LEFT(AD214,4))</f>
        <v>1</v>
      </c>
      <c r="Y215" s="67">
        <f>RIGHT(D215,LEN(D215)-4)/10000</f>
        <v>2.3426999999999998</v>
      </c>
      <c r="Z215" s="67">
        <f>RIGHT(H215,LEN(H215)-4)/10000</f>
        <v>1.5599999999999999E-2</v>
      </c>
      <c r="AA215" s="67">
        <f>ABS(Z215-Y215)</f>
        <v>2.3270999999999997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>IF(LEN(A215)=6,"0"&amp;A215,A215)</f>
        <v>0310-05</v>
      </c>
      <c r="AE215" s="91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 &amp; 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</v>
      </c>
      <c r="AF215" s="88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/stypes="app*4043*20161205*" /stext=" 11:.+((SYSTEM_STATE.+slice.+state.+changed )|(ment ac)|(multiple cpu faults)|(system.+state.+changed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92" t="str">
        <f t="shared" si="8"/>
        <v>"%USERPROFILE%\Documents\GitHub\eaglep3\Utilities\RefineRTDCRunTimes.py" --tripid 310-05 --locoid 4043 --swversion DE.1.0.8.0 --startMP 300:23427 --initTime 2016-12-05T04:15:34 --startdatetime 2016-12-05T04:17:30 --delay 1 --endMP 204:156 --enddatetime 2016-12-05T04:27:47 --enforcementcount 2 &gt;&gt;C:\Users\stu\Documents\GitHub\eaglep3-reporting\EC\2016-12-05-refined-times.txt</v>
      </c>
      <c r="AI215" s="119" t="str">
        <f t="shared" si="9"/>
        <v>echo {"issue":{"subject":"","project_id":79,"tracker_id":40,"status_id":1,"priority_id":2,"assigned_to_id":23,"start_date":"2016-12-05","description":"","custom_fields":[{"id":1,"name":"Subdivision","value":"Other"},{"id":4,"name":"Milepost","value":"0.0156"},{"id":17,"name":"Train ID","value":"310-05"},{"id":16,"name":"Locomotive ID","value":"4043"},{"id":130,"name":"Impact","value":""},{"id":150,"name":"Time of Event (Mountain Time)","value":"04:27:47"},{"id":151,"name":"Denver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667</v>
      </c>
      <c r="B216" s="7">
        <v>4038</v>
      </c>
      <c r="C216" s="22" t="s">
        <v>208</v>
      </c>
      <c r="D216" s="22" t="s">
        <v>230</v>
      </c>
      <c r="E216" s="13">
        <v>42710.047326388885</v>
      </c>
      <c r="F216" s="13">
        <v>25568.708333333332</v>
      </c>
      <c r="G216" s="7">
        <v>1</v>
      </c>
      <c r="H216" s="22" t="s">
        <v>750</v>
      </c>
      <c r="I216" s="13">
        <v>25568.708333333332</v>
      </c>
      <c r="J216" s="7">
        <v>2</v>
      </c>
      <c r="K216" s="109" t="str">
        <f>IF(ISEVEN(B216),(B216-1)&amp;"/"&amp;B216,B216&amp;"/"&amp;(B216+1))</f>
        <v>4037/4038</v>
      </c>
      <c r="L216" s="22" t="str">
        <f>VLOOKUP(A216,'Trips&amp;Operators'!$C$1:$G$99999,5,FALSE)</f>
        <v>NEWELL JAMES</v>
      </c>
      <c r="M216" s="6">
        <f>I216-F216</f>
        <v>0</v>
      </c>
      <c r="N216" s="7">
        <f>24*60*SUM($M216:$M216)</f>
        <v>0</v>
      </c>
      <c r="O216" s="7"/>
      <c r="P216" s="7"/>
      <c r="Q216" s="23"/>
      <c r="R216" s="23"/>
      <c r="S216" s="35">
        <f>SUM(U216:U216)/IF(AG216="EC",12,1)</f>
        <v>1</v>
      </c>
      <c r="T216" s="50" t="str">
        <f>IF(ISEVEN(LEFT(AD216,4)),"Southbound","NorthBound")</f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hh:mm:ss")&amp;utc_offset&amp;"00',mode:absolute,to:'"&amp;TEXT(I216+1/24,"yyyy-MM-DD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https://search-rtdc-monitor-bjffxe2xuh6vdkpspy63sjmuny.us-east-1.es.amazonaws.com/_plugin/kibana/#/discover/Steve-Slow-Train-Analysis-(2080s-and-2083s)?_g=(refreshInterval:(display:Off,section:0,value:0),time:(from:'2016-12-06 00:08:09-700',mode:absolute,to:'1969-12-31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6" s="52" t="str">
        <f>IF(AA216&lt;IF(AG216="EC",23,5.65),"Y","N")</f>
        <v>Y</v>
      </c>
      <c r="X216" s="177">
        <f>VALUE(LEFT(AD216,4))-VALUE(LEFT(AD215,4))</f>
        <v>1</v>
      </c>
      <c r="Y216" s="67">
        <f>RIGHT(D216,LEN(D216)-4)/10000</f>
        <v>4.4900000000000002E-2</v>
      </c>
      <c r="Z216" s="67">
        <f>RIGHT(H216,LEN(H216)-4)/10000</f>
        <v>2.3308</v>
      </c>
      <c r="AA216" s="67">
        <f>ABS(Z216-Y216)</f>
        <v>2.2858999999999998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>IF(LEN(A216)=6,"0"&amp;A216,A216)</f>
        <v>0311-05</v>
      </c>
      <c r="AE216" s="91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6" s="88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/stypes="app*4038*19700101*" /stext=" 00:.+((SYSTEM_STATE.+slice.+state.+changed )|(ment ac)|(multiple cpu faults)|(system.+state.+changed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92" t="str">
        <f t="shared" si="8"/>
        <v>"%USERPROFILE%\Documents\GitHub\eaglep3\Utilities\RefineRTDCRunTimes.py" --tripid 311-05 --locoid 4038 --swversion DE.1.0.8.0 --startMP 204:449 --initTime 2016-12-06T01:08:09 --startdatetime 1969-12-31T17:00:00 --delay 1 --endMP 300:23308 --enddatetime 1969-12-31T17:00:00 --enforcementcount 2 &gt;&gt;C:\Users\stu\Documents\GitHub\eaglep3-reporting\EC\2016-12-05-refined-times.txt</v>
      </c>
      <c r="AI216" s="119" t="str">
        <f t="shared" si="9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ID","value":"311-05"},{"id":16,"name":"Locomotive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669</v>
      </c>
      <c r="B217" s="7">
        <v>4042</v>
      </c>
      <c r="C217" s="22" t="s">
        <v>208</v>
      </c>
      <c r="D217" s="22" t="s">
        <v>405</v>
      </c>
      <c r="E217" s="13">
        <v>42710.069675925923</v>
      </c>
      <c r="F217" s="13">
        <v>42710.07104166667</v>
      </c>
      <c r="G217" s="7">
        <v>1</v>
      </c>
      <c r="H217" s="22" t="s">
        <v>751</v>
      </c>
      <c r="I217" s="13">
        <v>42710.076493055552</v>
      </c>
      <c r="J217" s="7">
        <v>2</v>
      </c>
      <c r="K217" s="109" t="str">
        <f>IF(ISEVEN(B217),(B217-1)&amp;"/"&amp;B217,B217&amp;"/"&amp;(B217+1))</f>
        <v>4041/4042</v>
      </c>
      <c r="L217" s="22" t="str">
        <f>VLOOKUP(A217,'Trips&amp;Operators'!$C$1:$G$99999,5,FALSE)</f>
        <v>CHANDLER KELVIN</v>
      </c>
      <c r="M217" s="6">
        <f>I217-F217</f>
        <v>5.4513888826477341E-3</v>
      </c>
      <c r="N217" s="7">
        <f>24*60*SUM($M217:$M217)</f>
        <v>7.8499999910127372</v>
      </c>
      <c r="O217" s="7"/>
      <c r="P217" s="7"/>
      <c r="Q217" s="23"/>
      <c r="R217" s="23"/>
      <c r="S217" s="35">
        <f>SUM(U217:U217)/IF(AG217="EC",12,1)</f>
        <v>1</v>
      </c>
      <c r="T217" s="50" t="str">
        <f>IF(ISEVEN(LEFT(AD217,4)),"Southbound","NorthBound")</f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>"https://search-rtdc-monitor-bjffxe2xuh6vdkpspy63sjmuny.us-east-1.es.amazonaws.com/_plugin/kibana/#/discover/Steve-Slow-Train-Analysis-(2080s-and-2083s)?_g=(refreshInterval:(display:Off,section:0,value:0),time:(from:'"&amp;TEXT(E217-1/24,"yyyy-MM-DD hh:mm:ss")&amp;utc_offset&amp;"00',mode:absolute,to:'"&amp;TEXT(I217+1/24,"yyyy-MM-DD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217&amp;"%22')),sort:!(Time,asc))"</f>
        <v>https://search-rtdc-monitor-bjffxe2xuh6vdkpspy63sjmuny.us-east-1.es.amazonaws.com/_plugin/kibana/#/discover/Steve-Slow-Train-Analysis-(2080s-and-2083s)?_g=(refreshInterval:(display:Off,section:0,value:0),time:(from:'2016-12-06 00:40:20-700',mode:absolute,to:'2016-12-06 02:50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7" s="52" t="str">
        <f>IF(AA217&lt;IF(AG217="EC",23,5.65),"Y","N")</f>
        <v>Y</v>
      </c>
      <c r="X217" s="177">
        <f>VALUE(LEFT(AD217,4))-VALUE(LEFT(AD216,4))</f>
        <v>2</v>
      </c>
      <c r="Y217" s="67">
        <f>RIGHT(D217,LEN(D217)-4)/10000</f>
        <v>4.7300000000000002E-2</v>
      </c>
      <c r="Z217" s="67">
        <f>RIGHT(H217,LEN(H217)-4)/10000</f>
        <v>2.2852000000000001</v>
      </c>
      <c r="AA217" s="67">
        <f>ABS(Z217-Y217)</f>
        <v>2.2379000000000002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>IF(LEN(A217)=6,"0"&amp;A217,A217)</f>
        <v>0313-05</v>
      </c>
      <c r="AE217" s="91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s3://rtdc.mdm.uploadarchive.raw/RTDC4042/ "%USERPROFILE%\AppData\Local\Temp\OnboardLogs"\RTDC4042\2016-12-06 --exclude "*" --recursive --include "*20161206*" &amp; "%USERPROFILE%\Documents\GitHub\mrs-test-scripts\Headless Mode &amp; Sideloading\WalkAndUnGZ.bat" "%USERPROFILE%\AppData\Local\Temp\OnboardLogs"\RTDC4042\2016-12-06 &amp; aws s3 cp s3://rtdc.mdm.uploadarchive.raw/RTDC4042/ "%USERPROFILE%\AppData\Local\Temp\OnboardLogs"\RTDC4042\2016-12-07 --exclude "*" --recursive --include "*20161207*" &amp; "%USERPROFILE%\Documents\GitHub\mrs-test-scripts\Headless Mode &amp; Sideloading\WalkAndUnGZ.bat" "%USERPROFILE%\AppData\Local\Temp\OnboardLogs"\RTDC4042\2016-12-07</v>
      </c>
      <c r="AF217" s="88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/stypes="app*4042*20161206*" /stext=" 08:.+((SYSTEM_STATE.+slice.+state.+changed )|(ment ac)|(multiple cpu faults)|(system.+state.+changed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92" t="str">
        <f t="shared" si="8"/>
        <v>"%USERPROFILE%\Documents\GitHub\eaglep3\Utilities\RefineRTDCRunTimes.py" --tripid 313-05 --locoid 4042 --swversion DE.1.0.8.0 --startMP 204:473 --initTime 2016-12-06T01:40:20 --startdatetime 2016-12-06T01:42:18 --delay 1 --endMP 300:22852 --enddatetime 2016-12-06T01:50:09 --enforcementcount 2 &gt;&gt;C:\Users\stu\Documents\GitHub\eaglep3-reporting\EC\2016-12-05-refined-times.txt</v>
      </c>
      <c r="AI217" s="119" t="str">
        <f t="shared" si="9"/>
        <v>echo {"issue":{"subject":"","project_id":79,"tracker_id":40,"status_id":1,"priority_id":2,"assigned_to_id":23,"start_date":"2016-12-06","description":"","custom_fields":[{"id":1,"name":"Subdivision","value":"Other"},{"id":4,"name":"Milepost","value":"2.2852"},{"id":17,"name":"Train ID","value":"313-05"},{"id":16,"name":"Locomotive ID","value":"4042"},{"id":130,"name":"Impact","value":""},{"id":150,"name":"Time of Event (Mountain Time)","value":"01:50:09"},{"id":151,"name":"Denver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389</v>
      </c>
      <c r="B218" s="7">
        <v>4027</v>
      </c>
      <c r="C218" s="22" t="s">
        <v>208</v>
      </c>
      <c r="D218" s="22" t="s">
        <v>290</v>
      </c>
      <c r="E218" s="13">
        <v>42709.089513888888</v>
      </c>
      <c r="F218" s="13">
        <v>42709.091296296298</v>
      </c>
      <c r="G218" s="7">
        <v>1</v>
      </c>
      <c r="H218" s="22" t="s">
        <v>421</v>
      </c>
      <c r="I218" s="13">
        <v>42709.09746527778</v>
      </c>
      <c r="J218" s="7">
        <v>2</v>
      </c>
      <c r="K218" s="109" t="str">
        <f>IF(ISEVEN(B218),(B218-1)&amp;"/"&amp;B218,B218&amp;"/"&amp;(B218+1))</f>
        <v>4027/4028</v>
      </c>
      <c r="L218" s="22" t="str">
        <f>VLOOKUP(A218,'Trips&amp;Operators'!$C$1:$G$99999,5,FALSE)</f>
        <v>CHANDLER KELVIN</v>
      </c>
      <c r="M218" s="6">
        <f>I218-F218</f>
        <v>6.1689814829151146E-3</v>
      </c>
      <c r="N218" s="7">
        <f>24*60*SUM($M218:$M218)</f>
        <v>8.883333335397765</v>
      </c>
      <c r="O218" s="7"/>
      <c r="P218" s="7"/>
      <c r="Q218" s="23"/>
      <c r="R218" s="23"/>
      <c r="S218" s="35">
        <f>SUM(U218:U218)/IF(AG218="EC",12,1)</f>
        <v>1</v>
      </c>
      <c r="T218" s="50" t="str">
        <f>IF(ISEVEN(LEFT(AD218,4)),"Southbound","NorthBound")</f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>"https://search-rtdc-monitor-bjffxe2xuh6vdkpspy63sjmuny.us-east-1.es.amazonaws.com/_plugin/kibana/#/discover/Steve-Slow-Train-Analysis-(2080s-and-2083s)?_g=(refreshInterval:(display:Off,section:0,value:0),time:(from:'"&amp;TEXT(E218-1/24,"yyyy-MM-DD hh:mm:ss")&amp;utc_offset&amp;"00',mode:absolute,to:'"&amp;TEXT(I218+1/24,"yyyy-MM-DD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https://search-rtdc-monitor-bjffxe2xuh6vdkpspy63sjmuny.us-east-1.es.amazonaws.com/_plugin/kibana/#/discover/Steve-Slow-Train-Analysis-(2080s-and-2083s)?_g=(refreshInterval:(display:Off,section:0,value:0),time:(from:'2016-12-05 01:08:54-700',mode:absolute,to:'2016-12-05 03:20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8" s="52" t="str">
        <f>IF(AA218&lt;IF(AG218="EC",23,5.65),"Y","N")</f>
        <v>Y</v>
      </c>
      <c r="X218" s="177">
        <f>VALUE(LEFT(AD218,4))-VALUE(LEFT(AD217,4))</f>
        <v>2</v>
      </c>
      <c r="Y218" s="67">
        <f>RIGHT(D218,LEN(D218)-4)/10000</f>
        <v>4.3799999999999999E-2</v>
      </c>
      <c r="Z218" s="67">
        <f>RIGHT(H218,LEN(H218)-4)/10000</f>
        <v>2.2843</v>
      </c>
      <c r="AA218" s="67">
        <f>ABS(Z218-Y218)</f>
        <v>2.2404999999999999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>IF(LEN(A218)=6,"0"&amp;A218,A218)</f>
        <v>0315-04</v>
      </c>
      <c r="AE218" s="91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s3://rtdc.mdm.uploadarchive.raw/RTDC4027/ "%USERPROFILE%\AppData\Local\Temp\OnboardLogs"\RTDC4027\2016-12-05 --exclude "*" --recursive --include "*20161205*" &amp; "%USERPROFILE%\Documents\GitHub\mrs-test-scripts\Headless Mode &amp; Sideloading\WalkAndUnGZ.bat" "%USERPROFILE%\AppData\Local\Temp\OnboardLogs"\RTDC4027\2016-12-05 &amp; aws s3 cp s3://rtdc.mdm.uploadarchive.raw/RTDC4027/ "%USERPROFILE%\AppData\Local\Temp\OnboardLogs"\RTDC4027\2016-12-06 --exclude "*" --recursive --include "*20161206*" &amp; "%USERPROFILE%\Documents\GitHub\mrs-test-scripts\Headless Mode &amp; Sideloading\WalkAndUnGZ.bat" "%USERPROFILE%\AppData\Local\Temp\OnboardLogs"\RTDC4027\2016-12-06</v>
      </c>
      <c r="AF218" s="88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/stypes="app*4027*20161205*" /stext=" 09:.+((SYSTEM_STATE.+slice.+state.+changed )|(ment ac)|(multiple cpu faults)|(system.+state.+changed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92" t="str">
        <f t="shared" si="8"/>
        <v>"%USERPROFILE%\Documents\GitHub\eaglep3\Utilities\RefineRTDCRunTimes.py" --tripid 315-04 --locoid 4027 --swversion DE.1.0.8.0 --startMP 204:438 --initTime 2016-12-05T02:08:54 --startdatetime 2016-12-05T02:11:28 --delay 1 --endMP 300:22843 --enddatetime 2016-12-05T02:20:21 --enforcementcount 2 &gt;&gt;C:\Users\stu\Documents\GitHub\eaglep3-reporting\EC\2016-12-05-refined-times.txt</v>
      </c>
      <c r="AI218" s="119" t="str">
        <f t="shared" si="9"/>
        <v>echo {"issue":{"subject":"","project_id":79,"tracker_id":40,"status_id":1,"priority_id":2,"assigned_to_id":23,"start_date":"2016-12-05","description":"","custom_fields":[{"id":1,"name":"Subdivision","value":"Other"},{"id":4,"name":"Milepost","value":"2.2843"},{"id":17,"name":"Train ID","value":"315-04"},{"id":16,"name":"Locomotive ID","value":"4027"},{"id":130,"name":"Impact","value":""},{"id":150,"name":"Time of Event (Mountain Time)","value":"02:20:21"},{"id":151,"name":"Denver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670</v>
      </c>
      <c r="B219" s="7">
        <v>4002</v>
      </c>
      <c r="C219" s="22" t="s">
        <v>208</v>
      </c>
      <c r="D219" s="22" t="s">
        <v>752</v>
      </c>
      <c r="E219" s="13">
        <v>42710.086782407408</v>
      </c>
      <c r="F219" s="13">
        <v>25568.708333333332</v>
      </c>
      <c r="G219" s="7">
        <v>1</v>
      </c>
      <c r="H219" s="22" t="s">
        <v>753</v>
      </c>
      <c r="I219" s="13">
        <v>25568.708333333332</v>
      </c>
      <c r="J219" s="7">
        <v>2</v>
      </c>
      <c r="K219" s="109" t="str">
        <f>IF(ISEVEN(B219),(B219-1)&amp;"/"&amp;B219,B219&amp;"/"&amp;(B219+1))</f>
        <v>4001/4002</v>
      </c>
      <c r="L219" s="22" t="str">
        <f>VLOOKUP(A219,'Trips&amp;Operators'!$C$1:$G$99999,5,FALSE)</f>
        <v>YANAI IAN</v>
      </c>
      <c r="M219" s="6">
        <f>I219-F219</f>
        <v>0</v>
      </c>
      <c r="N219" s="7">
        <f>24*60*SUM($M219:$M219)</f>
        <v>0</v>
      </c>
      <c r="O219" s="7"/>
      <c r="P219" s="7"/>
      <c r="Q219" s="23"/>
      <c r="R219" s="23"/>
      <c r="S219" s="35">
        <f>SUM(U219:U219)/IF(AG219="EC",12,1)</f>
        <v>1</v>
      </c>
      <c r="T219" s="50" t="str">
        <f>IF(ISEVEN(LEFT(AD219,4)),"Southbound","NorthBound")</f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>"https://search-rtdc-monitor-bjffxe2xuh6vdkpspy63sjmuny.us-east-1.es.amazonaws.com/_plugin/kibana/#/discover/Steve-Slow-Train-Analysis-(2080s-and-2083s)?_g=(refreshInterval:(display:Off,section:0,value:0),time:(from:'"&amp;TEXT(E219-1/24,"yyyy-MM-DD hh:mm:ss")&amp;utc_offset&amp;"00',mode:absolute,to:'"&amp;TEXT(I219+1/24,"yyyy-MM-DD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https://search-rtdc-monitor-bjffxe2xuh6vdkpspy63sjmuny.us-east-1.es.amazonaws.com/_plugin/kibana/#/discover/Steve-Slow-Train-Analysis-(2080s-and-2083s)?_g=(refreshInterval:(display:Off,section:0,value:0),time:(from:'2016-12-06 01:04:58-700',mode:absolute,to:'1969-12-31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9" s="52" t="str">
        <f>IF(AA219&lt;IF(AG219="EC",23,5.65),"Y","N")</f>
        <v>Y</v>
      </c>
      <c r="X219" s="177">
        <f>VALUE(LEFT(AD219,4))-VALUE(LEFT(AD218,4))</f>
        <v>0</v>
      </c>
      <c r="Y219" s="67">
        <f>RIGHT(D219,LEN(D219)-4)/10000</f>
        <v>5.1700000000000003E-2</v>
      </c>
      <c r="Z219" s="67">
        <f>RIGHT(H219,LEN(H219)-4)/10000</f>
        <v>2.3258999999999999</v>
      </c>
      <c r="AA219" s="67">
        <f>ABS(Z219-Y219)</f>
        <v>2.2742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>IF(LEN(A219)=6,"0"&amp;A219,A219)</f>
        <v>0315-05</v>
      </c>
      <c r="AE219" s="91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9" s="88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92" t="str">
        <f t="shared" si="8"/>
        <v>"%USERPROFILE%\Documents\GitHub\eaglep3\Utilities\RefineRTDCRunTimes.py" --tripid 315-05 --locoid 4002 --swversion DE.1.0.8.0 --startMP 204:517 --initTime 2016-12-06T02:04:58 --startdatetime 1969-12-31T17:00:00 --delay 1 --endMP 300:23259 --enddatetime 1969-12-31T17:00:00 --enforcementcount 2 &gt;&gt;C:\Users\stu\Documents\GitHub\eaglep3-reporting\EC\2016-12-05-refined-times.txt</v>
      </c>
      <c r="AI219" s="119" t="str">
        <f t="shared" si="9"/>
        <v>echo {"issue":{"subject":"","project_id":79,"tracker_id":40,"status_id":1,"priority_id":2,"assigned_to_id":23,"start_date":"1969-12-31","description":"","custom_fields":[{"id":1,"name":"Subdivision","value":"Other"},{"id":4,"name":"Milepost","value":"2.3259"},{"id":17,"name":"Train ID","value":"315-05"},{"id":16,"name":"Locomotive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427</v>
      </c>
      <c r="B220" s="7">
        <v>4016</v>
      </c>
      <c r="C220" s="22" t="s">
        <v>208</v>
      </c>
      <c r="D220" s="22" t="s">
        <v>821</v>
      </c>
      <c r="E220" s="13">
        <v>42709.205312500002</v>
      </c>
      <c r="F220" s="13">
        <v>42709.206238425926</v>
      </c>
      <c r="G220" s="7">
        <v>1</v>
      </c>
      <c r="H220" s="22" t="s">
        <v>822</v>
      </c>
      <c r="I220" s="13">
        <v>42709.211574074077</v>
      </c>
      <c r="J220" s="7">
        <v>2</v>
      </c>
      <c r="K220" s="109" t="str">
        <f>IF(ISEVEN(B220),(B220-1)&amp;"/"&amp;B220,B220&amp;"/"&amp;(B220+1))</f>
        <v>4015/4016</v>
      </c>
      <c r="L220" s="22" t="str">
        <f>VLOOKUP(A220,'Trips&amp;Operators'!$C$1:$G$99999,5,FALSE)</f>
        <v>DAVIS WENDY</v>
      </c>
      <c r="M220" s="6">
        <f>I220-F220</f>
        <v>5.3356481512309983E-3</v>
      </c>
      <c r="N220" s="7">
        <f>24*60*SUM($M220:$M220)</f>
        <v>7.6833333377726376</v>
      </c>
      <c r="O220" s="7"/>
      <c r="P220" s="7"/>
      <c r="Q220" s="23"/>
      <c r="R220" s="23"/>
      <c r="S220" s="35">
        <f>SUM(U220:U220)/IF(AG220="EC",12,1)</f>
        <v>0</v>
      </c>
      <c r="T220" s="50" t="str">
        <f>IF(ISEVEN(LEFT(AD220,4)),"Southbound","NorthBound")</f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>"https://search-rtdc-monitor-bjffxe2xuh6vdkpspy63sjmuny.us-east-1.es.amazonaws.com/_plugin/kibana/#/discover/Steve-Slow-Train-Analysis-(2080s-and-2083s)?_g=(refreshInterval:(display:Off,section:0,value:0),time:(from:'"&amp;TEXT(E220-1/24,"yyyy-MM-DD hh:mm:ss")&amp;utc_offset&amp;"00',mode:absolute,to:'"&amp;TEXT(I220+1/24,"yyyy-MM-DD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220&amp;"%22')),sort:!(Time,asc))"</f>
        <v>https://search-rtdc-monitor-bjffxe2xuh6vdkpspy63sjmuny.us-east-1.es.amazonaws.com/_plugin/kibana/#/discover/Steve-Slow-Train-Analysis-(2080s-and-2083s)?_g=(refreshInterval:(display:Off,section:0,value:0),time:(from:'2016-12-05 03:55:39-700',mode:absolute,to:'2016-12-05 06:04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0" s="52" t="str">
        <f>IF(AA220&lt;IF(AG220="EC",23,5.65),"Y","N")</f>
        <v>Y</v>
      </c>
      <c r="X220" s="177">
        <f>VALUE(LEFT(AD220,4))-VALUE(LEFT(AD219,4))</f>
        <v>586</v>
      </c>
      <c r="Y220" s="67">
        <f>RIGHT(D220,LEN(D220)-4)/10000</f>
        <v>3.0897999999999999</v>
      </c>
      <c r="Z220" s="67">
        <f>RIGHT(H220,LEN(H220)-4)/10000</f>
        <v>5.9005000000000001</v>
      </c>
      <c r="AA220" s="67">
        <f>ABS(Z220-Y220)</f>
        <v>2.8107000000000002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>IF(LEN(A220)=6,"0"&amp;A220,A220)</f>
        <v>0901-05</v>
      </c>
      <c r="AE220" s="91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s3://rtdc.mdm.uploadarchive.raw/RTDC4016/ "%USERPROFILE%\AppData\Local\Temp\OnboardLogs"\RTDC4016\2016-12-05 --exclude "*" --recursive --include "*20161205*" &amp; "%USERPROFILE%\Documents\GitHub\mrs-test-scripts\Headless Mode &amp; Sideloading\WalkAndUnGZ.bat" "%USERPROFILE%\AppData\Local\Temp\OnboardLogs"\RTDC4016\2016-12-05 &amp; 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</v>
      </c>
      <c r="AF220" s="88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/stypes="app*4016*20161205*" /stext=" 12:.+((SYSTEM_STATE.+slice.+state.+changed )|(ment ac)|(multiple cpu faults)|(system.+state.+changed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92" t="str">
        <f t="shared" si="8"/>
        <v>"%USERPROFILE%\Documents\GitHub\eaglep3\Utilities\RefineRTDCRunTimes.py" --tripid 901-05 --locoid 4016 --swversion DE.1.0.8.0 --startMP 300:30898 --initTime 2016-12-05T04:55:39 --startdatetime 2016-12-05T04:56:59 --delay 1 --endMP 300:59005 --enddatetime 2016-12-05T05:04:40 --enforcementcount 2 &gt;&gt;C:\Users\stu\Documents\GitHub\eaglep3-reporting\EC\2016-12-05-refined-times.txt</v>
      </c>
      <c r="AI220" s="119" t="str">
        <f t="shared" si="9"/>
        <v>echo {"issue":{"subject":"","project_id":79,"tracker_id":40,"status_id":1,"priority_id":2,"assigned_to_id":23,"start_date":"2016-12-05","description":"","custom_fields":[{"id":1,"name":"Subdivision","value":"Other"},{"id":4,"name":"Milepost","value":"5.9005"},{"id":17,"name":"Train ID","value":"901-05"},{"id":16,"name":"Locomotive ID","value":"4016"},{"id":130,"name":"Impact","value":""},{"id":150,"name":"Time of Event (Mountain Time)","value":"05:04:40"},{"id":151,"name":"Denver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485</v>
      </c>
      <c r="B221" s="7">
        <v>4013</v>
      </c>
      <c r="C221" s="22" t="s">
        <v>208</v>
      </c>
      <c r="D221" s="22" t="s">
        <v>823</v>
      </c>
      <c r="E221" s="13">
        <v>42709.250902777778</v>
      </c>
      <c r="F221" s="13">
        <v>42709.251956018517</v>
      </c>
      <c r="G221" s="7">
        <v>1</v>
      </c>
      <c r="H221" s="22" t="s">
        <v>824</v>
      </c>
      <c r="I221" s="13">
        <v>42709.257488425923</v>
      </c>
      <c r="J221" s="7">
        <v>2</v>
      </c>
      <c r="K221" s="109" t="str">
        <f>IF(ISEVEN(B221),(B221-1)&amp;"/"&amp;B221,B221&amp;"/"&amp;(B221+1))</f>
        <v>4013/4014</v>
      </c>
      <c r="L221" s="22" t="str">
        <f>VLOOKUP(A221,'Trips&amp;Operators'!$C$1:$G$99999,5,FALSE)</f>
        <v>SAFIEF AEIMEN</v>
      </c>
      <c r="M221" s="6">
        <f>I221-F221</f>
        <v>5.5324074055533856E-3</v>
      </c>
      <c r="N221" s="7">
        <f>24*60*SUM($M221:$M221)</f>
        <v>7.9666666639968753</v>
      </c>
      <c r="O221" s="7"/>
      <c r="P221" s="7"/>
      <c r="Q221" s="23"/>
      <c r="R221" s="23"/>
      <c r="S221" s="35">
        <f>SUM(U221:U221)/IF(AG221="EC",12,1)</f>
        <v>1</v>
      </c>
      <c r="T221" s="50" t="str">
        <f>IF(ISEVEN(LEFT(AD221,4)),"Southbound","NorthBound")</f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>"https://search-rtdc-monitor-bjffxe2xuh6vdkpspy63sjmuny.us-east-1.es.amazonaws.com/_plugin/kibana/#/discover/Steve-Slow-Train-Analysis-(2080s-and-2083s)?_g=(refreshInterval:(display:Off,section:0,value:0),time:(from:'"&amp;TEXT(E221-1/24,"yyyy-MM-DD hh:mm:ss")&amp;utc_offset&amp;"00',mode:absolute,to:'"&amp;TEXT(I221+1/24,"yyyy-MM-DD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221&amp;"%22')),sort:!(Time,asc))"</f>
        <v>https://search-rtdc-monitor-bjffxe2xuh6vdkpspy63sjmuny.us-east-1.es.amazonaws.com/_plugin/kibana/#/discover/Steve-Slow-Train-Analysis-(2080s-and-2083s)?_g=(refreshInterval:(display:Off,section:0,value:0),time:(from:'2016-12-05 05:01:18-700',mode:absolute,to:'2016-12-05 07:10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1" s="52" t="str">
        <f>IF(AA221&lt;IF(AG221="EC",23,5.65),"Y","N")</f>
        <v>Y</v>
      </c>
      <c r="X221" s="177">
        <f>VALUE(LEFT(AD221,4))-VALUE(LEFT(AD220,4))</f>
        <v>1</v>
      </c>
      <c r="Y221" s="67">
        <f>RIGHT(D221,LEN(D221)-4)/10000</f>
        <v>2.2161</v>
      </c>
      <c r="Z221" s="67">
        <f>RIGHT(H221,LEN(H221)-4)/10000</f>
        <v>6.6100000000000006E-2</v>
      </c>
      <c r="AA221" s="67">
        <f>ABS(Z221-Y221)</f>
        <v>2.15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>IF(LEN(A221)=6,"0"&amp;A221,A221)</f>
        <v>0902-05</v>
      </c>
      <c r="AE221" s="91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AF221" s="88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/stypes="app*4013*20161205*" /stext=" 13:.+((SYSTEM_STATE.+slice.+state.+changed )|(ment ac)|(multiple cpu faults)|(system.+state.+changed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92" t="str">
        <f t="shared" si="8"/>
        <v>"%USERPROFILE%\Documents\GitHub\eaglep3\Utilities\RefineRTDCRunTimes.py" --tripid 902-05 --locoid 4013 --swversion DE.1.0.8.0 --startMP 300:22161 --initTime 2016-12-05T06:01:18 --startdatetime 2016-12-05T06:02:49 --delay 1 --endMP 204:661 --enddatetime 2016-12-05T06:10:47 --enforcementcount 2 &gt;&gt;C:\Users\stu\Documents\GitHub\eaglep3-reporting\EC\2016-12-05-refined-times.txt</v>
      </c>
      <c r="AI221" s="119" t="str">
        <f t="shared" si="9"/>
        <v>echo {"issue":{"subject":"","project_id":79,"tracker_id":40,"status_id":1,"priority_id":2,"assigned_to_id":23,"start_date":"2016-12-05","description":"","custom_fields":[{"id":1,"name":"Subdivision","value":"Other"},{"id":4,"name":"Milepost","value":"0.0661"},{"id":17,"name":"Train ID","value":"902-05"},{"id":16,"name":"Locomotive ID","value":"4013"},{"id":130,"name":"Impact","value":""},{"id":150,"name":"Time of Event (Mountain Time)","value":"06:10:47"},{"id":151,"name":"Denver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513</v>
      </c>
      <c r="B222" s="7">
        <v>4016</v>
      </c>
      <c r="C222" s="22" t="s">
        <v>208</v>
      </c>
      <c r="D222" s="22" t="s">
        <v>825</v>
      </c>
      <c r="E222" s="13">
        <v>42709.357164351852</v>
      </c>
      <c r="F222" s="13">
        <v>42709.358414351853</v>
      </c>
      <c r="G222" s="7">
        <v>1</v>
      </c>
      <c r="H222" s="22" t="s">
        <v>826</v>
      </c>
      <c r="I222" s="13">
        <v>42709.364236111112</v>
      </c>
      <c r="J222" s="7">
        <v>2</v>
      </c>
      <c r="K222" s="109" t="str">
        <f>IF(ISEVEN(B222),(B222-1)&amp;"/"&amp;B222,B222&amp;"/"&amp;(B222+1))</f>
        <v>4015/4016</v>
      </c>
      <c r="L222" s="22" t="str">
        <f>VLOOKUP(A222,'Trips&amp;Operators'!$C$1:$G$99999,5,FALSE)</f>
        <v>DAVIS WENDY</v>
      </c>
      <c r="M222" s="6">
        <f>I222-F222</f>
        <v>5.8217592595610768E-3</v>
      </c>
      <c r="N222" s="7">
        <f>24*60*SUM($M222:$M222)</f>
        <v>8.3833333337679505</v>
      </c>
      <c r="O222" s="7"/>
      <c r="P222" s="7"/>
      <c r="Q222" s="23"/>
      <c r="R222" s="23"/>
      <c r="S222" s="35">
        <f>SUM(U222:U222)/IF(AG222="EC",12,1)</f>
        <v>1</v>
      </c>
      <c r="T222" s="50" t="str">
        <f>IF(ISEVEN(LEFT(AD222,4)),"Southbound","NorthBound")</f>
        <v>NorthBound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8" t="str">
        <f>"https://search-rtdc-monitor-bjffxe2xuh6vdkpspy63sjmuny.us-east-1.es.amazonaws.com/_plugin/kibana/#/discover/Steve-Slow-Train-Analysis-(2080s-and-2083s)?_g=(refreshInterval:(display:Off,section:0,value:0),time:(from:'"&amp;TEXT(E222-1/24,"yyyy-MM-DD hh:mm:ss")&amp;utc_offset&amp;"00',mode:absolute,to:'"&amp;TEXT(I222+1/24,"yyyy-MM-DD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222&amp;"%22')),sort:!(Time,asc))"</f>
        <v>https://search-rtdc-monitor-bjffxe2xuh6vdkpspy63sjmuny.us-east-1.es.amazonaws.com/_plugin/kibana/#/discover/Steve-Slow-Train-Analysis-(2080s-and-2083s)?_g=(refreshInterval:(display:Off,section:0,value:0),time:(from:'2016-12-05 07:34:19-700',mode:absolute,to:'2016-12-05 09:44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2" s="52" t="str">
        <f>IF(AA222&lt;IF(AG222="EC",23,5.65),"Y","N")</f>
        <v>Y</v>
      </c>
      <c r="X222" s="177">
        <f>VALUE(LEFT(AD222,4))-VALUE(LEFT(AD221,4))</f>
        <v>1</v>
      </c>
      <c r="Y222" s="67">
        <f>RIGHT(D222,LEN(D222)-4)/10000</f>
        <v>9.11E-2</v>
      </c>
      <c r="Z222" s="67">
        <f>RIGHT(H222,LEN(H222)-4)/10000</f>
        <v>2.5461</v>
      </c>
      <c r="AA222" s="67">
        <f>ABS(Z222-Y222)</f>
        <v>2.4550000000000001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>IF(LEN(A222)=6,"0"&amp;A222,A222)</f>
        <v>0903-05</v>
      </c>
      <c r="AE222" s="91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s3://rtdc.mdm.uploadarchive.raw/RTDC4016/ "%USERPROFILE%\AppData\Local\Temp\OnboardLogs"\RTDC4016\2016-12-05 --exclude "*" --recursive --include "*20161205*" &amp; "%USERPROFILE%\Documents\GitHub\mrs-test-scripts\Headless Mode &amp; Sideloading\WalkAndUnGZ.bat" "%USERPROFILE%\AppData\Local\Temp\OnboardLogs"\RTDC4016\2016-12-05 &amp; 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</v>
      </c>
      <c r="AF222" s="88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/stypes="app*4016*20161205*" /stext=" 15:.+((SYSTEM_STATE.+slice.+state.+changed )|(ment ac)|(multiple cpu faults)|(system.+state.+changed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92" t="str">
        <f t="shared" si="8"/>
        <v>"%USERPROFILE%\Documents\GitHub\eaglep3\Utilities\RefineRTDCRunTimes.py" --tripid 903-05 --locoid 4016 --swversion DE.1.0.8.0 --startMP 204:911 --initTime 2016-12-05T08:34:19 --startdatetime 2016-12-05T08:36:07 --delay 1 --endMP 300:25461 --enddatetime 2016-12-05T08:44:30 --enforcementcount 2 &gt;&gt;C:\Users\stu\Documents\GitHub\eaglep3-reporting\EC\2016-12-05-refined-times.txt</v>
      </c>
      <c r="AI222" s="119" t="str">
        <f t="shared" si="9"/>
        <v>echo {"issue":{"subject":"","project_id":79,"tracker_id":40,"status_id":1,"priority_id":2,"assigned_to_id":23,"start_date":"2016-12-05","description":"","custom_fields":[{"id":1,"name":"Subdivision","value":"Other"},{"id":4,"name":"Milepost","value":"2.5461"},{"id":17,"name":"Train ID","value":"903-05"},{"id":16,"name":"Locomotive ID","value":"4016"},{"id":130,"name":"Impact","value":""},{"id":150,"name":"Time of Event (Mountain Time)","value":"08:44:30"},{"id":151,"name":"Denver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451</v>
      </c>
      <c r="B223" s="7">
        <v>4015</v>
      </c>
      <c r="C223" s="22" t="s">
        <v>208</v>
      </c>
      <c r="D223" s="22" t="s">
        <v>827</v>
      </c>
      <c r="E223" s="13">
        <v>42709.635810185187</v>
      </c>
      <c r="F223" s="13">
        <v>42709.63962962963</v>
      </c>
      <c r="G223" s="7">
        <v>5</v>
      </c>
      <c r="H223" s="22" t="s">
        <v>828</v>
      </c>
      <c r="I223" s="13">
        <v>42709.645451388889</v>
      </c>
      <c r="J223" s="7">
        <v>2</v>
      </c>
      <c r="K223" s="109" t="str">
        <f>IF(ISEVEN(B223),(B223-1)&amp;"/"&amp;B223,B223&amp;"/"&amp;(B223+1))</f>
        <v>4015/4016</v>
      </c>
      <c r="L223" s="22" t="str">
        <f>VLOOKUP(A223,'Trips&amp;Operators'!$C$1:$G$99999,5,FALSE)</f>
        <v>COOLAHAN JOHN</v>
      </c>
      <c r="M223" s="6">
        <f>I223-F223</f>
        <v>5.8217592595610768E-3</v>
      </c>
      <c r="N223" s="7">
        <f>24*60*SUM($M223:$M223)</f>
        <v>8.3833333337679505</v>
      </c>
      <c r="O223" s="7"/>
      <c r="P223" s="7"/>
      <c r="Q223" s="23"/>
      <c r="R223" s="23"/>
      <c r="S223" s="35">
        <f>SUM(U223:U223)/IF(AG223="EC",12,1)</f>
        <v>1</v>
      </c>
      <c r="T223" s="50" t="str">
        <f>IF(ISEVEN(LEFT(AD223,4)),"Southbound","NorthBound")</f>
        <v>Southbound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98" t="str">
        <f>"https://search-rtdc-monitor-bjffxe2xuh6vdkpspy63sjmuny.us-east-1.es.amazonaws.com/_plugin/kibana/#/discover/Steve-Slow-Train-Analysis-(2080s-and-2083s)?_g=(refreshInterval:(display:Off,section:0,value:0),time:(from:'"&amp;TEXT(E223-1/24,"yyyy-MM-DD hh:mm:ss")&amp;utc_offset&amp;"00',mode:absolute,to:'"&amp;TEXT(I223+1/24,"yyyy-MM-DD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223&amp;"%22')),sort:!(Time,asc))"</f>
        <v>https://search-rtdc-monitor-bjffxe2xuh6vdkpspy63sjmuny.us-east-1.es.amazonaws.com/_plugin/kibana/#/discover/Steve-Slow-Train-Analysis-(2080s-and-2083s)?_g=(refreshInterval:(display:Off,section:0,value:0),time:(from:'2016-12-05 14:15:34-700',mode:absolute,to:'2016-12-05 16:29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3" s="52" t="str">
        <f>IF(AA223&lt;IF(AG223="EC",23,5.65),"Y","N")</f>
        <v>Y</v>
      </c>
      <c r="X223" s="177">
        <f>VALUE(LEFT(AD223,4))-VALUE(LEFT(AD222,4))</f>
        <v>1</v>
      </c>
      <c r="Y223" s="67">
        <f>RIGHT(D223,LEN(D223)-4)/10000</f>
        <v>2.2601</v>
      </c>
      <c r="Z223" s="67">
        <f>RIGHT(H223,LEN(H223)-4)/10000</f>
        <v>6.1400000000000003E-2</v>
      </c>
      <c r="AA223" s="67">
        <f>ABS(Z223-Y223)</f>
        <v>2.1987000000000001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>IF(LEN(A223)=6,"0"&amp;A223,A223)</f>
        <v>0904-05</v>
      </c>
      <c r="AE223" s="91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s3://rtdc.mdm.uploadarchive.raw/RTDC4015/ "%USERPROFILE%\AppData\Local\Temp\OnboardLogs"\RTDC4015\2016-12-05 --exclude "*" --recursive --include "*20161205*" &amp; "%USERPROFILE%\Documents\GitHub\mrs-test-scripts\Headless Mode &amp; Sideloading\WalkAndUnGZ.bat" "%USERPROFILE%\AppData\Local\Temp\OnboardLogs"\RTDC4015\2016-12-05 &amp; 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</v>
      </c>
      <c r="AF223" s="88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/stypes="app*4015*20161205*" /stext=" 22:.+((SYSTEM_STATE.+slice.+state.+changed )|(ment ac)|(multiple cpu faults)|(system.+state.+changed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92" t="str">
        <f t="shared" si="8"/>
        <v>"%USERPROFILE%\Documents\GitHub\eaglep3\Utilities\RefineRTDCRunTimes.py" --tripid 904-05 --locoid 4015 --swversion DE.1.0.8.0 --startMP 300:22601 --initTime 2016-12-05T15:15:34 --startdatetime 2016-12-05T15:21:04 --delay 5 --endMP 204:614 --enddatetime 2016-12-05T15:29:27 --enforcementcount 2 &gt;&gt;C:\Users\stu\Documents\GitHub\eaglep3-reporting\EC\2016-12-05-refined-times.txt</v>
      </c>
      <c r="AI223" s="119" t="str">
        <f t="shared" si="9"/>
        <v>echo {"issue":{"subject":"","project_id":79,"tracker_id":40,"status_id":1,"priority_id":2,"assigned_to_id":23,"start_date":"2016-12-05","description":"","custom_fields":[{"id":1,"name":"Subdivision","value":"Other"},{"id":4,"name":"Milepost","value":"0.0614"},{"id":17,"name":"Train ID","value":"904-05"},{"id":16,"name":"Locomotive ID","value":"4015"},{"id":130,"name":"Impact","value":""},{"id":150,"name":"Time of Event (Mountain Time)","value":"15:29:27"},{"id":151,"name":"Denver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451</v>
      </c>
      <c r="B224" s="7">
        <v>4015</v>
      </c>
      <c r="C224" s="22" t="s">
        <v>208</v>
      </c>
      <c r="D224" s="22" t="s">
        <v>829</v>
      </c>
      <c r="E224" s="13">
        <v>42709.635810185187</v>
      </c>
      <c r="F224" s="13">
        <v>42709.63962962963</v>
      </c>
      <c r="G224" s="7">
        <v>4</v>
      </c>
      <c r="H224" s="22" t="s">
        <v>828</v>
      </c>
      <c r="I224" s="13">
        <v>42709.645451388889</v>
      </c>
      <c r="J224" s="7">
        <v>2</v>
      </c>
      <c r="K224" s="109" t="str">
        <f>IF(ISEVEN(B224),(B224-1)&amp;"/"&amp;B224,B224&amp;"/"&amp;(B224+1))</f>
        <v>4015/4016</v>
      </c>
      <c r="L224" s="22" t="str">
        <f>VLOOKUP(A224,'Trips&amp;Operators'!$C$1:$G$99999,5,FALSE)</f>
        <v>COOLAHAN JOHN</v>
      </c>
      <c r="M224" s="6">
        <f>I224-F224</f>
        <v>5.8217592595610768E-3</v>
      </c>
      <c r="N224" s="7">
        <f>24*60*SUM($M224:$M224)</f>
        <v>8.3833333337679505</v>
      </c>
      <c r="O224" s="7"/>
      <c r="P224" s="7"/>
      <c r="Q224" s="23"/>
      <c r="R224" s="23"/>
      <c r="S224" s="35">
        <f>SUM(U224:U224)/IF(AG224="EC",12,1)</f>
        <v>1</v>
      </c>
      <c r="T224" s="50" t="str">
        <f>IF(ISEVEN(LEFT(AD224,4)),"Southbound","NorthBound")</f>
        <v>Southbound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98" t="str">
        <f>"https://search-rtdc-monitor-bjffxe2xuh6vdkpspy63sjmuny.us-east-1.es.amazonaws.com/_plugin/kibana/#/discover/Steve-Slow-Train-Analysis-(2080s-and-2083s)?_g=(refreshInterval:(display:Off,section:0,value:0),time:(from:'"&amp;TEXT(E224-1/24,"yyyy-MM-DD hh:mm:ss")&amp;utc_offset&amp;"00',mode:absolute,to:'"&amp;TEXT(I224+1/24,"yyyy-MM-DD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224&amp;"%22')),sort:!(Time,asc))"</f>
        <v>https://search-rtdc-monitor-bjffxe2xuh6vdkpspy63sjmuny.us-east-1.es.amazonaws.com/_plugin/kibana/#/discover/Steve-Slow-Train-Analysis-(2080s-and-2083s)?_g=(refreshInterval:(display:Off,section:0,value:0),time:(from:'2016-12-05 14:15:34-700',mode:absolute,to:'2016-12-05 16:29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4" s="52" t="str">
        <f>IF(AA224&lt;IF(AG224="EC",23,5.65),"Y","N")</f>
        <v>Y</v>
      </c>
      <c r="X224" s="177">
        <f>VALUE(LEFT(AD224,4))-VALUE(LEFT(AD223,4))</f>
        <v>0</v>
      </c>
      <c r="Y224" s="67">
        <f>RIGHT(D224,LEN(D224)-4)/10000</f>
        <v>2.3389000000000002</v>
      </c>
      <c r="Z224" s="67">
        <f>RIGHT(H224,LEN(H224)-4)/10000</f>
        <v>6.1400000000000003E-2</v>
      </c>
      <c r="AA224" s="67">
        <f>ABS(Z224-Y224)</f>
        <v>2.2775000000000003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>IF(LEN(A224)=6,"0"&amp;A224,A224)</f>
        <v>0904-05</v>
      </c>
      <c r="AE224" s="91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s3://rtdc.mdm.uploadarchive.raw/RTDC4015/ "%USERPROFILE%\AppData\Local\Temp\OnboardLogs"\RTDC4015\2016-12-05 --exclude "*" --recursive --include "*20161205*" &amp; "%USERPROFILE%\Documents\GitHub\mrs-test-scripts\Headless Mode &amp; Sideloading\WalkAndUnGZ.bat" "%USERPROFILE%\AppData\Local\Temp\OnboardLogs"\RTDC4015\2016-12-05 &amp; 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</v>
      </c>
      <c r="AF224" s="88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/stypes="app*4015*20161205*" /stext=" 22:.+((SYSTEM_STATE.+slice.+state.+changed )|(ment ac)|(multiple cpu faults)|(system.+state.+changed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92" t="str">
        <f t="shared" si="8"/>
        <v>"%USERPROFILE%\Documents\GitHub\eaglep3\Utilities\RefineRTDCRunTimes.py" --tripid 904-05 --locoid 4015 --swversion DE.1.0.8.0 --startMP 300:23389 --initTime 2016-12-05T15:15:34 --startdatetime 2016-12-05T15:21:04 --delay 4 --endMP 204:614 --enddatetime 2016-12-05T15:29:27 --enforcementcount 2 &gt;&gt;C:\Users\stu\Documents\GitHub\eaglep3-reporting\EC\2016-12-05-refined-times.txt</v>
      </c>
      <c r="AI224" s="119" t="str">
        <f t="shared" si="9"/>
        <v>echo {"issue":{"subject":"","project_id":79,"tracker_id":40,"status_id":1,"priority_id":2,"assigned_to_id":23,"start_date":"2016-12-05","description":"","custom_fields":[{"id":1,"name":"Subdivision","value":"Other"},{"id":4,"name":"Milepost","value":"0.0614"},{"id":17,"name":"Train ID","value":"904-05"},{"id":16,"name":"Locomotive ID","value":"4015"},{"id":130,"name":"Impact","value":""},{"id":150,"name":"Time of Event (Mountain Time)","value":"15:29:27"},{"id":151,"name":"Denver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656</v>
      </c>
      <c r="B225" s="7">
        <v>4013</v>
      </c>
      <c r="C225" s="22" t="s">
        <v>208</v>
      </c>
      <c r="D225" s="22" t="s">
        <v>830</v>
      </c>
      <c r="E225" s="13">
        <v>42709.941469907404</v>
      </c>
      <c r="F225" s="13">
        <v>42709.943506944444</v>
      </c>
      <c r="G225" s="7">
        <v>1</v>
      </c>
      <c r="H225" s="22" t="s">
        <v>831</v>
      </c>
      <c r="I225" s="13">
        <v>42709.948472222219</v>
      </c>
      <c r="J225" s="7">
        <v>2</v>
      </c>
      <c r="K225" s="109" t="str">
        <f>IF(ISEVEN(B225),(B225-1)&amp;"/"&amp;B225,B225&amp;"/"&amp;(B225+1))</f>
        <v>4013/4014</v>
      </c>
      <c r="L225" s="22" t="str">
        <f>VLOOKUP(A225,'Trips&amp;Operators'!$C$1:$G$99999,5,FALSE)</f>
        <v>COOLAHAN JOHN</v>
      </c>
      <c r="M225" s="6">
        <f>I225-F225</f>
        <v>4.9652777743176557E-3</v>
      </c>
      <c r="N225" s="7">
        <f>24*60*SUM($M225:$M225)</f>
        <v>7.1499999950174242</v>
      </c>
      <c r="O225" s="7"/>
      <c r="P225" s="7"/>
      <c r="Q225" s="23"/>
      <c r="R225" s="23"/>
      <c r="S225" s="35">
        <f>SUM(U225:U225)/IF(AG225="EC",12,1)</f>
        <v>0</v>
      </c>
      <c r="T225" s="50" t="str">
        <f>IF(ISEVEN(LEFT(AD225,4)),"Southbound","NorthBound")</f>
        <v>Southbound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>"https://search-rtdc-monitor-bjffxe2xuh6vdkpspy63sjmuny.us-east-1.es.amazonaws.com/_plugin/kibana/#/discover/Steve-Slow-Train-Analysis-(2080s-and-2083s)?_g=(refreshInterval:(display:Off,section:0,value:0),time:(from:'"&amp;TEXT(E225-1/24,"yyyy-MM-DD hh:mm:ss")&amp;utc_offset&amp;"00',mode:absolute,to:'"&amp;TEXT(I225+1/24,"yyyy-MM-DD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225&amp;"%22')),sort:!(Time,asc))"</f>
        <v>https://search-rtdc-monitor-bjffxe2xuh6vdkpspy63sjmuny.us-east-1.es.amazonaws.com/_plugin/kibana/#/discover/Steve-Slow-Train-Analysis-(2080s-and-2083s)?_g=(refreshInterval:(display:Off,section:0,value:0),time:(from:'2016-12-05 21:35:43-700',mode:absolute,to:'2016-12-05 23:45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5" s="52" t="str">
        <f>IF(AA225&lt;IF(AG225="EC",23,5.65),"Y","N")</f>
        <v>Y</v>
      </c>
      <c r="X225" s="177">
        <f>VALUE(LEFT(AD225,4))-VALUE(LEFT(AD224,4))</f>
        <v>4</v>
      </c>
      <c r="Y225" s="67">
        <f>RIGHT(D225,LEN(D225)-4)/10000</f>
        <v>5.8640999999999996</v>
      </c>
      <c r="Z225" s="67">
        <f>RIGHT(H225,LEN(H225)-4)/10000</f>
        <v>2.1714000000000002</v>
      </c>
      <c r="AA225" s="67">
        <f>ABS(Z225-Y225)</f>
        <v>3.6926999999999994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>IF(LEN(A225)=6,"0"&amp;A225,A225)</f>
        <v>0908-05</v>
      </c>
      <c r="AE225" s="91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AF225" s="88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/stypes="app*4013*20161206*" /stext=" 05:.+((SYSTEM_STATE.+slice.+state.+changed )|(ment ac)|(multiple cpu faults)|(system.+state.+changed )|(\[timeout)|(PRM\|1\|D)|(kpr)|(kdp)|(\|lc)|(penalty))" /e /r /s</v>
      </c>
      <c r="AG225" s="1" t="str">
        <f>IFERROR(IF(VALUE(LEFT(AD225,2))&lt;=2,"EC",IF(OR(VALUE(LEFT(AD225,2))=8,VALUE(LEFT(AD225,2))=18),"NW","Other")),"Other")</f>
        <v>Other</v>
      </c>
      <c r="AH225" s="92" t="str">
        <f t="shared" si="8"/>
        <v>"%USERPROFILE%\Documents\GitHub\eaglep3\Utilities\RefineRTDCRunTimes.py" --tripid 908-05 --locoid 4013 --swversion DE.1.0.8.0 --startMP 300:58641 --initTime 2016-12-05T22:35:43 --startdatetime 2016-12-05T22:38:39 --delay 1 --endMP 300:21714 --enddatetime 2016-12-05T22:45:48 --enforcementcount 2 &gt;&gt;C:\Users\stu\Documents\GitHub\eaglep3-reporting\EC\2016-12-05-refined-times.txt</v>
      </c>
      <c r="AI225" s="119" t="str">
        <f t="shared" si="9"/>
        <v>echo {"issue":{"subject":"","project_id":79,"tracker_id":40,"status_id":1,"priority_id":2,"assigned_to_id":23,"start_date":"2016-12-05","description":"","custom_fields":[{"id":1,"name":"Subdivision","value":"Other"},{"id":4,"name":"Milepost","value":"2.1714"},{"id":17,"name":"Train ID","value":"908-05"},{"id":16,"name":"Locomotive ID","value":"4013"},{"id":130,"name":"Impact","value":""},{"id":150,"name":"Time of Event (Mountain Time)","value":"22:45:48"},{"id":151,"name":"Denver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532</v>
      </c>
      <c r="B226" s="7">
        <v>4054</v>
      </c>
      <c r="C226" s="22" t="s">
        <v>208</v>
      </c>
      <c r="D226" s="22" t="s">
        <v>754</v>
      </c>
      <c r="E226" s="13">
        <v>42709.436400462961</v>
      </c>
      <c r="F226" s="13">
        <v>42709.43822916667</v>
      </c>
      <c r="G226" s="7">
        <v>2</v>
      </c>
      <c r="H226" s="22" t="s">
        <v>755</v>
      </c>
      <c r="I226" s="13">
        <v>42709.444166666668</v>
      </c>
      <c r="J226" s="7">
        <v>2</v>
      </c>
      <c r="K226" s="109" t="str">
        <f>IF(ISEVEN(B226),(B226-1)&amp;"/"&amp;B226,B226&amp;"/"&amp;(B226+1))</f>
        <v>4053/4054</v>
      </c>
      <c r="L226" s="22" t="str">
        <f>VLOOKUP(A226,'Trips&amp;Operators'!$C$1:$G$99999,5,FALSE)</f>
        <v>STEWART MICHAEL</v>
      </c>
      <c r="M226" s="6">
        <f>I226-F226</f>
        <v>5.9374999982537702E-3</v>
      </c>
      <c r="N226" s="7">
        <f>24*60*SUM($M226:$M226)</f>
        <v>8.549999997485429</v>
      </c>
      <c r="O226" s="7"/>
      <c r="P226" s="7"/>
      <c r="Q226" s="23"/>
      <c r="R226" s="23"/>
      <c r="S226" s="35">
        <f>SUM(U226:U226)/IF(AG226="EC",12,1)</f>
        <v>0</v>
      </c>
      <c r="T226" s="50" t="e">
        <f>IF(ISEVEN(LEFT(AD226,4)),"Southbound","NorthBound")</f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>"https://search-rtdc-monitor-bjffxe2xuh6vdkpspy63sjmuny.us-east-1.es.amazonaws.com/_plugin/kibana/#/discover/Steve-Slow-Train-Analysis-(2080s-and-2083s)?_g=(refreshInterval:(display:Off,section:0,value:0),time:(from:'"&amp;TEXT(E226-1/24,"yyyy-MM-DD hh:mm:ss")&amp;utc_offset&amp;"00',mode:absolute,to:'"&amp;TEXT(I226+1/24,"yyyy-MM-DD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226&amp;"%22')),sort:!(Time,asc))"</f>
        <v>https://search-rtdc-monitor-bjffxe2xuh6vdkpspy63sjmuny.us-east-1.es.amazonaws.com/_plugin/kibana/#/discover/Steve-Slow-Train-Analysis-(2080s-and-2083s)?_g=(refreshInterval:(display:Off,section:0,value:0),time:(from:'2016-12-05 09:28:25-700',mode:absolute,to:'2016-12-05 11:39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6" s="52" t="str">
        <f>IF(AA226&lt;IF(AG226="EC",23,5.65),"Y","N")</f>
        <v>Y</v>
      </c>
      <c r="X226" s="177" t="e">
        <f>VALUE(LEFT(AD226,4))-VALUE(LEFT(AD225,4))</f>
        <v>#VALUE!</v>
      </c>
      <c r="Y226" s="67">
        <f>RIGHT(D226,LEN(D226)-4)/10000</f>
        <v>2.2115</v>
      </c>
      <c r="Z226" s="67">
        <f>RIGHT(H226,LEN(H226)-4)/10000</f>
        <v>1.4800000000000001E-2</v>
      </c>
      <c r="AA226" s="67">
        <f>ABS(Z226-Y226)</f>
        <v>2.1966999999999999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>IF(LEN(A226)=6,"0"&amp;A226,A226)</f>
        <v>50-05</v>
      </c>
      <c r="AE226" s="91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s3://rtdc.mdm.uploadarchive.raw/RTDC4054/ "%USERPROFILE%\AppData\Local\Temp\OnboardLogs"\RTDC4054\2016-12-05 --exclude "*" --recursive --include "*20161205*" &amp; "%USERPROFILE%\Documents\GitHub\mrs-test-scripts\Headless Mode &amp; Sideloading\WalkAndUnGZ.bat" "%USERPROFILE%\AppData\Local\Temp\OnboardLogs"\RTDC4054\2016-12-05 &amp; aws s3 cp s3://rtdc.mdm.uploadarchive.raw/RTDC4054/ "%USERPROFILE%\AppData\Local\Temp\OnboardLogs"\RTDC4054\2016-12-06 --exclude "*" --recursive --include "*20161206*" &amp; "%USERPROFILE%\Documents\GitHub\mrs-test-scripts\Headless Mode &amp; Sideloading\WalkAndUnGZ.bat" "%USERPROFILE%\AppData\Local\Temp\OnboardLogs"\RTDC4054\2016-12-06</v>
      </c>
      <c r="AF226" s="88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/stypes="app*4054*20161205*" /stext=" 17:.+((SYSTEM_STATE.+slice.+state.+changed )|(ment ac)|(multiple cpu faults)|(system.+state.+changed )|(\[timeout)|(PRM\|1\|D)|(kpr)|(kdp)|(\|lc)|(penalty))" /e /r /s</v>
      </c>
      <c r="AG226" s="1" t="str">
        <f>IFERROR(IF(VALUE(LEFT(AD226,2))&lt;=2,"EC",IF(OR(VALUE(LEFT(AD226,2))=8,VALUE(LEFT(AD226,2))=18),"NW","Other")),"Other")</f>
        <v>Other</v>
      </c>
      <c r="AH226" s="92" t="str">
        <f t="shared" si="8"/>
        <v>"%USERPROFILE%\Documents\GitHub\eaglep3\Utilities\RefineRTDCRunTimes.py" --tripid 50-05 --locoid 4054 --swversion DE.1.0.8.0 --startMP 300:22115 --initTime 2016-12-05T10:28:25 --startdatetime 2016-12-05T10:31:03 --delay 2 --endMP 204:148 --enddatetime 2016-12-05T10:39:36 --enforcementcount 2 &gt;&gt;C:\Users\stu\Documents\GitHub\eaglep3-reporting\EC\2016-12-05-refined-times.txt</v>
      </c>
      <c r="AI226" s="119" t="str">
        <f t="shared" si="9"/>
        <v>echo {"issue":{"subject":"","project_id":79,"tracker_id":40,"status_id":1,"priority_id":2,"assigned_to_id":23,"start_date":"2016-12-05","description":"","custom_fields":[{"id":1,"name":"Subdivision","value":"Other"},{"id":4,"name":"Milepost","value":"0.0148"},{"id":17,"name":"Train ID","value":"50-05"},{"id":16,"name":"Locomotive ID","value":"4054"},{"id":130,"name":"Impact","value":""},{"id":150,"name":"Time of Event (Mountain Time)","value":"10:39:36"},{"id":151,"name":"Denver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538</v>
      </c>
      <c r="B227" s="7">
        <v>4008</v>
      </c>
      <c r="C227" s="22" t="s">
        <v>208</v>
      </c>
      <c r="D227" s="22" t="s">
        <v>756</v>
      </c>
      <c r="E227" s="13">
        <v>42709.4533912037</v>
      </c>
      <c r="F227" s="13">
        <v>42709.454641203702</v>
      </c>
      <c r="G227" s="7">
        <v>1</v>
      </c>
      <c r="H227" s="22" t="s">
        <v>757</v>
      </c>
      <c r="I227" s="13">
        <v>42709.460636574076</v>
      </c>
      <c r="J227" s="7">
        <v>2</v>
      </c>
      <c r="K227" s="109" t="str">
        <f>IF(ISEVEN(B227),(B227-1)&amp;"/"&amp;B227,B227&amp;"/"&amp;(B227+1))</f>
        <v>4007/4008</v>
      </c>
      <c r="L227" s="22" t="str">
        <f>VLOOKUP(A227,'Trips&amp;Operators'!$C$1:$G$99999,5,FALSE)</f>
        <v>CRAYTON QUNTRELL</v>
      </c>
      <c r="M227" s="6">
        <f>I227-F227</f>
        <v>5.9953703748760745E-3</v>
      </c>
      <c r="N227" s="7">
        <f>24*60*SUM($M227:$M227)</f>
        <v>8.6333333398215473</v>
      </c>
      <c r="O227" s="7"/>
      <c r="P227" s="7"/>
      <c r="Q227" s="23"/>
      <c r="R227" s="23"/>
      <c r="S227" s="35">
        <f>SUM(U227:U227)/IF(AG227="EC",12,1)</f>
        <v>0</v>
      </c>
      <c r="T227" s="50" t="e">
        <f>IF(ISEVEN(LEFT(AD227,4)),"Southbound","NorthBound")</f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>"https://search-rtdc-monitor-bjffxe2xuh6vdkpspy63sjmuny.us-east-1.es.amazonaws.com/_plugin/kibana/#/discover/Steve-Slow-Train-Analysis-(2080s-and-2083s)?_g=(refreshInterval:(display:Off,section:0,value:0),time:(from:'"&amp;TEXT(E227-1/24,"yyyy-MM-DD hh:mm:ss")&amp;utc_offset&amp;"00',mode:absolute,to:'"&amp;TEXT(I227+1/24,"yyyy-MM-DD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227&amp;"%22')),sort:!(Time,asc))"</f>
        <v>https://search-rtdc-monitor-bjffxe2xuh6vdkpspy63sjmuny.us-east-1.es.amazonaws.com/_plugin/kibana/#/discover/Steve-Slow-Train-Analysis-(2080s-and-2083s)?_g=(refreshInterval:(display:Off,section:0,value:0),time:(from:'2016-12-05 09:52:53-700',mode:absolute,to:'2016-12-05 12:03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7" s="52" t="str">
        <f>IF(AA227&lt;IF(AG227="EC",23,5.65),"Y","N")</f>
        <v>Y</v>
      </c>
      <c r="X227" s="177" t="e">
        <f>VALUE(LEFT(AD227,4))-VALUE(LEFT(AD226,4))</f>
        <v>#VALUE!</v>
      </c>
      <c r="Y227" s="67">
        <f>RIGHT(D227,LEN(D227)-4)/10000</f>
        <v>2.3184</v>
      </c>
      <c r="Z227" s="67">
        <f>RIGHT(H227,LEN(H227)-4)/10000</f>
        <v>8.9300000000000004E-2</v>
      </c>
      <c r="AA227" s="67">
        <f>ABS(Z227-Y227)</f>
        <v>2.2290999999999999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>IF(LEN(A227)=6,"0"&amp;A227,A227)</f>
        <v>52-05</v>
      </c>
      <c r="AE227" s="91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s3://rtdc.mdm.uploadarchive.raw/RTDC4008/ "%USERPROFILE%\AppData\Local\Temp\OnboardLogs"\RTDC4008\2016-12-05 --exclude "*" --recursive --include "*20161205*" &amp; "%USERPROFILE%\Documents\GitHub\mrs-test-scripts\Headless Mode &amp; Sideloading\WalkAndUnGZ.bat" "%USERPROFILE%\AppData\Local\Temp\OnboardLogs"\RTDC4008\2016-12-05 &amp; aws s3 cp s3://rtdc.mdm.uploadarchive.raw/RTDC4008/ "%USERPROFILE%\AppData\Local\Temp\OnboardLogs"\RTDC4008\2016-12-06 --exclude "*" --recursive --include "*20161206*" &amp; "%USERPROFILE%\Documents\GitHub\mrs-test-scripts\Headless Mode &amp; Sideloading\WalkAndUnGZ.bat" "%USERPROFILE%\AppData\Local\Temp\OnboardLogs"\RTDC4008\2016-12-06</v>
      </c>
      <c r="AF227" s="88" t="str">
        <f>astrogrep_path&amp;" /spath="&amp;search_path&amp;" /stypes=""app*"&amp;B227&amp;"*"&amp;TEXT(I227-utc_offset/24,"YYYYMMDD")&amp;"*"" /stext="" "&amp;TEXT(I227-utc_offset/24,"HH")&amp;search_regexp&amp;""" /e /r /s"</f>
        <v>"C:\Program Files (x86)\AstroGrep\AstroGrep.exe" /spath="%USERPROFILE%\AppData\Local\Temp\OnboardLogs" /stypes="app*4008*20161205*" /stext=" 18:.+((SYSTEM_STATE.+slice.+state.+changed )|(ment ac)|(multiple cpu faults)|(system.+state.+changed )|(\[timeout)|(PRM\|1\|D)|(kpr)|(kdp)|(\|lc)|(penalty))" /e /r /s</v>
      </c>
      <c r="AG227" s="1" t="str">
        <f>IFERROR(IF(VALUE(LEFT(AD227,2))&lt;=2,"EC",IF(OR(VALUE(LEFT(AD227,2))=8,VALUE(LEFT(AD227,2))=18),"NW","Other")),"Other")</f>
        <v>Other</v>
      </c>
      <c r="AH227" s="92" t="str">
        <f t="shared" si="8"/>
        <v>"%USERPROFILE%\Documents\GitHub\eaglep3\Utilities\RefineRTDCRunTimes.py" --tripid 52-05 --locoid 4008 --swversion DE.1.0.8.0 --startMP 300:23184 --initTime 2016-12-05T10:52:53 --startdatetime 2016-12-05T10:54:41 --delay 1 --endMP 204:893 --enddatetime 2016-12-05T11:03:19 --enforcementcount 2 &gt;&gt;C:\Users\stu\Documents\GitHub\eaglep3-reporting\EC\2016-12-05-refined-times.txt</v>
      </c>
      <c r="AI227" s="119" t="str">
        <f t="shared" si="9"/>
        <v>echo {"issue":{"subject":"","project_id":79,"tracker_id":40,"status_id":1,"priority_id":2,"assigned_to_id":23,"start_date":"2016-12-05","description":"","custom_fields":[{"id":1,"name":"Subdivision","value":"Other"},{"id":4,"name":"Milepost","value":"0.0893"},{"id":17,"name":"Train ID","value":"52-05"},{"id":16,"name":"Locomotive ID","value":"4008"},{"id":130,"name":"Impact","value":""},{"id":150,"name":"Time of Event (Mountain Time)","value":"11:03:19"},{"id":151,"name":"Denver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544</v>
      </c>
      <c r="B228" s="7">
        <v>4053</v>
      </c>
      <c r="C228" s="22" t="s">
        <v>208</v>
      </c>
      <c r="D228" s="22" t="s">
        <v>736</v>
      </c>
      <c r="E228" s="13">
        <v>42709.470266203702</v>
      </c>
      <c r="F228" s="13">
        <v>25568.708333333332</v>
      </c>
      <c r="G228" s="7">
        <v>1</v>
      </c>
      <c r="H228" s="22" t="s">
        <v>758</v>
      </c>
      <c r="I228" s="13">
        <v>25568.708333333332</v>
      </c>
      <c r="J228" s="7">
        <v>2</v>
      </c>
      <c r="K228" s="109" t="str">
        <f>IF(ISEVEN(B228),(B228-1)&amp;"/"&amp;B228,B228&amp;"/"&amp;(B228+1))</f>
        <v>4053/4054</v>
      </c>
      <c r="L228" s="22" t="str">
        <f>VLOOKUP(A228,'Trips&amp;Operators'!$C$1:$G$99999,5,FALSE)</f>
        <v>GRASTON MATHEU</v>
      </c>
      <c r="M228" s="6">
        <f>I228-F228</f>
        <v>0</v>
      </c>
      <c r="N228" s="7">
        <f>24*60*SUM($M228:$M228)</f>
        <v>0</v>
      </c>
      <c r="O228" s="7"/>
      <c r="P228" s="7"/>
      <c r="Q228" s="23"/>
      <c r="R228" s="23"/>
      <c r="S228" s="35">
        <f>SUM(U228:U228)/IF(AG228="EC",12,1)</f>
        <v>0</v>
      </c>
      <c r="T228" s="50" t="e">
        <f>IF(ISEVEN(LEFT(AD228,4)),"Southbound","NorthBound")</f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>"https://search-rtdc-monitor-bjffxe2xuh6vdkpspy63sjmuny.us-east-1.es.amazonaws.com/_plugin/kibana/#/discover/Steve-Slow-Train-Analysis-(2080s-and-2083s)?_g=(refreshInterval:(display:Off,section:0,value:0),time:(from:'"&amp;TEXT(E228-1/24,"yyyy-MM-DD hh:mm:ss")&amp;utc_offset&amp;"00',mode:absolute,to:'"&amp;TEXT(I228+1/24,"yyyy-MM-DD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228&amp;"%22')),sort:!(Time,asc))"</f>
        <v>https://search-rtdc-monitor-bjffxe2xuh6vdkpspy63sjmuny.us-east-1.es.amazonaws.com/_plugin/kibana/#/discover/Steve-Slow-Train-Analysis-(2080s-and-2083s)?_g=(refreshInterval:(display:Off,section:0,value:0),time:(from:'2016-12-05 10:17:11-700',mode:absolute,to:'1969-12-31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28" s="52" t="str">
        <f>IF(AA228&lt;IF(AG228="EC",23,5.65),"Y","N")</f>
        <v>Y</v>
      </c>
      <c r="X228" s="177" t="e">
        <f>VALUE(LEFT(AD228,4))-VALUE(LEFT(AD227,4))</f>
        <v>#VALUE!</v>
      </c>
      <c r="Y228" s="67">
        <f>RIGHT(D228,LEN(D228)-4)/10000</f>
        <v>4.3700000000000003E-2</v>
      </c>
      <c r="Z228" s="67">
        <f>RIGHT(H228,LEN(H228)-4)/10000</f>
        <v>2.4245999999999999</v>
      </c>
      <c r="AA228" s="67">
        <f>ABS(Z228-Y228)</f>
        <v>2.3809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>IF(LEN(A228)=6,"0"&amp;A228,A228)</f>
        <v>55-05</v>
      </c>
      <c r="AE228" s="91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28" s="88" t="str">
        <f>astrogrep_path&amp;" /spath="&amp;search_path&amp;" /stypes=""app*"&amp;B228&amp;"*"&amp;TEXT(I228-utc_offset/24,"YYYYMMDD")&amp;"*"" /stext="" "&amp;TEXT(I228-utc_offset/24,"HH")&amp;search_regexp&amp;""" /e /r /s"</f>
        <v>"C:\Program Files (x86)\AstroGrep\AstroGrep.exe" /spath="%USERPROFILE%\AppData\Local\Temp\OnboardLogs" /stypes="app*4053*19700101*" /stext=" 00:.+((SYSTEM_STATE.+slice.+state.+changed )|(ment ac)|(multiple cpu faults)|(system.+state.+changed )|(\[timeout)|(PRM\|1\|D)|(kpr)|(kdp)|(\|lc)|(penalty))" /e /r /s</v>
      </c>
      <c r="AG228" s="1" t="str">
        <f>IFERROR(IF(VALUE(LEFT(AD228,2))&lt;=2,"EC",IF(OR(VALUE(LEFT(AD228,2))=8,VALUE(LEFT(AD228,2))=18),"NW","Other")),"Other")</f>
        <v>Other</v>
      </c>
      <c r="AH228" s="92" t="str">
        <f t="shared" si="8"/>
        <v>"%USERPROFILE%\Documents\GitHub\eaglep3\Utilities\RefineRTDCRunTimes.py" --tripid 55-05 --locoid 4053 --swversion DE.1.0.8.0 --startMP 204:437 --initTime 2016-12-05T11:17:11 --startdatetime 1969-12-31T17:00:00 --delay 1 --endMP 300:24246 --enddatetime 1969-12-31T17:00:00 --enforcementcount 2 &gt;&gt;C:\Users\stu\Documents\GitHub\eaglep3-reporting\EC\2016-12-05-refined-times.txt</v>
      </c>
      <c r="AI228" s="119" t="str">
        <f t="shared" si="9"/>
        <v>echo {"issue":{"subject":"","project_id":79,"tracker_id":40,"status_id":1,"priority_id":2,"assigned_to_id":23,"start_date":"1969-12-31","description":"","custom_fields":[{"id":1,"name":"Subdivision","value":"Other"},{"id":4,"name":"Milepost","value":"2.4246"},{"id":17,"name":"Train ID","value":"55-05"},{"id":16,"name":"Locomotive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444</v>
      </c>
      <c r="B229" s="7">
        <v>4007</v>
      </c>
      <c r="C229" s="22" t="s">
        <v>208</v>
      </c>
      <c r="D229" s="22" t="s">
        <v>759</v>
      </c>
      <c r="E229" s="13">
        <v>42709.486018518517</v>
      </c>
      <c r="F229" s="13">
        <v>42709.488252314812</v>
      </c>
      <c r="G229" s="7">
        <v>2</v>
      </c>
      <c r="H229" s="22" t="s">
        <v>760</v>
      </c>
      <c r="I229" s="13">
        <v>42709.488495370373</v>
      </c>
      <c r="J229" s="7">
        <v>2</v>
      </c>
      <c r="K229" s="109" t="str">
        <f>IF(ISEVEN(B229),(B229-1)&amp;"/"&amp;B229,B229&amp;"/"&amp;(B229+1))</f>
        <v>4007/4008</v>
      </c>
      <c r="L229" s="22" t="str">
        <f>VLOOKUP(A229,'Trips&amp;Operators'!$C$1:$G$99999,5,FALSE)</f>
        <v>ISHMAEL JOSEPH</v>
      </c>
      <c r="M229" s="6">
        <f>I229-F229</f>
        <v>2.4305556144099683E-4</v>
      </c>
      <c r="N229" s="7">
        <f>24*60*SUM($M229:$M229)</f>
        <v>0.35000000847503543</v>
      </c>
      <c r="O229" s="7"/>
      <c r="P229" s="7"/>
      <c r="Q229" s="23"/>
      <c r="R229" s="23"/>
      <c r="S229" s="35">
        <f>SUM(U229:U229)/IF(AG229="EC",12,1)</f>
        <v>0</v>
      </c>
      <c r="T229" s="50" t="e">
        <f>IF(ISEVEN(LEFT(AD229,4)),"Southbound","NorthBound")</f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>"https://search-rtdc-monitor-bjffxe2xuh6vdkpspy63sjmuny.us-east-1.es.amazonaws.com/_plugin/kibana/#/discover/Steve-Slow-Train-Analysis-(2080s-and-2083s)?_g=(refreshInterval:(display:Off,section:0,value:0),time:(from:'"&amp;TEXT(E229-1/24,"yyyy-MM-DD hh:mm:ss")&amp;utc_offset&amp;"00',mode:absolute,to:'"&amp;TEXT(I229+1/24,"yyyy-MM-DD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229&amp;"%22')),sort:!(Time,asc))"</f>
        <v>https://search-rtdc-monitor-bjffxe2xuh6vdkpspy63sjmuny.us-east-1.es.amazonaws.com/_plugin/kibana/#/discover/Steve-Slow-Train-Analysis-(2080s-and-2083s)?_g=(refreshInterval:(display:Off,section:0,value:0),time:(from:'2016-12-05 10:39:52-700',mode:absolute,to:'2016-12-05 12:43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9" s="52" t="str">
        <f>IF(AA229&lt;IF(AG229="EC",23,5.65),"Y","N")</f>
        <v>Y</v>
      </c>
      <c r="X229" s="177" t="e">
        <f>VALUE(LEFT(AD229,4))-VALUE(LEFT(AD228,4))</f>
        <v>#VALUE!</v>
      </c>
      <c r="Y229" s="67">
        <f>RIGHT(D229,LEN(D229)-4)/10000</f>
        <v>0.19040000000000001</v>
      </c>
      <c r="Z229" s="67">
        <f>RIGHT(H229,LEN(H229)-4)/10000</f>
        <v>0.40839999999999999</v>
      </c>
      <c r="AA229" s="67">
        <f>ABS(Z229-Y229)</f>
        <v>0.21799999999999997</v>
      </c>
      <c r="AB229" s="64" t="e">
        <f>VLOOKUP(A229,Enforcements!$C$7:$K$20,8,0)</f>
        <v>#N/A</v>
      </c>
      <c r="AC229" s="60" t="e">
        <f>VLOOKUP(A229,Enforcements!$C$7:$E$20,3,0)</f>
        <v>#N/A</v>
      </c>
      <c r="AD229" s="61" t="str">
        <f>IF(LEN(A229)=6,"0"&amp;A229,A229)</f>
        <v>57-05</v>
      </c>
      <c r="AE229" s="91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s3://rtdc.mdm.uploadarchive.raw/RTDC4007/ "%USERPROFILE%\AppData\Local\Temp\OnboardLogs"\RTDC4007\2016-12-05 --exclude "*" --recursive --include "*20161205*" &amp; "%USERPROFILE%\Documents\GitHub\mrs-test-scripts\Headless Mode &amp; Sideloading\WalkAndUnGZ.bat" "%USERPROFILE%\AppData\Local\Temp\OnboardLogs"\RTDC4007\2016-12-05 &amp; aws s3 cp s3://rtdc.mdm.uploadarchive.raw/RTDC4007/ "%USERPROFILE%\AppData\Local\Temp\OnboardLogs"\RTDC4007\2016-12-06 --exclude "*" --recursive --include "*20161206*" &amp; "%USERPROFILE%\Documents\GitHub\mrs-test-scripts\Headless Mode &amp; Sideloading\WalkAndUnGZ.bat" "%USERPROFILE%\AppData\Local\Temp\OnboardLogs"\RTDC4007\2016-12-06</v>
      </c>
      <c r="AF229" s="88" t="str">
        <f>astrogrep_path&amp;" /spath="&amp;search_path&amp;" /stypes=""app*"&amp;B229&amp;"*"&amp;TEXT(I229-utc_offset/24,"YYYYMMDD")&amp;"*"" /stext="" "&amp;TEXT(I229-utc_offset/24,"HH")&amp;search_regexp&amp;""" /e /r /s"</f>
        <v>"C:\Program Files (x86)\AstroGrep\AstroGrep.exe" /spath="%USERPROFILE%\AppData\Local\Temp\OnboardLogs" /stypes="app*4007*20161205*" /stext=" 18:.+((SYSTEM_STATE.+slice.+state.+changed )|(ment ac)|(multiple cpu faults)|(system.+state.+changed )|(\[timeout)|(PRM\|1\|D)|(kpr)|(kdp)|(\|lc)|(penalty))" /e /r /s</v>
      </c>
      <c r="AG229" s="1" t="str">
        <f>IFERROR(IF(VALUE(LEFT(AD229,2))&lt;=2,"EC",IF(OR(VALUE(LEFT(AD229,2))=8,VALUE(LEFT(AD229,2))=18),"NW","Other")),"Other")</f>
        <v>Other</v>
      </c>
      <c r="AH229" s="92" t="str">
        <f t="shared" si="8"/>
        <v>"%USERPROFILE%\Documents\GitHub\eaglep3\Utilities\RefineRTDCRunTimes.py" --tripid 57-05 --locoid 4007 --swversion DE.1.0.8.0 --startMP 204:1904 --initTime 2016-12-05T11:39:52 --startdatetime 2016-12-05T11:43:05 --delay 2 --endMP 204:4084 --enddatetime 2016-12-05T11:43:26 --enforcementcount 2 &gt;&gt;C:\Users\stu\Documents\GitHub\eaglep3-reporting\EC\2016-12-05-refined-times.txt</v>
      </c>
      <c r="AI229" s="119" t="str">
        <f t="shared" si="9"/>
        <v>echo {"issue":{"subject":"","project_id":79,"tracker_id":40,"status_id":1,"priority_id":2,"assigned_to_id":23,"start_date":"2016-12-05","description":"","custom_fields":[{"id":1,"name":"Subdivision","value":"Other"},{"id":4,"name":"Milepost","value":"0.4084"},{"id":17,"name":"Train ID","value":"57-05"},{"id":16,"name":"Locomotive ID","value":"4007"},{"id":130,"name":"Impact","value":""},{"id":150,"name":"Time of Event (Mountain Time)","value":"11:43:26"},{"id":151,"name":"Denver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601</v>
      </c>
      <c r="B230" s="7">
        <v>4020</v>
      </c>
      <c r="C230" s="22" t="s">
        <v>208</v>
      </c>
      <c r="D230" s="22" t="s">
        <v>761</v>
      </c>
      <c r="E230" s="13">
        <v>42709.711284722223</v>
      </c>
      <c r="F230" s="13">
        <v>42709.713090277779</v>
      </c>
      <c r="G230" s="7">
        <v>2</v>
      </c>
      <c r="H230" s="22" t="s">
        <v>762</v>
      </c>
      <c r="I230" s="13">
        <v>42709.769965277781</v>
      </c>
      <c r="J230" s="7">
        <v>0</v>
      </c>
      <c r="K230" s="109" t="str">
        <f>IF(ISEVEN(B230),(B230-1)&amp;"/"&amp;B230,B230&amp;"/"&amp;(B230+1))</f>
        <v>4019/4020</v>
      </c>
      <c r="L230" s="22" t="str">
        <f>VLOOKUP(A230,'Trips&amp;Operators'!$C$1:$G$99999,5,FALSE)</f>
        <v>HAITHCOX MICHAEL</v>
      </c>
      <c r="M230" s="6">
        <f>I230-F230</f>
        <v>5.6875000002037268E-2</v>
      </c>
      <c r="N230" s="7">
        <f>24*60*SUM($M230:$M230)</f>
        <v>81.900000002933666</v>
      </c>
      <c r="O230" s="7"/>
      <c r="P230" s="7"/>
      <c r="Q230" s="23"/>
      <c r="R230" s="23"/>
      <c r="S230" s="35">
        <f>SUM(U230:U230)/IF(AG230="EC",12,1)</f>
        <v>0</v>
      </c>
      <c r="T230" s="50" t="e">
        <f>IF(ISEVEN(LEFT(AD230,4)),"Southbound","NorthBound")</f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>"https://search-rtdc-monitor-bjffxe2xuh6vdkpspy63sjmuny.us-east-1.es.amazonaws.com/_plugin/kibana/#/discover/Steve-Slow-Train-Analysis-(2080s-and-2083s)?_g=(refreshInterval:(display:Off,section:0,value:0),time:(from:'"&amp;TEXT(E230-1/24,"yyyy-MM-DD hh:mm:ss")&amp;utc_offset&amp;"00',mode:absolute,to:'"&amp;TEXT(I230+1/24,"yyyy-MM-DD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230&amp;"%22')),sort:!(Time,asc))"</f>
        <v>https://search-rtdc-monitor-bjffxe2xuh6vdkpspy63sjmuny.us-east-1.es.amazonaws.com/_plugin/kibana/#/discover/Steve-Slow-Train-Analysis-(2080s-and-2083s)?_g=(refreshInterval:(display:Off,section:0,value:0),time:(from:'2016-12-05 16:04:15-700',mode:absolute,to:'2016-12-05 19:28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30" s="52" t="str">
        <f>IF(AA230&lt;IF(AG230="EC",23,5.65),"Y","N")</f>
        <v>Y</v>
      </c>
      <c r="X230" s="177" t="e">
        <f>VALUE(LEFT(AD230,4))-VALUE(LEFT(AD229,4))</f>
        <v>#VALUE!</v>
      </c>
      <c r="Y230" s="67">
        <f>RIGHT(D230,LEN(D230)-4)/10000</f>
        <v>0.1492</v>
      </c>
      <c r="Z230" s="67">
        <f>RIGHT(H230,LEN(H230)-4)/10000</f>
        <v>2.3300999999999998</v>
      </c>
      <c r="AA230" s="67">
        <f>ABS(Z230-Y230)</f>
        <v>2.1808999999999998</v>
      </c>
      <c r="AB230" s="64" t="e">
        <f>VLOOKUP(A230,Enforcements!$C$7:$K$20,8,0)</f>
        <v>#N/A</v>
      </c>
      <c r="AC230" s="60" t="e">
        <f>VLOOKUP(A230,Enforcements!$C$7:$E$20,3,0)</f>
        <v>#N/A</v>
      </c>
      <c r="AD230" s="61" t="str">
        <f>IF(LEN(A230)=6,"0"&amp;A230,A230)</f>
        <v>73-05</v>
      </c>
      <c r="AE230" s="91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s3://rtdc.mdm.uploadarchive.raw/RTDC4020/ "%USERPROFILE%\AppData\Local\Temp\OnboardLogs"\RTDC4020\2016-12-05 --exclude "*" --recursive --include "*20161205*" &amp; "%USERPROFILE%\Documents\GitHub\mrs-test-scripts\Headless Mode &amp; Sideloading\WalkAndUnGZ.bat" "%USERPROFILE%\AppData\Local\Temp\OnboardLogs"\RTDC4020\2016-12-05 &amp; 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</v>
      </c>
      <c r="AF230" s="88" t="str">
        <f>astrogrep_path&amp;" /spath="&amp;search_path&amp;" /stypes=""app*"&amp;B230&amp;"*"&amp;TEXT(I230-utc_offset/24,"YYYYMMDD")&amp;"*"" /stext="" "&amp;TEXT(I230-utc_offset/24,"HH")&amp;search_regexp&amp;""" /e /r /s"</f>
        <v>"C:\Program Files (x86)\AstroGrep\AstroGrep.exe" /spath="%USERPROFILE%\AppData\Local\Temp\OnboardLogs" /stypes="app*4020*20161206*" /stext=" 01:.+((SYSTEM_STATE.+slice.+state.+changed )|(ment ac)|(multiple cpu faults)|(system.+state.+changed )|(\[timeout)|(PRM\|1\|D)|(kpr)|(kdp)|(\|lc)|(penalty))" /e /r /s</v>
      </c>
      <c r="AG230" s="1" t="str">
        <f>IFERROR(IF(VALUE(LEFT(AD230,2))&lt;=2,"EC",IF(OR(VALUE(LEFT(AD230,2))=8,VALUE(LEFT(AD230,2))=18),"NW","Other")),"Other")</f>
        <v>Other</v>
      </c>
      <c r="AH230" s="92" t="str">
        <f t="shared" si="8"/>
        <v>"%USERPROFILE%\Documents\GitHub\eaglep3\Utilities\RefineRTDCRunTimes.py" --tripid 73-05 --locoid 4020 --swversion DE.1.0.8.0 --startMP 204:1492 --initTime 2016-12-05T17:04:15 --startdatetime 2016-12-05T17:06:51 --delay 2 --endMP 300:23301 --enddatetime 2016-12-05T18:28:45 --enforcementcount 0 &gt;&gt;C:\Users\stu\Documents\GitHub\eaglep3-reporting\EC\2016-12-05-refined-times.txt</v>
      </c>
      <c r="AI230" s="119" t="str">
        <f t="shared" si="9"/>
        <v>echo {"issue":{"subject":"","project_id":79,"tracker_id":40,"status_id":1,"priority_id":2,"assigned_to_id":23,"start_date":"2016-12-05","description":"","custom_fields":[{"id":1,"name":"Subdivision","value":"Other"},{"id":4,"name":"Milepost","value":"2.3301"},{"id":17,"name":"Train ID","value":"73-05"},{"id":16,"name":"Locomotive ID","value":"4020"},{"id":130,"name":"Impact","value":""},{"id":150,"name":"Time of Event (Mountain Time)","value":"18:28:45"},{"id":151,"name":"Denver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603</v>
      </c>
      <c r="B231" s="7">
        <v>4008</v>
      </c>
      <c r="C231" s="22" t="s">
        <v>208</v>
      </c>
      <c r="D231" s="22" t="s">
        <v>763</v>
      </c>
      <c r="E231" s="13">
        <v>42709.713553240741</v>
      </c>
      <c r="F231" s="13">
        <v>42709.715300925927</v>
      </c>
      <c r="G231" s="7">
        <v>2</v>
      </c>
      <c r="H231" s="22" t="s">
        <v>764</v>
      </c>
      <c r="I231" s="13">
        <v>42709.720555555556</v>
      </c>
      <c r="J231" s="7">
        <v>2</v>
      </c>
      <c r="K231" s="109" t="str">
        <f>IF(ISEVEN(B231),(B231-1)&amp;"/"&amp;B231,B231&amp;"/"&amp;(B231+1))</f>
        <v>4007/4008</v>
      </c>
      <c r="L231" s="22" t="str">
        <f>VLOOKUP(A231,'Trips&amp;Operators'!$C$1:$G$99999,5,FALSE)</f>
        <v>NEWELL JAMES</v>
      </c>
      <c r="M231" s="6">
        <f>I231-F231</f>
        <v>5.2546296283253469E-3</v>
      </c>
      <c r="N231" s="7">
        <f>24*60*SUM($M231:$M231)</f>
        <v>7.5666666647884995</v>
      </c>
      <c r="O231" s="7"/>
      <c r="P231" s="7"/>
      <c r="Q231" s="23"/>
      <c r="R231" s="23"/>
      <c r="S231" s="35">
        <f>SUM(U231:U231)/IF(AG231="EC",12,1)</f>
        <v>0</v>
      </c>
      <c r="T231" s="50" t="e">
        <f>IF(ISEVEN(LEFT(AD231,4)),"Southbound","NorthBound")</f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>"https://search-rtdc-monitor-bjffxe2xuh6vdkpspy63sjmuny.us-east-1.es.amazonaws.com/_plugin/kibana/#/discover/Steve-Slow-Train-Analysis-(2080s-and-2083s)?_g=(refreshInterval:(display:Off,section:0,value:0),time:(from:'"&amp;TEXT(E231-1/24,"yyyy-MM-DD hh:mm:ss")&amp;utc_offset&amp;"00',mode:absolute,to:'"&amp;TEXT(I231+1/24,"yyyy-MM-DD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231&amp;"%22')),sort:!(Time,asc))"</f>
        <v>https://search-rtdc-monitor-bjffxe2xuh6vdkpspy63sjmuny.us-east-1.es.amazonaws.com/_plugin/kibana/#/discover/Steve-Slow-Train-Analysis-(2080s-and-2083s)?_g=(refreshInterval:(display:Off,section:0,value:0),time:(from:'2016-12-05 16:07:31-700',mode:absolute,to:'2016-12-05 18:17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31" s="52" t="str">
        <f>IF(AA231&lt;IF(AG231="EC",23,5.65),"Y","N")</f>
        <v>Y</v>
      </c>
      <c r="X231" s="177" t="e">
        <f>VALUE(LEFT(AD231,4))-VALUE(LEFT(AD230,4))</f>
        <v>#VALUE!</v>
      </c>
      <c r="Y231" s="67">
        <f>RIGHT(D231,LEN(D231)-4)/10000</f>
        <v>2.3610000000000002</v>
      </c>
      <c r="Z231" s="67">
        <f>RIGHT(H231,LEN(H231)-4)/10000</f>
        <v>1.4200000000000001E-2</v>
      </c>
      <c r="AA231" s="67">
        <f>ABS(Z231-Y231)</f>
        <v>2.3468</v>
      </c>
      <c r="AB231" s="64" t="e">
        <f>VLOOKUP(A231,Enforcements!$C$7:$K$20,8,0)</f>
        <v>#N/A</v>
      </c>
      <c r="AC231" s="60" t="e">
        <f>VLOOKUP(A231,Enforcements!$C$7:$E$20,3,0)</f>
        <v>#N/A</v>
      </c>
      <c r="AD231" s="61" t="str">
        <f>IF(LEN(A231)=6,"0"&amp;A231,A231)</f>
        <v>74-05</v>
      </c>
      <c r="AE231" s="91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s3://rtdc.mdm.uploadarchive.raw/RTDC4008/ "%USERPROFILE%\AppData\Local\Temp\OnboardLogs"\RTDC4008\2016-12-05 --exclude "*" --recursive --include "*20161205*" &amp; "%USERPROFILE%\Documents\GitHub\mrs-test-scripts\Headless Mode &amp; Sideloading\WalkAndUnGZ.bat" "%USERPROFILE%\AppData\Local\Temp\OnboardLogs"\RTDC4008\2016-12-05 &amp; aws s3 cp s3://rtdc.mdm.uploadarchive.raw/RTDC4008/ "%USERPROFILE%\AppData\Local\Temp\OnboardLogs"\RTDC4008\2016-12-06 --exclude "*" --recursive --include "*20161206*" &amp; "%USERPROFILE%\Documents\GitHub\mrs-test-scripts\Headless Mode &amp; Sideloading\WalkAndUnGZ.bat" "%USERPROFILE%\AppData\Local\Temp\OnboardLogs"\RTDC4008\2016-12-06</v>
      </c>
      <c r="AF231" s="88" t="str">
        <f>astrogrep_path&amp;" /spath="&amp;search_path&amp;" /stypes=""app*"&amp;B231&amp;"*"&amp;TEXT(I231-utc_offset/24,"YYYYMMDD")&amp;"*"" /stext="" "&amp;TEXT(I231-utc_offset/24,"HH")&amp;search_regexp&amp;""" /e /r /s"</f>
        <v>"C:\Program Files (x86)\AstroGrep\AstroGrep.exe" /spath="%USERPROFILE%\AppData\Local\Temp\OnboardLogs" /stypes="app*4008*20161206*" /stext=" 00:.+((SYSTEM_STATE.+slice.+state.+changed )|(ment ac)|(multiple cpu faults)|(system.+state.+changed )|(\[timeout)|(PRM\|1\|D)|(kpr)|(kdp)|(\|lc)|(penalty))" /e /r /s</v>
      </c>
      <c r="AG231" s="1" t="str">
        <f>IFERROR(IF(VALUE(LEFT(AD231,2))&lt;=2,"EC",IF(OR(VALUE(LEFT(AD231,2))=8,VALUE(LEFT(AD231,2))=18),"NW","Other")),"Other")</f>
        <v>Other</v>
      </c>
      <c r="AH231" s="92" t="str">
        <f t="shared" si="8"/>
        <v>"%USERPROFILE%\Documents\GitHub\eaglep3\Utilities\RefineRTDCRunTimes.py" --tripid 74-05 --locoid 4008 --swversion DE.1.0.8.0 --startMP 300:23610 --initTime 2016-12-05T17:07:31 --startdatetime 2016-12-05T17:10:02 --delay 2 --endMP 204:142 --enddatetime 2016-12-05T17:17:36 --enforcementcount 2 &gt;&gt;C:\Users\stu\Documents\GitHub\eaglep3-reporting\EC\2016-12-05-refined-times.txt</v>
      </c>
      <c r="AI231" s="119" t="str">
        <f t="shared" si="9"/>
        <v>echo {"issue":{"subject":"","project_id":79,"tracker_id":40,"status_id":1,"priority_id":2,"assigned_to_id":23,"start_date":"2016-12-05","description":"","custom_fields":[{"id":1,"name":"Subdivision","value":"Other"},{"id":4,"name":"Milepost","value":"0.0142"},{"id":17,"name":"Train ID","value":"74-05"},{"id":16,"name":"Locomotive ID","value":"4008"},{"id":130,"name":"Impact","value":""},{"id":150,"name":"Time of Event (Mountain Time)","value":"17:17:36"},{"id":151,"name":"Denver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618</v>
      </c>
      <c r="B232" s="7">
        <v>4007</v>
      </c>
      <c r="C232" s="22" t="s">
        <v>208</v>
      </c>
      <c r="D232" s="22" t="s">
        <v>362</v>
      </c>
      <c r="E232" s="13">
        <v>42709.749641203707</v>
      </c>
      <c r="F232" s="13">
        <v>25568.708333333332</v>
      </c>
      <c r="G232" s="7">
        <v>1</v>
      </c>
      <c r="H232" s="22" t="s">
        <v>765</v>
      </c>
      <c r="I232" s="13">
        <v>25568.708333333332</v>
      </c>
      <c r="J232" s="7">
        <v>2</v>
      </c>
      <c r="K232" s="109" t="str">
        <f>IF(ISEVEN(B232),(B232-1)&amp;"/"&amp;B232,B232&amp;"/"&amp;(B232+1))</f>
        <v>4007/4008</v>
      </c>
      <c r="L232" s="22" t="str">
        <f>VLOOKUP(A232,'Trips&amp;Operators'!$C$1:$G$99999,5,FALSE)</f>
        <v>STEWART MICHAEL</v>
      </c>
      <c r="M232" s="6">
        <f>I232-F232</f>
        <v>0</v>
      </c>
      <c r="N232" s="7">
        <f>24*60*SUM($M232:$M232)</f>
        <v>0</v>
      </c>
      <c r="O232" s="7"/>
      <c r="P232" s="7"/>
      <c r="Q232" s="23"/>
      <c r="R232" s="23"/>
      <c r="S232" s="35">
        <f>SUM(U232:U232)/IF(AG232="EC",12,1)</f>
        <v>0</v>
      </c>
      <c r="T232" s="50" t="e">
        <f>IF(ISEVEN(LEFT(AD232,4)),"Southbound","NorthBound")</f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>"https://search-rtdc-monitor-bjffxe2xuh6vdkpspy63sjmuny.us-east-1.es.amazonaws.com/_plugin/kibana/#/discover/Steve-Slow-Train-Analysis-(2080s-and-2083s)?_g=(refreshInterval:(display:Off,section:0,value:0),time:(from:'"&amp;TEXT(E232-1/24,"yyyy-MM-DD hh:mm:ss")&amp;utc_offset&amp;"00',mode:absolute,to:'"&amp;TEXT(I232+1/24,"yyyy-MM-DD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232&amp;"%22')),sort:!(Time,asc))"</f>
        <v>https://search-rtdc-monitor-bjffxe2xuh6vdkpspy63sjmuny.us-east-1.es.amazonaws.com/_plugin/kibana/#/discover/Steve-Slow-Train-Analysis-(2080s-and-2083s)?_g=(refreshInterval:(display:Off,section:0,value:0),time:(from:'2016-12-05 16:59:29-700',mode:absolute,to:'1969-12-31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32" s="52" t="str">
        <f>IF(AA232&lt;IF(AG232="EC",23,5.65),"Y","N")</f>
        <v>Y</v>
      </c>
      <c r="X232" s="177" t="e">
        <f>VALUE(LEFT(AD232,4))-VALUE(LEFT(AD231,4))</f>
        <v>#VALUE!</v>
      </c>
      <c r="Y232" s="67">
        <f>RIGHT(D232,LEN(D232)-4)/10000</f>
        <v>4.53E-2</v>
      </c>
      <c r="Z232" s="67">
        <f>RIGHT(H232,LEN(H232)-4)/10000</f>
        <v>2.4230999999999998</v>
      </c>
      <c r="AA232" s="67">
        <f>ABS(Z232-Y232)</f>
        <v>2.3777999999999997</v>
      </c>
      <c r="AB232" s="64" t="e">
        <f>VLOOKUP(A232,Enforcements!$C$7:$K$20,8,0)</f>
        <v>#N/A</v>
      </c>
      <c r="AC232" s="60" t="e">
        <f>VLOOKUP(A232,Enforcements!$C$7:$E$20,3,0)</f>
        <v>#N/A</v>
      </c>
      <c r="AD232" s="61" t="str">
        <f>IF(LEN(A232)=6,"0"&amp;A232,A232)</f>
        <v>75-05</v>
      </c>
      <c r="AE232" s="91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32" s="88" t="str">
        <f>astrogrep_path&amp;" /spath="&amp;search_path&amp;" /stypes=""app*"&amp;B232&amp;"*"&amp;TEXT(I232-utc_offset/24,"YYYYMMDD")&amp;"*"" /stext="" "&amp;TEXT(I232-utc_offset/24,"HH")&amp;search_regexp&amp;""" /e /r /s"</f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32" s="1" t="str">
        <f>IFERROR(IF(VALUE(LEFT(AD232,2))&lt;=2,"EC",IF(OR(VALUE(LEFT(AD232,2))=8,VALUE(LEFT(AD232,2))=18),"NW","Other")),"Other")</f>
        <v>Other</v>
      </c>
      <c r="AH232" s="92" t="str">
        <f t="shared" si="8"/>
        <v>"%USERPROFILE%\Documents\GitHub\eaglep3\Utilities\RefineRTDCRunTimes.py" --tripid 75-05 --locoid 4007 --swversion DE.1.0.8.0 --startMP 204:453 --initTime 2016-12-05T17:59:29 --startdatetime 1969-12-31T17:00:00 --delay 1 --endMP 300:24231 --enddatetime 1969-12-31T17:00:00 --enforcementcount 2 &gt;&gt;C:\Users\stu\Documents\GitHub\eaglep3-reporting\EC\2016-12-05-refined-times.txt</v>
      </c>
      <c r="AI232" s="119" t="str">
        <f t="shared" si="9"/>
        <v>echo {"issue":{"subject":"","project_id":79,"tracker_id":40,"status_id":1,"priority_id":2,"assigned_to_id":23,"start_date":"1969-12-31","description":"","custom_fields":[{"id":1,"name":"Subdivision","value":"Other"},{"id":4,"name":"Milepost","value":"2.4231"},{"id":17,"name":"Train ID","value":"75-05"},{"id":16,"name":"Locomotive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614</v>
      </c>
      <c r="B233" s="7">
        <v>4032</v>
      </c>
      <c r="C233" s="22" t="s">
        <v>208</v>
      </c>
      <c r="D233" s="22" t="s">
        <v>766</v>
      </c>
      <c r="E233" s="13">
        <v>42709.746932870374</v>
      </c>
      <c r="F233" s="13">
        <v>42709.748749999999</v>
      </c>
      <c r="G233" s="7">
        <v>1</v>
      </c>
      <c r="H233" s="22" t="s">
        <v>767</v>
      </c>
      <c r="I233" s="13">
        <v>42709.754907407405</v>
      </c>
      <c r="J233" s="7">
        <v>2</v>
      </c>
      <c r="K233" s="109" t="str">
        <f>IF(ISEVEN(B233),(B233-1)&amp;"/"&amp;B233,B233&amp;"/"&amp;(B233+1))</f>
        <v>4031/4032</v>
      </c>
      <c r="L233" s="22" t="str">
        <f>VLOOKUP(A233,'Trips&amp;Operators'!$C$1:$G$99999,5,FALSE)</f>
        <v>NELSON ARIANE</v>
      </c>
      <c r="M233" s="6">
        <f>I233-F233</f>
        <v>6.1574074061354622E-3</v>
      </c>
      <c r="N233" s="7">
        <f>24*60*SUM($M233:$M233)</f>
        <v>8.8666666648350656</v>
      </c>
      <c r="O233" s="7"/>
      <c r="P233" s="7"/>
      <c r="Q233" s="23"/>
      <c r="R233" s="23"/>
      <c r="S233" s="35">
        <f>SUM(U233:U233)/IF(AG233="EC",12,1)</f>
        <v>0</v>
      </c>
      <c r="T233" s="50" t="e">
        <f>IF(ISEVEN(LEFT(AD233,4)),"Southbound","NorthBound")</f>
        <v>#VALUE!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>"https://search-rtdc-monitor-bjffxe2xuh6vdkpspy63sjmuny.us-east-1.es.amazonaws.com/_plugin/kibana/#/discover/Steve-Slow-Train-Analysis-(2080s-and-2083s)?_g=(refreshInterval:(display:Off,section:0,value:0),time:(from:'"&amp;TEXT(E233-1/24,"yyyy-MM-DD hh:mm:ss")&amp;utc_offset&amp;"00',mode:absolute,to:'"&amp;TEXT(I233+1/24,"yyyy-MM-DD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233&amp;"%22')),sort:!(Time,asc))"</f>
        <v>https://search-rtdc-monitor-bjffxe2xuh6vdkpspy63sjmuny.us-east-1.es.amazonaws.com/_plugin/kibana/#/discover/Steve-Slow-Train-Analysis-(2080s-and-2083s)?_g=(refreshInterval:(display:Off,section:0,value:0),time:(from:'2016-12-05 16:55:35-700',mode:absolute,to:'2016-12-05 19:07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33" s="52" t="str">
        <f>IF(AA233&lt;IF(AG233="EC",23,5.65),"Y","N")</f>
        <v>Y</v>
      </c>
      <c r="X233" s="177" t="e">
        <f>VALUE(LEFT(AD233,4))-VALUE(LEFT(AD232,4))</f>
        <v>#VALUE!</v>
      </c>
      <c r="Y233" s="67">
        <f>RIGHT(D233,LEN(D233)-4)/10000</f>
        <v>2.218</v>
      </c>
      <c r="Z233" s="67">
        <f>RIGHT(H233,LEN(H233)-4)/10000</f>
        <v>8.9700000000000002E-2</v>
      </c>
      <c r="AA233" s="67">
        <f>ABS(Z233-Y233)</f>
        <v>2.1282999999999999</v>
      </c>
      <c r="AB233" s="64" t="e">
        <f>VLOOKUP(A233,Enforcements!$C$7:$K$20,8,0)</f>
        <v>#N/A</v>
      </c>
      <c r="AC233" s="60" t="e">
        <f>VLOOKUP(A233,Enforcements!$C$7:$E$20,3,0)</f>
        <v>#N/A</v>
      </c>
      <c r="AD233" s="61" t="str">
        <f>IF(LEN(A233)=6,"0"&amp;A233,A233)</f>
        <v>76-05</v>
      </c>
      <c r="AE233" s="91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s3://rtdc.mdm.uploadarchive.raw/RTDC4032/ "%USERPROFILE%\AppData\Local\Temp\OnboardLogs"\RTDC4032\2016-12-05 --exclude "*" --recursive --include "*20161205*" &amp; "%USERPROFILE%\Documents\GitHub\mrs-test-scripts\Headless Mode &amp; Sideloading\WalkAndUnGZ.bat" "%USERPROFILE%\AppData\Local\Temp\OnboardLogs"\RTDC4032\2016-12-05 &amp; aws s3 cp s3://rtdc.mdm.uploadarchive.raw/RTDC4032/ "%USERPROFILE%\AppData\Local\Temp\OnboardLogs"\RTDC4032\2016-12-06 --exclude "*" --recursive --include "*20161206*" &amp; "%USERPROFILE%\Documents\GitHub\mrs-test-scripts\Headless Mode &amp; Sideloading\WalkAndUnGZ.bat" "%USERPROFILE%\AppData\Local\Temp\OnboardLogs"\RTDC4032\2016-12-06</v>
      </c>
      <c r="AF233" s="88" t="str">
        <f>astrogrep_path&amp;" /spath="&amp;search_path&amp;" /stypes=""app*"&amp;B233&amp;"*"&amp;TEXT(I233-utc_offset/24,"YYYYMMDD")&amp;"*"" /stext="" "&amp;TEXT(I233-utc_offset/24,"HH")&amp;search_regexp&amp;""" /e /r /s"</f>
        <v>"C:\Program Files (x86)\AstroGrep\AstroGrep.exe" /spath="%USERPROFILE%\AppData\Local\Temp\OnboardLogs" /stypes="app*4032*20161206*" /stext=" 01:.+((SYSTEM_STATE.+slice.+state.+changed )|(ment ac)|(multiple cpu faults)|(system.+state.+changed )|(\[timeout)|(PRM\|1\|D)|(kpr)|(kdp)|(\|lc)|(penalty))" /e /r /s</v>
      </c>
      <c r="AG233" s="1" t="str">
        <f>IFERROR(IF(VALUE(LEFT(AD233,2))&lt;=2,"EC",IF(OR(VALUE(LEFT(AD233,2))=8,VALUE(LEFT(AD233,2))=18),"NW","Other")),"Other")</f>
        <v>Other</v>
      </c>
      <c r="AH233" s="92" t="str">
        <f t="shared" si="8"/>
        <v>"%USERPROFILE%\Documents\GitHub\eaglep3\Utilities\RefineRTDCRunTimes.py" --tripid 76-05 --locoid 4032 --swversion DE.1.0.8.0 --startMP 300:22180 --initTime 2016-12-05T17:55:35 --startdatetime 2016-12-05T17:58:12 --delay 1 --endMP 204:897 --enddatetime 2016-12-05T18:07:04 --enforcementcount 2 &gt;&gt;C:\Users\stu\Documents\GitHub\eaglep3-reporting\EC\2016-12-05-refined-times.txt</v>
      </c>
      <c r="AI233" s="119" t="str">
        <f t="shared" si="9"/>
        <v>echo {"issue":{"subject":"","project_id":79,"tracker_id":40,"status_id":1,"priority_id":2,"assigned_to_id":23,"start_date":"2016-12-05","description":"","custom_fields":[{"id":1,"name":"Subdivision","value":"Other"},{"id":4,"name":"Milepost","value":"0.0897"},{"id":17,"name":"Train ID","value":"76-05"},{"id":16,"name":"Locomotive ID","value":"4032"},{"id":130,"name":"Impact","value":""},{"id":150,"name":"Time of Event (Mountain Time)","value":"18:07:04"},{"id":151,"name":"Denver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</sheetData>
  <autoFilter ref="A12:AG235">
    <sortState ref="A13:AG235">
      <sortCondition ref="AG13:AG233"/>
      <sortCondition ref="AD13:AD233"/>
    </sortState>
  </autoFilter>
  <sortState ref="A13:AH200">
    <sortCondition ref="AG13:AG200"/>
    <sortCondition ref="AD13:AD200"/>
  </sortState>
  <mergeCells count="1">
    <mergeCell ref="A11:P11"/>
  </mergeCells>
  <conditionalFormatting sqref="W11:W12 W245:X1048576 W13:X233">
    <cfRule type="cellIs" dxfId="51" priority="344" operator="equal">
      <formula>"Y"</formula>
    </cfRule>
  </conditionalFormatting>
  <conditionalFormatting sqref="X245:X1048576 X13:X233">
    <cfRule type="cellIs" dxfId="50" priority="327" operator="greaterThan">
      <formula>1</formula>
    </cfRule>
  </conditionalFormatting>
  <conditionalFormatting sqref="X245:X1048576 X12:X233">
    <cfRule type="cellIs" dxfId="49" priority="324" operator="equal">
      <formula>0</formula>
    </cfRule>
  </conditionalFormatting>
  <conditionalFormatting sqref="A13:S233">
    <cfRule type="expression" dxfId="48" priority="318" stopIfTrue="1">
      <formula>$P13&gt;0</formula>
    </cfRule>
    <cfRule type="expression" dxfId="47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opLeftCell="A2" zoomScaleNormal="100" workbookViewId="0">
      <selection activeCell="P27" sqref="P2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710937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3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30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3" t="str">
        <f>"Eagle P3 Braking Events - "&amp;TEXT(Variables!$A$2,"YYYY-mm-dd")</f>
        <v>Eagle P3 Braking Events - 2016-12-05</v>
      </c>
      <c r="B5" s="183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234</v>
      </c>
    </row>
    <row r="7" spans="1:30" s="1" customFormat="1" x14ac:dyDescent="0.25">
      <c r="A7" s="36">
        <v>42709.412372685183</v>
      </c>
      <c r="B7" s="31" t="s">
        <v>216</v>
      </c>
      <c r="C7" s="31" t="s">
        <v>441</v>
      </c>
      <c r="D7" s="31" t="s">
        <v>49</v>
      </c>
      <c r="E7" s="31" t="s">
        <v>294</v>
      </c>
      <c r="F7" s="47">
        <v>60</v>
      </c>
      <c r="G7" s="47">
        <v>315</v>
      </c>
      <c r="H7" s="47">
        <v>31843</v>
      </c>
      <c r="I7" s="47">
        <v>32680</v>
      </c>
      <c r="J7" s="31" t="s">
        <v>295</v>
      </c>
      <c r="K7" s="47">
        <v>33137</v>
      </c>
      <c r="L7" s="154" t="s">
        <v>50</v>
      </c>
      <c r="M7" s="155">
        <f>CONVERT((I7-K7)/10000,"mi","ft")*IF(L7="Increasing Mileposts (1)",-1,1)</f>
        <v>241.29599999999999</v>
      </c>
      <c r="N7" s="156" t="str">
        <f>VLOOKUP(C7,'Trips&amp;Operators'!$C$1:$G$99999,5,FALSE)</f>
        <v>ISHMAEL JOSEPH</v>
      </c>
      <c r="O7" s="182" t="s">
        <v>196</v>
      </c>
      <c r="P7" s="157" t="s">
        <v>855</v>
      </c>
      <c r="Q7" s="31"/>
      <c r="R7" s="100" t="str">
        <f>VLOOKUP(C7,'Train Runs'!$A$13:$AE$9979,31,0)</f>
        <v>aws s3 cp s3://rtdc.mdm.uploadarchive.raw/RTDC4002/ "%USERPROFILE%\AppData\Local\Temp\OnboardLogs"\RTDC4002\2016-12-05 --exclude "*" --recursive --include "*20161205*" &amp; "%USERPROFILE%\Documents\GitHub\mrs-test-scripts\Headless Mode &amp; Sideloading\WalkAndUnGZ.bat" "%USERPROFILE%\AppData\Local\Temp\OnboardLogs"\RTDC4002\2016-12-05 &amp; aws s3 cp s3://rtdc.mdm.uploadarchive.raw/RTDC4002/ "%USERPROFILE%\AppData\Local\Temp\OnboardLogs"\RTDC4002\2016-12-06 --exclude "*" --recursive --include "*20161206*" &amp; "%USERPROFILE%\Documents\GitHub\mrs-test-scripts\Headless Mode &amp; Sideloading\WalkAndUnGZ.bat" "%USERPROFILE%\AppData\Local\Temp\OnboardLogs"\RTDC4002\2016-12-06</v>
      </c>
      <c r="S7" s="103" t="str">
        <f>VLOOKUP(C7,'Train Runs'!$A$13:$AE$9979,22,0)</f>
        <v>https://search-rtdc-monitor-bjffxe2xuh6vdkpspy63sjmuny.us-east-1.es.amazonaws.com/_plugin/kibana/#/discover/Steve-Slow-Train-Analysis-(2080s-and-2083s)?_g=(refreshInterval:(display:Off,section:0,value:0),time:(from:'2016-12-05 08:39:16-700',mode:absolute,to:'2016-12-05 11:23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7" s="105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/stypes="*4002*201612051*" /stext=" 16:.+((SYSTEM_STATE.+slice.+state.+changed )|(ment ac)|(multiple cpu faults)|(system.+state.+changed )|(\[timeout)|(PRM\|1\|D)|(kpr)|(kdp)|(\|lc)|(penalty))" /e /r /s</v>
      </c>
      <c r="U7" s="9" t="str">
        <f>MID(B7,13,4)</f>
        <v>4002</v>
      </c>
      <c r="V7" s="36">
        <f>A7-utc_offset/24</f>
        <v>42709.704039351847</v>
      </c>
      <c r="W7" s="50" t="str">
        <f>IF(VALUE(LEFT(IF(LEN(C7)=6,"0"&amp;C7,C7),2))&lt;=2,"EC",IF(OR(VALUE(LEFT(IF(LEN(C7)=6,"0"&amp;C7,C7),2))=8,VALUE(LEFT(IF(LEN(C7)=6,"0"&amp;C7,C7),2))=18),"NW","Other"))</f>
        <v>EC</v>
      </c>
      <c r="X7" s="50" t="str">
        <f>IF(AND(E7="TRACK WARRANT AUTHORITY",G7&lt;10),"OMIT","KEEP")</f>
        <v>KEEP</v>
      </c>
      <c r="Y7" s="11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arrival","project_id":79,"tracker_id":40,"status_id":1,"priority_id":2,"assigned_to_id":23,"start_date":"2016-12-05","description":"","custom_fields":[{"id":1,"name":"Subdivision","value":"EC"},{"id":4,"name":"Milepost","value":"3.3137"},{"id":17,"name":"Train ID","value":"149-05"},{"id":16,"name":"Locomotive ID","value":"4002"},{"id":130,"name":"Impact","value":""},{"id":150,"name":"Time of Event (Mountain Time)","value":"09:53:49"},{"id":151,"name":"Denver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"%USERPROFILE%\AppData\Local\Temp\OnboardLogs"\RTDC4002\*4002*201612051*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"%USERPROFILE%\AppData\Local\Temp\OnboardLogs"\RTDC4002\*4002*201612051* &gt;&gt; 42709-slicedisagreementcheck.txt</v>
      </c>
    </row>
    <row r="8" spans="1:30" s="1" customFormat="1" x14ac:dyDescent="0.25">
      <c r="A8" s="36">
        <v>42709.304756944446</v>
      </c>
      <c r="B8" s="31" t="s">
        <v>220</v>
      </c>
      <c r="C8" s="31" t="s">
        <v>432</v>
      </c>
      <c r="D8" s="31" t="s">
        <v>49</v>
      </c>
      <c r="E8" s="31" t="s">
        <v>197</v>
      </c>
      <c r="F8" s="47">
        <v>400</v>
      </c>
      <c r="G8" s="47">
        <v>555</v>
      </c>
      <c r="H8" s="47">
        <v>15410</v>
      </c>
      <c r="I8" s="47">
        <v>17780</v>
      </c>
      <c r="J8" s="31" t="s">
        <v>198</v>
      </c>
      <c r="K8" s="47">
        <v>17867</v>
      </c>
      <c r="L8" s="154" t="s">
        <v>50</v>
      </c>
      <c r="M8" s="155">
        <f>CONVERT((I8-K8)/10000,"mi","ft")*IF(L8="Increasing Mileposts (1)",-1,1)</f>
        <v>45.936</v>
      </c>
      <c r="N8" s="156" t="str">
        <f>VLOOKUP(C8,'Trips&amp;Operators'!$C$1:$G$99999,5,FALSE)</f>
        <v>ROBINSON KADDIBA</v>
      </c>
      <c r="O8" s="182" t="s">
        <v>196</v>
      </c>
      <c r="P8" s="157"/>
      <c r="Q8" s="31"/>
      <c r="R8" s="100" t="str">
        <f>VLOOKUP(C8,'Train Runs'!$A$13:$AE$9979,31,0)</f>
        <v>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 &amp; aws s3 cp s3://rtdc.mdm.uploadarchive.raw/RTDC4038/ "%USERPROFILE%\AppData\Local\Temp\OnboardLogs"\RTDC4038\2016-12-06 --exclude "*" --recursive --include "*20161206*" &amp; "%USERPROFILE%\Documents\GitHub\mrs-test-scripts\Headless Mode &amp; Sideloading\WalkAndUnGZ.bat" "%USERPROFILE%\AppData\Local\Temp\OnboardLogs"\RTDC4038\2016-12-06</v>
      </c>
      <c r="S8" s="103" t="str">
        <f>VLOOKUP(C8,'Train Runs'!$A$13:$AE$9979,22,0)</f>
        <v>https://search-rtdc-monitor-bjffxe2xuh6vdkpspy63sjmuny.us-east-1.es.amazonaws.com/_plugin/kibana/#/discover/Steve-Slow-Train-Analysis-(2080s-and-2083s)?_g=(refreshInterval:(display:Off,section:0,value:0),time:(from:'2016-12-05 06:09:50-700',mode:absolute,to:'2016-12-05 08:51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8" s="105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/stypes="*4038*201612051*" /stext=" 14:.+((SYSTEM_STATE.+slice.+state.+changed )|(ment ac)|(multiple cpu faults)|(system.+state.+changed )|(\[timeout)|(PRM\|1\|D)|(kpr)|(kdp)|(\|lc)|(penalty))" /e /r /s</v>
      </c>
      <c r="U8" s="9" t="str">
        <f>MID(B8,13,4)</f>
        <v>4038</v>
      </c>
      <c r="V8" s="36">
        <f>A8-utc_offset/24</f>
        <v>42709.59642361111</v>
      </c>
      <c r="W8" s="50" t="str">
        <f>IF(VALUE(LEFT(IF(LEN(C8)=6,"0"&amp;C8,C8),2))&lt;=2,"EC",IF(OR(VALUE(LEFT(IF(LEN(C8)=6,"0"&amp;C8,C8),2))=8,VALUE(LEFT(IF(LEN(C8)=6,"0"&amp;C8,C8),2))=18),"NW","Other"))</f>
        <v>EC</v>
      </c>
      <c r="X8" s="50" t="str">
        <f>IF(AND(E8="TRACK WARRANT AUTHORITY",G8&lt;10),"OMIT","KEEP")</f>
        <v>KEEP</v>
      </c>
      <c r="Y8" s="11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{"issue":{"subject":"","project_id":79,"tracker_id":40,"status_id":1,"priority_id":2,"assigned_to_id":23,"start_date":"2016-12-05","description":"","custom_fields":[{"id":1,"name":"Subdivision","value":"EC"},{"id":4,"name":"Milepost","value":"1.7867"},{"id":17,"name":"Train ID","value":"129-05"},{"id":16,"name":"Locomotive ID","value":"4038"},{"id":130,"name":"Impact","value":""},{"id":150,"name":"Time of Event (Mountain Time)","value":"07:18:51"},{"id":151,"name":"Denver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"%USERPROFILE%\AppData\Local\Temp\OnboardLogs"\RTDC4038\*4038*201612051*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"%USERPROFILE%\AppData\Local\Temp\OnboardLogs"\RTDC4038\*4038*201612051* &gt;&gt; 42709-slicedisagreementcheck.txt</v>
      </c>
    </row>
    <row r="9" spans="1:30" s="1" customFormat="1" x14ac:dyDescent="0.25">
      <c r="A9" s="36">
        <v>42709.550995370373</v>
      </c>
      <c r="B9" s="31" t="s">
        <v>297</v>
      </c>
      <c r="C9" s="31" t="s">
        <v>446</v>
      </c>
      <c r="D9" s="31" t="s">
        <v>98</v>
      </c>
      <c r="E9" s="31" t="s">
        <v>197</v>
      </c>
      <c r="F9" s="47">
        <v>350</v>
      </c>
      <c r="G9" s="47">
        <v>401</v>
      </c>
      <c r="H9" s="47">
        <v>224766</v>
      </c>
      <c r="I9" s="47">
        <v>223702</v>
      </c>
      <c r="J9" s="31" t="s">
        <v>198</v>
      </c>
      <c r="K9" s="47">
        <v>232107</v>
      </c>
      <c r="L9" s="154" t="s">
        <v>51</v>
      </c>
      <c r="M9" s="155">
        <f>CONVERT((I9-K9)/10000,"mi","ft")*IF(L9="Increasing Mileposts (1)",-1,1)</f>
        <v>-4437.84</v>
      </c>
      <c r="N9" s="156" t="str">
        <f>VLOOKUP(C9,'Trips&amp;Operators'!$C$1:$G$99999,5,FALSE)</f>
        <v>HELVIE ADAM</v>
      </c>
      <c r="O9" s="182" t="s">
        <v>196</v>
      </c>
      <c r="P9" s="157"/>
      <c r="Q9" s="31"/>
      <c r="R9" s="100" t="str">
        <f>VLOOKUP(C9,'Train Runs'!$A$13:$AE$9979,31,0)</f>
        <v>aws s3 cp s3://rtdc.mdm.uploadarchive.raw/RTDC4021/ "%USERPROFILE%\AppData\Local\Temp\OnboardLogs"\RTDC4021\2016-12-05 --exclude "*" --recursive --include "*20161205*" &amp; "%USERPROFILE%\Documents\GitHub\mrs-test-scripts\Headless Mode &amp; Sideloading\WalkAndUnGZ.bat" "%USERPROFILE%\AppData\Local\Temp\OnboardLogs"\RTDC4021\2016-12-05 &amp; 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</v>
      </c>
      <c r="S9" s="103" t="str">
        <f>VLOOKUP(C9,'Train Runs'!$A$13:$AE$9979,22,0)</f>
        <v>https://search-rtdc-monitor-bjffxe2xuh6vdkpspy63sjmuny.us-east-1.es.amazonaws.com/_plugin/kibana/#/discover/Steve-Slow-Train-Analysis-(2080s-and-2083s)?_g=(refreshInterval:(display:Off,section:0,value:0),time:(from:'2016-12-05 12:07:39-700',mode:absolute,to:'2016-12-05 14:51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9" s="105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/stypes="*4021*201612052*" /stext=" 20:.+((SYSTEM_STATE.+slice.+state.+changed )|(ment ac)|(multiple cpu faults)|(system.+state.+changed )|(\[timeout)|(PRM\|1\|D)|(kpr)|(kdp)|(\|lc)|(penalty))" /e /r /s</v>
      </c>
      <c r="U9" s="9" t="str">
        <f>MID(B9,13,4)</f>
        <v>4021</v>
      </c>
      <c r="V9" s="36">
        <f>A9-utc_offset/24</f>
        <v>42709.842662037037</v>
      </c>
      <c r="W9" s="50" t="str">
        <f>IF(VALUE(LEFT(IF(LEN(C9)=6,"0"&amp;C9,C9),2))&lt;=2,"EC",IF(OR(VALUE(LEFT(IF(LEN(C9)=6,"0"&amp;C9,C9),2))=8,VALUE(LEFT(IF(LEN(C9)=6,"0"&amp;C9,C9),2))=18),"NW","Other"))</f>
        <v>EC</v>
      </c>
      <c r="X9" s="50" t="str">
        <f>IF(AND(E9="TRACK WARRANT AUTHORITY",G9&lt;10),"OMIT","KEEP")</f>
        <v>KEEP</v>
      </c>
      <c r="Y9" s="11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{"issue":{"subject":"","project_id":79,"tracker_id":40,"status_id":1,"priority_id":2,"assigned_to_id":23,"start_date":"2016-12-05","description":"","custom_fields":[{"id":1,"name":"Subdivision","value":"EC"},{"id":4,"name":"Milepost","value":"23.2107"},{"id":17,"name":"Train ID","value":"170-05"},{"id":16,"name":"Locomotive ID","value":"4021"},{"id":130,"name":"Impact","value":""},{"id":150,"name":"Time of Event (Mountain Time)","value":"13:13:26"},{"id":151,"name":"Denver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"%USERPROFILE%\AppData\Local\Temp\OnboardLogs"\RTDC4021\*4021*201612052*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"%USERPROFILE%\AppData\Local\Temp\OnboardLogs"\RTDC4021\*4021*201612052* &gt;&gt; 42709-slicedisagreementcheck.txt</v>
      </c>
    </row>
    <row r="10" spans="1:30" s="1" customFormat="1" x14ac:dyDescent="0.25">
      <c r="A10" s="36">
        <v>42709.475138888891</v>
      </c>
      <c r="B10" s="31" t="s">
        <v>211</v>
      </c>
      <c r="C10" s="31" t="s">
        <v>442</v>
      </c>
      <c r="D10" s="31" t="s">
        <v>49</v>
      </c>
      <c r="E10" s="31" t="s">
        <v>199</v>
      </c>
      <c r="F10" s="47">
        <v>0</v>
      </c>
      <c r="G10" s="47">
        <v>64</v>
      </c>
      <c r="H10" s="47">
        <v>128101</v>
      </c>
      <c r="I10" s="47">
        <v>128034</v>
      </c>
      <c r="J10" s="31" t="s">
        <v>200</v>
      </c>
      <c r="K10" s="47">
        <v>127587</v>
      </c>
      <c r="L10" s="154" t="s">
        <v>51</v>
      </c>
      <c r="M10" s="155">
        <f>CONVERT((I10-K10)/10000,"mi","ft")*IF(L10="Increasing Mileposts (1)",-1,1)</f>
        <v>236.01599999999999</v>
      </c>
      <c r="N10" s="156" t="str">
        <f>VLOOKUP(C10,'Trips&amp;Operators'!$C$1:$G$99999,5,FALSE)</f>
        <v>STARKS ANGELINA</v>
      </c>
      <c r="O10" s="182" t="s">
        <v>196</v>
      </c>
      <c r="P10" s="157" t="s">
        <v>424</v>
      </c>
      <c r="Q10" s="31"/>
      <c r="R10" s="100" t="str">
        <f>VLOOKUP(C10,'Train Runs'!$A$13:$AE$9979,31,0)</f>
        <v>aws s3 cp s3://rtdc.mdm.uploadarchive.raw/RTDC4039/ "%USERPROFILE%\AppData\Local\Temp\OnboardLogs"\RTDC4039\2016-12-05 --exclude "*" --recursive --include "*20161205*" &amp; "%USERPROFILE%\Documents\GitHub\mrs-test-scripts\Headless Mode &amp; Sideloading\WalkAndUnGZ.bat" "%USERPROFILE%\AppData\Local\Temp\OnboardLogs"\RTDC4039\2016-12-05 &amp; aws s3 cp s3://rtdc.mdm.uploadarchive.raw/RTDC4039/ "%USERPROFILE%\AppData\Local\Temp\OnboardLogs"\RTDC4039\2016-12-06 --exclude "*" --recursive --include "*20161206*" &amp; "%USERPROFILE%\Documents\GitHub\mrs-test-scripts\Headless Mode &amp; Sideloading\WalkAndUnGZ.bat" "%USERPROFILE%\AppData\Local\Temp\OnboardLogs"\RTDC4039\2016-12-06</v>
      </c>
      <c r="S10" s="103" t="str">
        <f>VLOOKUP(C10,'Train Runs'!$A$13:$AE$9979,22,0)</f>
        <v>https://search-rtdc-monitor-bjffxe2xuh6vdkpspy63sjmuny.us-east-1.es.amazonaws.com/_plugin/kibana/#/discover/Steve-Slow-Train-Analysis-(2080s-and-2083s)?_g=(refreshInterval:(display:Off,section:0,value:0),time:(from:'2016-12-05 10:07:37-700',mode:absolute,to:'2016-12-05 12:50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0" s="105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/stypes="*4039*201612051*" /stext=" 18:.+((SYSTEM_STATE.+slice.+state.+changed )|(ment ac)|(multiple cpu faults)|(system.+state.+changed )|(\[timeout)|(PRM\|1\|D)|(kpr)|(kdp)|(\|lc)|(penalty))" /e /r /s</v>
      </c>
      <c r="U10" s="9" t="str">
        <f>MID(B10,13,4)</f>
        <v>4039</v>
      </c>
      <c r="V10" s="36">
        <f>A10-utc_offset/24</f>
        <v>42709.766805555555</v>
      </c>
      <c r="W10" s="50" t="str">
        <f>IF(VALUE(LEFT(IF(LEN(C10)=6,"0"&amp;C10,C10),2))&lt;=2,"EC",IF(OR(VALUE(LEFT(IF(LEN(C10)=6,"0"&amp;C10,C10),2))=8,VALUE(LEFT(IF(LEN(C10)=6,"0"&amp;C10,C10),2))=18),"NW","Other"))</f>
        <v>EC</v>
      </c>
      <c r="X10" s="50" t="str">
        <f>IF(AND(E10="TRACK WARRANT AUTHORITY",G10&lt;10),"OMIT","KEEP")</f>
        <v>KEEP</v>
      </c>
      <c r="Y10" s="11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{"issue":{"subject":"40th 4S STOP","project_id":79,"tracker_id":40,"status_id":1,"priority_id":2,"assigned_to_id":23,"start_date":"2016-12-05","description":"","custom_fields":[{"id":1,"name":"Subdivision","value":"EC"},{"id":4,"name":"Milepost","value":"12.7587"},{"id":17,"name":"Train ID","value":"154-05"},{"id":16,"name":"Locomotive ID","value":"4039"},{"id":130,"name":"Impact","value":""},{"id":150,"name":"Time of Event (Mountain Time)","value":"11:24:12"},{"id":151,"name":"Denver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"%USERPROFILE%\AppData\Local\Temp\OnboardLogs"\RTDC4039\*4039*201612051*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"%USERPROFILE%\AppData\Local\Temp\OnboardLogs"\RTDC4039\*4039*201612051* &gt;&gt; 42709-slicedisagreementcheck.txt</v>
      </c>
    </row>
    <row r="11" spans="1:30" s="1" customFormat="1" x14ac:dyDescent="0.25">
      <c r="A11" s="36">
        <v>42709.586377314816</v>
      </c>
      <c r="B11" s="31" t="s">
        <v>184</v>
      </c>
      <c r="C11" s="31" t="s">
        <v>448</v>
      </c>
      <c r="D11" s="31" t="s">
        <v>98</v>
      </c>
      <c r="E11" s="31" t="s">
        <v>199</v>
      </c>
      <c r="F11" s="47">
        <v>0</v>
      </c>
      <c r="G11" s="47">
        <v>606</v>
      </c>
      <c r="H11" s="47">
        <v>190849</v>
      </c>
      <c r="I11" s="47">
        <v>193628</v>
      </c>
      <c r="J11" s="31" t="s">
        <v>200</v>
      </c>
      <c r="K11" s="47">
        <v>190738</v>
      </c>
      <c r="L11" s="154" t="s">
        <v>50</v>
      </c>
      <c r="M11" s="155">
        <f>CONVERT((I11-K11)/10000,"mi","ft")*IF(L11="Increasing Mileposts (1)",-1,1)</f>
        <v>-1525.92</v>
      </c>
      <c r="N11" s="156" t="str">
        <f>VLOOKUP(C11,'Trips&amp;Operators'!$C$1:$G$99999,5,FALSE)</f>
        <v>CLARK KATHLEEN</v>
      </c>
      <c r="O11" s="182" t="s">
        <v>235</v>
      </c>
      <c r="P11" s="157" t="s">
        <v>849</v>
      </c>
      <c r="Q11" s="31"/>
      <c r="R11" s="100" t="str">
        <f>VLOOKUP(C11,'Train Runs'!$A$13:$AE$9979,31,0)</f>
        <v>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 &amp; 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</v>
      </c>
      <c r="S11" s="103" t="str">
        <f>VLOOKUP(C11,'Train Runs'!$A$13:$AE$9979,22,0)</f>
        <v>https://search-rtdc-monitor-bjffxe2xuh6vdkpspy63sjmuny.us-east-1.es.amazonaws.com/_plugin/kibana/#/discover/Steve-Slow-Train-Analysis-(2080s-and-2083s)?_g=(refreshInterval:(display:Off,section:0,value:0),time:(from:'2016-12-05 12:24:42-700',mode:absolute,to:'2016-12-05 15:04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1" s="105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/stypes="*4044*201612052*" /stext=" 21:.+((SYSTEM_STATE.+slice.+state.+changed )|(ment ac)|(multiple cpu faults)|(system.+state.+changed )|(\[timeout)|(PRM\|1\|D)|(kpr)|(kdp)|(\|lc)|(penalty))" /e /r /s</v>
      </c>
      <c r="U11" s="9" t="str">
        <f>MID(B11,13,4)</f>
        <v>4044</v>
      </c>
      <c r="V11" s="36">
        <f>A11-utc_offset/24</f>
        <v>42709.87804398148</v>
      </c>
      <c r="W11" s="50" t="str">
        <f>IF(VALUE(LEFT(IF(LEN(C11)=6,"0"&amp;C11,C11),2))&lt;=2,"EC",IF(OR(VALUE(LEFT(IF(LEN(C11)=6,"0"&amp;C11,C11),2))=8,VALUE(LEFT(IF(LEN(C11)=6,"0"&amp;C11,C11),2))=18),"NW","Other"))</f>
        <v>EC</v>
      </c>
      <c r="X11" s="50" t="str">
        <f>IF(AND(E11="TRACK WARRANT AUTHORITY",G11&lt;10),"OMIT","KEEP")</f>
        <v>KEEP</v>
      </c>
      <c r="Y11" s="11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{"issue":{"subject":"Premature downgrade at Pena 2N","project_id":79,"tracker_id":40,"status_id":1,"priority_id":2,"assigned_to_id":23,"start_date":"2016-12-05","description":"At 14:03:56, Pena 2N suddenly downgraded from Proceed Cab to STOP. This seems like it was unintended and caused a PTC braking event. Do the logs indicate any issues at this time?","custom_fields":[{"id":1,"name":"Subdivision","value":"EC"},{"id":4,"name":"Milepost","value":"19.0738"},{"id":17,"name":"Train ID","value":"179-05"},{"id":16,"name":"Locomotive ID","value":"4044"},{"id":130,"name":"Impact","value":"Enforcement"},{"id":150,"name":"Time of Event (Mountain Time)","value":"14:04:23"},{"id":151,"name":"Denver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1" s="53" t="s">
        <v>850</v>
      </c>
      <c r="AA11" s="53" t="s">
        <v>125</v>
      </c>
      <c r="AB11" s="53" t="s">
        <v>130</v>
      </c>
      <c r="AC11" s="138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"%USERPROFILE%\AppData\Local\Temp\OnboardLogs"\RTDC4044\*4044*201612052*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"%USERPROFILE%\AppData\Local\Temp\OnboardLogs"\RTDC4044\*4044*201612052* &gt;&gt; 42709-slicedisagreementcheck.txt</v>
      </c>
    </row>
    <row r="12" spans="1:30" s="1" customFormat="1" x14ac:dyDescent="0.25">
      <c r="A12" s="36">
        <v>42709.668090277781</v>
      </c>
      <c r="B12" s="31" t="s">
        <v>281</v>
      </c>
      <c r="C12" s="31" t="s">
        <v>453</v>
      </c>
      <c r="D12" s="31" t="s">
        <v>49</v>
      </c>
      <c r="E12" s="31" t="s">
        <v>199</v>
      </c>
      <c r="F12" s="47">
        <v>0</v>
      </c>
      <c r="G12" s="47">
        <v>386</v>
      </c>
      <c r="H12" s="47">
        <v>193720</v>
      </c>
      <c r="I12" s="47">
        <v>192717</v>
      </c>
      <c r="J12" s="31" t="s">
        <v>200</v>
      </c>
      <c r="K12" s="47">
        <v>191723</v>
      </c>
      <c r="L12" s="154" t="s">
        <v>51</v>
      </c>
      <c r="M12" s="155">
        <f>CONVERT((I12-K12)/10000,"mi","ft")*IF(L12="Increasing Mileposts (1)",-1,1)</f>
        <v>524.83199999999999</v>
      </c>
      <c r="N12" s="156" t="str">
        <f>VLOOKUP(C12,'Trips&amp;Operators'!$C$1:$G$99999,5,FALSE)</f>
        <v>BONDS REYNALDO</v>
      </c>
      <c r="O12" s="182" t="s">
        <v>196</v>
      </c>
      <c r="P12" s="157" t="s">
        <v>423</v>
      </c>
      <c r="Q12" s="31"/>
      <c r="R12" s="100" t="str">
        <f>VLOOKUP(C12,'Train Runs'!$A$13:$AE$9979,31,0)</f>
        <v>aws s3 cp s3://rtdc.mdm.uploadarchive.raw/RTDC4001/ "%USERPROFILE%\AppData\Local\Temp\OnboardLogs"\RTDC4001\2016-12-05 --exclude "*" --recursive --include "*20161205*" &amp; "%USERPROFILE%\Documents\GitHub\mrs-test-scripts\Headless Mode &amp; Sideloading\WalkAndUnGZ.bat" "%USERPROFILE%\AppData\Local\Temp\OnboardLogs"\RTDC4001\2016-12-05 &amp; aws s3 cp s3://rtdc.mdm.uploadarchive.raw/RTDC4001/ "%USERPROFILE%\AppData\Local\Temp\OnboardLogs"\RTDC4001\2016-12-06 --exclude "*" --recursive --include "*20161206*" &amp; "%USERPROFILE%\Documents\GitHub\mrs-test-scripts\Headless Mode &amp; Sideloading\WalkAndUnGZ.bat" "%USERPROFILE%\AppData\Local\Temp\OnboardLogs"\RTDC4001\2016-12-06</v>
      </c>
      <c r="S12" s="103" t="str">
        <f>VLOOKUP(C12,'Train Runs'!$A$13:$AE$9979,22,0)</f>
        <v>https://search-rtdc-monitor-bjffxe2xuh6vdkpspy63sjmuny.us-east-1.es.amazonaws.com/_plugin/kibana/#/discover/Steve-Slow-Train-Analysis-(2080s-and-2083s)?_g=(refreshInterval:(display:Off,section:0,value:0),time:(from:'2016-12-05 14:38:03-700',mode:absolute,to:'2016-12-05 17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2" s="105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/stypes="*4001*201612052*" /stext=" 23:.+((SYSTEM_STATE.+slice.+state.+changed )|(ment ac)|(multiple cpu faults)|(system.+state.+changed )|(\[timeout)|(PRM\|1\|D)|(kpr)|(kdp)|(\|lc)|(penalty))" /e /r /s</v>
      </c>
      <c r="U12" s="9" t="str">
        <f>MID(B12,13,4)</f>
        <v>4001</v>
      </c>
      <c r="V12" s="36">
        <f>A12-utc_offset/24</f>
        <v>42709.959756944445</v>
      </c>
      <c r="W12" s="50" t="str">
        <f>IF(VALUE(LEFT(IF(LEN(C12)=6,"0"&amp;C12,C12),2))&lt;=2,"EC",IF(OR(VALUE(LEFT(IF(LEN(C12)=6,"0"&amp;C12,C12),2))=8,VALUE(LEFT(IF(LEN(C12)=6,"0"&amp;C12,C12),2))=18),"NW","Other"))</f>
        <v>EC</v>
      </c>
      <c r="X12" s="50" t="str">
        <f>IF(AND(E12="TRACK WARRANT AUTHORITY",G12&lt;10),"OMIT","KEEP")</f>
        <v>KEEP</v>
      </c>
      <c r="Y12" s="11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{"issue":{"subject":"Pena 4S STOP","project_id":79,"tracker_id":40,"status_id":1,"priority_id":2,"assigned_to_id":23,"start_date":"2016-12-05","description":"","custom_fields":[{"id":1,"name":"Subdivision","value":"EC"},{"id":4,"name":"Milepost","value":"19.1723"},{"id":17,"name":"Train ID","value":"192-05"},{"id":16,"name":"Locomotive ID","value":"4001"},{"id":130,"name":"Impact","value":""},{"id":150,"name":"Time of Event (Mountain Time)","value":"16:02:03"},{"id":151,"name":"Denver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"%USERPROFILE%\AppData\Local\Temp\OnboardLogs"\RTDC4001\*4001*201612052*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"%USERPROFILE%\AppData\Local\Temp\OnboardLogs"\RTDC4001\*4001*201612052* &gt;&gt; 42709-slicedisagreementcheck.txt</v>
      </c>
    </row>
    <row r="13" spans="1:30" s="1" customFormat="1" x14ac:dyDescent="0.25">
      <c r="A13" s="36">
        <v>42709.277499999997</v>
      </c>
      <c r="B13" s="31" t="s">
        <v>211</v>
      </c>
      <c r="C13" s="31" t="s">
        <v>431</v>
      </c>
      <c r="D13" s="31" t="s">
        <v>49</v>
      </c>
      <c r="E13" s="31" t="s">
        <v>201</v>
      </c>
      <c r="F13" s="47">
        <v>0</v>
      </c>
      <c r="G13" s="47">
        <v>50</v>
      </c>
      <c r="H13" s="47">
        <v>191</v>
      </c>
      <c r="I13" s="47">
        <v>154</v>
      </c>
      <c r="J13" s="31" t="s">
        <v>202</v>
      </c>
      <c r="K13" s="47">
        <v>1</v>
      </c>
      <c r="L13" s="154" t="s">
        <v>51</v>
      </c>
      <c r="M13" s="155">
        <f>CONVERT((I13-K13)/10000,"mi","ft")*IF(L13="Increasing Mileposts (1)",-1,1)</f>
        <v>80.784000000000006</v>
      </c>
      <c r="N13" s="156" t="str">
        <f>VLOOKUP(C13,'Trips&amp;Operators'!$C$1:$G$99999,5,FALSE)</f>
        <v>STARKS ANGELINA</v>
      </c>
      <c r="O13" s="182" t="s">
        <v>196</v>
      </c>
      <c r="P13" s="157"/>
      <c r="Q13" s="31"/>
      <c r="R13" s="100" t="str">
        <f>VLOOKUP(C13,'Train Runs'!$A$13:$AE$9979,31,0)</f>
        <v>aws s3 cp s3://rtdc.mdm.uploadarchive.raw/RTDC4039/ "%USERPROFILE%\AppData\Local\Temp\OnboardLogs"\RTDC4039\2016-12-05 --exclude "*" --recursive --include "*20161205*" &amp; "%USERPROFILE%\Documents\GitHub\mrs-test-scripts\Headless Mode &amp; Sideloading\WalkAndUnGZ.bat" "%USERPROFILE%\AppData\Local\Temp\OnboardLogs"\RTDC4039\2016-12-05 &amp; aws s3 cp s3://rtdc.mdm.uploadarchive.raw/RTDC4039/ "%USERPROFILE%\AppData\Local\Temp\OnboardLogs"\RTDC4039\2016-12-06 --exclude "*" --recursive --include "*20161206*" &amp; "%USERPROFILE%\Documents\GitHub\mrs-test-scripts\Headless Mode &amp; Sideloading\WalkAndUnGZ.bat" "%USERPROFILE%\AppData\Local\Temp\OnboardLogs"\RTDC4039\2016-12-06</v>
      </c>
      <c r="S13" s="103" t="str">
        <f>VLOOKUP(C13,'Train Runs'!$A$13:$AE$9979,22,0)</f>
        <v>https://search-rtdc-monitor-bjffxe2xuh6vdkpspy63sjmuny.us-east-1.es.amazonaws.com/_plugin/kibana/#/discover/Steve-Slow-Train-Analysis-(2080s-and-2083s)?_g=(refreshInterval:(display:Off,section:0,value:0),time:(from:'2016-12-05 04:54:37-700',mode:absolute,to:'2016-12-05 07:39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3" s="105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/stypes="*4039*201612051*" /stext=" 13:.+((SYSTEM_STATE.+slice.+state.+changed )|(ment ac)|(multiple cpu faults)|(system.+state.+changed )|(\[timeout)|(PRM\|1\|D)|(kpr)|(kdp)|(\|lc)|(penalty))" /e /r /s</v>
      </c>
      <c r="U13" s="9" t="str">
        <f>MID(B13,13,4)</f>
        <v>4039</v>
      </c>
      <c r="V13" s="36">
        <f>A13-utc_offset/24</f>
        <v>42709.569166666661</v>
      </c>
      <c r="W13" s="50" t="str">
        <f>IF(VALUE(LEFT(IF(LEN(C13)=6,"0"&amp;C13,C13),2))&lt;=2,"EC",IF(OR(VALUE(LEFT(IF(LEN(C13)=6,"0"&amp;C13,C13),2))=8,VALUE(LEFT(IF(LEN(C13)=6,"0"&amp;C13,C13),2))=18),"NW","Other"))</f>
        <v>EC</v>
      </c>
      <c r="X13" s="50" t="str">
        <f>IF(AND(E13="TRACK WARRANT AUTHORITY",G13&lt;10),"OMIT","KEEP")</f>
        <v>KEEP</v>
      </c>
      <c r="Y13" s="11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{"issue":{"subject":"","project_id":79,"tracker_id":40,"status_id":1,"priority_id":2,"assigned_to_id":23,"start_date":"2016-12-05","description":"","custom_fields":[{"id":1,"name":"Subdivision","value":"EC"},{"id":4,"name":"Milepost","value":"0.0001"},{"id":17,"name":"Train ID","value":"112-05"},{"id":16,"name":"Locomotive ID","value":"4039"},{"id":130,"name":"Impact","value":""},{"id":150,"name":"Time of Event (Mountain Time)","value":"06:39:36"},{"id":151,"name":"Denver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"%USERPROFILE%\AppData\Local\Temp\OnboardLogs"\RTDC4039\*4039*201612051*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"%USERPROFILE%\AppData\Local\Temp\OnboardLogs"\RTDC4039\*4039*201612051* &gt;&gt; 42709-slicedisagreementcheck.txt</v>
      </c>
    </row>
    <row r="14" spans="1:30" s="1" customFormat="1" x14ac:dyDescent="0.25">
      <c r="A14" s="36">
        <v>42709.34710648148</v>
      </c>
      <c r="B14" s="31" t="s">
        <v>211</v>
      </c>
      <c r="C14" s="31" t="s">
        <v>434</v>
      </c>
      <c r="D14" s="31" t="s">
        <v>49</v>
      </c>
      <c r="E14" s="31" t="s">
        <v>201</v>
      </c>
      <c r="F14" s="47">
        <v>0</v>
      </c>
      <c r="G14" s="47">
        <v>67</v>
      </c>
      <c r="H14" s="47">
        <v>221</v>
      </c>
      <c r="I14" s="47">
        <v>189</v>
      </c>
      <c r="J14" s="31" t="s">
        <v>202</v>
      </c>
      <c r="K14" s="47">
        <v>1</v>
      </c>
      <c r="L14" s="154" t="s">
        <v>51</v>
      </c>
      <c r="M14" s="155">
        <f>CONVERT((I14-K14)/10000,"mi","ft")*IF(L14="Increasing Mileposts (1)",-1,1)</f>
        <v>99.263999999999996</v>
      </c>
      <c r="N14" s="156" t="str">
        <f>VLOOKUP(C14,'Trips&amp;Operators'!$C$1:$G$99999,5,FALSE)</f>
        <v>STARKS ANGELINA</v>
      </c>
      <c r="O14" s="182" t="s">
        <v>196</v>
      </c>
      <c r="P14" s="157"/>
      <c r="Q14" s="31"/>
      <c r="R14" s="100" t="str">
        <f>VLOOKUP(C14,'Train Runs'!$A$13:$AE$9979,31,0)</f>
        <v>aws s3 cp s3://rtdc.mdm.uploadarchive.raw/RTDC4039/ "%USERPROFILE%\AppData\Local\Temp\OnboardLogs"\RTDC4039\2016-12-05 --exclude "*" --recursive --include "*20161205*" &amp; "%USERPROFILE%\Documents\GitHub\mrs-test-scripts\Headless Mode &amp; Sideloading\WalkAndUnGZ.bat" "%USERPROFILE%\AppData\Local\Temp\OnboardLogs"\RTDC4039\2016-12-05 &amp; aws s3 cp s3://rtdc.mdm.uploadarchive.raw/RTDC4039/ "%USERPROFILE%\AppData\Local\Temp\OnboardLogs"\RTDC4039\2016-12-06 --exclude "*" --recursive --include "*20161206*" &amp; "%USERPROFILE%\Documents\GitHub\mrs-test-scripts\Headless Mode &amp; Sideloading\WalkAndUnGZ.bat" "%USERPROFILE%\AppData\Local\Temp\OnboardLogs"\RTDC4039\2016-12-06</v>
      </c>
      <c r="S14" s="103" t="str">
        <f>VLOOKUP(C14,'Train Runs'!$A$13:$AE$9979,22,0)</f>
        <v>https://search-rtdc-monitor-bjffxe2xuh6vdkpspy63sjmuny.us-east-1.es.amazonaws.com/_plugin/kibana/#/discover/Steve-Slow-Train-Analysis-(2080s-and-2083s)?_g=(refreshInterval:(display:Off,section:0,value:0),time:(from:'2016-12-05 06:37:59-700',mode:absolute,to:'2016-12-05 09:19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4" s="105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/stypes="*4039*201612051*" /stext=" 15:.+((SYSTEM_STATE.+slice.+state.+changed )|(ment ac)|(multiple cpu faults)|(system.+state.+changed )|(\[timeout)|(PRM\|1\|D)|(kpr)|(kdp)|(\|lc)|(penalty))" /e /r /s</v>
      </c>
      <c r="U14" s="9" t="str">
        <f>MID(B14,13,4)</f>
        <v>4039</v>
      </c>
      <c r="V14" s="36">
        <f>A14-utc_offset/24</f>
        <v>42709.638773148145</v>
      </c>
      <c r="W14" s="50" t="str">
        <f>IF(VALUE(LEFT(IF(LEN(C14)=6,"0"&amp;C14,C14),2))&lt;=2,"EC",IF(OR(VALUE(LEFT(IF(LEN(C14)=6,"0"&amp;C14,C14),2))=8,VALUE(LEFT(IF(LEN(C14)=6,"0"&amp;C14,C14),2))=18),"NW","Other"))</f>
        <v>EC</v>
      </c>
      <c r="X14" s="50" t="str">
        <f>IF(AND(E14="TRACK WARRANT AUTHORITY",G14&lt;10),"OMIT","KEEP")</f>
        <v>KEEP</v>
      </c>
      <c r="Y14" s="11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{"issue":{"subject":"","project_id":79,"tracker_id":40,"status_id":1,"priority_id":2,"assigned_to_id":23,"start_date":"2016-12-05","description":"","custom_fields":[{"id":1,"name":"Subdivision","value":"EC"},{"id":4,"name":"Milepost","value":"0.0001"},{"id":17,"name":"Train ID","value":"126-05"},{"id":16,"name":"Locomotive ID","value":"4039"},{"id":130,"name":"Impact","value":""},{"id":150,"name":"Time of Event (Mountain Time)","value":"08:19:50"},{"id":151,"name":"Denver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"%USERPROFILE%\AppData\Local\Temp\OnboardLogs"\RTDC4039\*4039*201612051*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"%USERPROFILE%\AppData\Local\Temp\OnboardLogs"\RTDC4039\*4039*201612051* &gt;&gt; 42709-slicedisagreementcheck.txt</v>
      </c>
    </row>
    <row r="15" spans="1:30" s="1" customFormat="1" x14ac:dyDescent="0.25">
      <c r="A15" s="36">
        <v>42709.3591087963</v>
      </c>
      <c r="B15" s="31" t="s">
        <v>297</v>
      </c>
      <c r="C15" s="31" t="s">
        <v>436</v>
      </c>
      <c r="D15" s="31" t="s">
        <v>49</v>
      </c>
      <c r="E15" s="31" t="s">
        <v>201</v>
      </c>
      <c r="F15" s="47">
        <v>0</v>
      </c>
      <c r="G15" s="47">
        <v>44</v>
      </c>
      <c r="H15" s="47">
        <v>139</v>
      </c>
      <c r="I15" s="47">
        <v>103</v>
      </c>
      <c r="J15" s="31" t="s">
        <v>202</v>
      </c>
      <c r="K15" s="47">
        <v>1</v>
      </c>
      <c r="L15" s="154" t="s">
        <v>51</v>
      </c>
      <c r="M15" s="155">
        <f>CONVERT((I15-K15)/10000,"mi","ft")*IF(L15="Increasing Mileposts (1)",-1,1)</f>
        <v>53.856000000000002</v>
      </c>
      <c r="N15" s="156" t="str">
        <f>VLOOKUP(C15,'Trips&amp;Operators'!$C$1:$G$99999,5,FALSE)</f>
        <v>KILLION DAVID</v>
      </c>
      <c r="O15" s="182" t="s">
        <v>196</v>
      </c>
      <c r="P15" s="157"/>
      <c r="Q15" s="31"/>
      <c r="R15" s="100" t="str">
        <f>VLOOKUP(C15,'Train Runs'!$A$13:$AE$9979,31,0)</f>
        <v>aws s3 cp s3://rtdc.mdm.uploadarchive.raw/RTDC4021/ "%USERPROFILE%\AppData\Local\Temp\OnboardLogs"\RTDC4021\2016-12-05 --exclude "*" --recursive --include "*20161205*" &amp; "%USERPROFILE%\Documents\GitHub\mrs-test-scripts\Headless Mode &amp; Sideloading\WalkAndUnGZ.bat" "%USERPROFILE%\AppData\Local\Temp\OnboardLogs"\RTDC4021\2016-12-05 &amp; 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</v>
      </c>
      <c r="S15" s="103" t="str">
        <f>VLOOKUP(C15,'Train Runs'!$A$13:$AE$9979,22,0)</f>
        <v>https://search-rtdc-monitor-bjffxe2xuh6vdkpspy63sjmuny.us-east-1.es.amazonaws.com/_plugin/kibana/#/discover/Steve-Slow-Train-Analysis-(2080s-and-2083s)?_g=(refreshInterval:(display:Off,section:0,value:0),time:(from:'2016-12-05 06:50:25-700',mode:absolute,to:'2016-12-05 09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5" s="105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/stypes="*4021*201612051*" /stext=" 15:.+((SYSTEM_STATE.+slice.+state.+changed )|(ment ac)|(multiple cpu faults)|(system.+state.+changed )|(\[timeout)|(PRM\|1\|D)|(kpr)|(kdp)|(\|lc)|(penalty))" /e /r /s</v>
      </c>
      <c r="U15" s="9" t="str">
        <f>MID(B15,13,4)</f>
        <v>4021</v>
      </c>
      <c r="V15" s="36">
        <f>A15-utc_offset/24</f>
        <v>42709.650775462964</v>
      </c>
      <c r="W15" s="50" t="str">
        <f>IF(VALUE(LEFT(IF(LEN(C15)=6,"0"&amp;C15,C15),2))&lt;=2,"EC",IF(OR(VALUE(LEFT(IF(LEN(C15)=6,"0"&amp;C15,C15),2))=8,VALUE(LEFT(IF(LEN(C15)=6,"0"&amp;C15,C15),2))=18),"NW","Other"))</f>
        <v>EC</v>
      </c>
      <c r="X15" s="50" t="str">
        <f>IF(AND(E15="TRACK WARRANT AUTHORITY",G15&lt;10),"OMIT","KEEP")</f>
        <v>KEEP</v>
      </c>
      <c r="Y15" s="11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{"issue":{"subject":"","project_id":79,"tracker_id":40,"status_id":1,"priority_id":2,"assigned_to_id":23,"start_date":"2016-12-05","description":"","custom_fields":[{"id":1,"name":"Subdivision","value":"EC"},{"id":4,"name":"Milepost","value":"0.0001"},{"id":17,"name":"Train ID","value":"128-05"},{"id":16,"name":"Locomotive ID","value":"4021"},{"id":130,"name":"Impact","value":""},{"id":150,"name":"Time of Event (Mountain Time)","value":"08:37:07"},{"id":151,"name":"Denver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"%USERPROFILE%\AppData\Local\Temp\OnboardLogs"\RTDC4021\*4021*201612051*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"%USERPROFILE%\AppData\Local\Temp\OnboardLogs"\RTDC4021\*4021*201612051* &gt;&gt; 42709-slicedisagreementcheck.txt</v>
      </c>
    </row>
    <row r="16" spans="1:30" s="1" customFormat="1" x14ac:dyDescent="0.25">
      <c r="A16" s="36">
        <v>42709.548657407409</v>
      </c>
      <c r="B16" s="31" t="s">
        <v>281</v>
      </c>
      <c r="C16" s="31" t="s">
        <v>445</v>
      </c>
      <c r="D16" s="31" t="s">
        <v>49</v>
      </c>
      <c r="E16" s="31" t="s">
        <v>201</v>
      </c>
      <c r="F16" s="47">
        <v>0</v>
      </c>
      <c r="G16" s="47">
        <v>44</v>
      </c>
      <c r="H16" s="47">
        <v>158</v>
      </c>
      <c r="I16" s="47">
        <v>123</v>
      </c>
      <c r="J16" s="31" t="s">
        <v>202</v>
      </c>
      <c r="K16" s="47">
        <v>1</v>
      </c>
      <c r="L16" s="154" t="s">
        <v>51</v>
      </c>
      <c r="M16" s="155">
        <f>CONVERT((I16-K16)/10000,"mi","ft")*IF(L16="Increasing Mileposts (1)",-1,1)</f>
        <v>64.415999999999997</v>
      </c>
      <c r="N16" s="156" t="str">
        <f>VLOOKUP(C16,'Trips&amp;Operators'!$C$1:$G$99999,5,FALSE)</f>
        <v>BONDS REYNALDO</v>
      </c>
      <c r="O16" s="182" t="s">
        <v>196</v>
      </c>
      <c r="P16" s="157"/>
      <c r="Q16" s="31"/>
      <c r="R16" s="100" t="str">
        <f>VLOOKUP(C16,'Train Runs'!$A$13:$AE$9979,31,0)</f>
        <v>aws s3 cp s3://rtdc.mdm.uploadarchive.raw/RTDC4001/ "%USERPROFILE%\AppData\Local\Temp\OnboardLogs"\RTDC4001\2016-12-05 --exclude "*" --recursive --include "*20161205*" &amp; "%USERPROFILE%\Documents\GitHub\mrs-test-scripts\Headless Mode &amp; Sideloading\WalkAndUnGZ.bat" "%USERPROFILE%\AppData\Local\Temp\OnboardLogs"\RTDC4001\2016-12-05 &amp; aws s3 cp s3://rtdc.mdm.uploadarchive.raw/RTDC4001/ "%USERPROFILE%\AppData\Local\Temp\OnboardLogs"\RTDC4001\2016-12-06 --exclude "*" --recursive --include "*20161206*" &amp; "%USERPROFILE%\Documents\GitHub\mrs-test-scripts\Headless Mode &amp; Sideloading\WalkAndUnGZ.bat" "%USERPROFILE%\AppData\Local\Temp\OnboardLogs"\RTDC4001\2016-12-06</v>
      </c>
      <c r="S16" s="103" t="str">
        <f>VLOOKUP(C16,'Train Runs'!$A$13:$AE$9979,22,0)</f>
        <v>https://search-rtdc-monitor-bjffxe2xuh6vdkpspy63sjmuny.us-east-1.es.amazonaws.com/_plugin/kibana/#/discover/Steve-Slow-Train-Analysis-(2080s-and-2083s)?_g=(refreshInterval:(display:Off,section:0,value:0),time:(from:'2016-12-05 11:14:52-700',mode:absolute,to:'2016-12-05 14:10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6" s="105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/stypes="*4001*201612052*" /stext=" 20:.+((SYSTEM_STATE.+slice.+state.+changed )|(ment ac)|(multiple cpu faults)|(system.+state.+changed )|(\[timeout)|(PRM\|1\|D)|(kpr)|(kdp)|(\|lc)|(penalty))" /e /r /s</v>
      </c>
      <c r="U16" s="9" t="str">
        <f>MID(B16,13,4)</f>
        <v>4001</v>
      </c>
      <c r="V16" s="36">
        <f>A16-utc_offset/24</f>
        <v>42709.840324074074</v>
      </c>
      <c r="W16" s="50" t="str">
        <f>IF(VALUE(LEFT(IF(LEN(C16)=6,"0"&amp;C16,C16),2))&lt;=2,"EC",IF(OR(VALUE(LEFT(IF(LEN(C16)=6,"0"&amp;C16,C16),2))=8,VALUE(LEFT(IF(LEN(C16)=6,"0"&amp;C16,C16),2))=18),"NW","Other"))</f>
        <v>EC</v>
      </c>
      <c r="X16" s="50" t="str">
        <f>IF(AND(E16="TRACK WARRANT AUTHORITY",G16&lt;10),"OMIT","KEEP")</f>
        <v>KEEP</v>
      </c>
      <c r="Y16" s="11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{"issue":{"subject":"","project_id":79,"tracker_id":40,"status_id":1,"priority_id":2,"assigned_to_id":23,"start_date":"2016-12-05","description":"","custom_fields":[{"id":1,"name":"Subdivision","value":"EC"},{"id":4,"name":"Milepost","value":"0.0001"},{"id":17,"name":"Train ID","value":"164-05"},{"id":16,"name":"Locomotive ID","value":"4001"},{"id":130,"name":"Impact","value":""},{"id":150,"name":"Time of Event (Mountain Time)","value":"13:10:04"},{"id":151,"name":"Denver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"%USERPROFILE%\AppData\Local\Temp\OnboardLogs"\RTDC4001\*4001*201612052*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"%USERPROFILE%\AppData\Local\Temp\OnboardLogs"\RTDC4001\*4001*201612052* &gt;&gt; 42709-slicedisagreementcheck.txt</v>
      </c>
    </row>
    <row r="17" spans="1:30" s="1" customFormat="1" x14ac:dyDescent="0.25">
      <c r="A17" s="36">
        <v>42709.597962962966</v>
      </c>
      <c r="B17" s="31" t="s">
        <v>256</v>
      </c>
      <c r="C17" s="31" t="s">
        <v>449</v>
      </c>
      <c r="D17" s="31" t="s">
        <v>49</v>
      </c>
      <c r="E17" s="31" t="s">
        <v>201</v>
      </c>
      <c r="F17" s="47">
        <v>0</v>
      </c>
      <c r="G17" s="47">
        <v>73</v>
      </c>
      <c r="H17" s="47">
        <v>252</v>
      </c>
      <c r="I17" s="47">
        <v>180</v>
      </c>
      <c r="J17" s="31" t="s">
        <v>202</v>
      </c>
      <c r="K17" s="47">
        <v>1</v>
      </c>
      <c r="L17" s="154" t="s">
        <v>51</v>
      </c>
      <c r="M17" s="155">
        <f>CONVERT((I17-K17)/10000,"mi","ft")*IF(L17="Increasing Mileposts (1)",-1,1)</f>
        <v>94.512</v>
      </c>
      <c r="N17" s="156" t="str">
        <f>VLOOKUP(C17,'Trips&amp;Operators'!$C$1:$G$99999,5,FALSE)</f>
        <v>STEWART MICHAEL</v>
      </c>
      <c r="O17" s="182" t="s">
        <v>196</v>
      </c>
      <c r="P17" s="157"/>
      <c r="Q17" s="31"/>
      <c r="R17" s="100" t="str">
        <f>VLOOKUP(C17,'Train Runs'!$A$13:$AE$9979,31,0)</f>
        <v>aws s3 cp s3://rtdc.mdm.uploadarchive.raw/RTDC4010/ "%USERPROFILE%\AppData\Local\Temp\OnboardLogs"\RTDC4010\2016-12-05 --exclude "*" --recursive --include "*20161205*" &amp; "%USERPROFILE%\Documents\GitHub\mrs-test-scripts\Headless Mode &amp; Sideloading\WalkAndUnGZ.bat" "%USERPROFILE%\AppData\Local\Temp\OnboardLogs"\RTDC4010\2016-12-05 &amp; 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</v>
      </c>
      <c r="S17" s="103" t="str">
        <f>VLOOKUP(C17,'Train Runs'!$A$13:$AE$9979,22,0)</f>
        <v>https://search-rtdc-monitor-bjffxe2xuh6vdkpspy63sjmuny.us-east-1.es.amazonaws.com/_plugin/kibana/#/discover/Steve-Slow-Train-Analysis-(2080s-and-2083s)?_g=(refreshInterval:(display:Off,section:0,value:0),time:(from:'2016-12-05 12:36:07-700',mode:absolute,to:'2016-12-05 15:21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7" s="105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/stypes="*4010*201612052*" /stext=" 21:.+((SYSTEM_STATE.+slice.+state.+changed )|(ment ac)|(multiple cpu faults)|(system.+state.+changed )|(\[timeout)|(PRM\|1\|D)|(kpr)|(kdp)|(\|lc)|(penalty))" /e /r /s</v>
      </c>
      <c r="U17" s="9" t="str">
        <f>MID(B17,13,4)</f>
        <v>4010</v>
      </c>
      <c r="V17" s="36">
        <f>A17-utc_offset/24</f>
        <v>42709.88962962963</v>
      </c>
      <c r="W17" s="50" t="str">
        <f>IF(VALUE(LEFT(IF(LEN(C17)=6,"0"&amp;C17,C17),2))&lt;=2,"EC",IF(OR(VALUE(LEFT(IF(LEN(C17)=6,"0"&amp;C17,C17),2))=8,VALUE(LEFT(IF(LEN(C17)=6,"0"&amp;C17,C17),2))=18),"NW","Other"))</f>
        <v>EC</v>
      </c>
      <c r="X17" s="50" t="str">
        <f>IF(AND(E17="TRACK WARRANT AUTHORITY",G17&lt;10),"OMIT","KEEP")</f>
        <v>KEEP</v>
      </c>
      <c r="Y17" s="11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{"issue":{"subject":"","project_id":79,"tracker_id":40,"status_id":1,"priority_id":2,"assigned_to_id":23,"start_date":"2016-12-05","description":"","custom_fields":[{"id":1,"name":"Subdivision","value":"EC"},{"id":4,"name":"Milepost","value":"0.0001"},{"id":17,"name":"Train ID","value":"174-05"},{"id":16,"name":"Locomotive ID","value":"4010"},{"id":130,"name":"Impact","value":""},{"id":150,"name":"Time of Event (Mountain Time)","value":"14:21:04"},{"id":151,"name":"Denver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"%USERPROFILE%\AppData\Local\Temp\OnboardLogs"\RTDC4010\*4010*201612052*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"%USERPROFILE%\AppData\Local\Temp\OnboardLogs"\RTDC4010\*4010*201612052* &gt;&gt; 42709-slicedisagreementcheck.txt</v>
      </c>
    </row>
    <row r="18" spans="1:30" s="1" customFormat="1" x14ac:dyDescent="0.25">
      <c r="A18" s="36">
        <v>42709.6174537037</v>
      </c>
      <c r="B18" s="31" t="s">
        <v>281</v>
      </c>
      <c r="C18" s="31" t="s">
        <v>450</v>
      </c>
      <c r="D18" s="31" t="s">
        <v>49</v>
      </c>
      <c r="E18" s="31" t="s">
        <v>201</v>
      </c>
      <c r="F18" s="47">
        <v>0</v>
      </c>
      <c r="G18" s="47">
        <v>46</v>
      </c>
      <c r="H18" s="47">
        <v>167</v>
      </c>
      <c r="I18" s="47">
        <v>130</v>
      </c>
      <c r="J18" s="31" t="s">
        <v>202</v>
      </c>
      <c r="K18" s="47">
        <v>1</v>
      </c>
      <c r="L18" s="154" t="s">
        <v>51</v>
      </c>
      <c r="M18" s="155">
        <f>CONVERT((I18-K18)/10000,"mi","ft")*IF(L18="Increasing Mileposts (1)",-1,1)</f>
        <v>68.111999999999995</v>
      </c>
      <c r="N18" s="156" t="str">
        <f>VLOOKUP(C18,'Trips&amp;Operators'!$C$1:$G$99999,5,FALSE)</f>
        <v>BONDS REYNALDO</v>
      </c>
      <c r="O18" s="182" t="s">
        <v>235</v>
      </c>
      <c r="P18" s="157" t="s">
        <v>938</v>
      </c>
      <c r="Q18" s="31"/>
      <c r="R18" s="100" t="str">
        <f>VLOOKUP(C18,'Train Runs'!$A$13:$AE$9979,31,0)</f>
        <v>aws s3 cp s3://rtdc.mdm.uploadarchive.raw/RTDC4001/ "%USERPROFILE%\AppData\Local\Temp\OnboardLogs"\RTDC4001\2016-12-05 --exclude "*" --recursive --include "*20161205*" &amp; "%USERPROFILE%\Documents\GitHub\mrs-test-scripts\Headless Mode &amp; Sideloading\WalkAndUnGZ.bat" "%USERPROFILE%\AppData\Local\Temp\OnboardLogs"\RTDC4001\2016-12-05 &amp; aws s3 cp s3://rtdc.mdm.uploadarchive.raw/RTDC4001/ "%USERPROFILE%\AppData\Local\Temp\OnboardLogs"\RTDC4001\2016-12-06 --exclude "*" --recursive --include "*20161206*" &amp; "%USERPROFILE%\Documents\GitHub\mrs-test-scripts\Headless Mode &amp; Sideloading\WalkAndUnGZ.bat" "%USERPROFILE%\AppData\Local\Temp\OnboardLogs"\RTDC4001\2016-12-06</v>
      </c>
      <c r="S18" s="103" t="str">
        <f>VLOOKUP(C18,'Train Runs'!$A$13:$AE$9979,22,0)</f>
        <v>https://search-rtdc-monitor-bjffxe2xuh6vdkpspy63sjmuny.us-east-1.es.amazonaws.com/_plugin/kibana/#/discover/Steve-Slow-Train-Analysis-(2080s-and-2083s)?_g=(refreshInterval:(display:Off,section:0,value:0),time:(from:'2016-12-05 12:56:30-700',mode:absolute,to:'2016-12-05 15:49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8" s="105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/stypes="*4001*201612052*" /stext=" 21:.+((SYSTEM_STATE.+slice.+state.+changed )|(ment ac)|(multiple cpu faults)|(system.+state.+changed )|(\[timeout)|(PRM\|1\|D)|(kpr)|(kdp)|(\|lc)|(penalty))" /e /r /s</v>
      </c>
      <c r="U18" s="9" t="str">
        <f>MID(B18,13,4)</f>
        <v>4001</v>
      </c>
      <c r="V18" s="36">
        <f>A18-utc_offset/24</f>
        <v>42709.909120370365</v>
      </c>
      <c r="W18" s="50" t="str">
        <f>IF(VALUE(LEFT(IF(LEN(C18)=6,"0"&amp;C18,C18),2))&lt;=2,"EC",IF(OR(VALUE(LEFT(IF(LEN(C18)=6,"0"&amp;C18,C18),2))=8,VALUE(LEFT(IF(LEN(C18)=6,"0"&amp;C18,C18),2))=18),"NW","Other"))</f>
        <v>EC</v>
      </c>
      <c r="X18" s="50" t="str">
        <f>IF(AND(E18="TRACK WARRANT AUTHORITY",G18&lt;10),"OMIT","KEEP")</f>
        <v>KEEP</v>
      </c>
      <c r="Y18" s="11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braking","project_id":79,"tracker_id":40,"status_id":1,"priority_id":2,"assigned_to_id":23,"start_date":"2016-12-05","description":"CPU1 commanded brake, others did not","custom_fields":[{"id":1,"name":"Subdivision","value":"EC"},{"id":4,"name":"Milepost","value":"0.0001"},{"id":17,"name":"Train ID","value":"178-05"},{"id":16,"name":"Locomotive ID","value":"4001"},{"id":130,"name":"Impact","value":"Others"},{"id":150,"name":"Time of Event (Mountain Time)","value":"14:49:08"},{"id":151,"name":"Denver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18" s="53" t="s">
        <v>937</v>
      </c>
      <c r="AA18" s="53" t="s">
        <v>137</v>
      </c>
      <c r="AB18" s="53" t="s">
        <v>174</v>
      </c>
      <c r="AC18" s="138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"%USERPROFILE%\AppData\Local\Temp\OnboardLogs"\RTDC4001\*4001*201612052*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"%USERPROFILE%\AppData\Local\Temp\OnboardLogs"\RTDC4001\*4001*201612052* &gt;&gt; 42709-slicedisagreementcheck.txt</v>
      </c>
    </row>
    <row r="19" spans="1:30" s="1" customFormat="1" x14ac:dyDescent="0.25">
      <c r="A19" s="36">
        <v>42709.670104166667</v>
      </c>
      <c r="B19" s="31" t="s">
        <v>256</v>
      </c>
      <c r="C19" s="31" t="s">
        <v>454</v>
      </c>
      <c r="D19" s="31" t="s">
        <v>49</v>
      </c>
      <c r="E19" s="31" t="s">
        <v>201</v>
      </c>
      <c r="F19" s="47">
        <v>0</v>
      </c>
      <c r="G19" s="47">
        <v>54</v>
      </c>
      <c r="H19" s="47">
        <v>200</v>
      </c>
      <c r="I19" s="47">
        <v>152</v>
      </c>
      <c r="J19" s="31" t="s">
        <v>202</v>
      </c>
      <c r="K19" s="47">
        <v>1</v>
      </c>
      <c r="L19" s="154" t="s">
        <v>51</v>
      </c>
      <c r="M19" s="155">
        <f>CONVERT((I19-K19)/10000,"mi","ft")*IF(L19="Increasing Mileposts (1)",-1,1)</f>
        <v>79.727999999999994</v>
      </c>
      <c r="N19" s="156" t="str">
        <f>VLOOKUP(C19,'Trips&amp;Operators'!$C$1:$G$99999,5,FALSE)</f>
        <v>STEWART MICHAEL</v>
      </c>
      <c r="O19" s="182" t="s">
        <v>196</v>
      </c>
      <c r="P19" s="157"/>
      <c r="Q19" s="31"/>
      <c r="R19" s="100" t="str">
        <f>VLOOKUP(C19,'Train Runs'!$A$13:$AE$9979,31,0)</f>
        <v>aws s3 cp s3://rtdc.mdm.uploadarchive.raw/RTDC4010/ "%USERPROFILE%\AppData\Local\Temp\OnboardLogs"\RTDC4010\2016-12-05 --exclude "*" --recursive --include "*20161205*" &amp; "%USERPROFILE%\Documents\GitHub\mrs-test-scripts\Headless Mode &amp; Sideloading\WalkAndUnGZ.bat" "%USERPROFILE%\AppData\Local\Temp\OnboardLogs"\RTDC4010\2016-12-05 &amp; 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</v>
      </c>
      <c r="S19" s="103" t="str">
        <f>VLOOKUP(C19,'Train Runs'!$A$13:$AE$9979,22,0)</f>
        <v>https://search-rtdc-monitor-bjffxe2xuh6vdkpspy63sjmuny.us-east-1.es.amazonaws.com/_plugin/kibana/#/discover/Steve-Slow-Train-Analysis-(2080s-and-2083s)?_g=(refreshInterval:(display:Off,section:0,value:0),time:(from:'2016-12-05 14:16:39-700',mode:absolute,to:'2016-12-05 17:04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9" s="105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/stypes="*4010*201612052*" /stext=" 23:.+((SYSTEM_STATE.+slice.+state.+changed )|(ment ac)|(multiple cpu faults)|(system.+state.+changed )|(\[timeout)|(PRM\|1\|D)|(kpr)|(kdp)|(\|lc)|(penalty))" /e /r /s</v>
      </c>
      <c r="U19" s="9" t="str">
        <f>MID(B19,13,4)</f>
        <v>4010</v>
      </c>
      <c r="V19" s="36">
        <f>A19-utc_offset/24</f>
        <v>42709.961770833332</v>
      </c>
      <c r="W19" s="50" t="str">
        <f>IF(VALUE(LEFT(IF(LEN(C19)=6,"0"&amp;C19,C19),2))&lt;=2,"EC",IF(OR(VALUE(LEFT(IF(LEN(C19)=6,"0"&amp;C19,C19),2))=8,VALUE(LEFT(IF(LEN(C19)=6,"0"&amp;C19,C19),2))=18),"NW","Other"))</f>
        <v>EC</v>
      </c>
      <c r="X19" s="50" t="str">
        <f>IF(AND(E19="TRACK WARRANT AUTHORITY",G19&lt;10),"OMIT","KEEP")</f>
        <v>KEEP</v>
      </c>
      <c r="Y19" s="11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{"issue":{"subject":"","project_id":79,"tracker_id":40,"status_id":1,"priority_id":2,"assigned_to_id":23,"start_date":"2016-12-05","description":"","custom_fields":[{"id":1,"name":"Subdivision","value":"EC"},{"id":4,"name":"Milepost","value":"0.0001"},{"id":17,"name":"Train ID","value":"188-05"},{"id":16,"name":"Locomotive ID","value":"4010"},{"id":130,"name":"Impact","value":""},{"id":150,"name":"Time of Event (Mountain Time)","value":"16:04:57"},{"id":151,"name":"Denver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"%USERPROFILE%\AppData\Local\Temp\OnboardLogs"\RTDC4010\*4010*201612052*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"%USERPROFILE%\AppData\Local\Temp\OnboardLogs"\RTDC4010\*4010*201612052* &gt;&gt; 42709-slicedisagreementcheck.txt</v>
      </c>
    </row>
    <row r="20" spans="1:30" s="1" customFormat="1" x14ac:dyDescent="0.25">
      <c r="A20" s="36">
        <v>42709.804467592592</v>
      </c>
      <c r="B20" s="31" t="s">
        <v>221</v>
      </c>
      <c r="C20" s="31" t="s">
        <v>458</v>
      </c>
      <c r="D20" s="31" t="s">
        <v>49</v>
      </c>
      <c r="E20" s="31" t="s">
        <v>201</v>
      </c>
      <c r="F20" s="47">
        <v>0</v>
      </c>
      <c r="G20" s="47">
        <v>56</v>
      </c>
      <c r="H20" s="47">
        <v>181</v>
      </c>
      <c r="I20" s="47">
        <v>130</v>
      </c>
      <c r="J20" s="31" t="s">
        <v>202</v>
      </c>
      <c r="K20" s="47">
        <v>1</v>
      </c>
      <c r="L20" s="154" t="s">
        <v>51</v>
      </c>
      <c r="M20" s="155">
        <f>CONVERT((I20-K20)/10000,"mi","ft")*IF(L20="Increasing Mileposts (1)",-1,1)</f>
        <v>68.111999999999995</v>
      </c>
      <c r="N20" s="156" t="str">
        <f>VLOOKUP(C20,'Trips&amp;Operators'!$C$1:$G$99999,5,FALSE)</f>
        <v>HOLCOMB KAMDEN</v>
      </c>
      <c r="O20" s="182" t="s">
        <v>196</v>
      </c>
      <c r="P20" s="157"/>
      <c r="Q20" s="31"/>
      <c r="R20" s="100" t="str">
        <f>VLOOKUP(C20,'Train Runs'!$A$13:$AE$9979,31,0)</f>
        <v>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 &amp; aws s3 cp s3://rtdc.mdm.uploadarchive.raw/RTDC4037/ "%USERPROFILE%\AppData\Local\Temp\OnboardLogs"\RTDC4037\2016-12-06 --exclude "*" --recursive --include "*20161206*" &amp; "%USERPROFILE%\Documents\GitHub\mrs-test-scripts\Headless Mode &amp; Sideloading\WalkAndUnGZ.bat" "%USERPROFILE%\AppData\Local\Temp\OnboardLogs"\RTDC4037\2016-12-06</v>
      </c>
      <c r="S20" s="103" t="str">
        <f>VLOOKUP(C20,'Train Runs'!$A$13:$AE$9979,22,0)</f>
        <v>https://search-rtdc-monitor-bjffxe2xuh6vdkpspy63sjmuny.us-east-1.es.amazonaws.com/_plugin/kibana/#/discover/Steve-Slow-Train-Analysis-(2080s-and-2083s)?_g=(refreshInterval:(display:Off,section:0,value:0),time:(from:'2016-12-05 17:32:07-700',mode:absolute,to:'2016-12-05 20:18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0" s="105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/stypes="*4037*201612060*" /stext=" 02:.+((SYSTEM_STATE.+slice.+state.+changed )|(ment ac)|(multiple cpu faults)|(system.+state.+changed )|(\[timeout)|(PRM\|1\|D)|(kpr)|(kdp)|(\|lc)|(penalty))" /e /r /s</v>
      </c>
      <c r="U20" s="9" t="str">
        <f>MID(B20,13,4)</f>
        <v>4037</v>
      </c>
      <c r="V20" s="36">
        <f>A20-utc_offset/24</f>
        <v>42710.096134259256</v>
      </c>
      <c r="W20" s="50" t="str">
        <f>IF(VALUE(LEFT(IF(LEN(C20)=6,"0"&amp;C20,C20),2))&lt;=2,"EC",IF(OR(VALUE(LEFT(IF(LEN(C20)=6,"0"&amp;C20,C20),2))=8,VALUE(LEFT(IF(LEN(C20)=6,"0"&amp;C20,C20),2))=18),"NW","Other"))</f>
        <v>EC</v>
      </c>
      <c r="X20" s="50" t="str">
        <f>IF(AND(E20="TRACK WARRANT AUTHORITY",G20&lt;10),"OMIT","KEEP")</f>
        <v>KEEP</v>
      </c>
      <c r="Y20" s="11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{"issue":{"subject":"","project_id":79,"tracker_id":40,"status_id":1,"priority_id":2,"assigned_to_id":23,"start_date":"2016-12-05","description":"","custom_fields":[{"id":1,"name":"Subdivision","value":"EC"},{"id":4,"name":"Milepost","value":"0.0001"},{"id":17,"name":"Train ID","value":"214-05"},{"id":16,"name":"Locomotive ID","value":"4037"},{"id":130,"name":"Impact","value":""},{"id":150,"name":"Time of Event (Mountain Time)","value":"19:18:26"},{"id":151,"name":"Denver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"%USERPROFILE%\AppData\Local\Temp\OnboardLogs"\RTDC4037\*4037*201612060*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"%USERPROFILE%\AppData\Local\Temp\OnboardLogs"\RTDC4037\*4037*201612060* &gt;&gt; 42709-slicedisagreementcheck.txt</v>
      </c>
    </row>
    <row r="21" spans="1:30" x14ac:dyDescent="0.25">
      <c r="A21" s="36">
        <v>42709.160752314812</v>
      </c>
      <c r="B21" s="31" t="s">
        <v>207</v>
      </c>
      <c r="C21" s="31" t="s">
        <v>426</v>
      </c>
      <c r="D21" s="31" t="s">
        <v>49</v>
      </c>
      <c r="E21" s="31" t="s">
        <v>201</v>
      </c>
      <c r="F21" s="47">
        <v>0</v>
      </c>
      <c r="G21" s="47">
        <v>154</v>
      </c>
      <c r="H21" s="47">
        <v>232719</v>
      </c>
      <c r="I21" s="47">
        <v>232970</v>
      </c>
      <c r="J21" s="31" t="s">
        <v>202</v>
      </c>
      <c r="K21" s="47">
        <v>233491</v>
      </c>
      <c r="L21" s="154" t="s">
        <v>50</v>
      </c>
      <c r="M21" s="155">
        <f>CONVERT((I21-K21)/10000,"mi","ft")*IF(L21="Increasing Mileposts (1)",-1,1)</f>
        <v>275.08800000000002</v>
      </c>
      <c r="N21" s="156" t="str">
        <f>VLOOKUP(C21,'Trips&amp;Operators'!$C$1:$G$99999,5,FALSE)</f>
        <v>KILLION DAVID</v>
      </c>
      <c r="O21" s="182" t="s">
        <v>196</v>
      </c>
      <c r="P21" s="157"/>
      <c r="Q21" s="31"/>
      <c r="R21" s="100" t="str">
        <f>VLOOKUP(C21,'Train Runs'!$A$13:$AE$9979,31,0)</f>
        <v>aws s3 cp s3://rtdc.mdm.uploadarchive.raw/RTDC4011/ "%USERPROFILE%\AppData\Local\Temp\OnboardLogs"\RTDC4011\2016-12-05 --exclude "*" --recursive --include "*20161205*" &amp; "%USERPROFILE%\Documents\GitHub\mrs-test-scripts\Headless Mode &amp; Sideloading\WalkAndUnGZ.bat" "%USERPROFILE%\AppData\Local\Temp\OnboardLogs"\RTDC4011\2016-12-05 &amp; 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</v>
      </c>
      <c r="S21" s="103" t="str">
        <f>VLOOKUP(C21,'Train Runs'!$A$13:$AE$9979,22,0)</f>
        <v>https://search-rtdc-monitor-bjffxe2xuh6vdkpspy63sjmuny.us-east-1.es.amazonaws.com/_plugin/kibana/#/discover/Steve-Slow-Train-Analysis-(2080s-and-2083s)?_g=(refreshInterval:(display:Off,section:0,value:0),time:(from:'2016-12-05 02:09:00-700',mode:absolute,to:'2016-12-05 04:50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1" s="105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/stypes="*4011*201612051*" /stext=" 10:.+((SYSTEM_STATE.+slice.+state.+changed )|(ment ac)|(multiple cpu faults)|(system.+state.+changed )|(\[timeout)|(PRM\|1\|D)|(kpr)|(kdp)|(\|lc)|(penalty))" /e /r /s</v>
      </c>
      <c r="U21" s="9" t="str">
        <f>MID(B21,13,4)</f>
        <v>4011</v>
      </c>
      <c r="V21" s="36">
        <f>A21-utc_offset/24</f>
        <v>42709.452418981477</v>
      </c>
      <c r="W21" s="50" t="str">
        <f>IF(VALUE(LEFT(IF(LEN(C21)=6,"0"&amp;C21,C21),2))&lt;=2,"EC",IF(OR(VALUE(LEFT(IF(LEN(C21)=6,"0"&amp;C21,C21),2))=8,VALUE(LEFT(IF(LEN(C21)=6,"0"&amp;C21,C21),2))=18),"NW","Other"))</f>
        <v>EC</v>
      </c>
      <c r="X21" s="50" t="str">
        <f>IF(AND(E21="TRACK WARRANT AUTHORITY",G21&lt;10),"OMIT","KEEP")</f>
        <v>KEEP</v>
      </c>
      <c r="Y21" s="11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{"issue":{"subject":"","project_id":79,"tracker_id":40,"status_id":1,"priority_id":2,"assigned_to_id":23,"start_date":"2016-12-05","description":"","custom_fields":[{"id":1,"name":"Subdivision","value":"EC"},{"id":4,"name":"Milepost","value":"23.3491"},{"id":17,"name":"Train ID","value":"101-05"},{"id":16,"name":"Locomotive ID","value":"4011"},{"id":130,"name":"Impact","value":""},{"id":150,"name":"Time of Event (Mountain Time)","value":"03:51:29"},{"id":151,"name":"Denver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"%USERPROFILE%\AppData\Local\Temp\OnboardLogs"\RTDC4011\*4011*201612051*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"%USERPROFILE%\AppData\Local\Temp\OnboardLogs"\RTDC4011\*4011*201612051* &gt;&gt; 42709-slicedisagreementcheck.txt</v>
      </c>
    </row>
    <row r="22" spans="1:30" x14ac:dyDescent="0.25">
      <c r="A22" s="36">
        <v>42709.161203703705</v>
      </c>
      <c r="B22" s="31" t="s">
        <v>207</v>
      </c>
      <c r="C22" s="31" t="s">
        <v>426</v>
      </c>
      <c r="D22" s="31" t="s">
        <v>49</v>
      </c>
      <c r="E22" s="31" t="s">
        <v>201</v>
      </c>
      <c r="F22" s="47">
        <v>0</v>
      </c>
      <c r="G22" s="47">
        <v>60</v>
      </c>
      <c r="H22" s="47">
        <v>233081</v>
      </c>
      <c r="I22" s="47">
        <v>233149</v>
      </c>
      <c r="J22" s="31" t="s">
        <v>202</v>
      </c>
      <c r="K22" s="47">
        <v>233491</v>
      </c>
      <c r="L22" s="154" t="s">
        <v>50</v>
      </c>
      <c r="M22" s="155">
        <f>CONVERT((I22-K22)/10000,"mi","ft")*IF(L22="Increasing Mileposts (1)",-1,1)</f>
        <v>180.57599999999999</v>
      </c>
      <c r="N22" s="156" t="str">
        <f>VLOOKUP(C22,'Trips&amp;Operators'!$C$1:$G$99999,5,FALSE)</f>
        <v>KILLION DAVID</v>
      </c>
      <c r="O22" s="182" t="s">
        <v>196</v>
      </c>
      <c r="P22" s="157"/>
      <c r="Q22" s="31"/>
      <c r="R22" s="100" t="str">
        <f>VLOOKUP(C22,'Train Runs'!$A$13:$AE$9979,31,0)</f>
        <v>aws s3 cp s3://rtdc.mdm.uploadarchive.raw/RTDC4011/ "%USERPROFILE%\AppData\Local\Temp\OnboardLogs"\RTDC4011\2016-12-05 --exclude "*" --recursive --include "*20161205*" &amp; "%USERPROFILE%\Documents\GitHub\mrs-test-scripts\Headless Mode &amp; Sideloading\WalkAndUnGZ.bat" "%USERPROFILE%\AppData\Local\Temp\OnboardLogs"\RTDC4011\2016-12-05 &amp; 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</v>
      </c>
      <c r="S22" s="103" t="str">
        <f>VLOOKUP(C22,'Train Runs'!$A$13:$AE$9979,22,0)</f>
        <v>https://search-rtdc-monitor-bjffxe2xuh6vdkpspy63sjmuny.us-east-1.es.amazonaws.com/_plugin/kibana/#/discover/Steve-Slow-Train-Analysis-(2080s-and-2083s)?_g=(refreshInterval:(display:Off,section:0,value:0),time:(from:'2016-12-05 02:09:00-700',mode:absolute,to:'2016-12-05 04:50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2" s="105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/stypes="*4011*201612051*" /stext=" 10:.+((SYSTEM_STATE.+slice.+state.+changed )|(ment ac)|(multiple cpu faults)|(system.+state.+changed )|(\[timeout)|(PRM\|1\|D)|(kpr)|(kdp)|(\|lc)|(penalty))" /e /r /s</v>
      </c>
      <c r="U22" s="9" t="str">
        <f>MID(B22,13,4)</f>
        <v>4011</v>
      </c>
      <c r="V22" s="36">
        <f>A22-utc_offset/24</f>
        <v>42709.452870370369</v>
      </c>
      <c r="W22" s="50" t="str">
        <f>IF(VALUE(LEFT(IF(LEN(C22)=6,"0"&amp;C22,C22),2))&lt;=2,"EC",IF(OR(VALUE(LEFT(IF(LEN(C22)=6,"0"&amp;C22,C22),2))=8,VALUE(LEFT(IF(LEN(C22)=6,"0"&amp;C22,C22),2))=18),"NW","Other"))</f>
        <v>EC</v>
      </c>
      <c r="X22" s="50" t="str">
        <f>IF(AND(E22="TRACK WARRANT AUTHORITY",G22&lt;10),"OMIT","KEEP")</f>
        <v>KEEP</v>
      </c>
      <c r="Y22" s="11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{"issue":{"subject":"","project_id":79,"tracker_id":40,"status_id":1,"priority_id":2,"assigned_to_id":23,"start_date":"2016-12-05","description":"","custom_fields":[{"id":1,"name":"Subdivision","value":"EC"},{"id":4,"name":"Milepost","value":"23.3491"},{"id":17,"name":"Train ID","value":"101-05"},{"id":16,"name":"Locomotive ID","value":"4011"},{"id":130,"name":"Impact","value":""},{"id":150,"name":"Time of Event (Mountain Time)","value":"03:52:08"},{"id":151,"name":"Denver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"%USERPROFILE%\AppData\Local\Temp\OnboardLogs"\RTDC4011\*4011*201612051*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"%USERPROFILE%\AppData\Local\Temp\OnboardLogs"\RTDC4011\*4011*201612051* &gt;&gt; 42709-slicedisagreementcheck.txt</v>
      </c>
    </row>
    <row r="23" spans="1:30" x14ac:dyDescent="0.25">
      <c r="A23" s="36">
        <v>42709.368113425924</v>
      </c>
      <c r="B23" s="31" t="s">
        <v>184</v>
      </c>
      <c r="C23" s="31" t="s">
        <v>437</v>
      </c>
      <c r="D23" s="31" t="s">
        <v>49</v>
      </c>
      <c r="E23" s="31" t="s">
        <v>201</v>
      </c>
      <c r="F23" s="47">
        <v>0</v>
      </c>
      <c r="G23" s="47">
        <v>155</v>
      </c>
      <c r="H23" s="47">
        <v>232507</v>
      </c>
      <c r="I23" s="47">
        <v>232726</v>
      </c>
      <c r="J23" s="31" t="s">
        <v>202</v>
      </c>
      <c r="K23" s="47">
        <v>233491</v>
      </c>
      <c r="L23" s="154" t="s">
        <v>50</v>
      </c>
      <c r="M23" s="155">
        <f>CONVERT((I23-K23)/10000,"mi","ft")*IF(L23="Increasing Mileposts (1)",-1,1)</f>
        <v>403.92</v>
      </c>
      <c r="N23" s="156" t="str">
        <f>VLOOKUP(C23,'Trips&amp;Operators'!$C$1:$G$99999,5,FALSE)</f>
        <v>YORK EDGAR</v>
      </c>
      <c r="O23" s="182" t="s">
        <v>196</v>
      </c>
      <c r="P23" s="157"/>
      <c r="Q23" s="31"/>
      <c r="R23" s="100" t="str">
        <f>VLOOKUP(C23,'Train Runs'!$A$13:$AE$9979,31,0)</f>
        <v>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 &amp; 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</v>
      </c>
      <c r="S23" s="103" t="str">
        <f>VLOOKUP(C23,'Train Runs'!$A$13:$AE$9979,22,0)</f>
        <v>https://search-rtdc-monitor-bjffxe2xuh6vdkpspy63sjmuny.us-east-1.es.amazonaws.com/_plugin/kibana/#/discover/Steve-Slow-Train-Analysis-(2080s-and-2083s)?_g=(refreshInterval:(display:Off,section:0,value:0),time:(from:'2016-12-05 07:07:51-700',mode:absolute,to:'2016-12-05 09:51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3" s="105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/stypes="*4044*201612051*" /stext=" 15:.+((SYSTEM_STATE.+slice.+state.+changed )|(ment ac)|(multiple cpu faults)|(system.+state.+changed )|(\[timeout)|(PRM\|1\|D)|(kpr)|(kdp)|(\|lc)|(penalty))" /e /r /s</v>
      </c>
      <c r="U23" s="9" t="str">
        <f>MID(B23,13,4)</f>
        <v>4044</v>
      </c>
      <c r="V23" s="36">
        <f>A23-utc_offset/24</f>
        <v>42709.659780092588</v>
      </c>
      <c r="W23" s="50" t="str">
        <f>IF(VALUE(LEFT(IF(LEN(C23)=6,"0"&amp;C23,C23),2))&lt;=2,"EC",IF(OR(VALUE(LEFT(IF(LEN(C23)=6,"0"&amp;C23,C23),2))=8,VALUE(LEFT(IF(LEN(C23)=6,"0"&amp;C23,C23),2))=18),"NW","Other"))</f>
        <v>EC</v>
      </c>
      <c r="X23" s="50" t="str">
        <f>IF(AND(E23="TRACK WARRANT AUTHORITY",G23&lt;10),"OMIT","KEEP")</f>
        <v>KEEP</v>
      </c>
      <c r="Y23" s="11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{"issue":{"subject":"","project_id":79,"tracker_id":40,"status_id":1,"priority_id":2,"assigned_to_id":23,"start_date":"2016-12-05","description":"","custom_fields":[{"id":1,"name":"Subdivision","value":"EC"},{"id":4,"name":"Milepost","value":"23.3491"},{"id":17,"name":"Train ID","value":"137-05"},{"id":16,"name":"Locomotive ID","value":"4044"},{"id":130,"name":"Impact","value":""},{"id":150,"name":"Time of Event (Mountain Time)","value":"08:50:05"},{"id":151,"name":"Denver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"%USERPROFILE%\AppData\Local\Temp\OnboardLogs"\RTDC4044\*4044*201612051*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"%USERPROFILE%\AppData\Local\Temp\OnboardLogs"\RTDC4044\*4044*201612051* &gt;&gt; 42709-slicedisagreementcheck.txt</v>
      </c>
    </row>
    <row r="24" spans="1:30" ht="15" customHeight="1" x14ac:dyDescent="0.25">
      <c r="A24" s="36">
        <v>42709.661041666666</v>
      </c>
      <c r="B24" s="31" t="s">
        <v>184</v>
      </c>
      <c r="C24" s="31" t="s">
        <v>452</v>
      </c>
      <c r="D24" s="31" t="s">
        <v>49</v>
      </c>
      <c r="E24" s="31" t="s">
        <v>201</v>
      </c>
      <c r="F24" s="47">
        <v>0</v>
      </c>
      <c r="G24" s="47">
        <v>82</v>
      </c>
      <c r="H24" s="47">
        <v>233178</v>
      </c>
      <c r="I24" s="47">
        <v>233264</v>
      </c>
      <c r="J24" s="31" t="s">
        <v>202</v>
      </c>
      <c r="K24" s="47">
        <v>233491</v>
      </c>
      <c r="L24" s="154" t="s">
        <v>50</v>
      </c>
      <c r="M24" s="155">
        <f>CONVERT((I24-K24)/10000,"mi","ft")*IF(L24="Increasing Mileposts (1)",-1,1)</f>
        <v>119.85599999999999</v>
      </c>
      <c r="N24" s="156" t="str">
        <f>VLOOKUP(C24,'Trips&amp;Operators'!$C$1:$G$99999,5,FALSE)</f>
        <v>CLARK KATHLEEN</v>
      </c>
      <c r="O24" s="182" t="s">
        <v>196</v>
      </c>
      <c r="P24" s="157"/>
      <c r="Q24" s="31"/>
      <c r="R24" s="100" t="str">
        <f>VLOOKUP(C24,'Train Runs'!$A$13:$AE$9979,31,0)</f>
        <v>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 &amp; 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</v>
      </c>
      <c r="S24" s="103" t="str">
        <f>VLOOKUP(C24,'Train Runs'!$A$13:$AE$9979,22,0)</f>
        <v>https://search-rtdc-monitor-bjffxe2xuh6vdkpspy63sjmuny.us-east-1.es.amazonaws.com/_plugin/kibana/#/discover/Steve-Slow-Train-Analysis-(2080s-and-2083s)?_g=(refreshInterval:(display:Off,section:0,value:0),time:(from:'2016-12-05 14:09:07-700',mode:absolute,to:'2016-12-05 16:51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4" s="105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/stypes="*4044*201612052*" /stext=" 22:.+((SYSTEM_STATE.+slice.+state.+changed )|(ment ac)|(multiple cpu faults)|(system.+state.+changed )|(\[timeout)|(PRM\|1\|D)|(kpr)|(kdp)|(\|lc)|(penalty))" /e /r /s</v>
      </c>
      <c r="U24" s="9" t="str">
        <f>MID(B24,13,4)</f>
        <v>4044</v>
      </c>
      <c r="V24" s="36">
        <f>A24-utc_offset/24</f>
        <v>42709.952708333331</v>
      </c>
      <c r="W24" s="50" t="str">
        <f>IF(VALUE(LEFT(IF(LEN(C24)=6,"0"&amp;C24,C24),2))&lt;=2,"EC",IF(OR(VALUE(LEFT(IF(LEN(C24)=6,"0"&amp;C24,C24),2))=8,VALUE(LEFT(IF(LEN(C24)=6,"0"&amp;C24,C24),2))=18),"NW","Other"))</f>
        <v>EC</v>
      </c>
      <c r="X24" s="50" t="str">
        <f>IF(AND(E24="TRACK WARRANT AUTHORITY",G24&lt;10),"OMIT","KEEP")</f>
        <v>KEEP</v>
      </c>
      <c r="Y24" s="11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{"issue":{"subject":"","project_id":79,"tracker_id":40,"status_id":1,"priority_id":2,"assigned_to_id":23,"start_date":"2016-12-05","description":"","custom_fields":[{"id":1,"name":"Subdivision","value":"EC"},{"id":4,"name":"Milepost","value":"23.3491"},{"id":17,"name":"Train ID","value":"193-05"},{"id":16,"name":"Locomotive ID","value":"4044"},{"id":130,"name":"Impact","value":""},{"id":150,"name":"Time of Event (Mountain Time)","value":"15:51:54"},{"id":151,"name":"Denver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"%USERPROFILE%\AppData\Local\Temp\OnboardLogs"\RTDC4044\*4044*201612052*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"%USERPROFILE%\AppData\Local\Temp\OnboardLogs"\RTDC4044\*4044*201612052* &gt;&gt; 42709-slicedisagreementcheck.txt</v>
      </c>
    </row>
    <row r="25" spans="1:30" x14ac:dyDescent="0.25">
      <c r="A25" s="36">
        <v>42709.713333333333</v>
      </c>
      <c r="B25" s="31" t="s">
        <v>248</v>
      </c>
      <c r="C25" s="31" t="s">
        <v>456</v>
      </c>
      <c r="D25" s="31" t="s">
        <v>49</v>
      </c>
      <c r="E25" s="31" t="s">
        <v>201</v>
      </c>
      <c r="F25" s="47">
        <v>0</v>
      </c>
      <c r="G25" s="47">
        <v>77</v>
      </c>
      <c r="H25" s="47">
        <v>233236</v>
      </c>
      <c r="I25" s="47">
        <v>233309</v>
      </c>
      <c r="J25" s="31" t="s">
        <v>202</v>
      </c>
      <c r="K25" s="47">
        <v>233491</v>
      </c>
      <c r="L25" s="154" t="s">
        <v>50</v>
      </c>
      <c r="M25" s="155">
        <f>CONVERT((I25-K25)/10000,"mi","ft")*IF(L25="Increasing Mileposts (1)",-1,1)</f>
        <v>96.096000000000004</v>
      </c>
      <c r="N25" s="156" t="str">
        <f>VLOOKUP(C25,'Trips&amp;Operators'!$C$1:$G$99999,5,FALSE)</f>
        <v>BARTLETT KIANDRA</v>
      </c>
      <c r="O25" s="182" t="s">
        <v>196</v>
      </c>
      <c r="P25" s="157"/>
      <c r="Q25" s="31"/>
      <c r="R25" s="100" t="str">
        <f>VLOOKUP(C25,'Train Runs'!$A$13:$AE$9979,31,0)</f>
        <v>aws s3 cp s3://rtdc.mdm.uploadarchive.raw/RTDC4042/ "%USERPROFILE%\AppData\Local\Temp\OnboardLogs"\RTDC4042\2016-12-05 --exclude "*" --recursive --include "*20161205*" &amp; "%USERPROFILE%\Documents\GitHub\mrs-test-scripts\Headless Mode &amp; Sideloading\WalkAndUnGZ.bat" "%USERPROFILE%\AppData\Local\Temp\OnboardLogs"\RTDC4042\2016-12-05 &amp; aws s3 cp s3://rtdc.mdm.uploadarchive.raw/RTDC4042/ "%USERPROFILE%\AppData\Local\Temp\OnboardLogs"\RTDC4042\2016-12-06 --exclude "*" --recursive --include "*20161206*" &amp; "%USERPROFILE%\Documents\GitHub\mrs-test-scripts\Headless Mode &amp; Sideloading\WalkAndUnGZ.bat" "%USERPROFILE%\AppData\Local\Temp\OnboardLogs"\RTDC4042\2016-12-06</v>
      </c>
      <c r="S25" s="103" t="str">
        <f>VLOOKUP(C25,'Train Runs'!$A$13:$AE$9979,22,0)</f>
        <v>https://search-rtdc-monitor-bjffxe2xuh6vdkpspy63sjmuny.us-east-1.es.amazonaws.com/_plugin/kibana/#/discover/Steve-Slow-Train-Analysis-(2080s-and-2083s)?_g=(refreshInterval:(display:Off,section:0,value:0),time:(from:'2016-12-05 15:21:33-700',mode:absolute,to:'2016-12-05 18:07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5" s="105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/stypes="*4042*201612060*" /stext=" 00:.+((SYSTEM_STATE.+slice.+state.+changed )|(ment ac)|(multiple cpu faults)|(system.+state.+changed )|(\[timeout)|(PRM\|1\|D)|(kpr)|(kdp)|(\|lc)|(penalty))" /e /r /s</v>
      </c>
      <c r="U25" s="9" t="str">
        <f>MID(B25,13,4)</f>
        <v>4042</v>
      </c>
      <c r="V25" s="36">
        <f>A25-utc_offset/24</f>
        <v>42710.004999999997</v>
      </c>
      <c r="W25" s="50" t="str">
        <f>IF(VALUE(LEFT(IF(LEN(C25)=6,"0"&amp;C25,C25),2))&lt;=2,"EC",IF(OR(VALUE(LEFT(IF(LEN(C25)=6,"0"&amp;C25,C25),2))=8,VALUE(LEFT(IF(LEN(C25)=6,"0"&amp;C25,C25),2))=18),"NW","Other"))</f>
        <v>EC</v>
      </c>
      <c r="X25" s="50" t="str">
        <f>IF(AND(E25="TRACK WARRANT AUTHORITY",G25&lt;10),"OMIT","KEEP")</f>
        <v>KEEP</v>
      </c>
      <c r="Y25" s="11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{"issue":{"subject":"","project_id":79,"tracker_id":40,"status_id":1,"priority_id":2,"assigned_to_id":23,"start_date":"2016-12-05","description":"","custom_fields":[{"id":1,"name":"Subdivision","value":"EC"},{"id":4,"name":"Milepost","value":"23.3491"},{"id":17,"name":"Train ID","value":"203-05"},{"id":16,"name":"Locomotive ID","value":"4042"},{"id":130,"name":"Impact","value":""},{"id":150,"name":"Time of Event (Mountain Time)","value":"17:07:12"},{"id":151,"name":"Denver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"%USERPROFILE%\AppData\Local\Temp\OnboardLogs"\RTDC4042\*4042*201612060*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"%USERPROFILE%\AppData\Local\Temp\OnboardLogs"\RTDC4042\*4042*201612060* &gt;&gt; 42709-slicedisagreementcheck.txt</v>
      </c>
    </row>
    <row r="26" spans="1:30" x14ac:dyDescent="0.25">
      <c r="A26" s="36">
        <v>42709.563796296294</v>
      </c>
      <c r="B26" s="31" t="s">
        <v>232</v>
      </c>
      <c r="C26" s="31" t="s">
        <v>447</v>
      </c>
      <c r="D26" s="31" t="s">
        <v>49</v>
      </c>
      <c r="E26" s="31" t="s">
        <v>197</v>
      </c>
      <c r="F26" s="47">
        <v>150</v>
      </c>
      <c r="G26" s="47">
        <v>357</v>
      </c>
      <c r="H26" s="47">
        <v>55940</v>
      </c>
      <c r="I26" s="47">
        <v>56735</v>
      </c>
      <c r="J26" s="31" t="s">
        <v>198</v>
      </c>
      <c r="K26" s="47">
        <v>57008</v>
      </c>
      <c r="L26" s="154" t="s">
        <v>50</v>
      </c>
      <c r="M26" s="155">
        <f>CONVERT((I26-K26)/10000,"mi","ft")*IF(L26="Increasing Mileposts (1)",-1,1)</f>
        <v>144.14400000000001</v>
      </c>
      <c r="N26" s="156" t="str">
        <f>VLOOKUP(C26,'Trips&amp;Operators'!$C$1:$G$99999,5,FALSE)</f>
        <v>BRUDER RICHARD</v>
      </c>
      <c r="O26" s="182" t="s">
        <v>196</v>
      </c>
      <c r="P26" s="157"/>
      <c r="Q26" s="31"/>
      <c r="R26" s="100" t="str">
        <f>VLOOKUP(C26,'Train Runs'!$A$13:$AE$9979,31,0)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S26" s="103" t="str">
        <f>VLOOKUP(C26,'Train Runs'!$A$13:$AE$9979,22,0)</f>
        <v>https://search-rtdc-monitor-bjffxe2xuh6vdkpspy63sjmuny.us-east-1.es.amazonaws.com/_plugin/kibana/#/discover/Steve-Slow-Train-Analysis-(2080s-and-2083s)?_g=(refreshInterval:(display:Off,section:0,value:0),time:(from:'2016-12-05 12:06:50-700',mode:absolute,to:'2016-12-05 14:34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6" s="105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/stypes="*4014*201612052*" /stext=" 20:.+((SYSTEM_STATE.+slice.+state.+changed )|(ment ac)|(multiple cpu faults)|(system.+state.+changed )|(\[timeout)|(PRM\|1\|D)|(kpr)|(kdp)|(\|lc)|(penalty))" /e /r /s</v>
      </c>
      <c r="U26" s="9" t="str">
        <f>MID(B26,13,4)</f>
        <v>4014</v>
      </c>
      <c r="V26" s="36">
        <f>A26-utc_offset/24</f>
        <v>42709.855462962958</v>
      </c>
      <c r="W26" s="50" t="str">
        <f>IF(VALUE(LEFT(IF(LEN(C26)=6,"0"&amp;C26,C26),2))&lt;=2,"EC",IF(OR(VALUE(LEFT(IF(LEN(C26)=6,"0"&amp;C26,C26),2))=8,VALUE(LEFT(IF(LEN(C26)=6,"0"&amp;C26,C26),2))=18),"NW","Other"))</f>
        <v>NW</v>
      </c>
      <c r="X26" s="50" t="str">
        <f>IF(AND(E26="TRACK WARRANT AUTHORITY",G26&lt;10),"OMIT","KEEP")</f>
        <v>KEEP</v>
      </c>
      <c r="Y26" s="11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{"issue":{"subject":"","project_id":79,"tracker_id":40,"status_id":1,"priority_id":2,"assigned_to_id":23,"start_date":"2016-12-05","description":"","custom_fields":[{"id":1,"name":"Subdivision","value":"NW"},{"id":4,"name":"Milepost","value":"5.7008"},{"id":17,"name":"Train ID","value":"821-05"},{"id":16,"name":"Locomotive ID","value":"4014"},{"id":130,"name":"Impact","value":""},{"id":150,"name":"Time of Event (Mountain Time)","value":"13:31:52"},{"id":151,"name":"Denver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"%USERPROFILE%\AppData\Local\Temp\OnboardLogs"\RTDC4014\*4014*201612052*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"%USERPROFILE%\AppData\Local\Temp\OnboardLogs"\RTDC4014\*4014*201612052* &gt;&gt; 42709-slicedisagreementcheck.txt</v>
      </c>
    </row>
    <row r="27" spans="1:30" x14ac:dyDescent="0.25">
      <c r="A27" s="36">
        <v>42709.412175925929</v>
      </c>
      <c r="B27" s="31" t="s">
        <v>233</v>
      </c>
      <c r="C27" s="31" t="s">
        <v>438</v>
      </c>
      <c r="D27" s="31" t="s">
        <v>98</v>
      </c>
      <c r="E27" s="31" t="s">
        <v>439</v>
      </c>
      <c r="F27" s="47">
        <v>0</v>
      </c>
      <c r="G27" s="47">
        <v>36</v>
      </c>
      <c r="H27" s="47">
        <v>2137</v>
      </c>
      <c r="I27" s="47">
        <v>2132</v>
      </c>
      <c r="J27" s="31" t="s">
        <v>440</v>
      </c>
      <c r="K27" s="47">
        <v>2825</v>
      </c>
      <c r="L27" s="154" t="s">
        <v>51</v>
      </c>
      <c r="M27" s="155">
        <f>CONVERT((I27-K27)/10000,"mi","ft")*IF(L27="Increasing Mileposts (1)",-1,1)</f>
        <v>-365.904</v>
      </c>
      <c r="N27" s="156" t="str">
        <f>VLOOKUP(C27,'Trips&amp;Operators'!$C$1:$G$99999,5,FALSE)</f>
        <v>SAFIEF AEIMEN</v>
      </c>
      <c r="O27" s="182" t="s">
        <v>235</v>
      </c>
      <c r="P27" s="157" t="s">
        <v>425</v>
      </c>
      <c r="Q27" s="31"/>
      <c r="R27" s="100" t="str">
        <f>VLOOKUP(C27,'Train Runs'!$A$13:$AE$9979,31,0)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S27" s="103" t="str">
        <f>VLOOKUP(C27,'Train Runs'!$A$13:$AE$9979,22,0)</f>
        <v>https://search-rtdc-monitor-bjffxe2xuh6vdkpspy63sjmuny.us-east-1.es.amazonaws.com/_plugin/kibana/#/discover/Steve-Slow-Train-Analysis-(2080s-and-2083s)?_g=(refreshInterval:(display:Off,section:0,value:0),time:(from:'2016-12-05 08:35:29-700',mode:absolute,to:'2016-12-05 10:55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7" s="105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/stypes="*4013*201612051*" /stext=" 16:.+((SYSTEM_STATE.+slice.+state.+changed )|(ment ac)|(multiple cpu faults)|(system.+state.+changed )|(\[timeout)|(PRM\|1\|D)|(kpr)|(kdp)|(\|lc)|(penalty))" /e /r /s</v>
      </c>
      <c r="U27" s="9" t="str">
        <f>MID(B27,13,4)</f>
        <v>4013</v>
      </c>
      <c r="V27" s="36">
        <f>A27-utc_offset/24</f>
        <v>42709.703842592593</v>
      </c>
      <c r="W27" s="50" t="str">
        <f>IF(VALUE(LEFT(IF(LEN(C27)=6,"0"&amp;C27,C27),2))&lt;=2,"EC",IF(OR(VALUE(LEFT(IF(LEN(C27)=6,"0"&amp;C27,C27),2))=8,VALUE(LEFT(IF(LEN(C27)=6,"0"&amp;C27,C27),2))=18),"NW","Other"))</f>
        <v>NW</v>
      </c>
      <c r="X27" s="50" t="str">
        <f>IF(AND(E27="TRACK WARRANT AUTHORITY",G27&lt;10),"OMIT","KEEP")</f>
        <v>KEEP</v>
      </c>
      <c r="Y27" s="11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-05","description":"http://stevetu21.github.io/eaglep3/load_kml.html?kml=http://rtdc.gmaps-snips.s3.amazonaws.com/e3813321-47b1-4317-8f58-22842c09edf3.kml","custom_fields":[{"id":1,"name":"Subdivision","value":"NW"},{"id":4,"name":"Milepost","value":"0.2825"},{"id":17,"name":"Train ID","value":"814-05"},{"id":16,"name":"Locomotive ID","value":"4013"},{"id":130,"name":"Impact","value":"Enforcement"},{"id":150,"name":"Time of Event (Mountain Time)","value":"09:53:32"},{"id":151,"name":"Denver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7" s="185" t="s">
        <v>856</v>
      </c>
      <c r="AA27" s="53" t="s">
        <v>125</v>
      </c>
      <c r="AB27" s="53" t="s">
        <v>138</v>
      </c>
      <c r="AC27" s="138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"%USERPROFILE%\AppData\Local\Temp\OnboardLogs"\RTDC4013\*4013*201612051*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"%USERPROFILE%\AppData\Local\Temp\OnboardLogs"\RTDC4013\*4013*201612051* &gt;&gt; 42709-slicedisagreementcheck.txt</v>
      </c>
    </row>
    <row r="28" spans="1:30" x14ac:dyDescent="0.25">
      <c r="A28" s="36">
        <v>42709.226111111115</v>
      </c>
      <c r="B28" s="31" t="s">
        <v>428</v>
      </c>
      <c r="C28" s="31" t="s">
        <v>429</v>
      </c>
      <c r="D28" s="31" t="s">
        <v>49</v>
      </c>
      <c r="E28" s="31" t="s">
        <v>201</v>
      </c>
      <c r="F28" s="47">
        <v>0</v>
      </c>
      <c r="G28" s="47">
        <v>44</v>
      </c>
      <c r="H28" s="47">
        <v>687</v>
      </c>
      <c r="I28" s="47">
        <v>659</v>
      </c>
      <c r="J28" s="31" t="s">
        <v>202</v>
      </c>
      <c r="K28" s="47">
        <v>575</v>
      </c>
      <c r="L28" s="154" t="s">
        <v>51</v>
      </c>
      <c r="M28" s="155">
        <f>CONVERT((I28-K28)/10000,"mi","ft")*IF(L28="Increasing Mileposts (1)",-1,1)</f>
        <v>44.351999999999997</v>
      </c>
      <c r="N28" s="156" t="str">
        <f>VLOOKUP(C28,'Trips&amp;Operators'!$C$1:$G$99999,5,FALSE)</f>
        <v>DAVIS WENDY</v>
      </c>
      <c r="O28" s="182" t="s">
        <v>196</v>
      </c>
      <c r="P28" s="157"/>
      <c r="Q28" s="31"/>
      <c r="R28" s="100" t="str">
        <f>VLOOKUP(C28,'Train Runs'!$A$13:$AE$9979,31,0)</f>
        <v>aws s3 cp s3://rtdc.mdm.uploadarchive.raw/RTDC4015/ "%USERPROFILE%\AppData\Local\Temp\OnboardLogs"\RTDC4015\2016-12-05 --exclude "*" --recursive --include "*20161205*" &amp; "%USERPROFILE%\Documents\GitHub\mrs-test-scripts\Headless Mode &amp; Sideloading\WalkAndUnGZ.bat" "%USERPROFILE%\AppData\Local\Temp\OnboardLogs"\RTDC4015\2016-12-05 &amp; 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</v>
      </c>
      <c r="S28" s="103" t="str">
        <f>VLOOKUP(C28,'Train Runs'!$A$13:$AE$9979,22,0)</f>
        <v>https://search-rtdc-monitor-bjffxe2xuh6vdkpspy63sjmuny.us-east-1.es.amazonaws.com/_plugin/kibana/#/discover/Steve-Slow-Train-Analysis-(2080s-and-2083s)?_g=(refreshInterval:(display:Off,section:0,value:0),time:(from:'2016-12-05 04:06:22-700',mode:absolute,to:'2016-12-05 06:25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8" s="105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/stypes="*4015*201612051*" /stext=" 12:.+((SYSTEM_STATE.+slice.+state.+changed )|(ment ac)|(multiple cpu faults)|(system.+state.+changed )|(\[timeout)|(PRM\|1\|D)|(kpr)|(kdp)|(\|lc)|(penalty))" /e /r /s</v>
      </c>
      <c r="U28" s="9" t="str">
        <f>MID(B28,13,4)</f>
        <v>4015</v>
      </c>
      <c r="V28" s="36">
        <f>A28-utc_offset/24</f>
        <v>42709.517777777779</v>
      </c>
      <c r="W28" s="50" t="str">
        <f>IF(VALUE(LEFT(IF(LEN(C28)=6,"0"&amp;C28,C28),2))&lt;=2,"EC",IF(OR(VALUE(LEFT(IF(LEN(C28)=6,"0"&amp;C28,C28),2))=8,VALUE(LEFT(IF(LEN(C28)=6,"0"&amp;C28,C28),2))=18),"NW","Other"))</f>
        <v>NW</v>
      </c>
      <c r="X28" s="50" t="str">
        <f>IF(AND(E28="TRACK WARRANT AUTHORITY",G28&lt;10),"OMIT","KEEP")</f>
        <v>KEEP</v>
      </c>
      <c r="Y28" s="11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{"issue":{"subject":"","project_id":79,"tracker_id":40,"status_id":1,"priority_id":2,"assigned_to_id":23,"start_date":"2016-12-05","description":"","custom_fields":[{"id":1,"name":"Subdivision","value":"NW"},{"id":4,"name":"Milepost","value":"0.0575"},{"id":17,"name":"Train ID","value":"800-05"},{"id":16,"name":"Locomotive ID","value":"4015"},{"id":130,"name":"Impact","value":""},{"id":150,"name":"Time of Event (Mountain Time)","value":"05:25:36"},{"id":151,"name":"Denver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"%USERPROFILE%\AppData\Local\Temp\OnboardLogs"\RTDC4015\*4015*201612051*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"%USERPROFILE%\AppData\Local\Temp\OnboardLogs"\RTDC4015\*4015*201612051* &gt;&gt; 42709-slicedisagreementcheck.txt</v>
      </c>
    </row>
    <row r="29" spans="1:30" x14ac:dyDescent="0.25">
      <c r="A29" s="36">
        <v>42709.317210648151</v>
      </c>
      <c r="B29" s="31" t="s">
        <v>428</v>
      </c>
      <c r="C29" s="31" t="s">
        <v>433</v>
      </c>
      <c r="D29" s="31" t="s">
        <v>49</v>
      </c>
      <c r="E29" s="31" t="s">
        <v>201</v>
      </c>
      <c r="F29" s="47">
        <v>0</v>
      </c>
      <c r="G29" s="47">
        <v>64</v>
      </c>
      <c r="H29" s="47">
        <v>775</v>
      </c>
      <c r="I29" s="47">
        <v>722</v>
      </c>
      <c r="J29" s="31" t="s">
        <v>202</v>
      </c>
      <c r="K29" s="47">
        <v>575</v>
      </c>
      <c r="L29" s="154" t="s">
        <v>51</v>
      </c>
      <c r="M29" s="155">
        <f>CONVERT((I29-K29)/10000,"mi","ft")*IF(L29="Increasing Mileposts (1)",-1,1)</f>
        <v>77.616</v>
      </c>
      <c r="N29" s="156" t="str">
        <f>VLOOKUP(C29,'Trips&amp;Operators'!$C$1:$G$99999,5,FALSE)</f>
        <v>DAVIS WENDY</v>
      </c>
      <c r="O29" s="182" t="s">
        <v>196</v>
      </c>
      <c r="P29" s="157"/>
      <c r="Q29" s="31"/>
      <c r="R29" s="100" t="str">
        <f>VLOOKUP(C29,'Train Runs'!$A$13:$AE$9979,31,0)</f>
        <v>aws s3 cp s3://rtdc.mdm.uploadarchive.raw/RTDC4015/ "%USERPROFILE%\AppData\Local\Temp\OnboardLogs"\RTDC4015\2016-12-05 --exclude "*" --recursive --include "*20161205*" &amp; "%USERPROFILE%\Documents\GitHub\mrs-test-scripts\Headless Mode &amp; Sideloading\WalkAndUnGZ.bat" "%USERPROFILE%\AppData\Local\Temp\OnboardLogs"\RTDC4015\2016-12-05 &amp; 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</v>
      </c>
      <c r="S29" s="103" t="str">
        <f>VLOOKUP(C29,'Train Runs'!$A$13:$AE$9979,22,0)</f>
        <v>https://search-rtdc-monitor-bjffxe2xuh6vdkpspy63sjmuny.us-east-1.es.amazonaws.com/_plugin/kibana/#/discover/Steve-Slow-Train-Analysis-(2080s-and-2083s)?_g=(refreshInterval:(display:Off,section:0,value:0),time:(from:'2016-12-05 06:22:02-700',mode:absolute,to:'2016-12-05 08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9" s="105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/stypes="*4015*201612051*" /stext=" 14:.+((SYSTEM_STATE.+slice.+state.+changed )|(ment ac)|(multiple cpu faults)|(system.+state.+changed )|(\[timeout)|(PRM\|1\|D)|(kpr)|(kdp)|(\|lc)|(penalty))" /e /r /s</v>
      </c>
      <c r="U29" s="9" t="str">
        <f>MID(B29,13,4)</f>
        <v>4015</v>
      </c>
      <c r="V29" s="36">
        <f>A29-utc_offset/24</f>
        <v>42709.608877314815</v>
      </c>
      <c r="W29" s="50" t="str">
        <f>IF(VALUE(LEFT(IF(LEN(C29)=6,"0"&amp;C29,C29),2))&lt;=2,"EC",IF(OR(VALUE(LEFT(IF(LEN(C29)=6,"0"&amp;C29,C29),2))=8,VALUE(LEFT(IF(LEN(C29)=6,"0"&amp;C29,C29),2))=18),"NW","Other"))</f>
        <v>NW</v>
      </c>
      <c r="X29" s="50" t="str">
        <f>IF(AND(E29="TRACK WARRANT AUTHORITY",G29&lt;10),"OMIT","KEEP")</f>
        <v>KEEP</v>
      </c>
      <c r="Y29" s="11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{"issue":{"subject":"","project_id":79,"tracker_id":40,"status_id":1,"priority_id":2,"assigned_to_id":23,"start_date":"2016-12-05","description":"","custom_fields":[{"id":1,"name":"Subdivision","value":"NW"},{"id":4,"name":"Milepost","value":"0.0575"},{"id":17,"name":"Train ID","value":"806-05"},{"id":16,"name":"Locomotive ID","value":"4015"},{"id":130,"name":"Impact","value":""},{"id":150,"name":"Time of Event (Mountain Time)","value":"07:36:47"},{"id":151,"name":"Denver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"%USERPROFILE%\AppData\Local\Temp\OnboardLogs"\RTDC4015\*4015*201612051*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"%USERPROFILE%\AppData\Local\Temp\OnboardLogs"\RTDC4015\*4015*201612051* &gt;&gt; 42709-slicedisagreementcheck.txt</v>
      </c>
    </row>
    <row r="30" spans="1:30" ht="15" customHeight="1" x14ac:dyDescent="0.25">
      <c r="A30" s="36">
        <v>42709.318611111114</v>
      </c>
      <c r="B30" s="31" t="s">
        <v>428</v>
      </c>
      <c r="C30" s="31" t="s">
        <v>433</v>
      </c>
      <c r="D30" s="31" t="s">
        <v>49</v>
      </c>
      <c r="E30" s="31" t="s">
        <v>201</v>
      </c>
      <c r="F30" s="47">
        <v>0</v>
      </c>
      <c r="G30" s="47">
        <v>20</v>
      </c>
      <c r="H30" s="47">
        <v>638</v>
      </c>
      <c r="I30" s="47">
        <v>621</v>
      </c>
      <c r="J30" s="31" t="s">
        <v>202</v>
      </c>
      <c r="K30" s="47">
        <v>575</v>
      </c>
      <c r="L30" s="154" t="s">
        <v>51</v>
      </c>
      <c r="M30" s="155">
        <f>CONVERT((I30-K30)/10000,"mi","ft")*IF(L30="Increasing Mileposts (1)",-1,1)</f>
        <v>24.288</v>
      </c>
      <c r="N30" s="156" t="str">
        <f>VLOOKUP(C30,'Trips&amp;Operators'!$C$1:$G$99999,5,FALSE)</f>
        <v>DAVIS WENDY</v>
      </c>
      <c r="O30" s="182" t="s">
        <v>196</v>
      </c>
      <c r="P30" s="157"/>
      <c r="Q30" s="31"/>
      <c r="R30" s="100" t="str">
        <f>VLOOKUP(C30,'Train Runs'!$A$13:$AE$9979,31,0)</f>
        <v>aws s3 cp s3://rtdc.mdm.uploadarchive.raw/RTDC4015/ "%USERPROFILE%\AppData\Local\Temp\OnboardLogs"\RTDC4015\2016-12-05 --exclude "*" --recursive --include "*20161205*" &amp; "%USERPROFILE%\Documents\GitHub\mrs-test-scripts\Headless Mode &amp; Sideloading\WalkAndUnGZ.bat" "%USERPROFILE%\AppData\Local\Temp\OnboardLogs"\RTDC4015\2016-12-05 &amp; 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</v>
      </c>
      <c r="S30" s="103" t="str">
        <f>VLOOKUP(C30,'Train Runs'!$A$13:$AE$9979,22,0)</f>
        <v>https://search-rtdc-monitor-bjffxe2xuh6vdkpspy63sjmuny.us-east-1.es.amazonaws.com/_plugin/kibana/#/discover/Steve-Slow-Train-Analysis-(2080s-and-2083s)?_g=(refreshInterval:(display:Off,section:0,value:0),time:(from:'2016-12-05 06:22:02-700',mode:absolute,to:'2016-12-05 08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0" s="105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/stypes="*4015*201612051*" /stext=" 14:.+((SYSTEM_STATE.+slice.+state.+changed )|(ment ac)|(multiple cpu faults)|(system.+state.+changed )|(\[timeout)|(PRM\|1\|D)|(kpr)|(kdp)|(\|lc)|(penalty))" /e /r /s</v>
      </c>
      <c r="U30" s="9" t="str">
        <f>MID(B30,13,4)</f>
        <v>4015</v>
      </c>
      <c r="V30" s="36">
        <f>A30-utc_offset/24</f>
        <v>42709.610277777778</v>
      </c>
      <c r="W30" s="50" t="str">
        <f>IF(VALUE(LEFT(IF(LEN(C30)=6,"0"&amp;C30,C30),2))&lt;=2,"EC",IF(OR(VALUE(LEFT(IF(LEN(C30)=6,"0"&amp;C30,C30),2))=8,VALUE(LEFT(IF(LEN(C30)=6,"0"&amp;C30,C30),2))=18),"NW","Other"))</f>
        <v>NW</v>
      </c>
      <c r="X30" s="50" t="str">
        <f>IF(AND(E30="TRACK WARRANT AUTHORITY",G30&lt;10),"OMIT","KEEP")</f>
        <v>KEEP</v>
      </c>
      <c r="Y30" s="11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{"issue":{"subject":"","project_id":79,"tracker_id":40,"status_id":1,"priority_id":2,"assigned_to_id":23,"start_date":"2016-12-05","description":"","custom_fields":[{"id":1,"name":"Subdivision","value":"NW"},{"id":4,"name":"Milepost","value":"0.0575"},{"id":17,"name":"Train ID","value":"806-05"},{"id":16,"name":"Locomotive ID","value":"4015"},{"id":130,"name":"Impact","value":""},{"id":150,"name":"Time of Event (Mountain Time)","value":"07:38:48"},{"id":151,"name":"Denver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"%USERPROFILE%\AppData\Local\Temp\OnboardLogs"\RTDC4015\*4015*201612051*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"%USERPROFILE%\AppData\Local\Temp\OnboardLogs"\RTDC4015\*4015*201612051* &gt;&gt; 42709-slicedisagreementcheck.txt</v>
      </c>
    </row>
    <row r="31" spans="1:30" ht="15" customHeight="1" x14ac:dyDescent="0.25">
      <c r="A31" s="36">
        <v>42709.35597222222</v>
      </c>
      <c r="B31" s="31" t="s">
        <v>428</v>
      </c>
      <c r="C31" s="31" t="s">
        <v>435</v>
      </c>
      <c r="D31" s="31" t="s">
        <v>49</v>
      </c>
      <c r="E31" s="31" t="s">
        <v>201</v>
      </c>
      <c r="F31" s="47">
        <v>0</v>
      </c>
      <c r="G31" s="47">
        <v>19</v>
      </c>
      <c r="H31" s="47">
        <v>626</v>
      </c>
      <c r="I31" s="47">
        <v>607</v>
      </c>
      <c r="J31" s="31" t="s">
        <v>202</v>
      </c>
      <c r="K31" s="47">
        <v>575</v>
      </c>
      <c r="L31" s="154" t="s">
        <v>51</v>
      </c>
      <c r="M31" s="155">
        <f>CONVERT((I31-K31)/10000,"mi","ft")*IF(L31="Increasing Mileposts (1)",-1,1)</f>
        <v>16.896000000000001</v>
      </c>
      <c r="N31" s="156" t="str">
        <f>VLOOKUP(C31,'Trips&amp;Operators'!$C$1:$G$99999,5,FALSE)</f>
        <v>DAVIS WENDY</v>
      </c>
      <c r="O31" s="182" t="s">
        <v>196</v>
      </c>
      <c r="P31" s="157"/>
      <c r="Q31" s="31"/>
      <c r="R31" s="100" t="str">
        <f>VLOOKUP(C31,'Train Runs'!$A$13:$AE$9979,31,0)</f>
        <v>aws s3 cp s3://rtdc.mdm.uploadarchive.raw/RTDC4015/ "%USERPROFILE%\AppData\Local\Temp\OnboardLogs"\RTDC4015\2016-12-05 --exclude "*" --recursive --include "*20161205*" &amp; "%USERPROFILE%\Documents\GitHub\mrs-test-scripts\Headless Mode &amp; Sideloading\WalkAndUnGZ.bat" "%USERPROFILE%\AppData\Local\Temp\OnboardLogs"\RTDC4015\2016-12-05 &amp; 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</v>
      </c>
      <c r="S31" s="103" t="str">
        <f>VLOOKUP(C31,'Train Runs'!$A$13:$AE$9979,22,0)</f>
        <v>https://search-rtdc-monitor-bjffxe2xuh6vdkpspy63sjmuny.us-east-1.es.amazonaws.com/_plugin/kibana/#/discover/Steve-Slow-Train-Analysis-(2080s-and-2083s)?_g=(refreshInterval:(display:Off,section:0,value:0),time:(from:'2016-12-05 07:16:30-700',mode:absolute,to:'2016-12-05 09:32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1" s="105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/stypes="*4015*201612051*" /stext=" 15:.+((SYSTEM_STATE.+slice.+state.+changed )|(ment ac)|(multiple cpu faults)|(system.+state.+changed )|(\[timeout)|(PRM\|1\|D)|(kpr)|(kdp)|(\|lc)|(penalty))" /e /r /s</v>
      </c>
      <c r="U31" s="9" t="str">
        <f>MID(B31,13,4)</f>
        <v>4015</v>
      </c>
      <c r="V31" s="36">
        <f>A31-utc_offset/24</f>
        <v>42709.647638888884</v>
      </c>
      <c r="W31" s="50" t="str">
        <f>IF(VALUE(LEFT(IF(LEN(C31)=6,"0"&amp;C31,C31),2))&lt;=2,"EC",IF(OR(VALUE(LEFT(IF(LEN(C31)=6,"0"&amp;C31,C31),2))=8,VALUE(LEFT(IF(LEN(C31)=6,"0"&amp;C31,C31),2))=18),"NW","Other"))</f>
        <v>NW</v>
      </c>
      <c r="X31" s="50" t="str">
        <f>IF(AND(E31="TRACK WARRANT AUTHORITY",G31&lt;10),"OMIT","KEEP")</f>
        <v>KEEP</v>
      </c>
      <c r="Y31" s="11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{"issue":{"subject":"","project_id":79,"tracker_id":40,"status_id":1,"priority_id":2,"assigned_to_id":23,"start_date":"2016-12-05","description":"","custom_fields":[{"id":1,"name":"Subdivision","value":"NW"},{"id":4,"name":"Milepost","value":"0.0575"},{"id":17,"name":"Train ID","value":"810-05"},{"id":16,"name":"Locomotive ID","value":"4015"},{"id":130,"name":"Impact","value":""},{"id":150,"name":"Time of Event (Mountain Time)","value":"08:32:36"},{"id":151,"name":"Denver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"%USERPROFILE%\AppData\Local\Temp\OnboardLogs"\RTDC4015\*4015*201612051*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"%USERPROFILE%\AppData\Local\Temp\OnboardLogs"\RTDC4015\*4015*201612051* &gt;&gt; 42709-slicedisagreementcheck.txt</v>
      </c>
    </row>
    <row r="32" spans="1:30" x14ac:dyDescent="0.25">
      <c r="A32" s="36">
        <v>42709.413425925923</v>
      </c>
      <c r="B32" s="31" t="s">
        <v>233</v>
      </c>
      <c r="C32" s="31" t="s">
        <v>438</v>
      </c>
      <c r="D32" s="31" t="s">
        <v>49</v>
      </c>
      <c r="E32" s="31" t="s">
        <v>201</v>
      </c>
      <c r="F32" s="47">
        <v>0</v>
      </c>
      <c r="G32" s="47">
        <v>33</v>
      </c>
      <c r="H32" s="47">
        <v>671</v>
      </c>
      <c r="I32" s="47">
        <v>645</v>
      </c>
      <c r="J32" s="31" t="s">
        <v>202</v>
      </c>
      <c r="K32" s="47">
        <v>575</v>
      </c>
      <c r="L32" s="154" t="s">
        <v>51</v>
      </c>
      <c r="M32" s="155">
        <f>CONVERT((I32-K32)/10000,"mi","ft")*IF(L32="Increasing Mileposts (1)",-1,1)</f>
        <v>36.96</v>
      </c>
      <c r="N32" s="156" t="str">
        <f>VLOOKUP(C32,'Trips&amp;Operators'!$C$1:$G$99999,5,FALSE)</f>
        <v>SAFIEF AEIMEN</v>
      </c>
      <c r="O32" s="182" t="s">
        <v>196</v>
      </c>
      <c r="P32" s="157"/>
      <c r="Q32" s="31"/>
      <c r="R32" s="100" t="str">
        <f>VLOOKUP(C32,'Train Runs'!$A$13:$AE$9979,31,0)</f>
        <v>aws s3 cp s3://rtdc.mdm.uploadarchive.raw/RTDC4013/ "%USERPROFILE%\AppData\Local\Temp\OnboardLogs"\RTDC4013\2016-12-05 --exclude "*" --recursive --include "*20161205*" &amp; "%USERPROFILE%\Documents\GitHub\mrs-test-scripts\Headless Mode &amp; Sideloading\WalkAndUnGZ.bat" "%USERPROFILE%\AppData\Local\Temp\OnboardLogs"\RTDC4013\2016-12-05 &amp; 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</v>
      </c>
      <c r="S32" s="103" t="str">
        <f>VLOOKUP(C32,'Train Runs'!$A$13:$AE$9979,22,0)</f>
        <v>https://search-rtdc-monitor-bjffxe2xuh6vdkpspy63sjmuny.us-east-1.es.amazonaws.com/_plugin/kibana/#/discover/Steve-Slow-Train-Analysis-(2080s-and-2083s)?_g=(refreshInterval:(display:Off,section:0,value:0),time:(from:'2016-12-05 08:35:29-700',mode:absolute,to:'2016-12-05 10:55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2" s="105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/stypes="*4013*201612051*" /stext=" 16:.+((SYSTEM_STATE.+slice.+state.+changed )|(ment ac)|(multiple cpu faults)|(system.+state.+changed )|(\[timeout)|(PRM\|1\|D)|(kpr)|(kdp)|(\|lc)|(penalty))" /e /r /s</v>
      </c>
      <c r="U32" s="9" t="str">
        <f>MID(B32,13,4)</f>
        <v>4013</v>
      </c>
      <c r="V32" s="36">
        <f>A32-utc_offset/24</f>
        <v>42709.705092592587</v>
      </c>
      <c r="W32" s="50" t="str">
        <f>IF(VALUE(LEFT(IF(LEN(C32)=6,"0"&amp;C32,C32),2))&lt;=2,"EC",IF(OR(VALUE(LEFT(IF(LEN(C32)=6,"0"&amp;C32,C32),2))=8,VALUE(LEFT(IF(LEN(C32)=6,"0"&amp;C32,C32),2))=18),"NW","Other"))</f>
        <v>NW</v>
      </c>
      <c r="X32" s="50" t="str">
        <f>IF(AND(E32="TRACK WARRANT AUTHORITY",G32&lt;10),"OMIT","KEEP")</f>
        <v>KEEP</v>
      </c>
      <c r="Y32" s="11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{"issue":{"subject":"","project_id":79,"tracker_id":40,"status_id":1,"priority_id":2,"assigned_to_id":23,"start_date":"2016-12-05","description":"","custom_fields":[{"id":1,"name":"Subdivision","value":"NW"},{"id":4,"name":"Milepost","value":"0.0575"},{"id":17,"name":"Train ID","value":"814-05"},{"id":16,"name":"Locomotive ID","value":"4013"},{"id":130,"name":"Impact","value":""},{"id":150,"name":"Time of Event (Mountain Time)","value":"09:55:20"},{"id":151,"name":"Denver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"%USERPROFILE%\AppData\Local\Temp\OnboardLogs"\RTDC4013\*4013*201612051*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"%USERPROFILE%\AppData\Local\Temp\OnboardLogs"\RTDC4013\*4013*201612051* &gt;&gt; 42709-slicedisagreementcheck.txt</v>
      </c>
    </row>
    <row r="33" spans="1:30" x14ac:dyDescent="0.25">
      <c r="A33" s="36">
        <v>42709.775277777779</v>
      </c>
      <c r="B33" s="31" t="s">
        <v>428</v>
      </c>
      <c r="C33" s="31" t="s">
        <v>457</v>
      </c>
      <c r="D33" s="31" t="s">
        <v>49</v>
      </c>
      <c r="E33" s="31" t="s">
        <v>201</v>
      </c>
      <c r="F33" s="47">
        <v>0</v>
      </c>
      <c r="G33" s="47">
        <v>37</v>
      </c>
      <c r="H33" s="47">
        <v>673</v>
      </c>
      <c r="I33" s="47">
        <v>664</v>
      </c>
      <c r="J33" s="31" t="s">
        <v>202</v>
      </c>
      <c r="K33" s="47">
        <v>575</v>
      </c>
      <c r="L33" s="154" t="s">
        <v>51</v>
      </c>
      <c r="M33" s="155">
        <f>CONVERT((I33-K33)/10000,"mi","ft")*IF(L33="Increasing Mileposts (1)",-1,1)</f>
        <v>46.991999999999997</v>
      </c>
      <c r="N33" s="156" t="str">
        <f>VLOOKUP(C33,'Trips&amp;Operators'!$C$1:$G$99999,5,FALSE)</f>
        <v>COOLAHAN JOHN</v>
      </c>
      <c r="O33" s="182" t="s">
        <v>196</v>
      </c>
      <c r="P33" s="157"/>
      <c r="Q33" s="31"/>
      <c r="R33" s="100" t="str">
        <f>VLOOKUP(C33,'Train Runs'!$A$13:$AE$9979,31,0)</f>
        <v>aws s3 cp s3://rtdc.mdm.uploadarchive.raw/RTDC4015/ "%USERPROFILE%\AppData\Local\Temp\OnboardLogs"\RTDC4015\2016-12-05 --exclude "*" --recursive --include "*20161205*" &amp; "%USERPROFILE%\Documents\GitHub\mrs-test-scripts\Headless Mode &amp; Sideloading\WalkAndUnGZ.bat" "%USERPROFILE%\AppData\Local\Temp\OnboardLogs"\RTDC4015\2016-12-05 &amp; 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</v>
      </c>
      <c r="S33" s="103" t="str">
        <f>VLOOKUP(C33,'Train Runs'!$A$13:$AE$9979,22,0)</f>
        <v>https://search-rtdc-monitor-bjffxe2xuh6vdkpspy63sjmuny.us-east-1.es.amazonaws.com/_plugin/kibana/#/discover/Steve-Slow-Train-Analysis-(2080s-and-2083s)?_g=(refreshInterval:(display:Off,section:0,value:0),time:(from:'2016-12-05 17:07:09-700',mode:absolute,to:'2016-12-05 19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3" s="105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/stypes="*4015*201612060*" /stext=" 01:.+((SYSTEM_STATE.+slice.+state.+changed )|(ment ac)|(multiple cpu faults)|(system.+state.+changed )|(\[timeout)|(PRM\|1\|D)|(kpr)|(kdp)|(\|lc)|(penalty))" /e /r /s</v>
      </c>
      <c r="U33" s="9" t="str">
        <f>MID(B33,13,4)</f>
        <v>4015</v>
      </c>
      <c r="V33" s="36">
        <f>A33-utc_offset/24</f>
        <v>42710.066944444443</v>
      </c>
      <c r="W33" s="50" t="str">
        <f>IF(VALUE(LEFT(IF(LEN(C33)=6,"0"&amp;C33,C33),2))&lt;=2,"EC",IF(OR(VALUE(LEFT(IF(LEN(C33)=6,"0"&amp;C33,C33),2))=8,VALUE(LEFT(IF(LEN(C33)=6,"0"&amp;C33,C33),2))=18),"NW","Other"))</f>
        <v>NW</v>
      </c>
      <c r="X33" s="50" t="str">
        <f>IF(AND(E33="TRACK WARRANT AUTHORITY",G33&lt;10),"OMIT","KEEP")</f>
        <v>KEEP</v>
      </c>
      <c r="Y33" s="11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{"issue":{"subject":"","project_id":79,"tracker_id":40,"status_id":1,"priority_id":2,"assigned_to_id":23,"start_date":"2016-12-05","description":"","custom_fields":[{"id":1,"name":"Subdivision","value":"NW"},{"id":4,"name":"Milepost","value":"0.0575"},{"id":17,"name":"Train ID","value":"836-05"},{"id":16,"name":"Locomotive ID","value":"4015"},{"id":130,"name":"Impact","value":""},{"id":150,"name":"Time of Event (Mountain Time)","value":"18:36:24"},{"id":151,"name":"Denver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"%USERPROFILE%\AppData\Local\Temp\OnboardLogs"\RTDC4015\*4015*201612060*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"%USERPROFILE%\AppData\Local\Temp\OnboardLogs"\RTDC4015\*4015*201612060* &gt;&gt; 42709-slicedisagreementcheck.txt</v>
      </c>
    </row>
    <row r="34" spans="1:30" x14ac:dyDescent="0.25">
      <c r="A34" s="36">
        <v>42709.254699074074</v>
      </c>
      <c r="B34" s="31" t="s">
        <v>280</v>
      </c>
      <c r="C34" s="31" t="s">
        <v>430</v>
      </c>
      <c r="D34" s="31" t="s">
        <v>98</v>
      </c>
      <c r="E34" s="31" t="s">
        <v>201</v>
      </c>
      <c r="F34" s="47">
        <v>0</v>
      </c>
      <c r="G34" s="47">
        <v>7</v>
      </c>
      <c r="H34" s="47">
        <v>59048</v>
      </c>
      <c r="I34" s="47">
        <v>0</v>
      </c>
      <c r="J34" s="31" t="s">
        <v>202</v>
      </c>
      <c r="K34" s="47">
        <v>59048</v>
      </c>
      <c r="L34" s="154" t="s">
        <v>50</v>
      </c>
      <c r="M34" s="155">
        <f>CONVERT((I34-K34)/10000,"mi","ft")*IF(L34="Increasing Mileposts (1)",-1,1)</f>
        <v>31177.344000000001</v>
      </c>
      <c r="N34" s="156" t="str">
        <f>VLOOKUP(C34,'Trips&amp;Operators'!$C$1:$G$99999,5,FALSE)</f>
        <v>DAVIS WENDY</v>
      </c>
      <c r="O34" s="182" t="s">
        <v>196</v>
      </c>
      <c r="P34" s="157"/>
      <c r="Q34" s="31"/>
      <c r="R34" s="100" t="str">
        <f>VLOOKUP(C34,'Train Runs'!$A$13:$AE$9979,31,0)</f>
        <v>aws s3 cp s3://rtdc.mdm.uploadarchive.raw/RTDC4016/ "%USERPROFILE%\AppData\Local\Temp\OnboardLogs"\RTDC4016\2016-12-05 --exclude "*" --recursive --include "*20161205*" &amp; "%USERPROFILE%\Documents\GitHub\mrs-test-scripts\Headless Mode &amp; Sideloading\WalkAndUnGZ.bat" "%USERPROFILE%\AppData\Local\Temp\OnboardLogs"\RTDC4016\2016-12-05 &amp; 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</v>
      </c>
      <c r="S34" s="103" t="str">
        <f>VLOOKUP(C34,'Train Runs'!$A$13:$AE$9979,22,0)</f>
        <v>https://search-rtdc-monitor-bjffxe2xuh6vdkpspy63sjmuny.us-east-1.es.amazonaws.com/_plugin/kibana/#/discover/Steve-Slow-Train-Analysis-(2080s-and-2083s)?_g=(refreshInterval:(display:Off,section:0,value:0),time:(from:'2016-12-05 04:43:32-700',mode:absolute,to:'2016-12-05 07:06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4" s="105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/stypes="*4016*201612051*" /stext=" 13:.+((SYSTEM_STATE.+slice.+state.+changed )|(ment ac)|(multiple cpu faults)|(system.+state.+changed )|(\[timeout)|(PRM\|1\|D)|(kpr)|(kdp)|(\|lc)|(penalty))" /e /r /s</v>
      </c>
      <c r="U34" s="9" t="str">
        <f>MID(B34,13,4)</f>
        <v>4016</v>
      </c>
      <c r="V34" s="36">
        <f>A34-utc_offset/24</f>
        <v>42709.546365740738</v>
      </c>
      <c r="W34" s="50" t="str">
        <f>IF(VALUE(LEFT(IF(LEN(C34)=6,"0"&amp;C34,C34),2))&lt;=2,"EC",IF(OR(VALUE(LEFT(IF(LEN(C34)=6,"0"&amp;C34,C34),2))=8,VALUE(LEFT(IF(LEN(C34)=6,"0"&amp;C34,C34),2))=18),"NW","Other"))</f>
        <v>NW</v>
      </c>
      <c r="X34" s="50" t="str">
        <f>IF(AND(E34="TRACK WARRANT AUTHORITY",G34&lt;10),"OMIT","KEEP")</f>
        <v>OMIT</v>
      </c>
      <c r="Y34" s="11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{"issue":{"subject":"","project_id":79,"tracker_id":40,"status_id":1,"priority_id":2,"assigned_to_id":23,"start_date":"2016-12-05","description":"","custom_fields":[{"id":1,"name":"Subdivision","value":"NW"},{"id":4,"name":"Milepost","value":"5.9048"},{"id":17,"name":"Train ID","value":"801-05"},{"id":16,"name":"Locomotive ID","value":"4016"},{"id":130,"name":"Impact","value":""},{"id":150,"name":"Time of Event (Mountain Time)","value":"06:06:46"},{"id":151,"name":"Denver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"%USERPROFILE%\AppData\Local\Temp\OnboardLogs"\RTDC4016\*4016*201612051*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"%USERPROFILE%\AppData\Local\Temp\OnboardLogs"\RTDC4016\*4016*201612051* &gt;&gt; 42709-slicedisagreementcheck.txt</v>
      </c>
    </row>
    <row r="35" spans="1:30" x14ac:dyDescent="0.25">
      <c r="A35" s="36">
        <v>42709.690532407411</v>
      </c>
      <c r="B35" s="31" t="s">
        <v>232</v>
      </c>
      <c r="C35" s="31" t="s">
        <v>455</v>
      </c>
      <c r="D35" s="31" t="s">
        <v>49</v>
      </c>
      <c r="E35" s="31" t="s">
        <v>201</v>
      </c>
      <c r="F35" s="47">
        <v>0</v>
      </c>
      <c r="G35" s="47">
        <v>49</v>
      </c>
      <c r="H35" s="47">
        <v>58926</v>
      </c>
      <c r="I35" s="47">
        <v>58963</v>
      </c>
      <c r="J35" s="31" t="s">
        <v>202</v>
      </c>
      <c r="K35" s="47">
        <v>59048</v>
      </c>
      <c r="L35" s="154" t="s">
        <v>50</v>
      </c>
      <c r="M35" s="155">
        <f>CONVERT((I35-K35)/10000,"mi","ft")*IF(L35="Increasing Mileposts (1)",-1,1)</f>
        <v>44.88</v>
      </c>
      <c r="N35" s="156" t="str">
        <f>VLOOKUP(C35,'Trips&amp;Operators'!$C$1:$G$99999,5,FALSE)</f>
        <v>BRUDER RICHARD</v>
      </c>
      <c r="O35" s="182" t="s">
        <v>196</v>
      </c>
      <c r="P35" s="157"/>
      <c r="Q35" s="31"/>
      <c r="R35" s="100" t="str">
        <f>VLOOKUP(C35,'Train Runs'!$A$13:$AE$9979,31,0)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S35" s="103" t="str">
        <f>VLOOKUP(C35,'Train Runs'!$A$13:$AE$9979,22,0)</f>
        <v>https://search-rtdc-monitor-bjffxe2xuh6vdkpspy63sjmuny.us-east-1.es.amazonaws.com/_plugin/kibana/#/discover/Steve-Slow-Train-Analysis-(2080s-and-2083s)?_g=(refreshInterval:(display:Off,section:0,value:0),time:(from:'2016-12-05 15:14:45-700',mode:absolute,to:'2016-12-05 17:34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35" s="105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/stypes="*4014*201612052*" /stext=" 23:.+((SYSTEM_STATE.+slice.+state.+changed )|(ment ac)|(multiple cpu faults)|(system.+state.+changed )|(\[timeout)|(PRM\|1\|D)|(kpr)|(kdp)|(\|lc)|(penalty))" /e /r /s</v>
      </c>
      <c r="U35" s="9" t="str">
        <f>MID(B35,13,4)</f>
        <v>4014</v>
      </c>
      <c r="V35" s="36">
        <f>A35-utc_offset/24</f>
        <v>42709.982199074075</v>
      </c>
      <c r="W35" s="50" t="str">
        <f>IF(VALUE(LEFT(IF(LEN(C35)=6,"0"&amp;C35,C35),2))&lt;=2,"EC",IF(OR(VALUE(LEFT(IF(LEN(C35)=6,"0"&amp;C35,C35),2))=8,VALUE(LEFT(IF(LEN(C35)=6,"0"&amp;C35,C35),2))=18),"NW","Other"))</f>
        <v>NW</v>
      </c>
      <c r="X35" s="50" t="str">
        <f>IF(AND(E35="TRACK WARRANT AUTHORITY",G35&lt;10),"OMIT","KEEP")</f>
        <v>KEEP</v>
      </c>
      <c r="Y35" s="11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{"issue":{"subject":"","project_id":79,"tracker_id":40,"status_id":1,"priority_id":2,"assigned_to_id":23,"start_date":"2016-12-05","description":"","custom_fields":[{"id":1,"name":"Subdivision","value":"NW"},{"id":4,"name":"Milepost","value":"5.9048"},{"id":17,"name":"Train ID","value":"829-05"},{"id":16,"name":"Locomotive ID","value":"4014"},{"id":130,"name":"Impact","value":""},{"id":150,"name":"Time of Event (Mountain Time)","value":"16:34:22"},{"id":151,"name":"Denver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"%USERPROFILE%\AppData\Local\Temp\OnboardLogs"\RTDC4014\*4014*201612052*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"%USERPROFILE%\AppData\Local\Temp\OnboardLogs"\RTDC4014\*4014*201612052* &gt;&gt; 42709-slicedisagreementcheck.txt</v>
      </c>
    </row>
    <row r="36" spans="1:30" x14ac:dyDescent="0.25">
      <c r="A36" s="36">
        <v>42709.940567129626</v>
      </c>
      <c r="B36" s="31" t="s">
        <v>232</v>
      </c>
      <c r="C36" s="31" t="s">
        <v>459</v>
      </c>
      <c r="D36" s="31" t="s">
        <v>49</v>
      </c>
      <c r="E36" s="31" t="s">
        <v>201</v>
      </c>
      <c r="F36" s="47">
        <v>0</v>
      </c>
      <c r="G36" s="47">
        <v>41</v>
      </c>
      <c r="H36" s="47">
        <v>58943</v>
      </c>
      <c r="I36" s="47">
        <v>58982</v>
      </c>
      <c r="J36" s="31" t="s">
        <v>202</v>
      </c>
      <c r="K36" s="47">
        <v>59048</v>
      </c>
      <c r="L36" s="154" t="s">
        <v>50</v>
      </c>
      <c r="M36" s="155">
        <f>CONVERT((I36-K36)/10000,"mi","ft")*IF(L36="Increasing Mileposts (1)",-1,1)</f>
        <v>34.847999999999999</v>
      </c>
      <c r="N36" s="156" t="str">
        <f>VLOOKUP(C36,'Trips&amp;Operators'!$C$1:$G$99999,5,FALSE)</f>
        <v>COOLAHAN JOHN</v>
      </c>
      <c r="O36" s="182" t="s">
        <v>196</v>
      </c>
      <c r="P36" s="157"/>
      <c r="Q36" s="31"/>
      <c r="R36" s="100" t="str">
        <f>VLOOKUP(C36,'Train Runs'!$A$13:$AE$9979,31,0)</f>
        <v>aws s3 cp s3://rtdc.mdm.uploadarchive.raw/RTDC4014/ "%USERPROFILE%\AppData\Local\Temp\OnboardLogs"\RTDC4014\2016-12-05 --exclude "*" --recursive --include "*20161205*" &amp; "%USERPROFILE%\Documents\GitHub\mrs-test-scripts\Headless Mode &amp; Sideloading\WalkAndUnGZ.bat" "%USERPROFILE%\AppData\Local\Temp\OnboardLogs"\RTDC4014\2016-12-05 &amp; 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</v>
      </c>
      <c r="S36" s="103" t="str">
        <f>VLOOKUP(C36,'Train Runs'!$A$13:$AE$9979,22,0)</f>
        <v>https://search-rtdc-monitor-bjffxe2xuh6vdkpspy63sjmuny.us-east-1.es.amazonaws.com/_plugin/kibana/#/discover/Steve-Slow-Train-Analysis-(2080s-and-2083s)?_g=(refreshInterval:(display:Off,section:0,value:0),time:(from:'2016-12-05 21:15:31-700',mode:absolute,to:'2016-12-05 23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36" s="105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/stypes="*4014*201612060*" /stext=" 05:.+((SYSTEM_STATE.+slice.+state.+changed )|(ment ac)|(multiple cpu faults)|(system.+state.+changed )|(\[timeout)|(PRM\|1\|D)|(kpr)|(kdp)|(\|lc)|(penalty))" /e /r /s</v>
      </c>
      <c r="U36" s="9" t="str">
        <f>MID(B36,13,4)</f>
        <v>4014</v>
      </c>
      <c r="V36" s="36">
        <f>A36-utc_offset/24</f>
        <v>42710.232233796291</v>
      </c>
      <c r="W36" s="50" t="str">
        <f>IF(VALUE(LEFT(IF(LEN(C36)=6,"0"&amp;C36,C36),2))&lt;=2,"EC",IF(OR(VALUE(LEFT(IF(LEN(C36)=6,"0"&amp;C36,C36),2))=8,VALUE(LEFT(IF(LEN(C36)=6,"0"&amp;C36,C36),2))=18),"NW","Other"))</f>
        <v>NW</v>
      </c>
      <c r="X36" s="50" t="str">
        <f>IF(AND(E36="TRACK WARRANT AUTHORITY",G36&lt;10),"OMIT","KEEP")</f>
        <v>KEEP</v>
      </c>
      <c r="Y36" s="11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{"issue":{"subject":"","project_id":79,"tracker_id":40,"status_id":1,"priority_id":2,"assigned_to_id":23,"start_date":"2016-12-05","description":"","custom_fields":[{"id":1,"name":"Subdivision","value":"NW"},{"id":4,"name":"Milepost","value":"5.9048"},{"id":17,"name":"Train ID","value":"847-05"},{"id":16,"name":"Locomotive ID","value":"4014"},{"id":130,"name":"Impact","value":""},{"id":150,"name":"Time of Event (Mountain Time)","value":"22:34:25"},{"id":151,"name":"Denver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"%USERPROFILE%\AppData\Local\Temp\OnboardLogs"\RTDC4014\*4014*201612060*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"%USERPROFILE%\AppData\Local\Temp\OnboardLogs"\RTDC4014\*4014*201612060* &gt;&gt; 42709-slicedisagreementcheck.txt</v>
      </c>
    </row>
    <row r="37" spans="1:30" x14ac:dyDescent="0.25">
      <c r="A37" s="36">
        <v>42709.488495370373</v>
      </c>
      <c r="B37" s="31" t="s">
        <v>443</v>
      </c>
      <c r="C37" s="31" t="s">
        <v>444</v>
      </c>
      <c r="D37" s="31" t="s">
        <v>98</v>
      </c>
      <c r="E37" s="31" t="s">
        <v>199</v>
      </c>
      <c r="F37" s="47">
        <v>0</v>
      </c>
      <c r="G37" s="47">
        <v>134</v>
      </c>
      <c r="H37" s="47">
        <v>3834</v>
      </c>
      <c r="I37" s="47">
        <v>4057</v>
      </c>
      <c r="J37" s="31" t="s">
        <v>200</v>
      </c>
      <c r="K37" s="47">
        <v>2789</v>
      </c>
      <c r="L37" s="154" t="s">
        <v>50</v>
      </c>
      <c r="M37" s="155">
        <f>CONVERT((I37-K37)/10000,"mi","ft")*IF(L37="Increasing Mileposts (1)",-1,1)</f>
        <v>-669.50400000000002</v>
      </c>
      <c r="N37" s="156" t="str">
        <f>VLOOKUP(C37,'Trips&amp;Operators'!$C$1:$G$99999,5,FALSE)</f>
        <v>ISHMAEL JOSEPH</v>
      </c>
      <c r="O37" s="182" t="s">
        <v>196</v>
      </c>
      <c r="P37" s="157"/>
      <c r="Q37" s="31"/>
      <c r="R37" s="100" t="str">
        <f>VLOOKUP(C37,'Train Runs'!$A$13:$AE$9979,31,0)</f>
        <v>aws s3 cp s3://rtdc.mdm.uploadarchive.raw/RTDC4007/ "%USERPROFILE%\AppData\Local\Temp\OnboardLogs"\RTDC4007\2016-12-05 --exclude "*" --recursive --include "*20161205*" &amp; "%USERPROFILE%\Documents\GitHub\mrs-test-scripts\Headless Mode &amp; Sideloading\WalkAndUnGZ.bat" "%USERPROFILE%\AppData\Local\Temp\OnboardLogs"\RTDC4007\2016-12-05 &amp; aws s3 cp s3://rtdc.mdm.uploadarchive.raw/RTDC4007/ "%USERPROFILE%\AppData\Local\Temp\OnboardLogs"\RTDC4007\2016-12-06 --exclude "*" --recursive --include "*20161206*" &amp; "%USERPROFILE%\Documents\GitHub\mrs-test-scripts\Headless Mode &amp; Sideloading\WalkAndUnGZ.bat" "%USERPROFILE%\AppData\Local\Temp\OnboardLogs"\RTDC4007\2016-12-06</v>
      </c>
      <c r="S37" s="103" t="str">
        <f>VLOOKUP(C37,'Train Runs'!$A$13:$AE$9979,22,0)</f>
        <v>https://search-rtdc-monitor-bjffxe2xuh6vdkpspy63sjmuny.us-east-1.es.amazonaws.com/_plugin/kibana/#/discover/Steve-Slow-Train-Analysis-(2080s-and-2083s)?_g=(refreshInterval:(display:Off,section:0,value:0),time:(from:'2016-12-05 10:39:52-700',mode:absolute,to:'2016-12-05 12:43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7" s="105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/stypes="*4007*201612051*" /stext=" 18:.+((SYSTEM_STATE.+slice.+state.+changed )|(ment ac)|(multiple cpu faults)|(system.+state.+changed )|(\[timeout)|(PRM\|1\|D)|(kpr)|(kdp)|(\|lc)|(penalty))" /e /r /s</v>
      </c>
      <c r="U37" s="9" t="str">
        <f>MID(B37,13,4)</f>
        <v>4007</v>
      </c>
      <c r="V37" s="36">
        <f>A37-utc_offset/24</f>
        <v>42709.780162037037</v>
      </c>
      <c r="W37" s="50" t="str">
        <f>IF(VALUE(LEFT(IF(LEN(C37)=6,"0"&amp;C37,C37),2))&lt;=2,"EC",IF(OR(VALUE(LEFT(IF(LEN(C37)=6,"0"&amp;C37,C37),2))=8,VALUE(LEFT(IF(LEN(C37)=6,"0"&amp;C37,C37),2))=18),"NW","Other"))</f>
        <v>Other</v>
      </c>
      <c r="X37" s="50" t="str">
        <f>IF(AND(E37="TRACK WARRANT AUTHORITY",G37&lt;10),"OMIT","KEEP")</f>
        <v>KEEP</v>
      </c>
      <c r="Y37" s="11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{"issue":{"subject":"","project_id":79,"tracker_id":40,"status_id":1,"priority_id":2,"assigned_to_id":23,"start_date":"2016-12-05","description":"","custom_fields":[{"id":1,"name":"Subdivision","value":"Other"},{"id":4,"name":"Milepost","value":"0.2789"},{"id":17,"name":"Train ID","value":"57-05"},{"id":16,"name":"Locomotive ID","value":"4007"},{"id":130,"name":"Impact","value":""},{"id":150,"name":"Time of Event (Mountain Time)","value":"11:43:26"},{"id":151,"name":"Denver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"%USERPROFILE%\AppData\Local\Temp\OnboardLogs"\RTDC4007\*4007*201612051*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"%USERPROFILE%\AppData\Local\Temp\OnboardLogs"\RTDC4007\*4007*201612051* &gt;&gt; 42709-slicedisagreementcheck.txt</v>
      </c>
    </row>
    <row r="38" spans="1:30" x14ac:dyDescent="0.25">
      <c r="A38" s="36">
        <v>42709.645451388889</v>
      </c>
      <c r="B38" s="31" t="s">
        <v>428</v>
      </c>
      <c r="C38" s="31" t="s">
        <v>451</v>
      </c>
      <c r="D38" s="31" t="s">
        <v>49</v>
      </c>
      <c r="E38" s="31" t="s">
        <v>201</v>
      </c>
      <c r="F38" s="47">
        <v>0</v>
      </c>
      <c r="G38" s="47">
        <v>11</v>
      </c>
      <c r="H38" s="47">
        <v>586</v>
      </c>
      <c r="I38" s="47">
        <v>580</v>
      </c>
      <c r="J38" s="31" t="s">
        <v>202</v>
      </c>
      <c r="K38" s="47">
        <v>575</v>
      </c>
      <c r="L38" s="154" t="s">
        <v>51</v>
      </c>
      <c r="M38" s="155">
        <f>CONVERT((I38-K38)/10000,"mi","ft")*IF(L38="Increasing Mileposts (1)",-1,1)</f>
        <v>2.64</v>
      </c>
      <c r="N38" s="156" t="str">
        <f>VLOOKUP(C38,'Trips&amp;Operators'!$C$1:$G$99999,5,FALSE)</f>
        <v>COOLAHAN JOHN</v>
      </c>
      <c r="O38" s="182" t="s">
        <v>196</v>
      </c>
      <c r="P38" s="157"/>
      <c r="Q38" s="31"/>
      <c r="R38" s="100" t="str">
        <f>VLOOKUP(C38,'Train Runs'!$A$13:$AE$9979,31,0)</f>
        <v>aws s3 cp s3://rtdc.mdm.uploadarchive.raw/RTDC4015/ "%USERPROFILE%\AppData\Local\Temp\OnboardLogs"\RTDC4015\2016-12-05 --exclude "*" --recursive --include "*20161205*" &amp; "%USERPROFILE%\Documents\GitHub\mrs-test-scripts\Headless Mode &amp; Sideloading\WalkAndUnGZ.bat" "%USERPROFILE%\AppData\Local\Temp\OnboardLogs"\RTDC4015\2016-12-05 &amp; 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</v>
      </c>
      <c r="S38" s="103" t="str">
        <f>VLOOKUP(C38,'Train Runs'!$A$13:$AE$9979,22,0)</f>
        <v>https://search-rtdc-monitor-bjffxe2xuh6vdkpspy63sjmuny.us-east-1.es.amazonaws.com/_plugin/kibana/#/discover/Steve-Slow-Train-Analysis-(2080s-and-2083s)?_g=(refreshInterval:(display:Off,section:0,value:0),time:(from:'2016-12-05 14:15:34-700',mode:absolute,to:'2016-12-05 16:29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8" s="105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/stypes="*4015*201612052*" /stext=" 22:.+((SYSTEM_STATE.+slice.+state.+changed )|(ment ac)|(multiple cpu faults)|(system.+state.+changed )|(\[timeout)|(PRM\|1\|D)|(kpr)|(kdp)|(\|lc)|(penalty))" /e /r /s</v>
      </c>
      <c r="U38" s="9" t="str">
        <f>MID(B38,13,4)</f>
        <v>4015</v>
      </c>
      <c r="V38" s="36">
        <f>A38-utc_offset/24</f>
        <v>42709.937118055554</v>
      </c>
      <c r="W38" s="50" t="str">
        <f>IF(VALUE(LEFT(IF(LEN(C38)=6,"0"&amp;C38,C38),2))&lt;=2,"EC",IF(OR(VALUE(LEFT(IF(LEN(C38)=6,"0"&amp;C38,C38),2))=8,VALUE(LEFT(IF(LEN(C38)=6,"0"&amp;C38,C38),2))=18),"NW","Other"))</f>
        <v>Other</v>
      </c>
      <c r="X38" s="50" t="str">
        <f>IF(AND(E38="TRACK WARRANT AUTHORITY",G38&lt;10),"OMIT","KEEP")</f>
        <v>KEEP</v>
      </c>
      <c r="Y38" s="11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{"issue":{"subject":"","project_id":79,"tracker_id":40,"status_id":1,"priority_id":2,"assigned_to_id":23,"start_date":"2016-12-05","description":"","custom_fields":[{"id":1,"name":"Subdivision","value":"Other"},{"id":4,"name":"Milepost","value":"0.0575"},{"id":17,"name":"Train ID","value":"904-05"},{"id":16,"name":"Locomotive ID","value":"4015"},{"id":130,"name":"Impact","value":""},{"id":150,"name":"Time of Event (Mountain Time)","value":"15:29:27"},{"id":151,"name":"Denver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"%USERPROFILE%\AppData\Local\Temp\OnboardLogs"\RTDC4015\*4015*201612052*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"%USERPROFILE%\AppData\Local\Temp\OnboardLogs"\RTDC4015\*4015*201612052* &gt;&gt; 42709-slicedisagreementcheck.txt</v>
      </c>
    </row>
    <row r="39" spans="1:30" x14ac:dyDescent="0.25">
      <c r="A39" s="36">
        <v>42709.211770833332</v>
      </c>
      <c r="B39" s="31" t="s">
        <v>280</v>
      </c>
      <c r="C39" s="31" t="s">
        <v>427</v>
      </c>
      <c r="D39" s="31" t="s">
        <v>49</v>
      </c>
      <c r="E39" s="31" t="s">
        <v>201</v>
      </c>
      <c r="F39" s="47">
        <v>0</v>
      </c>
      <c r="G39" s="47">
        <v>6</v>
      </c>
      <c r="H39" s="47">
        <v>59035</v>
      </c>
      <c r="I39" s="47">
        <v>59037</v>
      </c>
      <c r="J39" s="31" t="s">
        <v>202</v>
      </c>
      <c r="K39" s="47">
        <v>59048</v>
      </c>
      <c r="L39" s="154" t="s">
        <v>50</v>
      </c>
      <c r="M39" s="155">
        <f>CONVERT((I39-K39)/10000,"mi","ft")*IF(L39="Increasing Mileposts (1)",-1,1)</f>
        <v>5.8079999999999998</v>
      </c>
      <c r="N39" s="156" t="str">
        <f>VLOOKUP(C39,'Trips&amp;Operators'!$C$1:$G$99999,5,FALSE)</f>
        <v>DAVIS WENDY</v>
      </c>
      <c r="O39" s="182" t="s">
        <v>196</v>
      </c>
      <c r="P39" s="157"/>
      <c r="Q39" s="31"/>
      <c r="R39" s="100" t="str">
        <f>VLOOKUP(C39,'Train Runs'!$A$13:$AE$9979,31,0)</f>
        <v>aws s3 cp s3://rtdc.mdm.uploadarchive.raw/RTDC4016/ "%USERPROFILE%\AppData\Local\Temp\OnboardLogs"\RTDC4016\2016-12-05 --exclude "*" --recursive --include "*20161205*" &amp; "%USERPROFILE%\Documents\GitHub\mrs-test-scripts\Headless Mode &amp; Sideloading\WalkAndUnGZ.bat" "%USERPROFILE%\AppData\Local\Temp\OnboardLogs"\RTDC4016\2016-12-05 &amp; 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</v>
      </c>
      <c r="S39" s="103" t="str">
        <f>VLOOKUP(C39,'Train Runs'!$A$13:$AE$9979,22,0)</f>
        <v>https://search-rtdc-monitor-bjffxe2xuh6vdkpspy63sjmuny.us-east-1.es.amazonaws.com/_plugin/kibana/#/discover/Steve-Slow-Train-Analysis-(2080s-and-2083s)?_g=(refreshInterval:(display:Off,section:0,value:0),time:(from:'2016-12-05 03:55:39-700',mode:absolute,to:'2016-12-05 06:04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9" s="105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/stypes="*4016*201612051*" /stext=" 12:.+((SYSTEM_STATE.+slice.+state.+changed )|(ment ac)|(multiple cpu faults)|(system.+state.+changed )|(\[timeout)|(PRM\|1\|D)|(kpr)|(kdp)|(\|lc)|(penalty))" /e /r /s</v>
      </c>
      <c r="U39" s="9" t="str">
        <f>MID(B39,13,4)</f>
        <v>4016</v>
      </c>
      <c r="V39" s="36">
        <f>A39-utc_offset/24</f>
        <v>42709.503437499996</v>
      </c>
      <c r="W39" s="50" t="str">
        <f>IF(VALUE(LEFT(IF(LEN(C39)=6,"0"&amp;C39,C39),2))&lt;=2,"EC",IF(OR(VALUE(LEFT(IF(LEN(C39)=6,"0"&amp;C39,C39),2))=8,VALUE(LEFT(IF(LEN(C39)=6,"0"&amp;C39,C39),2))=18),"NW","Other"))</f>
        <v>Other</v>
      </c>
      <c r="X39" s="50" t="str">
        <f>IF(AND(E39="TRACK WARRANT AUTHORITY",G39&lt;10),"OMIT","KEEP")</f>
        <v>OMIT</v>
      </c>
      <c r="Y39" s="11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{"issue":{"subject":"","project_id":79,"tracker_id":40,"status_id":1,"priority_id":2,"assigned_to_id":23,"start_date":"2016-12-05","description":"","custom_fields":[{"id":1,"name":"Subdivision","value":"Other"},{"id":4,"name":"Milepost","value":"5.9048"},{"id":17,"name":"Train ID","value":"901-05"},{"id":16,"name":"Locomotive ID","value":"4016"},{"id":130,"name":"Impact","value":""},{"id":150,"name":"Time of Event (Mountain Time)","value":"05:04:57"},{"id":151,"name":"Denver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"%USERPROFILE%\AppData\Local\Temp\OnboardLogs"\RTDC4016\*4016*201612051*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"%USERPROFILE%\AppData\Local\Temp\OnboardLogs"\RTDC4016\*4016*201612051* &gt;&gt; 42709-slicedisagreementcheck.txt</v>
      </c>
    </row>
    <row r="40" spans="1:30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46">
      <sortCondition ref="V6:V46"/>
    </sortState>
  </autoFilter>
  <sortState ref="A7:AD39">
    <sortCondition ref="W7:W39"/>
    <sortCondition ref="E7:E39"/>
    <sortCondition ref="K7:K39"/>
    <sortCondition ref="C7:C39"/>
    <sortCondition ref="F7:F39"/>
  </sortState>
  <mergeCells count="1">
    <mergeCell ref="A5:O5"/>
  </mergeCells>
  <conditionalFormatting sqref="O6:P6 R6 O76:O1048576 O7:O39">
    <cfRule type="cellIs" dxfId="44" priority="36" operator="equal">
      <formula>"Y"</formula>
    </cfRule>
  </conditionalFormatting>
  <conditionalFormatting sqref="O2:O3">
    <cfRule type="cellIs" dxfId="43" priority="27" operator="equal">
      <formula>"Y"</formula>
    </cfRule>
  </conditionalFormatting>
  <conditionalFormatting sqref="A7:P39">
    <cfRule type="expression" dxfId="42" priority="20">
      <formula>$O7="Y"</formula>
    </cfRule>
  </conditionalFormatting>
  <hyperlinks>
    <hyperlink ref="Z27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  <x14:dataValidation type="list" allowBlank="1" showInputMessage="1" showErrorMessage="1">
          <x14:formula1>
            <xm:f>'Redmine List Values'!$C$2:$C$15</xm:f>
          </x14:formula1>
          <xm:sqref>AB7:AB39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4" t="str">
        <f>"Trips that did not appear in PTC Data "&amp;TEXT(Variables!$A$2,"YYYY-mm-dd")</f>
        <v>Trips that did not appear in PTC Data 2016-12-05</v>
      </c>
      <c r="C1" s="184"/>
      <c r="D1" s="184"/>
      <c r="E1" s="184"/>
      <c r="F1" s="184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/>
      <c r="B3" s="47" t="str">
        <f>A3&amp;"-"&amp;IF(DAY(Variables!$A$2)&lt;10,0,"")&amp;DAY(Variables!$A$2)</f>
        <v>-05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3" s="31" t="e">
        <f>VLOOKUP(B3,'Train Runs'!$A$13:$A$99976,1,FALSE)</f>
        <v>#N/A</v>
      </c>
      <c r="K3" s="31" t="e">
        <f>IF(VLOOKUP(A3,$K$39:$K$62,1,FALSE),"Cancelled")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-05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4" s="31" t="e">
        <f>VLOOKUP(B4,'Train Runs'!$A$13:$A$99976,1,FALSE)</f>
        <v>#N/A</v>
      </c>
      <c r="K4" s="31" t="e">
        <f>IF(VLOOKUP(A4,$K$39:$K$62,1,FALSE),"Cancelled")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-05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ref="I5:I9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5" s="31" t="e">
        <f>VLOOKUP(B5,'Train Runs'!$A$13:$A$99976,1,FALSE)</f>
        <v>#N/A</v>
      </c>
      <c r="K5" s="31" t="e">
        <f t="shared" ref="K5:K9" si="2">IF(VLOOKUP(A5,$K$39:$K$62,1,FALSE),"Cancelled")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-05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6" s="31" t="e">
        <f>VLOOKUP(B6,'Train Runs'!$A$13:$A$99976,1,FALSE)</f>
        <v>#N/A</v>
      </c>
      <c r="K6" s="31" t="e">
        <f t="shared" si="2"/>
        <v>#N/A</v>
      </c>
    </row>
    <row r="7" spans="1:11" x14ac:dyDescent="0.25">
      <c r="A7" s="171"/>
      <c r="B7" s="47" t="str">
        <f>A7&amp;"-"&amp;IF(DAY(Variables!$A$2)&lt;10,0,"")&amp;DAY(Variables!$A$2)</f>
        <v>-05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7" s="31" t="e">
        <f>VLOOKUP(B7,'Train Runs'!$A$13:$A$99976,1,FALSE)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-05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8" s="31" t="e">
        <f>VLOOKUP(B8,'Train Runs'!$A$13:$A$99976,1,FALSE)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-05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9" s="31" t="e">
        <f>VLOOKUP(B9,'Train Runs'!$A$13:$A$99976,1,FALSE)</f>
        <v>#N/A</v>
      </c>
      <c r="K9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315</v>
      </c>
      <c r="G1" s="8" t="s">
        <v>314</v>
      </c>
    </row>
    <row r="2" spans="1:7" x14ac:dyDescent="0.25">
      <c r="A2" s="8">
        <v>42709.037094907406</v>
      </c>
      <c r="B2" s="21" t="s">
        <v>293</v>
      </c>
      <c r="C2" s="21" t="s">
        <v>385</v>
      </c>
      <c r="D2" s="165">
        <v>1810000</v>
      </c>
      <c r="E2" s="21" t="s">
        <v>359</v>
      </c>
      <c r="F2" s="21" t="s">
        <v>313</v>
      </c>
      <c r="G2" s="8" t="str">
        <f>E2&amp;" "&amp;F2</f>
        <v>NEWELL JAMES</v>
      </c>
    </row>
    <row r="3" spans="1:7" x14ac:dyDescent="0.25">
      <c r="A3" s="8">
        <v>42709.047407407408</v>
      </c>
      <c r="B3" s="21" t="s">
        <v>240</v>
      </c>
      <c r="C3" s="21" t="s">
        <v>386</v>
      </c>
      <c r="D3" s="165">
        <v>1290000</v>
      </c>
      <c r="E3" s="21" t="s">
        <v>283</v>
      </c>
      <c r="F3" s="21" t="s">
        <v>307</v>
      </c>
      <c r="G3" s="8" t="str">
        <f t="shared" ref="G3:G66" si="0">E3&amp;" "&amp;F3</f>
        <v>COOLAHAN JOHN</v>
      </c>
    </row>
    <row r="4" spans="1:7" x14ac:dyDescent="0.25">
      <c r="A4" s="8">
        <v>42709.049317129633</v>
      </c>
      <c r="B4" s="21" t="s">
        <v>293</v>
      </c>
      <c r="C4" s="21" t="s">
        <v>385</v>
      </c>
      <c r="D4" s="165">
        <v>1810000</v>
      </c>
      <c r="E4" s="21" t="s">
        <v>359</v>
      </c>
      <c r="F4" s="21" t="s">
        <v>313</v>
      </c>
      <c r="G4" s="8" t="str">
        <f t="shared" si="0"/>
        <v>NEWELL JAMES</v>
      </c>
    </row>
    <row r="5" spans="1:7" x14ac:dyDescent="0.25">
      <c r="A5" s="8">
        <v>42709.057280092595</v>
      </c>
      <c r="B5" s="21" t="s">
        <v>321</v>
      </c>
      <c r="C5" s="21" t="s">
        <v>387</v>
      </c>
      <c r="D5" s="165">
        <v>1800000</v>
      </c>
      <c r="E5" s="21" t="s">
        <v>263</v>
      </c>
      <c r="F5" s="21" t="s">
        <v>349</v>
      </c>
      <c r="G5" s="8" t="str">
        <f t="shared" si="0"/>
        <v>CHANDLER KELVIN</v>
      </c>
    </row>
    <row r="6" spans="1:7" x14ac:dyDescent="0.25">
      <c r="A6" s="8">
        <v>42709.070069444446</v>
      </c>
      <c r="B6" s="21" t="s">
        <v>296</v>
      </c>
      <c r="C6" s="21" t="s">
        <v>388</v>
      </c>
      <c r="D6" s="165">
        <v>1810000</v>
      </c>
      <c r="E6" s="21" t="s">
        <v>359</v>
      </c>
      <c r="F6" s="21" t="s">
        <v>313</v>
      </c>
      <c r="G6" s="8" t="str">
        <f t="shared" si="0"/>
        <v>NEWELL JAMES</v>
      </c>
    </row>
    <row r="7" spans="1:7" x14ac:dyDescent="0.25">
      <c r="A7" s="8">
        <v>42709.089872685188</v>
      </c>
      <c r="B7" s="21" t="s">
        <v>322</v>
      </c>
      <c r="C7" s="21" t="s">
        <v>389</v>
      </c>
      <c r="D7" s="165">
        <v>1800000</v>
      </c>
      <c r="E7" s="21" t="s">
        <v>263</v>
      </c>
      <c r="F7" s="21" t="s">
        <v>349</v>
      </c>
      <c r="G7" s="8" t="str">
        <f t="shared" si="0"/>
        <v>CHANDLER KELVIN</v>
      </c>
    </row>
    <row r="8" spans="1:7" x14ac:dyDescent="0.25">
      <c r="A8" s="8">
        <v>42709.121064814812</v>
      </c>
      <c r="B8" s="21" t="s">
        <v>297</v>
      </c>
      <c r="C8" s="21" t="s">
        <v>460</v>
      </c>
      <c r="D8" s="165">
        <v>2030000</v>
      </c>
      <c r="E8" s="21" t="s">
        <v>350</v>
      </c>
      <c r="F8" s="21" t="s">
        <v>310</v>
      </c>
      <c r="G8" s="8" t="str">
        <f t="shared" si="0"/>
        <v>KILLION DAVID</v>
      </c>
    </row>
    <row r="9" spans="1:7" ht="15.75" thickBot="1" x14ac:dyDescent="0.3">
      <c r="A9" s="25">
        <v>42709.13177083333</v>
      </c>
      <c r="B9" s="21" t="s">
        <v>207</v>
      </c>
      <c r="C9" s="21" t="s">
        <v>426</v>
      </c>
      <c r="D9" s="165">
        <v>2030000</v>
      </c>
      <c r="E9" s="21" t="s">
        <v>350</v>
      </c>
      <c r="F9" s="21" t="s">
        <v>310</v>
      </c>
      <c r="G9" s="8" t="str">
        <f t="shared" si="0"/>
        <v>KILLION DAVID</v>
      </c>
    </row>
    <row r="10" spans="1:7" x14ac:dyDescent="0.25">
      <c r="A10" s="8">
        <v>42709.143159722225</v>
      </c>
      <c r="B10" s="21" t="s">
        <v>325</v>
      </c>
      <c r="C10" s="21" t="s">
        <v>461</v>
      </c>
      <c r="D10" s="165">
        <v>2610000</v>
      </c>
      <c r="E10" s="21" t="s">
        <v>462</v>
      </c>
      <c r="F10" s="21" t="s">
        <v>463</v>
      </c>
      <c r="G10" s="8" t="str">
        <f t="shared" si="0"/>
        <v>MAGEE KENYA</v>
      </c>
    </row>
    <row r="11" spans="1:7" x14ac:dyDescent="0.25">
      <c r="A11" s="8">
        <v>42709.143750000003</v>
      </c>
      <c r="B11" s="21" t="s">
        <v>325</v>
      </c>
      <c r="C11" s="21" t="s">
        <v>464</v>
      </c>
      <c r="D11" s="165">
        <v>2610000</v>
      </c>
      <c r="E11" s="21" t="s">
        <v>462</v>
      </c>
      <c r="F11" s="21" t="s">
        <v>463</v>
      </c>
      <c r="G11" s="8" t="str">
        <f t="shared" si="0"/>
        <v>MAGEE KENYA</v>
      </c>
    </row>
    <row r="12" spans="1:7" x14ac:dyDescent="0.25">
      <c r="A12" s="8">
        <v>42709.153622685182</v>
      </c>
      <c r="B12" s="21" t="s">
        <v>220</v>
      </c>
      <c r="C12" s="21" t="s">
        <v>461</v>
      </c>
      <c r="D12" s="165">
        <v>2610000</v>
      </c>
      <c r="E12" s="21" t="s">
        <v>462</v>
      </c>
      <c r="F12" s="21" t="s">
        <v>463</v>
      </c>
      <c r="G12" s="8" t="str">
        <f t="shared" si="0"/>
        <v>MAGEE KENYA</v>
      </c>
    </row>
    <row r="13" spans="1:7" x14ac:dyDescent="0.25">
      <c r="A13" s="8">
        <v>42709.160543981481</v>
      </c>
      <c r="B13" s="21" t="s">
        <v>256</v>
      </c>
      <c r="C13" s="21" t="s">
        <v>465</v>
      </c>
      <c r="D13" s="165">
        <v>2600000</v>
      </c>
      <c r="E13" s="21" t="s">
        <v>250</v>
      </c>
      <c r="F13" s="21" t="s">
        <v>310</v>
      </c>
      <c r="G13" s="8" t="str">
        <f t="shared" si="0"/>
        <v>DAVIDSON DAVID</v>
      </c>
    </row>
    <row r="14" spans="1:7" x14ac:dyDescent="0.25">
      <c r="A14" s="8">
        <v>42709.161412037036</v>
      </c>
      <c r="B14" s="21" t="s">
        <v>256</v>
      </c>
      <c r="C14" s="21" t="s">
        <v>465</v>
      </c>
      <c r="D14" s="165">
        <v>2600000</v>
      </c>
      <c r="E14" s="21" t="s">
        <v>250</v>
      </c>
      <c r="F14" s="21" t="s">
        <v>310</v>
      </c>
      <c r="G14" s="8" t="str">
        <f t="shared" si="0"/>
        <v>DAVIDSON DAVID</v>
      </c>
    </row>
    <row r="15" spans="1:7" x14ac:dyDescent="0.25">
      <c r="A15" s="8">
        <v>42709.16207175926</v>
      </c>
      <c r="B15" s="21" t="s">
        <v>256</v>
      </c>
      <c r="C15" s="21" t="s">
        <v>465</v>
      </c>
      <c r="D15" s="165">
        <v>2600000</v>
      </c>
      <c r="E15" s="21" t="s">
        <v>250</v>
      </c>
      <c r="F15" s="21" t="s">
        <v>310</v>
      </c>
      <c r="G15" s="8" t="str">
        <f t="shared" si="0"/>
        <v>DAVIDSON DAVID</v>
      </c>
    </row>
    <row r="16" spans="1:7" x14ac:dyDescent="0.25">
      <c r="A16" s="8">
        <v>42709.167858796296</v>
      </c>
      <c r="B16" s="21" t="s">
        <v>297</v>
      </c>
      <c r="C16" s="21" t="s">
        <v>466</v>
      </c>
      <c r="D16" s="165">
        <v>2030000</v>
      </c>
      <c r="E16" s="21" t="s">
        <v>350</v>
      </c>
      <c r="F16" s="21" t="s">
        <v>310</v>
      </c>
      <c r="G16" s="8" t="str">
        <f t="shared" si="0"/>
        <v>KILLION DAVID</v>
      </c>
    </row>
    <row r="17" spans="1:7" x14ac:dyDescent="0.25">
      <c r="A17" s="8">
        <v>42709.16951388889</v>
      </c>
      <c r="B17" s="21" t="s">
        <v>281</v>
      </c>
      <c r="C17" s="21" t="s">
        <v>467</v>
      </c>
      <c r="D17" s="165">
        <v>2100000</v>
      </c>
      <c r="E17" s="21" t="s">
        <v>468</v>
      </c>
      <c r="F17" s="21" t="s">
        <v>469</v>
      </c>
      <c r="G17" s="8" t="str">
        <f t="shared" si="0"/>
        <v>ISHMAEL JOSEPH</v>
      </c>
    </row>
    <row r="18" spans="1:7" x14ac:dyDescent="0.25">
      <c r="A18" s="8">
        <v>42709.170555555553</v>
      </c>
      <c r="B18" s="21" t="s">
        <v>281</v>
      </c>
      <c r="C18" s="21" t="s">
        <v>467</v>
      </c>
      <c r="D18" s="165">
        <v>2100000</v>
      </c>
      <c r="E18" s="21" t="s">
        <v>468</v>
      </c>
      <c r="F18" s="21" t="s">
        <v>469</v>
      </c>
      <c r="G18" s="8" t="str">
        <f t="shared" si="0"/>
        <v>ISHMAEL JOSEPH</v>
      </c>
    </row>
    <row r="19" spans="1:7" x14ac:dyDescent="0.25">
      <c r="A19" s="8">
        <v>42709.170798611114</v>
      </c>
      <c r="B19" s="21" t="s">
        <v>248</v>
      </c>
      <c r="C19" s="21" t="s">
        <v>470</v>
      </c>
      <c r="D19" s="165">
        <v>2600000</v>
      </c>
      <c r="E19" s="21" t="s">
        <v>250</v>
      </c>
      <c r="F19" s="21" t="s">
        <v>310</v>
      </c>
      <c r="G19" s="8" t="str">
        <f t="shared" si="0"/>
        <v>DAVIDSON DAVID</v>
      </c>
    </row>
    <row r="20" spans="1:7" x14ac:dyDescent="0.25">
      <c r="A20" s="8">
        <v>42709.178032407406</v>
      </c>
      <c r="B20" s="21" t="s">
        <v>298</v>
      </c>
      <c r="C20" s="21" t="s">
        <v>471</v>
      </c>
      <c r="D20" s="165">
        <v>1830000</v>
      </c>
      <c r="E20" s="21" t="s">
        <v>323</v>
      </c>
      <c r="F20" s="21" t="s">
        <v>324</v>
      </c>
      <c r="G20" s="8" t="str">
        <f t="shared" si="0"/>
        <v>YORK EDGAR</v>
      </c>
    </row>
    <row r="21" spans="1:7" x14ac:dyDescent="0.25">
      <c r="A21" s="8">
        <v>42709.179259259261</v>
      </c>
      <c r="B21" s="21" t="s">
        <v>216</v>
      </c>
      <c r="C21" s="21" t="s">
        <v>472</v>
      </c>
      <c r="D21" s="165">
        <v>2100000</v>
      </c>
      <c r="E21" s="21" t="s">
        <v>468</v>
      </c>
      <c r="F21" s="21" t="s">
        <v>469</v>
      </c>
      <c r="G21" s="8" t="str">
        <f t="shared" si="0"/>
        <v>ISHMAEL JOSEPH</v>
      </c>
    </row>
    <row r="22" spans="1:7" x14ac:dyDescent="0.25">
      <c r="A22" s="27">
        <v>42709.180694444447</v>
      </c>
      <c r="B22" s="21" t="s">
        <v>216</v>
      </c>
      <c r="C22" s="21" t="s">
        <v>472</v>
      </c>
      <c r="D22" s="165">
        <v>2100000</v>
      </c>
      <c r="E22" s="21" t="s">
        <v>468</v>
      </c>
      <c r="F22" s="21" t="s">
        <v>469</v>
      </c>
      <c r="G22" s="8" t="str">
        <f t="shared" si="0"/>
        <v>ISHMAEL JOSEPH</v>
      </c>
    </row>
    <row r="23" spans="1:7" x14ac:dyDescent="0.25">
      <c r="A23" s="8">
        <v>42709.188773148147</v>
      </c>
      <c r="B23" s="21" t="s">
        <v>184</v>
      </c>
      <c r="C23" s="21" t="s">
        <v>473</v>
      </c>
      <c r="D23" s="165">
        <v>1830000</v>
      </c>
      <c r="E23" s="21" t="s">
        <v>323</v>
      </c>
      <c r="F23" s="21" t="s">
        <v>324</v>
      </c>
      <c r="G23" s="8" t="str">
        <f t="shared" si="0"/>
        <v>YORK EDGAR</v>
      </c>
    </row>
    <row r="24" spans="1:7" x14ac:dyDescent="0.25">
      <c r="A24" s="8">
        <v>42709.190798611111</v>
      </c>
      <c r="B24" s="21" t="s">
        <v>325</v>
      </c>
      <c r="C24" s="21" t="s">
        <v>474</v>
      </c>
      <c r="D24" s="165">
        <v>2610000</v>
      </c>
      <c r="E24" s="21" t="s">
        <v>462</v>
      </c>
      <c r="F24" s="21" t="s">
        <v>463</v>
      </c>
      <c r="G24" s="8" t="str">
        <f t="shared" si="0"/>
        <v>MAGEE KENYA</v>
      </c>
    </row>
    <row r="25" spans="1:7" x14ac:dyDescent="0.25">
      <c r="A25" s="8">
        <v>42709.204641203702</v>
      </c>
      <c r="B25" s="21" t="s">
        <v>280</v>
      </c>
      <c r="C25" s="21" t="s">
        <v>429</v>
      </c>
      <c r="D25" s="165">
        <v>1990000</v>
      </c>
      <c r="E25" s="21" t="s">
        <v>475</v>
      </c>
      <c r="F25" s="21" t="s">
        <v>476</v>
      </c>
      <c r="G25" s="8" t="str">
        <f t="shared" si="0"/>
        <v>DAVIS WENDY</v>
      </c>
    </row>
    <row r="26" spans="1:7" x14ac:dyDescent="0.25">
      <c r="A26" s="8">
        <v>42709.204745370371</v>
      </c>
      <c r="B26" s="21" t="s">
        <v>256</v>
      </c>
      <c r="C26" s="21" t="s">
        <v>477</v>
      </c>
      <c r="D26" s="165">
        <v>2600000</v>
      </c>
      <c r="E26" s="21" t="s">
        <v>250</v>
      </c>
      <c r="F26" s="21" t="s">
        <v>310</v>
      </c>
      <c r="G26" s="8" t="str">
        <f t="shared" si="0"/>
        <v>DAVIDSON DAVID</v>
      </c>
    </row>
    <row r="27" spans="1:7" x14ac:dyDescent="0.25">
      <c r="A27" s="8">
        <v>42709.205625000002</v>
      </c>
      <c r="B27" s="21" t="s">
        <v>280</v>
      </c>
      <c r="C27" s="21" t="s">
        <v>427</v>
      </c>
      <c r="D27" s="165">
        <v>1990000</v>
      </c>
      <c r="E27" s="21" t="s">
        <v>475</v>
      </c>
      <c r="F27" s="21" t="s">
        <v>476</v>
      </c>
      <c r="G27" s="8" t="str">
        <f t="shared" si="0"/>
        <v>DAVIS WENDY</v>
      </c>
    </row>
    <row r="28" spans="1:7" x14ac:dyDescent="0.25">
      <c r="A28" s="8">
        <v>42709.206793981481</v>
      </c>
      <c r="B28" s="21" t="s">
        <v>218</v>
      </c>
      <c r="C28" s="21" t="s">
        <v>478</v>
      </c>
      <c r="D28" s="165">
        <v>2030000</v>
      </c>
      <c r="E28" s="21" t="s">
        <v>350</v>
      </c>
      <c r="F28" s="21" t="s">
        <v>310</v>
      </c>
      <c r="G28" s="8" t="str">
        <f t="shared" si="0"/>
        <v>KILLION DAVID</v>
      </c>
    </row>
    <row r="29" spans="1:7" x14ac:dyDescent="0.25">
      <c r="A29" s="8">
        <v>42709.210393518515</v>
      </c>
      <c r="B29" s="21" t="s">
        <v>209</v>
      </c>
      <c r="C29" s="21" t="s">
        <v>479</v>
      </c>
      <c r="D29" s="165">
        <v>1110000</v>
      </c>
      <c r="E29" s="21" t="s">
        <v>377</v>
      </c>
      <c r="F29" s="21" t="s">
        <v>378</v>
      </c>
      <c r="G29" s="8" t="str">
        <f t="shared" si="0"/>
        <v>STARKS ANGELINA</v>
      </c>
    </row>
    <row r="30" spans="1:7" x14ac:dyDescent="0.25">
      <c r="A30" s="8">
        <v>42709.213275462964</v>
      </c>
      <c r="B30" s="21" t="s">
        <v>428</v>
      </c>
      <c r="C30" s="21" t="s">
        <v>429</v>
      </c>
      <c r="D30" s="165">
        <v>1990000</v>
      </c>
      <c r="E30" s="21" t="s">
        <v>475</v>
      </c>
      <c r="F30" s="21" t="s">
        <v>476</v>
      </c>
      <c r="G30" s="8" t="str">
        <f t="shared" si="0"/>
        <v>DAVIS WENDY</v>
      </c>
    </row>
    <row r="31" spans="1:7" x14ac:dyDescent="0.25">
      <c r="A31" s="8">
        <v>42709.218877314815</v>
      </c>
      <c r="B31" s="21" t="s">
        <v>281</v>
      </c>
      <c r="C31" s="21" t="s">
        <v>480</v>
      </c>
      <c r="D31" s="165">
        <v>2100000</v>
      </c>
      <c r="E31" s="21" t="s">
        <v>468</v>
      </c>
      <c r="F31" s="21" t="s">
        <v>469</v>
      </c>
      <c r="G31" s="8" t="str">
        <f t="shared" si="0"/>
        <v>ISHMAEL JOSEPH</v>
      </c>
    </row>
    <row r="32" spans="1:7" x14ac:dyDescent="0.25">
      <c r="A32" s="8">
        <v>42709.224768518521</v>
      </c>
      <c r="B32" s="21" t="s">
        <v>298</v>
      </c>
      <c r="C32" s="21" t="s">
        <v>481</v>
      </c>
      <c r="D32" s="165">
        <v>1830000</v>
      </c>
      <c r="E32" s="21" t="s">
        <v>323</v>
      </c>
      <c r="F32" s="21" t="s">
        <v>324</v>
      </c>
      <c r="G32" s="8" t="str">
        <f t="shared" si="0"/>
        <v>YORK EDGAR</v>
      </c>
    </row>
    <row r="33" spans="1:7" x14ac:dyDescent="0.25">
      <c r="A33" s="8">
        <v>42709.23164351852</v>
      </c>
      <c r="B33" s="21" t="s">
        <v>220</v>
      </c>
      <c r="C33" s="21" t="s">
        <v>482</v>
      </c>
      <c r="D33" s="165">
        <v>2140000</v>
      </c>
      <c r="E33" s="21" t="s">
        <v>319</v>
      </c>
      <c r="F33" s="21" t="s">
        <v>320</v>
      </c>
      <c r="G33" s="8" t="str">
        <f t="shared" si="0"/>
        <v>ROBINSON KADDIBA</v>
      </c>
    </row>
    <row r="34" spans="1:7" x14ac:dyDescent="0.25">
      <c r="A34" s="8">
        <v>42709.235578703701</v>
      </c>
      <c r="B34" s="21" t="s">
        <v>327</v>
      </c>
      <c r="C34" s="21" t="s">
        <v>483</v>
      </c>
      <c r="D34" s="165">
        <v>2610000</v>
      </c>
      <c r="E34" s="21" t="s">
        <v>462</v>
      </c>
      <c r="F34" s="21" t="s">
        <v>463</v>
      </c>
      <c r="G34" s="8" t="str">
        <f t="shared" si="0"/>
        <v>MAGEE KENYA</v>
      </c>
    </row>
    <row r="35" spans="1:7" x14ac:dyDescent="0.25">
      <c r="A35" s="8">
        <v>42709.239166666666</v>
      </c>
      <c r="B35" s="21" t="s">
        <v>280</v>
      </c>
      <c r="C35" s="21" t="s">
        <v>430</v>
      </c>
      <c r="D35" s="165">
        <v>1990000</v>
      </c>
      <c r="E35" s="21" t="s">
        <v>475</v>
      </c>
      <c r="F35" s="21" t="s">
        <v>476</v>
      </c>
      <c r="G35" s="8" t="str">
        <f t="shared" si="0"/>
        <v>DAVIS WENDY</v>
      </c>
    </row>
    <row r="36" spans="1:7" x14ac:dyDescent="0.25">
      <c r="A36" s="8">
        <v>42709.247118055559</v>
      </c>
      <c r="B36" s="21" t="s">
        <v>211</v>
      </c>
      <c r="C36" s="21" t="s">
        <v>431</v>
      </c>
      <c r="D36" s="165">
        <v>1110000</v>
      </c>
      <c r="E36" s="21" t="s">
        <v>377</v>
      </c>
      <c r="F36" s="21" t="s">
        <v>378</v>
      </c>
      <c r="G36" s="8" t="str">
        <f t="shared" si="0"/>
        <v>STARKS ANGELINA</v>
      </c>
    </row>
    <row r="37" spans="1:7" x14ac:dyDescent="0.25">
      <c r="A37" s="8">
        <v>42709.248530092591</v>
      </c>
      <c r="B37" s="21" t="s">
        <v>248</v>
      </c>
      <c r="C37" s="21" t="s">
        <v>484</v>
      </c>
      <c r="D37" s="165">
        <v>2600000</v>
      </c>
      <c r="E37" s="21" t="s">
        <v>250</v>
      </c>
      <c r="F37" s="21" t="s">
        <v>310</v>
      </c>
      <c r="G37" s="8" t="str">
        <f t="shared" si="0"/>
        <v>DAVIDSON DAVID</v>
      </c>
    </row>
    <row r="38" spans="1:7" x14ac:dyDescent="0.25">
      <c r="A38" s="8">
        <v>42709.251342592594</v>
      </c>
      <c r="B38" s="21" t="s">
        <v>233</v>
      </c>
      <c r="C38" s="21" t="s">
        <v>485</v>
      </c>
      <c r="D38" s="165">
        <v>2630000</v>
      </c>
      <c r="E38" s="21" t="s">
        <v>251</v>
      </c>
      <c r="F38" s="21" t="s">
        <v>486</v>
      </c>
      <c r="G38" s="8" t="str">
        <f t="shared" si="0"/>
        <v>SAFIEF AEIMEN</v>
      </c>
    </row>
    <row r="39" spans="1:7" x14ac:dyDescent="0.25">
      <c r="A39" s="8">
        <v>42709.252789351849</v>
      </c>
      <c r="B39" s="21" t="s">
        <v>297</v>
      </c>
      <c r="C39" s="21" t="s">
        <v>487</v>
      </c>
      <c r="D39" s="165">
        <v>2030000</v>
      </c>
      <c r="E39" s="21" t="s">
        <v>350</v>
      </c>
      <c r="F39" s="21" t="s">
        <v>310</v>
      </c>
      <c r="G39" s="8" t="str">
        <f t="shared" si="0"/>
        <v>KILLION DAVID</v>
      </c>
    </row>
    <row r="40" spans="1:7" x14ac:dyDescent="0.25">
      <c r="A40" s="8">
        <v>42709.256180555552</v>
      </c>
      <c r="B40" s="26" t="s">
        <v>216</v>
      </c>
      <c r="C40" s="21" t="s">
        <v>488</v>
      </c>
      <c r="D40" s="165">
        <v>2100000</v>
      </c>
      <c r="E40" s="21" t="s">
        <v>468</v>
      </c>
      <c r="F40" s="21" t="s">
        <v>469</v>
      </c>
      <c r="G40" s="8" t="str">
        <f t="shared" si="0"/>
        <v>ISHMAEL JOSEPH</v>
      </c>
    </row>
    <row r="41" spans="1:7" x14ac:dyDescent="0.25">
      <c r="A41" s="8">
        <v>42709.256331018521</v>
      </c>
      <c r="B41" s="21" t="s">
        <v>428</v>
      </c>
      <c r="C41" s="21" t="s">
        <v>489</v>
      </c>
      <c r="D41" s="165">
        <v>1990000</v>
      </c>
      <c r="E41" s="21" t="s">
        <v>475</v>
      </c>
      <c r="F41" s="21" t="s">
        <v>476</v>
      </c>
      <c r="G41" s="8" t="str">
        <f t="shared" si="0"/>
        <v>DAVIS WENDY</v>
      </c>
    </row>
    <row r="42" spans="1:7" x14ac:dyDescent="0.25">
      <c r="A42" s="8">
        <v>42709.260717592595</v>
      </c>
      <c r="B42" s="21" t="s">
        <v>232</v>
      </c>
      <c r="C42" s="21" t="s">
        <v>490</v>
      </c>
      <c r="D42" s="165">
        <v>2630000</v>
      </c>
      <c r="E42" s="21" t="s">
        <v>251</v>
      </c>
      <c r="F42" s="21" t="s">
        <v>486</v>
      </c>
      <c r="G42" s="8" t="str">
        <f t="shared" si="0"/>
        <v>SAFIEF AEIMEN</v>
      </c>
    </row>
    <row r="43" spans="1:7" x14ac:dyDescent="0.25">
      <c r="A43" s="8">
        <v>42709.261111111111</v>
      </c>
      <c r="B43" s="21" t="s">
        <v>221</v>
      </c>
      <c r="C43" s="21" t="s">
        <v>491</v>
      </c>
      <c r="D43" s="165">
        <v>2140000</v>
      </c>
      <c r="E43" s="21" t="s">
        <v>319</v>
      </c>
      <c r="F43" s="21" t="s">
        <v>320</v>
      </c>
      <c r="G43" s="8" t="str">
        <f t="shared" si="0"/>
        <v>ROBINSON KADDIBA</v>
      </c>
    </row>
    <row r="44" spans="1:7" x14ac:dyDescent="0.25">
      <c r="A44" s="8">
        <v>42709.265497685185</v>
      </c>
      <c r="B44" s="21" t="s">
        <v>184</v>
      </c>
      <c r="C44" s="21" t="s">
        <v>492</v>
      </c>
      <c r="D44" s="165">
        <v>1830000</v>
      </c>
      <c r="E44" s="21" t="s">
        <v>323</v>
      </c>
      <c r="F44" s="21" t="s">
        <v>324</v>
      </c>
      <c r="G44" s="8" t="str">
        <f t="shared" si="0"/>
        <v>YORK EDGAR</v>
      </c>
    </row>
    <row r="45" spans="1:7" x14ac:dyDescent="0.25">
      <c r="A45" s="8">
        <v>42709.274282407408</v>
      </c>
      <c r="B45" s="21" t="s">
        <v>325</v>
      </c>
      <c r="C45" s="21" t="s">
        <v>493</v>
      </c>
      <c r="D45" s="165">
        <v>2610000</v>
      </c>
      <c r="E45" s="21" t="s">
        <v>462</v>
      </c>
      <c r="F45" s="21" t="s">
        <v>463</v>
      </c>
      <c r="G45" s="8" t="str">
        <f t="shared" si="0"/>
        <v>MAGEE KENYA</v>
      </c>
    </row>
    <row r="46" spans="1:7" x14ac:dyDescent="0.25">
      <c r="A46" s="8">
        <v>42709.275312500002</v>
      </c>
      <c r="B46" s="21" t="s">
        <v>233</v>
      </c>
      <c r="C46" s="21" t="s">
        <v>494</v>
      </c>
      <c r="D46" s="165">
        <v>2630000</v>
      </c>
      <c r="E46" s="21" t="s">
        <v>251</v>
      </c>
      <c r="F46" s="21" t="s">
        <v>486</v>
      </c>
      <c r="G46" s="8" t="str">
        <f t="shared" si="0"/>
        <v>SAFIEF AEIMEN</v>
      </c>
    </row>
    <row r="47" spans="1:7" x14ac:dyDescent="0.25">
      <c r="A47" s="8">
        <v>42709.280775462961</v>
      </c>
      <c r="B47" s="21" t="s">
        <v>209</v>
      </c>
      <c r="C47" s="21" t="s">
        <v>495</v>
      </c>
      <c r="D47" s="165">
        <v>1110000</v>
      </c>
      <c r="E47" s="21" t="s">
        <v>377</v>
      </c>
      <c r="F47" s="21" t="s">
        <v>378</v>
      </c>
      <c r="G47" s="8" t="str">
        <f t="shared" si="0"/>
        <v>STARKS ANGELINA</v>
      </c>
    </row>
    <row r="48" spans="1:7" x14ac:dyDescent="0.25">
      <c r="A48" s="8">
        <v>42709.281134259261</v>
      </c>
      <c r="B48" s="21" t="s">
        <v>280</v>
      </c>
      <c r="C48" s="21" t="s">
        <v>496</v>
      </c>
      <c r="D48" s="165">
        <v>1990000</v>
      </c>
      <c r="E48" s="21" t="s">
        <v>475</v>
      </c>
      <c r="F48" s="21" t="s">
        <v>476</v>
      </c>
      <c r="G48" s="8" t="str">
        <f t="shared" si="0"/>
        <v>DAVIS WENDY</v>
      </c>
    </row>
    <row r="49" spans="1:7" x14ac:dyDescent="0.25">
      <c r="A49" s="8">
        <v>42709.287442129629</v>
      </c>
      <c r="B49" s="21" t="s">
        <v>249</v>
      </c>
      <c r="C49" s="21" t="s">
        <v>497</v>
      </c>
      <c r="D49" s="165">
        <v>2600000</v>
      </c>
      <c r="E49" s="21" t="s">
        <v>250</v>
      </c>
      <c r="F49" s="21" t="s">
        <v>310</v>
      </c>
      <c r="G49" s="8" t="str">
        <f t="shared" si="0"/>
        <v>DAVIDSON DAVID</v>
      </c>
    </row>
    <row r="50" spans="1:7" x14ac:dyDescent="0.25">
      <c r="A50" s="8">
        <v>42709.288113425922</v>
      </c>
      <c r="B50" s="21" t="s">
        <v>218</v>
      </c>
      <c r="C50" s="21" t="s">
        <v>498</v>
      </c>
      <c r="D50" s="165">
        <v>2030000</v>
      </c>
      <c r="E50" s="21" t="s">
        <v>350</v>
      </c>
      <c r="F50" s="21" t="s">
        <v>310</v>
      </c>
      <c r="G50" s="8" t="str">
        <f t="shared" si="0"/>
        <v>KILLION DAVID</v>
      </c>
    </row>
    <row r="51" spans="1:7" x14ac:dyDescent="0.25">
      <c r="A51" s="8">
        <v>42709.292650462965</v>
      </c>
      <c r="B51" s="21" t="s">
        <v>281</v>
      </c>
      <c r="C51" s="21" t="s">
        <v>499</v>
      </c>
      <c r="D51" s="165">
        <v>2100000</v>
      </c>
      <c r="E51" s="21" t="s">
        <v>468</v>
      </c>
      <c r="F51" s="21" t="s">
        <v>469</v>
      </c>
      <c r="G51" s="8" t="str">
        <f t="shared" si="0"/>
        <v>ISHMAEL JOSEPH</v>
      </c>
    </row>
    <row r="52" spans="1:7" x14ac:dyDescent="0.25">
      <c r="A52" s="8">
        <v>42709.296296296299</v>
      </c>
      <c r="B52" s="21" t="s">
        <v>232</v>
      </c>
      <c r="C52" s="21" t="s">
        <v>500</v>
      </c>
      <c r="D52" s="165">
        <v>1780000</v>
      </c>
      <c r="E52" s="21" t="s">
        <v>501</v>
      </c>
      <c r="F52" s="21" t="s">
        <v>502</v>
      </c>
      <c r="G52" s="8" t="str">
        <f t="shared" si="0"/>
        <v>DE LA ROSA ALEX</v>
      </c>
    </row>
    <row r="53" spans="1:7" x14ac:dyDescent="0.25">
      <c r="A53" s="8">
        <v>42709.297337962962</v>
      </c>
      <c r="B53" s="21" t="s">
        <v>298</v>
      </c>
      <c r="C53" s="21" t="s">
        <v>503</v>
      </c>
      <c r="D53" s="165">
        <v>1830000</v>
      </c>
      <c r="E53" s="21" t="s">
        <v>323</v>
      </c>
      <c r="F53" s="21" t="s">
        <v>324</v>
      </c>
      <c r="G53" s="8" t="str">
        <f t="shared" si="0"/>
        <v>YORK EDGAR</v>
      </c>
    </row>
    <row r="54" spans="1:7" x14ac:dyDescent="0.25">
      <c r="A54" s="8">
        <v>42709.298900462964</v>
      </c>
      <c r="B54" s="21" t="s">
        <v>220</v>
      </c>
      <c r="C54" s="21" t="s">
        <v>432</v>
      </c>
      <c r="D54" s="165">
        <v>2140000</v>
      </c>
      <c r="E54" s="21" t="s">
        <v>319</v>
      </c>
      <c r="F54" s="21" t="s">
        <v>320</v>
      </c>
      <c r="G54" s="8" t="str">
        <f t="shared" si="0"/>
        <v>ROBINSON KADDIBA</v>
      </c>
    </row>
    <row r="55" spans="1:7" x14ac:dyDescent="0.25">
      <c r="A55" s="8">
        <v>42709.307303240741</v>
      </c>
      <c r="B55" s="21" t="s">
        <v>428</v>
      </c>
      <c r="C55" s="21" t="s">
        <v>433</v>
      </c>
      <c r="D55" s="165">
        <v>1990000</v>
      </c>
      <c r="E55" s="21" t="s">
        <v>475</v>
      </c>
      <c r="F55" s="21" t="s">
        <v>476</v>
      </c>
      <c r="G55" s="8" t="str">
        <f t="shared" si="0"/>
        <v>DAVIS WENDY</v>
      </c>
    </row>
    <row r="56" spans="1:7" x14ac:dyDescent="0.25">
      <c r="A56" s="8">
        <v>42709.310474537036</v>
      </c>
      <c r="B56" s="21" t="s">
        <v>327</v>
      </c>
      <c r="C56" s="21" t="s">
        <v>504</v>
      </c>
      <c r="D56" s="165">
        <v>2610000</v>
      </c>
      <c r="E56" s="21" t="s">
        <v>462</v>
      </c>
      <c r="F56" s="21" t="s">
        <v>463</v>
      </c>
      <c r="G56" s="8" t="str">
        <f t="shared" si="0"/>
        <v>MAGEE KENYA</v>
      </c>
    </row>
    <row r="57" spans="1:7" x14ac:dyDescent="0.25">
      <c r="A57" s="8">
        <v>42709.318530092591</v>
      </c>
      <c r="B57" s="21" t="s">
        <v>211</v>
      </c>
      <c r="C57" s="21" t="s">
        <v>434</v>
      </c>
      <c r="D57" s="165">
        <v>1110000</v>
      </c>
      <c r="E57" s="21" t="s">
        <v>377</v>
      </c>
      <c r="F57" s="21" t="s">
        <v>378</v>
      </c>
      <c r="G57" s="8" t="str">
        <f t="shared" si="0"/>
        <v>STARKS ANGELINA</v>
      </c>
    </row>
    <row r="58" spans="1:7" x14ac:dyDescent="0.25">
      <c r="A58" s="8">
        <v>42709.320370370369</v>
      </c>
      <c r="B58" s="21" t="s">
        <v>248</v>
      </c>
      <c r="C58" s="21" t="s">
        <v>505</v>
      </c>
      <c r="D58" s="165">
        <v>2600000</v>
      </c>
      <c r="E58" s="21" t="s">
        <v>250</v>
      </c>
      <c r="F58" s="21" t="s">
        <v>310</v>
      </c>
      <c r="G58" s="8" t="str">
        <f t="shared" si="0"/>
        <v>DAVIDSON DAVID</v>
      </c>
    </row>
    <row r="59" spans="1:7" x14ac:dyDescent="0.25">
      <c r="A59" s="8">
        <v>42709.325486111113</v>
      </c>
      <c r="B59" s="21" t="s">
        <v>280</v>
      </c>
      <c r="C59" s="21" t="s">
        <v>506</v>
      </c>
      <c r="D59" s="165">
        <v>1990000</v>
      </c>
      <c r="E59" s="21" t="s">
        <v>475</v>
      </c>
      <c r="F59" s="21" t="s">
        <v>476</v>
      </c>
      <c r="G59" s="8" t="str">
        <f t="shared" si="0"/>
        <v>DAVIS WENDY</v>
      </c>
    </row>
    <row r="60" spans="1:7" x14ac:dyDescent="0.25">
      <c r="A60" s="8">
        <v>42709.32607638889</v>
      </c>
      <c r="B60" s="21" t="s">
        <v>233</v>
      </c>
      <c r="C60" s="21" t="s">
        <v>507</v>
      </c>
      <c r="D60" s="165">
        <v>1780000</v>
      </c>
      <c r="E60" s="21" t="s">
        <v>501</v>
      </c>
      <c r="F60" s="21" t="s">
        <v>502</v>
      </c>
      <c r="G60" s="8" t="str">
        <f t="shared" si="0"/>
        <v>DE LA ROSA ALEX</v>
      </c>
    </row>
    <row r="61" spans="1:7" x14ac:dyDescent="0.25">
      <c r="A61" s="8">
        <v>42709.327372685184</v>
      </c>
      <c r="B61" s="21" t="s">
        <v>297</v>
      </c>
      <c r="C61" s="21" t="s">
        <v>436</v>
      </c>
      <c r="D61" s="165">
        <v>2030000</v>
      </c>
      <c r="E61" s="21" t="s">
        <v>350</v>
      </c>
      <c r="F61" s="21" t="s">
        <v>310</v>
      </c>
      <c r="G61" s="8" t="str">
        <f t="shared" si="0"/>
        <v>KILLION DAVID</v>
      </c>
    </row>
    <row r="62" spans="1:7" x14ac:dyDescent="0.25">
      <c r="A62" s="8">
        <v>42709.329027777778</v>
      </c>
      <c r="B62" s="21" t="s">
        <v>216</v>
      </c>
      <c r="C62" s="21" t="s">
        <v>508</v>
      </c>
      <c r="D62" s="165">
        <v>2100000</v>
      </c>
      <c r="E62" s="21" t="s">
        <v>468</v>
      </c>
      <c r="F62" s="21" t="s">
        <v>469</v>
      </c>
      <c r="G62" s="8" t="str">
        <f t="shared" si="0"/>
        <v>ISHMAEL JOSEPH</v>
      </c>
    </row>
    <row r="63" spans="1:7" x14ac:dyDescent="0.25">
      <c r="A63" s="8">
        <v>42709.333831018521</v>
      </c>
      <c r="B63" s="21" t="s">
        <v>221</v>
      </c>
      <c r="C63" s="21" t="s">
        <v>509</v>
      </c>
      <c r="D63" s="165">
        <v>2140000</v>
      </c>
      <c r="E63" s="21" t="s">
        <v>319</v>
      </c>
      <c r="F63" s="21" t="s">
        <v>320</v>
      </c>
      <c r="G63" s="8" t="str">
        <f t="shared" si="0"/>
        <v>ROBINSON KADDIBA</v>
      </c>
    </row>
    <row r="64" spans="1:7" x14ac:dyDescent="0.25">
      <c r="A64" s="27">
        <v>42709.339074074072</v>
      </c>
      <c r="B64" s="21" t="s">
        <v>184</v>
      </c>
      <c r="C64" s="21" t="s">
        <v>437</v>
      </c>
      <c r="D64" s="165">
        <v>1830000</v>
      </c>
      <c r="E64" s="21" t="s">
        <v>323</v>
      </c>
      <c r="F64" s="21" t="s">
        <v>324</v>
      </c>
      <c r="G64" s="8" t="str">
        <f t="shared" si="0"/>
        <v>YORK EDGAR</v>
      </c>
    </row>
    <row r="65" spans="1:7" x14ac:dyDescent="0.25">
      <c r="A65" s="8">
        <v>42709.342847222222</v>
      </c>
      <c r="B65" s="21" t="s">
        <v>232</v>
      </c>
      <c r="C65" s="21" t="s">
        <v>510</v>
      </c>
      <c r="D65" s="165">
        <v>2630000</v>
      </c>
      <c r="E65" s="21" t="s">
        <v>251</v>
      </c>
      <c r="F65" s="21" t="s">
        <v>486</v>
      </c>
      <c r="G65" s="8" t="str">
        <f t="shared" si="0"/>
        <v>SAFIEF AEIMEN</v>
      </c>
    </row>
    <row r="66" spans="1:7" x14ac:dyDescent="0.25">
      <c r="A66" s="8">
        <v>42709.34516203704</v>
      </c>
      <c r="B66" s="21" t="s">
        <v>428</v>
      </c>
      <c r="C66" s="21" t="s">
        <v>435</v>
      </c>
      <c r="D66" s="165">
        <v>1990000</v>
      </c>
      <c r="E66" s="21" t="s">
        <v>475</v>
      </c>
      <c r="F66" s="21" t="s">
        <v>476</v>
      </c>
      <c r="G66" s="8" t="str">
        <f t="shared" si="0"/>
        <v>DAVIS WENDY</v>
      </c>
    </row>
    <row r="67" spans="1:7" x14ac:dyDescent="0.25">
      <c r="A67" s="8">
        <v>42709.347812499997</v>
      </c>
      <c r="B67" s="21" t="s">
        <v>325</v>
      </c>
      <c r="C67" s="21" t="s">
        <v>511</v>
      </c>
      <c r="D67" s="165">
        <v>2610000</v>
      </c>
      <c r="E67" s="21" t="s">
        <v>462</v>
      </c>
      <c r="F67" s="21" t="s">
        <v>463</v>
      </c>
      <c r="G67" s="8" t="str">
        <f t="shared" ref="G67:G130" si="1">E67&amp;" "&amp;F67</f>
        <v>MAGEE KENYA</v>
      </c>
    </row>
    <row r="68" spans="1:7" x14ac:dyDescent="0.25">
      <c r="A68" s="8">
        <v>42709.349780092591</v>
      </c>
      <c r="B68" s="21" t="s">
        <v>209</v>
      </c>
      <c r="C68" s="21" t="s">
        <v>512</v>
      </c>
      <c r="D68" s="165">
        <v>1110000</v>
      </c>
      <c r="E68" s="21" t="s">
        <v>377</v>
      </c>
      <c r="F68" s="21" t="s">
        <v>378</v>
      </c>
      <c r="G68" s="8" t="str">
        <f t="shared" si="1"/>
        <v>STARKS ANGELINA</v>
      </c>
    </row>
    <row r="69" spans="1:7" x14ac:dyDescent="0.25">
      <c r="A69" s="8">
        <v>42709.357569444444</v>
      </c>
      <c r="B69" s="21" t="s">
        <v>280</v>
      </c>
      <c r="C69" s="21" t="s">
        <v>513</v>
      </c>
      <c r="D69" s="165">
        <v>1990000</v>
      </c>
      <c r="E69" s="21" t="s">
        <v>475</v>
      </c>
      <c r="F69" s="21" t="s">
        <v>476</v>
      </c>
      <c r="G69" s="8" t="str">
        <f t="shared" si="1"/>
        <v>DAVIS WENDY</v>
      </c>
    </row>
    <row r="70" spans="1:7" x14ac:dyDescent="0.25">
      <c r="A70" s="8">
        <v>42709.359155092592</v>
      </c>
      <c r="B70" s="21" t="s">
        <v>249</v>
      </c>
      <c r="C70" s="21" t="s">
        <v>514</v>
      </c>
      <c r="D70" s="165">
        <v>2600000</v>
      </c>
      <c r="E70" s="21" t="s">
        <v>250</v>
      </c>
      <c r="F70" s="21" t="s">
        <v>310</v>
      </c>
      <c r="G70" s="8" t="str">
        <f t="shared" si="1"/>
        <v>DAVIDSON DAVID</v>
      </c>
    </row>
    <row r="71" spans="1:7" x14ac:dyDescent="0.25">
      <c r="A71" s="8">
        <v>42709.359560185185</v>
      </c>
      <c r="B71" s="21" t="s">
        <v>216</v>
      </c>
      <c r="C71" s="21" t="s">
        <v>508</v>
      </c>
      <c r="D71" s="165">
        <v>2100000</v>
      </c>
      <c r="E71" s="21" t="s">
        <v>468</v>
      </c>
      <c r="F71" s="21" t="s">
        <v>469</v>
      </c>
      <c r="G71" s="8" t="str">
        <f t="shared" si="1"/>
        <v>ISHMAEL JOSEPH</v>
      </c>
    </row>
    <row r="72" spans="1:7" x14ac:dyDescent="0.25">
      <c r="A72" s="8">
        <v>42709.359803240739</v>
      </c>
      <c r="B72" s="21" t="s">
        <v>233</v>
      </c>
      <c r="C72" s="21" t="s">
        <v>515</v>
      </c>
      <c r="D72" s="165">
        <v>2630000</v>
      </c>
      <c r="E72" s="21" t="s">
        <v>251</v>
      </c>
      <c r="F72" s="21" t="s">
        <v>486</v>
      </c>
      <c r="G72" s="8" t="str">
        <f t="shared" si="1"/>
        <v>SAFIEF AEIMEN</v>
      </c>
    </row>
    <row r="73" spans="1:7" x14ac:dyDescent="0.25">
      <c r="A73" s="8">
        <v>42709.360960648148</v>
      </c>
      <c r="B73" s="21" t="s">
        <v>218</v>
      </c>
      <c r="C73" s="21" t="s">
        <v>516</v>
      </c>
      <c r="D73" s="165">
        <v>2030000</v>
      </c>
      <c r="E73" s="21" t="s">
        <v>350</v>
      </c>
      <c r="F73" s="21" t="s">
        <v>310</v>
      </c>
      <c r="G73" s="8" t="str">
        <f t="shared" si="1"/>
        <v>KILLION DAVID</v>
      </c>
    </row>
    <row r="74" spans="1:7" x14ac:dyDescent="0.25">
      <c r="A74" s="8">
        <v>42709.368402777778</v>
      </c>
      <c r="B74" s="21" t="s">
        <v>281</v>
      </c>
      <c r="C74" s="21" t="s">
        <v>517</v>
      </c>
      <c r="D74" s="165">
        <v>2100000</v>
      </c>
      <c r="E74" s="21" t="s">
        <v>468</v>
      </c>
      <c r="F74" s="21" t="s">
        <v>469</v>
      </c>
      <c r="G74" s="8" t="str">
        <f t="shared" si="1"/>
        <v>ISHMAEL JOSEPH</v>
      </c>
    </row>
    <row r="75" spans="1:7" x14ac:dyDescent="0.25">
      <c r="A75" s="8">
        <v>42709.37027777778</v>
      </c>
      <c r="B75" s="21" t="s">
        <v>298</v>
      </c>
      <c r="C75" s="21" t="s">
        <v>518</v>
      </c>
      <c r="D75" s="165">
        <v>1830000</v>
      </c>
      <c r="E75" s="21" t="s">
        <v>323</v>
      </c>
      <c r="F75" s="21" t="s">
        <v>324</v>
      </c>
      <c r="G75" s="8" t="str">
        <f t="shared" si="1"/>
        <v>YORK EDGAR</v>
      </c>
    </row>
    <row r="76" spans="1:7" x14ac:dyDescent="0.25">
      <c r="A76" s="8">
        <v>42709.371898148151</v>
      </c>
      <c r="B76" s="21" t="s">
        <v>220</v>
      </c>
      <c r="C76" s="21" t="s">
        <v>519</v>
      </c>
      <c r="D76" s="165">
        <v>2140000</v>
      </c>
      <c r="E76" s="21" t="s">
        <v>319</v>
      </c>
      <c r="F76" s="21" t="s">
        <v>320</v>
      </c>
      <c r="G76" s="8" t="str">
        <f t="shared" si="1"/>
        <v>ROBINSON KADDIBA</v>
      </c>
    </row>
    <row r="77" spans="1:7" x14ac:dyDescent="0.25">
      <c r="A77" s="8">
        <v>42709.382268518515</v>
      </c>
      <c r="B77" s="21" t="s">
        <v>327</v>
      </c>
      <c r="C77" s="21" t="s">
        <v>520</v>
      </c>
      <c r="D77" s="165">
        <v>2610000</v>
      </c>
      <c r="E77" s="21" t="s">
        <v>462</v>
      </c>
      <c r="F77" s="21" t="s">
        <v>463</v>
      </c>
      <c r="G77" s="8" t="str">
        <f t="shared" si="1"/>
        <v>MAGEE KENYA</v>
      </c>
    </row>
    <row r="78" spans="1:7" x14ac:dyDescent="0.25">
      <c r="A78" s="8">
        <v>42709.38417824074</v>
      </c>
      <c r="B78" s="21" t="s">
        <v>232</v>
      </c>
      <c r="C78" s="21" t="s">
        <v>521</v>
      </c>
      <c r="D78" s="165">
        <v>2630000</v>
      </c>
      <c r="E78" s="21" t="s">
        <v>251</v>
      </c>
      <c r="F78" s="21" t="s">
        <v>486</v>
      </c>
      <c r="G78" s="8" t="str">
        <f t="shared" si="1"/>
        <v>SAFIEF AEIMEN</v>
      </c>
    </row>
    <row r="79" spans="1:7" x14ac:dyDescent="0.25">
      <c r="A79" s="8">
        <v>42709.391030092593</v>
      </c>
      <c r="B79" s="21" t="s">
        <v>211</v>
      </c>
      <c r="C79" s="21" t="s">
        <v>522</v>
      </c>
      <c r="D79" s="165">
        <v>1110000</v>
      </c>
      <c r="E79" s="21" t="s">
        <v>377</v>
      </c>
      <c r="F79" s="21" t="s">
        <v>378</v>
      </c>
      <c r="G79" s="8" t="str">
        <f t="shared" si="1"/>
        <v>STARKS ANGELINA</v>
      </c>
    </row>
    <row r="80" spans="1:7" x14ac:dyDescent="0.25">
      <c r="A80" s="8">
        <v>42709.391516203701</v>
      </c>
      <c r="B80" s="21" t="s">
        <v>248</v>
      </c>
      <c r="C80" s="21" t="s">
        <v>523</v>
      </c>
      <c r="D80" s="165">
        <v>2600000</v>
      </c>
      <c r="E80" s="21" t="s">
        <v>250</v>
      </c>
      <c r="F80" s="21" t="s">
        <v>310</v>
      </c>
      <c r="G80" s="8" t="str">
        <f t="shared" si="1"/>
        <v>DAVIDSON DAVID</v>
      </c>
    </row>
    <row r="81" spans="1:7" x14ac:dyDescent="0.25">
      <c r="A81" s="8">
        <v>42709.398240740738</v>
      </c>
      <c r="B81" s="21" t="s">
        <v>297</v>
      </c>
      <c r="C81" s="21" t="s">
        <v>524</v>
      </c>
      <c r="D81" s="165">
        <v>2030000</v>
      </c>
      <c r="E81" s="21" t="s">
        <v>350</v>
      </c>
      <c r="F81" s="21" t="s">
        <v>310</v>
      </c>
      <c r="G81" s="8" t="str">
        <f t="shared" si="1"/>
        <v>KILLION DAVID</v>
      </c>
    </row>
    <row r="82" spans="1:7" x14ac:dyDescent="0.25">
      <c r="A82" s="8">
        <v>42709.400150462963</v>
      </c>
      <c r="B82" s="21" t="s">
        <v>233</v>
      </c>
      <c r="C82" s="21" t="s">
        <v>438</v>
      </c>
      <c r="D82" s="165">
        <v>2630000</v>
      </c>
      <c r="E82" s="21" t="s">
        <v>251</v>
      </c>
      <c r="F82" s="21" t="s">
        <v>486</v>
      </c>
      <c r="G82" s="8" t="str">
        <f t="shared" si="1"/>
        <v>SAFIEF AEIMEN</v>
      </c>
    </row>
    <row r="83" spans="1:7" x14ac:dyDescent="0.25">
      <c r="A83" s="8">
        <v>42709.402615740742</v>
      </c>
      <c r="B83" s="21" t="s">
        <v>216</v>
      </c>
      <c r="C83" s="21" t="s">
        <v>441</v>
      </c>
      <c r="D83" s="165">
        <v>2100000</v>
      </c>
      <c r="E83" s="21" t="s">
        <v>468</v>
      </c>
      <c r="F83" s="21" t="s">
        <v>469</v>
      </c>
      <c r="G83" s="8" t="str">
        <f t="shared" si="1"/>
        <v>ISHMAEL JOSEPH</v>
      </c>
    </row>
    <row r="84" spans="1:7" x14ac:dyDescent="0.25">
      <c r="A84" s="8">
        <v>42709.407939814817</v>
      </c>
      <c r="B84" s="21" t="s">
        <v>221</v>
      </c>
      <c r="C84" s="21" t="s">
        <v>525</v>
      </c>
      <c r="D84" s="165">
        <v>2140000</v>
      </c>
      <c r="E84" s="21" t="s">
        <v>319</v>
      </c>
      <c r="F84" s="21" t="s">
        <v>320</v>
      </c>
      <c r="G84" s="8" t="str">
        <f t="shared" si="1"/>
        <v>ROBINSON KADDIBA</v>
      </c>
    </row>
    <row r="85" spans="1:7" x14ac:dyDescent="0.25">
      <c r="A85" s="8">
        <v>42709.41070601852</v>
      </c>
      <c r="B85" s="21" t="s">
        <v>184</v>
      </c>
      <c r="C85" s="21" t="s">
        <v>526</v>
      </c>
      <c r="D85" s="165">
        <v>1830000</v>
      </c>
      <c r="E85" s="21" t="s">
        <v>323</v>
      </c>
      <c r="F85" s="21" t="s">
        <v>324</v>
      </c>
      <c r="G85" s="8" t="str">
        <f t="shared" si="1"/>
        <v>YORK EDGAR</v>
      </c>
    </row>
    <row r="86" spans="1:7" x14ac:dyDescent="0.25">
      <c r="A86" s="8">
        <v>42709.416180555556</v>
      </c>
      <c r="B86" s="21" t="s">
        <v>232</v>
      </c>
      <c r="C86" s="21" t="s">
        <v>527</v>
      </c>
      <c r="D86" s="165">
        <v>2630000</v>
      </c>
      <c r="E86" s="21" t="s">
        <v>251</v>
      </c>
      <c r="F86" s="21" t="s">
        <v>486</v>
      </c>
      <c r="G86" s="8" t="str">
        <f t="shared" si="1"/>
        <v>SAFIEF AEIMEN</v>
      </c>
    </row>
    <row r="87" spans="1:7" x14ac:dyDescent="0.25">
      <c r="A87" s="8">
        <v>42709.418842592589</v>
      </c>
      <c r="B87" s="21" t="s">
        <v>325</v>
      </c>
      <c r="C87" s="21" t="s">
        <v>528</v>
      </c>
      <c r="D87" s="165">
        <v>2610000</v>
      </c>
      <c r="E87" s="21" t="s">
        <v>462</v>
      </c>
      <c r="F87" s="21" t="s">
        <v>463</v>
      </c>
      <c r="G87" s="8" t="str">
        <f t="shared" si="1"/>
        <v>MAGEE KENYA</v>
      </c>
    </row>
    <row r="88" spans="1:7" x14ac:dyDescent="0.25">
      <c r="A88" s="8">
        <v>42709.424618055556</v>
      </c>
      <c r="B88" s="21" t="s">
        <v>209</v>
      </c>
      <c r="C88" s="21" t="s">
        <v>529</v>
      </c>
      <c r="D88" s="165">
        <v>1110000</v>
      </c>
      <c r="E88" s="21" t="s">
        <v>377</v>
      </c>
      <c r="F88" s="21" t="s">
        <v>378</v>
      </c>
      <c r="G88" s="8" t="str">
        <f t="shared" si="1"/>
        <v>STARKS ANGELINA</v>
      </c>
    </row>
    <row r="89" spans="1:7" x14ac:dyDescent="0.25">
      <c r="A89" s="8">
        <v>42709.426782407405</v>
      </c>
      <c r="B89" s="21" t="s">
        <v>249</v>
      </c>
      <c r="C89" s="21" t="s">
        <v>530</v>
      </c>
      <c r="D89" s="165">
        <v>2600000</v>
      </c>
      <c r="E89" s="21" t="s">
        <v>250</v>
      </c>
      <c r="F89" s="21" t="s">
        <v>310</v>
      </c>
      <c r="G89" s="8" t="str">
        <f t="shared" si="1"/>
        <v>DAVIDSON DAVID</v>
      </c>
    </row>
    <row r="90" spans="1:7" x14ac:dyDescent="0.25">
      <c r="A90" s="8">
        <v>42709.433692129627</v>
      </c>
      <c r="B90" s="21" t="s">
        <v>218</v>
      </c>
      <c r="C90" s="21" t="s">
        <v>531</v>
      </c>
      <c r="D90" s="165">
        <v>1990000</v>
      </c>
      <c r="E90" s="21" t="s">
        <v>475</v>
      </c>
      <c r="F90" s="21" t="s">
        <v>476</v>
      </c>
      <c r="G90" s="8" t="str">
        <f t="shared" si="1"/>
        <v>DAVIS WENDY</v>
      </c>
    </row>
    <row r="91" spans="1:7" x14ac:dyDescent="0.25">
      <c r="A91" s="8">
        <v>42709.437534722223</v>
      </c>
      <c r="B91" s="21" t="s">
        <v>383</v>
      </c>
      <c r="C91" s="21" t="s">
        <v>532</v>
      </c>
      <c r="D91" s="165">
        <v>880000</v>
      </c>
      <c r="E91" s="21" t="s">
        <v>353</v>
      </c>
      <c r="F91" s="21" t="s">
        <v>309</v>
      </c>
      <c r="G91" s="8" t="str">
        <f t="shared" si="1"/>
        <v>STEWART MICHAEL</v>
      </c>
    </row>
    <row r="92" spans="1:7" x14ac:dyDescent="0.25">
      <c r="A92" s="8">
        <v>42709.441319444442</v>
      </c>
      <c r="B92" s="21" t="s">
        <v>281</v>
      </c>
      <c r="C92" s="21" t="s">
        <v>533</v>
      </c>
      <c r="D92" s="165">
        <v>2100000</v>
      </c>
      <c r="E92" s="21" t="s">
        <v>468</v>
      </c>
      <c r="F92" s="21" t="s">
        <v>469</v>
      </c>
      <c r="G92" s="8" t="str">
        <f t="shared" si="1"/>
        <v>ISHMAEL JOSEPH</v>
      </c>
    </row>
    <row r="93" spans="1:7" x14ac:dyDescent="0.25">
      <c r="A93" s="8">
        <v>42709.442083333335</v>
      </c>
      <c r="B93" s="21" t="s">
        <v>298</v>
      </c>
      <c r="C93" s="21" t="s">
        <v>534</v>
      </c>
      <c r="D93" s="165">
        <v>1830000</v>
      </c>
      <c r="E93" s="21" t="s">
        <v>323</v>
      </c>
      <c r="F93" s="21" t="s">
        <v>324</v>
      </c>
      <c r="G93" s="8" t="str">
        <f t="shared" si="1"/>
        <v>YORK EDGAR</v>
      </c>
    </row>
    <row r="94" spans="1:7" x14ac:dyDescent="0.25">
      <c r="A94" s="8">
        <v>42709.442442129628</v>
      </c>
      <c r="B94" s="21" t="s">
        <v>233</v>
      </c>
      <c r="C94" s="21" t="s">
        <v>535</v>
      </c>
      <c r="D94" s="165">
        <v>2630000</v>
      </c>
      <c r="E94" s="21" t="s">
        <v>251</v>
      </c>
      <c r="F94" s="21" t="s">
        <v>486</v>
      </c>
      <c r="G94" s="8" t="str">
        <f t="shared" si="1"/>
        <v>SAFIEF AEIMEN</v>
      </c>
    </row>
    <row r="95" spans="1:7" x14ac:dyDescent="0.25">
      <c r="A95" s="8">
        <v>42709.443819444445</v>
      </c>
      <c r="B95" s="21" t="s">
        <v>220</v>
      </c>
      <c r="C95" s="21" t="s">
        <v>536</v>
      </c>
      <c r="D95" s="165">
        <v>2140000</v>
      </c>
      <c r="E95" s="21" t="s">
        <v>319</v>
      </c>
      <c r="F95" s="21" t="s">
        <v>320</v>
      </c>
      <c r="G95" s="8" t="str">
        <f t="shared" si="1"/>
        <v>ROBINSON KADDIBA</v>
      </c>
    </row>
    <row r="96" spans="1:7" x14ac:dyDescent="0.25">
      <c r="A96" s="8">
        <v>42709.453877314816</v>
      </c>
      <c r="B96" s="21" t="s">
        <v>537</v>
      </c>
      <c r="C96" s="21" t="s">
        <v>538</v>
      </c>
      <c r="D96" s="165">
        <v>2250000</v>
      </c>
      <c r="E96" s="21" t="s">
        <v>539</v>
      </c>
      <c r="F96" s="21" t="s">
        <v>540</v>
      </c>
      <c r="G96" s="8" t="str">
        <f t="shared" si="1"/>
        <v>CRAYTON QUNTRELL</v>
      </c>
    </row>
    <row r="97" spans="1:7" x14ac:dyDescent="0.25">
      <c r="A97" s="8">
        <v>42709.455775462964</v>
      </c>
      <c r="B97" s="21" t="s">
        <v>327</v>
      </c>
      <c r="C97" s="21" t="s">
        <v>541</v>
      </c>
      <c r="D97" s="165">
        <v>880000</v>
      </c>
      <c r="E97" s="21" t="s">
        <v>353</v>
      </c>
      <c r="F97" s="21" t="s">
        <v>309</v>
      </c>
      <c r="G97" s="8" t="str">
        <f t="shared" si="1"/>
        <v>STEWART MICHAEL</v>
      </c>
    </row>
    <row r="98" spans="1:7" x14ac:dyDescent="0.25">
      <c r="A98" s="8">
        <v>42709.464733796296</v>
      </c>
      <c r="B98" s="21" t="s">
        <v>211</v>
      </c>
      <c r="C98" s="21" t="s">
        <v>442</v>
      </c>
      <c r="D98" s="165">
        <v>1110000</v>
      </c>
      <c r="E98" s="21" t="s">
        <v>377</v>
      </c>
      <c r="F98" s="21" t="s">
        <v>378</v>
      </c>
      <c r="G98" s="8" t="str">
        <f t="shared" si="1"/>
        <v>STARKS ANGELINA</v>
      </c>
    </row>
    <row r="99" spans="1:7" x14ac:dyDescent="0.25">
      <c r="A99" s="8">
        <v>42709.465474537035</v>
      </c>
      <c r="B99" s="21" t="s">
        <v>248</v>
      </c>
      <c r="C99" s="21" t="s">
        <v>542</v>
      </c>
      <c r="D99" s="165">
        <v>1280000</v>
      </c>
      <c r="E99" s="21" t="s">
        <v>354</v>
      </c>
      <c r="F99" s="21" t="s">
        <v>355</v>
      </c>
      <c r="G99" s="8" t="str">
        <f t="shared" si="1"/>
        <v>BARTLETT KIANDRA</v>
      </c>
    </row>
    <row r="100" spans="1:7" x14ac:dyDescent="0.25">
      <c r="A100" s="8">
        <v>42709.470625000002</v>
      </c>
      <c r="B100" s="21" t="s">
        <v>232</v>
      </c>
      <c r="C100" s="21" t="s">
        <v>543</v>
      </c>
      <c r="D100" s="165">
        <v>2630000</v>
      </c>
      <c r="E100" s="21" t="s">
        <v>251</v>
      </c>
      <c r="F100" s="21" t="s">
        <v>486</v>
      </c>
      <c r="G100" s="8" t="str">
        <f t="shared" si="1"/>
        <v>SAFIEF AEIMEN</v>
      </c>
    </row>
    <row r="101" spans="1:7" x14ac:dyDescent="0.25">
      <c r="A101" s="8">
        <v>42709.470891203702</v>
      </c>
      <c r="B101" s="21" t="s">
        <v>384</v>
      </c>
      <c r="C101" s="21" t="s">
        <v>544</v>
      </c>
      <c r="D101" s="165">
        <v>1240000</v>
      </c>
      <c r="E101" s="21" t="s">
        <v>545</v>
      </c>
      <c r="F101" s="21" t="s">
        <v>546</v>
      </c>
      <c r="G101" s="8" t="str">
        <f t="shared" si="1"/>
        <v>GRASTON MATHEU</v>
      </c>
    </row>
    <row r="102" spans="1:7" x14ac:dyDescent="0.25">
      <c r="A102" s="8">
        <v>42709.472372685188</v>
      </c>
      <c r="B102" s="21" t="s">
        <v>297</v>
      </c>
      <c r="C102" s="21" t="s">
        <v>547</v>
      </c>
      <c r="D102" s="165">
        <v>1990000</v>
      </c>
      <c r="E102" s="21" t="s">
        <v>475</v>
      </c>
      <c r="F102" s="21" t="s">
        <v>476</v>
      </c>
      <c r="G102" s="8" t="str">
        <f t="shared" si="1"/>
        <v>DAVIS WENDY</v>
      </c>
    </row>
    <row r="103" spans="1:7" x14ac:dyDescent="0.25">
      <c r="A103" s="8">
        <v>42709.475844907407</v>
      </c>
      <c r="B103" s="21" t="s">
        <v>221</v>
      </c>
      <c r="C103" s="21" t="s">
        <v>548</v>
      </c>
      <c r="D103" s="165">
        <v>2140000</v>
      </c>
      <c r="E103" s="21" t="s">
        <v>319</v>
      </c>
      <c r="F103" s="21" t="s">
        <v>320</v>
      </c>
      <c r="G103" s="8" t="str">
        <f t="shared" si="1"/>
        <v>ROBINSON KADDIBA</v>
      </c>
    </row>
    <row r="104" spans="1:7" x14ac:dyDescent="0.25">
      <c r="A104" s="8">
        <v>42709.476145833331</v>
      </c>
      <c r="B104" s="21" t="s">
        <v>216</v>
      </c>
      <c r="C104" s="21" t="s">
        <v>549</v>
      </c>
      <c r="D104" s="165">
        <v>940000</v>
      </c>
      <c r="E104" s="21" t="s">
        <v>550</v>
      </c>
      <c r="F104" s="21" t="s">
        <v>551</v>
      </c>
      <c r="G104" s="8" t="str">
        <f t="shared" si="1"/>
        <v>BONDS REYNALDO</v>
      </c>
    </row>
    <row r="105" spans="1:7" x14ac:dyDescent="0.25">
      <c r="A105" s="8">
        <v>42709.484282407408</v>
      </c>
      <c r="B105" s="21" t="s">
        <v>184</v>
      </c>
      <c r="C105" s="21" t="s">
        <v>552</v>
      </c>
      <c r="D105" s="165">
        <v>930000</v>
      </c>
      <c r="E105" s="21" t="s">
        <v>351</v>
      </c>
      <c r="F105" s="21" t="s">
        <v>352</v>
      </c>
      <c r="G105" s="8" t="str">
        <f t="shared" si="1"/>
        <v>CLARK KATHLEEN</v>
      </c>
    </row>
    <row r="106" spans="1:7" x14ac:dyDescent="0.25">
      <c r="A106" s="8">
        <v>42709.484444444446</v>
      </c>
      <c r="B106" s="21" t="s">
        <v>233</v>
      </c>
      <c r="C106" s="21" t="s">
        <v>553</v>
      </c>
      <c r="D106" s="165">
        <v>2630000</v>
      </c>
      <c r="E106" s="21" t="s">
        <v>251</v>
      </c>
      <c r="F106" s="21" t="s">
        <v>486</v>
      </c>
      <c r="G106" s="8" t="str">
        <f t="shared" si="1"/>
        <v>SAFIEF AEIMEN</v>
      </c>
    </row>
    <row r="107" spans="1:7" x14ac:dyDescent="0.25">
      <c r="A107" s="8">
        <v>42709.486817129633</v>
      </c>
      <c r="B107" s="21" t="s">
        <v>443</v>
      </c>
      <c r="C107" s="21" t="s">
        <v>444</v>
      </c>
      <c r="D107" s="165">
        <v>2100000</v>
      </c>
      <c r="E107" s="21" t="s">
        <v>468</v>
      </c>
      <c r="F107" s="21" t="s">
        <v>469</v>
      </c>
      <c r="G107" s="8" t="str">
        <f t="shared" si="1"/>
        <v>ISHMAEL JOSEPH</v>
      </c>
    </row>
    <row r="108" spans="1:7" x14ac:dyDescent="0.25">
      <c r="A108" s="8">
        <v>42709.494756944441</v>
      </c>
      <c r="B108" s="21" t="s">
        <v>325</v>
      </c>
      <c r="C108" s="21" t="s">
        <v>554</v>
      </c>
      <c r="D108" s="165">
        <v>880000</v>
      </c>
      <c r="E108" s="21" t="s">
        <v>353</v>
      </c>
      <c r="F108" s="21" t="s">
        <v>309</v>
      </c>
      <c r="G108" s="8" t="str">
        <f t="shared" si="1"/>
        <v>STEWART MICHAEL</v>
      </c>
    </row>
    <row r="109" spans="1:7" x14ac:dyDescent="0.25">
      <c r="A109" s="8">
        <v>42709.497893518521</v>
      </c>
      <c r="B109" s="21" t="s">
        <v>209</v>
      </c>
      <c r="C109" s="21" t="s">
        <v>555</v>
      </c>
      <c r="D109" s="165">
        <v>1140000</v>
      </c>
      <c r="E109" s="21" t="s">
        <v>379</v>
      </c>
      <c r="F109" s="21" t="s">
        <v>380</v>
      </c>
      <c r="G109" s="8" t="str">
        <f t="shared" si="1"/>
        <v>YOUNG ELIZABETH</v>
      </c>
    </row>
    <row r="110" spans="1:7" x14ac:dyDescent="0.25">
      <c r="A110" s="8">
        <v>42709.499178240738</v>
      </c>
      <c r="B110" s="21" t="s">
        <v>232</v>
      </c>
      <c r="C110" s="21" t="s">
        <v>556</v>
      </c>
      <c r="D110" s="165">
        <v>2630000</v>
      </c>
      <c r="E110" s="21" t="s">
        <v>251</v>
      </c>
      <c r="F110" s="21" t="s">
        <v>486</v>
      </c>
      <c r="G110" s="8" t="str">
        <f t="shared" si="1"/>
        <v>SAFIEF AEIMEN</v>
      </c>
    </row>
    <row r="111" spans="1:7" x14ac:dyDescent="0.25">
      <c r="A111" s="8">
        <v>42709.504166666666</v>
      </c>
      <c r="B111" s="21" t="s">
        <v>249</v>
      </c>
      <c r="C111" s="21" t="s">
        <v>557</v>
      </c>
      <c r="D111" s="165">
        <v>1280000</v>
      </c>
      <c r="E111" s="21" t="s">
        <v>354</v>
      </c>
      <c r="F111" s="21" t="s">
        <v>355</v>
      </c>
      <c r="G111" s="8" t="str">
        <f t="shared" si="1"/>
        <v>BARTLETT KIANDRA</v>
      </c>
    </row>
    <row r="112" spans="1:7" x14ac:dyDescent="0.25">
      <c r="A112" s="8">
        <v>42709.507037037038</v>
      </c>
      <c r="B112" s="21" t="s">
        <v>209</v>
      </c>
      <c r="C112" s="21" t="s">
        <v>555</v>
      </c>
      <c r="D112" s="165">
        <v>1140000</v>
      </c>
      <c r="E112" s="21" t="s">
        <v>379</v>
      </c>
      <c r="F112" s="21" t="s">
        <v>380</v>
      </c>
      <c r="G112" s="8" t="str">
        <f t="shared" si="1"/>
        <v>YOUNG ELIZABETH</v>
      </c>
    </row>
    <row r="113" spans="1:7" x14ac:dyDescent="0.25">
      <c r="A113" s="8">
        <v>42709.507870370369</v>
      </c>
      <c r="B113" s="21" t="s">
        <v>218</v>
      </c>
      <c r="C113" s="21" t="s">
        <v>558</v>
      </c>
      <c r="D113" s="165">
        <v>1540000</v>
      </c>
      <c r="E113" s="21" t="s">
        <v>559</v>
      </c>
      <c r="F113" s="21" t="s">
        <v>560</v>
      </c>
      <c r="G113" s="8" t="str">
        <f t="shared" si="1"/>
        <v>HELVIE ADAM</v>
      </c>
    </row>
    <row r="114" spans="1:7" x14ac:dyDescent="0.25">
      <c r="A114" s="8">
        <v>42709.510821759257</v>
      </c>
      <c r="B114" s="21" t="s">
        <v>281</v>
      </c>
      <c r="C114" s="21" t="s">
        <v>445</v>
      </c>
      <c r="D114" s="165">
        <v>940000</v>
      </c>
      <c r="E114" s="21" t="s">
        <v>550</v>
      </c>
      <c r="F114" s="21" t="s">
        <v>551</v>
      </c>
      <c r="G114" s="8" t="str">
        <f t="shared" si="1"/>
        <v>BONDS REYNALDO</v>
      </c>
    </row>
    <row r="115" spans="1:7" x14ac:dyDescent="0.25">
      <c r="A115" s="8">
        <v>42709.525787037041</v>
      </c>
      <c r="B115" s="21" t="s">
        <v>233</v>
      </c>
      <c r="C115" s="21" t="s">
        <v>561</v>
      </c>
      <c r="D115" s="165">
        <v>2630000</v>
      </c>
      <c r="E115" s="21" t="s">
        <v>251</v>
      </c>
      <c r="F115" s="21" t="s">
        <v>486</v>
      </c>
      <c r="G115" s="8" t="str">
        <f t="shared" si="1"/>
        <v>SAFIEF AEIMEN</v>
      </c>
    </row>
    <row r="116" spans="1:7" x14ac:dyDescent="0.25">
      <c r="A116" s="8">
        <v>42709.526493055557</v>
      </c>
      <c r="B116" s="21" t="s">
        <v>298</v>
      </c>
      <c r="C116" s="21" t="s">
        <v>562</v>
      </c>
      <c r="D116" s="165">
        <v>930000</v>
      </c>
      <c r="E116" s="21" t="s">
        <v>351</v>
      </c>
      <c r="F116" s="21" t="s">
        <v>352</v>
      </c>
      <c r="G116" s="8" t="str">
        <f t="shared" si="1"/>
        <v>CLARK KATHLEEN</v>
      </c>
    </row>
    <row r="117" spans="1:7" x14ac:dyDescent="0.25">
      <c r="A117" s="8">
        <v>42709.529027777775</v>
      </c>
      <c r="B117" s="21" t="s">
        <v>220</v>
      </c>
      <c r="C117" s="21" t="s">
        <v>563</v>
      </c>
      <c r="D117" s="165">
        <v>2020000</v>
      </c>
      <c r="E117" s="21" t="s">
        <v>326</v>
      </c>
      <c r="F117" s="21" t="s">
        <v>307</v>
      </c>
      <c r="G117" s="8" t="str">
        <f t="shared" si="1"/>
        <v>SHOOK JOHN</v>
      </c>
    </row>
    <row r="118" spans="1:7" x14ac:dyDescent="0.25">
      <c r="A118" s="8">
        <v>42709.532465277778</v>
      </c>
      <c r="B118" s="21" t="s">
        <v>211</v>
      </c>
      <c r="C118" s="21" t="s">
        <v>564</v>
      </c>
      <c r="D118" s="165">
        <v>1140000</v>
      </c>
      <c r="E118" s="21" t="s">
        <v>379</v>
      </c>
      <c r="F118" s="21" t="s">
        <v>380</v>
      </c>
      <c r="G118" s="8" t="str">
        <f t="shared" si="1"/>
        <v>YOUNG ELIZABETH</v>
      </c>
    </row>
    <row r="119" spans="1:7" x14ac:dyDescent="0.25">
      <c r="A119" s="8">
        <v>42709.53365740741</v>
      </c>
      <c r="B119" s="21" t="s">
        <v>183</v>
      </c>
      <c r="C119" s="21" t="s">
        <v>565</v>
      </c>
      <c r="D119" s="165">
        <v>880000</v>
      </c>
      <c r="E119" s="21" t="s">
        <v>353</v>
      </c>
      <c r="F119" s="21" t="s">
        <v>309</v>
      </c>
      <c r="G119" s="8" t="str">
        <f t="shared" si="1"/>
        <v>STEWART MICHAEL</v>
      </c>
    </row>
    <row r="120" spans="1:7" x14ac:dyDescent="0.25">
      <c r="A120" s="8">
        <v>42709.538854166669</v>
      </c>
      <c r="B120" s="21" t="s">
        <v>248</v>
      </c>
      <c r="C120" s="21" t="s">
        <v>566</v>
      </c>
      <c r="D120" s="165">
        <v>1280000</v>
      </c>
      <c r="E120" s="21" t="s">
        <v>354</v>
      </c>
      <c r="F120" s="21" t="s">
        <v>355</v>
      </c>
      <c r="G120" s="8" t="str">
        <f t="shared" si="1"/>
        <v>BARTLETT KIANDRA</v>
      </c>
    </row>
    <row r="121" spans="1:7" x14ac:dyDescent="0.25">
      <c r="A121" s="8">
        <v>42709.547118055554</v>
      </c>
      <c r="B121" s="21" t="s">
        <v>232</v>
      </c>
      <c r="C121" s="21" t="s">
        <v>447</v>
      </c>
      <c r="D121" s="165">
        <v>1770000</v>
      </c>
      <c r="E121" s="21" t="s">
        <v>356</v>
      </c>
      <c r="F121" s="21" t="s">
        <v>357</v>
      </c>
      <c r="G121" s="8" t="str">
        <f t="shared" si="1"/>
        <v>BRUDER RICHARD</v>
      </c>
    </row>
    <row r="122" spans="1:7" x14ac:dyDescent="0.25">
      <c r="A122" s="8">
        <v>42709.547534722224</v>
      </c>
      <c r="B122" s="26" t="s">
        <v>297</v>
      </c>
      <c r="C122" s="21" t="s">
        <v>446</v>
      </c>
      <c r="D122" s="165">
        <v>1540000</v>
      </c>
      <c r="E122" s="21" t="s">
        <v>559</v>
      </c>
      <c r="F122" s="21" t="s">
        <v>560</v>
      </c>
      <c r="G122" s="8" t="str">
        <f t="shared" si="1"/>
        <v>HELVIE ADAM</v>
      </c>
    </row>
    <row r="123" spans="1:7" x14ac:dyDescent="0.25">
      <c r="A123" s="8">
        <v>42709.550057870372</v>
      </c>
      <c r="B123" s="21" t="s">
        <v>216</v>
      </c>
      <c r="C123" s="21" t="s">
        <v>567</v>
      </c>
      <c r="D123" s="165">
        <v>940000</v>
      </c>
      <c r="E123" s="21" t="s">
        <v>550</v>
      </c>
      <c r="F123" s="21" t="s">
        <v>551</v>
      </c>
      <c r="G123" s="8" t="str">
        <f t="shared" si="1"/>
        <v>BONDS REYNALDO</v>
      </c>
    </row>
    <row r="124" spans="1:7" x14ac:dyDescent="0.25">
      <c r="A124" s="8">
        <v>42709.5544212963</v>
      </c>
      <c r="B124" s="21" t="s">
        <v>221</v>
      </c>
      <c r="C124" s="21" t="s">
        <v>568</v>
      </c>
      <c r="D124" s="165">
        <v>2020000</v>
      </c>
      <c r="E124" s="21" t="s">
        <v>326</v>
      </c>
      <c r="F124" s="21" t="s">
        <v>307</v>
      </c>
      <c r="G124" s="8" t="str">
        <f t="shared" si="1"/>
        <v>SHOOK JOHN</v>
      </c>
    </row>
    <row r="125" spans="1:7" x14ac:dyDescent="0.25">
      <c r="A125" s="8">
        <v>42709.559189814812</v>
      </c>
      <c r="B125" s="21" t="s">
        <v>184</v>
      </c>
      <c r="C125" s="21" t="s">
        <v>448</v>
      </c>
      <c r="D125" s="165">
        <v>930000</v>
      </c>
      <c r="E125" s="21" t="s">
        <v>351</v>
      </c>
      <c r="F125" s="21" t="s">
        <v>352</v>
      </c>
      <c r="G125" s="8" t="str">
        <f t="shared" si="1"/>
        <v>CLARK KATHLEEN</v>
      </c>
    </row>
    <row r="126" spans="1:7" x14ac:dyDescent="0.25">
      <c r="A126" s="8">
        <v>42709.56722222222</v>
      </c>
      <c r="B126" s="21" t="s">
        <v>233</v>
      </c>
      <c r="C126" s="21" t="s">
        <v>569</v>
      </c>
      <c r="D126" s="165">
        <v>1770000</v>
      </c>
      <c r="E126" s="21" t="s">
        <v>356</v>
      </c>
      <c r="F126" s="21" t="s">
        <v>357</v>
      </c>
      <c r="G126" s="8" t="str">
        <f t="shared" si="1"/>
        <v>BRUDER RICHARD</v>
      </c>
    </row>
    <row r="127" spans="1:7" x14ac:dyDescent="0.25">
      <c r="A127" s="8">
        <v>42709.567557870374</v>
      </c>
      <c r="B127" s="21" t="s">
        <v>256</v>
      </c>
      <c r="C127" s="21" t="s">
        <v>449</v>
      </c>
      <c r="D127" s="165">
        <v>880000</v>
      </c>
      <c r="E127" s="21" t="s">
        <v>353</v>
      </c>
      <c r="F127" s="21" t="s">
        <v>309</v>
      </c>
      <c r="G127" s="8" t="str">
        <f t="shared" si="1"/>
        <v>STEWART MICHAEL</v>
      </c>
    </row>
    <row r="128" spans="1:7" x14ac:dyDescent="0.25">
      <c r="A128" s="8">
        <v>42709.570324074077</v>
      </c>
      <c r="B128" s="21" t="s">
        <v>209</v>
      </c>
      <c r="C128" s="21" t="s">
        <v>570</v>
      </c>
      <c r="D128" s="165">
        <v>1140000</v>
      </c>
      <c r="E128" s="21" t="s">
        <v>379</v>
      </c>
      <c r="F128" s="21" t="s">
        <v>380</v>
      </c>
      <c r="G128" s="8" t="str">
        <f t="shared" si="1"/>
        <v>YOUNG ELIZABETH</v>
      </c>
    </row>
    <row r="129" spans="1:7" x14ac:dyDescent="0.25">
      <c r="A129" s="8">
        <v>42709.571145833332</v>
      </c>
      <c r="B129" s="21" t="s">
        <v>249</v>
      </c>
      <c r="C129" s="21" t="s">
        <v>571</v>
      </c>
      <c r="D129" s="165">
        <v>1280000</v>
      </c>
      <c r="E129" s="21" t="s">
        <v>354</v>
      </c>
      <c r="F129" s="21" t="s">
        <v>355</v>
      </c>
      <c r="G129" s="8" t="str">
        <f t="shared" si="1"/>
        <v>BARTLETT KIANDRA</v>
      </c>
    </row>
    <row r="130" spans="1:7" x14ac:dyDescent="0.25">
      <c r="A130" s="8">
        <v>42709.581122685187</v>
      </c>
      <c r="B130" s="21" t="s">
        <v>218</v>
      </c>
      <c r="C130" s="21" t="s">
        <v>572</v>
      </c>
      <c r="D130" s="165">
        <v>1540000</v>
      </c>
      <c r="E130" s="21" t="s">
        <v>559</v>
      </c>
      <c r="F130" s="21" t="s">
        <v>560</v>
      </c>
      <c r="G130" s="8" t="str">
        <f t="shared" si="1"/>
        <v>HELVIE ADAM</v>
      </c>
    </row>
    <row r="131" spans="1:7" x14ac:dyDescent="0.25">
      <c r="A131" s="8">
        <v>42709.581203703703</v>
      </c>
      <c r="B131" s="21" t="s">
        <v>281</v>
      </c>
      <c r="C131" s="21" t="s">
        <v>450</v>
      </c>
      <c r="D131" s="165">
        <v>940000</v>
      </c>
      <c r="E131" s="21" t="s">
        <v>550</v>
      </c>
      <c r="F131" s="21" t="s">
        <v>551</v>
      </c>
      <c r="G131" s="8" t="str">
        <f t="shared" ref="G131:G194" si="2">E131&amp;" "&amp;F131</f>
        <v>BONDS REYNALDO</v>
      </c>
    </row>
    <row r="132" spans="1:7" x14ac:dyDescent="0.25">
      <c r="A132" s="8">
        <v>42709.588472222225</v>
      </c>
      <c r="B132" s="21" t="s">
        <v>220</v>
      </c>
      <c r="C132" s="21" t="s">
        <v>573</v>
      </c>
      <c r="D132" s="165">
        <v>2020000</v>
      </c>
      <c r="E132" s="21" t="s">
        <v>326</v>
      </c>
      <c r="F132" s="21" t="s">
        <v>307</v>
      </c>
      <c r="G132" s="8" t="str">
        <f t="shared" si="2"/>
        <v>SHOOK JOHN</v>
      </c>
    </row>
    <row r="133" spans="1:7" x14ac:dyDescent="0.25">
      <c r="A133" s="8">
        <v>42709.593124999999</v>
      </c>
      <c r="B133" s="21" t="s">
        <v>232</v>
      </c>
      <c r="C133" s="21" t="s">
        <v>574</v>
      </c>
      <c r="D133" s="165">
        <v>1770000</v>
      </c>
      <c r="E133" s="21" t="s">
        <v>356</v>
      </c>
      <c r="F133" s="21" t="s">
        <v>357</v>
      </c>
      <c r="G133" s="8" t="str">
        <f t="shared" si="2"/>
        <v>BRUDER RICHARD</v>
      </c>
    </row>
    <row r="134" spans="1:7" x14ac:dyDescent="0.25">
      <c r="A134" s="8">
        <v>42709.597858796296</v>
      </c>
      <c r="B134" s="21" t="s">
        <v>298</v>
      </c>
      <c r="C134" s="21" t="s">
        <v>575</v>
      </c>
      <c r="D134" s="165">
        <v>930000</v>
      </c>
      <c r="E134" s="21" t="s">
        <v>351</v>
      </c>
      <c r="F134" s="21" t="s">
        <v>352</v>
      </c>
      <c r="G134" s="8" t="str">
        <f t="shared" si="2"/>
        <v>CLARK KATHLEEN</v>
      </c>
    </row>
    <row r="135" spans="1:7" x14ac:dyDescent="0.25">
      <c r="A135" s="8">
        <v>42709.600752314815</v>
      </c>
      <c r="B135" s="21" t="s">
        <v>183</v>
      </c>
      <c r="C135" s="21" t="s">
        <v>576</v>
      </c>
      <c r="D135" s="165">
        <v>880000</v>
      </c>
      <c r="E135" s="21" t="s">
        <v>353</v>
      </c>
      <c r="F135" s="21" t="s">
        <v>309</v>
      </c>
      <c r="G135" s="8" t="str">
        <f t="shared" si="2"/>
        <v>STEWART MICHAEL</v>
      </c>
    </row>
    <row r="136" spans="1:7" x14ac:dyDescent="0.25">
      <c r="A136" s="8">
        <v>42709.602719907409</v>
      </c>
      <c r="B136" s="21" t="s">
        <v>211</v>
      </c>
      <c r="C136" s="21" t="s">
        <v>577</v>
      </c>
      <c r="D136" s="165">
        <v>1140000</v>
      </c>
      <c r="E136" s="21" t="s">
        <v>379</v>
      </c>
      <c r="F136" s="21" t="s">
        <v>380</v>
      </c>
      <c r="G136" s="8" t="str">
        <f t="shared" si="2"/>
        <v>YOUNG ELIZABETH</v>
      </c>
    </row>
    <row r="137" spans="1:7" x14ac:dyDescent="0.25">
      <c r="A137" s="8">
        <v>42709.608113425929</v>
      </c>
      <c r="B137" s="21" t="s">
        <v>233</v>
      </c>
      <c r="C137" s="21" t="s">
        <v>578</v>
      </c>
      <c r="D137" s="165">
        <v>1770000</v>
      </c>
      <c r="E137" s="21" t="s">
        <v>356</v>
      </c>
      <c r="F137" s="21" t="s">
        <v>357</v>
      </c>
      <c r="G137" s="8" t="str">
        <f t="shared" si="2"/>
        <v>BRUDER RICHARD</v>
      </c>
    </row>
    <row r="138" spans="1:7" x14ac:dyDescent="0.25">
      <c r="A138" s="8">
        <v>42709.610972222225</v>
      </c>
      <c r="B138" s="21" t="s">
        <v>248</v>
      </c>
      <c r="C138" s="21" t="s">
        <v>579</v>
      </c>
      <c r="D138" s="165">
        <v>1280000</v>
      </c>
      <c r="E138" s="21" t="s">
        <v>354</v>
      </c>
      <c r="F138" s="21" t="s">
        <v>355</v>
      </c>
      <c r="G138" s="8" t="str">
        <f t="shared" si="2"/>
        <v>BARTLETT KIANDRA</v>
      </c>
    </row>
    <row r="139" spans="1:7" x14ac:dyDescent="0.25">
      <c r="A139" s="8">
        <v>42709.618171296293</v>
      </c>
      <c r="B139" s="21" t="s">
        <v>297</v>
      </c>
      <c r="C139" s="21" t="s">
        <v>580</v>
      </c>
      <c r="D139" s="165">
        <v>1540000</v>
      </c>
      <c r="E139" s="21" t="s">
        <v>559</v>
      </c>
      <c r="F139" s="21" t="s">
        <v>560</v>
      </c>
      <c r="G139" s="8" t="str">
        <f t="shared" si="2"/>
        <v>HELVIE ADAM</v>
      </c>
    </row>
    <row r="140" spans="1:7" x14ac:dyDescent="0.25">
      <c r="A140" s="8">
        <v>42709.619351851848</v>
      </c>
      <c r="B140" s="21" t="s">
        <v>216</v>
      </c>
      <c r="C140" s="21" t="s">
        <v>581</v>
      </c>
      <c r="D140" s="165">
        <v>940000</v>
      </c>
      <c r="E140" s="21" t="s">
        <v>550</v>
      </c>
      <c r="F140" s="21" t="s">
        <v>551</v>
      </c>
      <c r="G140" s="8" t="str">
        <f t="shared" si="2"/>
        <v>BONDS REYNALDO</v>
      </c>
    </row>
    <row r="141" spans="1:7" x14ac:dyDescent="0.25">
      <c r="A141" s="8">
        <v>42709.629282407404</v>
      </c>
      <c r="B141" s="21" t="s">
        <v>221</v>
      </c>
      <c r="C141" s="21" t="s">
        <v>582</v>
      </c>
      <c r="D141" s="165">
        <v>2020000</v>
      </c>
      <c r="E141" s="21" t="s">
        <v>326</v>
      </c>
      <c r="F141" s="21" t="s">
        <v>307</v>
      </c>
      <c r="G141" s="8" t="str">
        <f t="shared" si="2"/>
        <v>SHOOK JOHN</v>
      </c>
    </row>
    <row r="142" spans="1:7" x14ac:dyDescent="0.25">
      <c r="A142" s="8">
        <v>42709.631701388891</v>
      </c>
      <c r="B142" s="21" t="s">
        <v>184</v>
      </c>
      <c r="C142" s="21" t="s">
        <v>452</v>
      </c>
      <c r="D142" s="165">
        <v>930000</v>
      </c>
      <c r="E142" s="21" t="s">
        <v>351</v>
      </c>
      <c r="F142" s="21" t="s">
        <v>352</v>
      </c>
      <c r="G142" s="8" t="str">
        <f t="shared" si="2"/>
        <v>CLARK KATHLEEN</v>
      </c>
    </row>
    <row r="143" spans="1:7" x14ac:dyDescent="0.25">
      <c r="A143" s="8">
        <v>42709.636493055557</v>
      </c>
      <c r="B143" s="21" t="s">
        <v>428</v>
      </c>
      <c r="C143" s="21" t="s">
        <v>451</v>
      </c>
      <c r="D143" s="165">
        <v>1290000</v>
      </c>
      <c r="E143" s="21" t="s">
        <v>283</v>
      </c>
      <c r="F143" s="21" t="s">
        <v>307</v>
      </c>
      <c r="G143" s="8" t="str">
        <f t="shared" si="2"/>
        <v>COOLAHAN JOHN</v>
      </c>
    </row>
    <row r="144" spans="1:7" x14ac:dyDescent="0.25">
      <c r="A144" s="8">
        <v>42709.637442129628</v>
      </c>
      <c r="B144" s="21" t="s">
        <v>256</v>
      </c>
      <c r="C144" s="21" t="s">
        <v>454</v>
      </c>
      <c r="D144" s="165">
        <v>880000</v>
      </c>
      <c r="E144" s="21" t="s">
        <v>353</v>
      </c>
      <c r="F144" s="21" t="s">
        <v>309</v>
      </c>
      <c r="G144" s="8" t="str">
        <f t="shared" si="2"/>
        <v>STEWART MICHAEL</v>
      </c>
    </row>
    <row r="145" spans="1:7" x14ac:dyDescent="0.25">
      <c r="A145" s="8">
        <v>42709.637870370374</v>
      </c>
      <c r="B145" s="21" t="s">
        <v>232</v>
      </c>
      <c r="C145" s="21" t="s">
        <v>583</v>
      </c>
      <c r="D145" s="165">
        <v>1770000</v>
      </c>
      <c r="E145" s="21" t="s">
        <v>356</v>
      </c>
      <c r="F145" s="21" t="s">
        <v>357</v>
      </c>
      <c r="G145" s="8" t="str">
        <f t="shared" si="2"/>
        <v>BRUDER RICHARD</v>
      </c>
    </row>
    <row r="146" spans="1:7" x14ac:dyDescent="0.25">
      <c r="A146" s="8">
        <v>42709.64234953704</v>
      </c>
      <c r="B146" s="21" t="s">
        <v>209</v>
      </c>
      <c r="C146" s="21" t="s">
        <v>584</v>
      </c>
      <c r="D146" s="165">
        <v>1140000</v>
      </c>
      <c r="E146" s="21" t="s">
        <v>379</v>
      </c>
      <c r="F146" s="21" t="s">
        <v>380</v>
      </c>
      <c r="G146" s="8" t="str">
        <f t="shared" si="2"/>
        <v>YOUNG ELIZABETH</v>
      </c>
    </row>
    <row r="147" spans="1:7" x14ac:dyDescent="0.25">
      <c r="A147" s="8">
        <v>42709.650567129633</v>
      </c>
      <c r="B147" s="21" t="s">
        <v>249</v>
      </c>
      <c r="C147" s="21" t="s">
        <v>585</v>
      </c>
      <c r="D147" s="165">
        <v>1280000</v>
      </c>
      <c r="E147" s="21" t="s">
        <v>354</v>
      </c>
      <c r="F147" s="21" t="s">
        <v>355</v>
      </c>
      <c r="G147" s="8" t="str">
        <f t="shared" si="2"/>
        <v>BARTLETT KIANDRA</v>
      </c>
    </row>
    <row r="148" spans="1:7" x14ac:dyDescent="0.25">
      <c r="A148" s="8">
        <v>42709.650983796295</v>
      </c>
      <c r="B148" s="21" t="s">
        <v>233</v>
      </c>
      <c r="C148" s="21" t="s">
        <v>586</v>
      </c>
      <c r="D148" s="165">
        <v>1770000</v>
      </c>
      <c r="E148" s="21" t="s">
        <v>356</v>
      </c>
      <c r="F148" s="21" t="s">
        <v>357</v>
      </c>
      <c r="G148" s="8" t="str">
        <f t="shared" si="2"/>
        <v>BRUDER RICHARD</v>
      </c>
    </row>
    <row r="149" spans="1:7" x14ac:dyDescent="0.25">
      <c r="A149" s="8">
        <v>42709.651736111111</v>
      </c>
      <c r="B149" s="21" t="s">
        <v>281</v>
      </c>
      <c r="C149" s="21" t="s">
        <v>453</v>
      </c>
      <c r="D149" s="165">
        <v>940000</v>
      </c>
      <c r="E149" s="21" t="s">
        <v>550</v>
      </c>
      <c r="F149" s="21" t="s">
        <v>551</v>
      </c>
      <c r="G149" s="8" t="str">
        <f t="shared" si="2"/>
        <v>BONDS REYNALDO</v>
      </c>
    </row>
    <row r="150" spans="1:7" x14ac:dyDescent="0.25">
      <c r="A150" s="8">
        <v>42709.653796296298</v>
      </c>
      <c r="B150" s="21" t="s">
        <v>218</v>
      </c>
      <c r="C150" s="21" t="s">
        <v>587</v>
      </c>
      <c r="D150" s="165">
        <v>1540000</v>
      </c>
      <c r="E150" s="21" t="s">
        <v>559</v>
      </c>
      <c r="F150" s="21" t="s">
        <v>560</v>
      </c>
      <c r="G150" s="8" t="str">
        <f t="shared" si="2"/>
        <v>HELVIE ADAM</v>
      </c>
    </row>
    <row r="151" spans="1:7" x14ac:dyDescent="0.25">
      <c r="A151" s="8">
        <v>42709.654872685183</v>
      </c>
      <c r="B151" s="21" t="s">
        <v>280</v>
      </c>
      <c r="C151" s="21" t="s">
        <v>588</v>
      </c>
      <c r="D151" s="165">
        <v>1290000</v>
      </c>
      <c r="E151" s="21" t="s">
        <v>283</v>
      </c>
      <c r="F151" s="21" t="s">
        <v>307</v>
      </c>
      <c r="G151" s="8" t="str">
        <f t="shared" si="2"/>
        <v>COOLAHAN JOHN</v>
      </c>
    </row>
    <row r="152" spans="1:7" x14ac:dyDescent="0.25">
      <c r="A152" s="8">
        <v>42709.661435185182</v>
      </c>
      <c r="B152" s="21" t="s">
        <v>220</v>
      </c>
      <c r="C152" s="21" t="s">
        <v>589</v>
      </c>
      <c r="D152" s="165">
        <v>2020000</v>
      </c>
      <c r="E152" s="21" t="s">
        <v>326</v>
      </c>
      <c r="F152" s="21" t="s">
        <v>307</v>
      </c>
      <c r="G152" s="8" t="str">
        <f t="shared" si="2"/>
        <v>SHOOK JOHN</v>
      </c>
    </row>
    <row r="153" spans="1:7" x14ac:dyDescent="0.25">
      <c r="A153" s="8">
        <v>42709.668206018519</v>
      </c>
      <c r="B153" s="21" t="s">
        <v>298</v>
      </c>
      <c r="C153" s="21" t="s">
        <v>590</v>
      </c>
      <c r="D153" s="165">
        <v>930000</v>
      </c>
      <c r="E153" s="21" t="s">
        <v>351</v>
      </c>
      <c r="F153" s="21" t="s">
        <v>352</v>
      </c>
      <c r="G153" s="8" t="str">
        <f t="shared" si="2"/>
        <v>CLARK KATHLEEN</v>
      </c>
    </row>
    <row r="154" spans="1:7" x14ac:dyDescent="0.25">
      <c r="A154" s="8">
        <v>42709.672129629631</v>
      </c>
      <c r="B154" s="21" t="s">
        <v>428</v>
      </c>
      <c r="C154" s="21" t="s">
        <v>591</v>
      </c>
      <c r="D154" s="165">
        <v>1290000</v>
      </c>
      <c r="E154" s="21" t="s">
        <v>283</v>
      </c>
      <c r="F154" s="21" t="s">
        <v>307</v>
      </c>
      <c r="G154" s="8" t="str">
        <f t="shared" si="2"/>
        <v>COOLAHAN JOHN</v>
      </c>
    </row>
    <row r="155" spans="1:7" x14ac:dyDescent="0.25">
      <c r="A155" s="8">
        <v>42709.673252314817</v>
      </c>
      <c r="B155" s="21" t="s">
        <v>183</v>
      </c>
      <c r="C155" s="21" t="s">
        <v>592</v>
      </c>
      <c r="D155" s="165">
        <v>880000</v>
      </c>
      <c r="E155" s="21" t="s">
        <v>353</v>
      </c>
      <c r="F155" s="21" t="s">
        <v>309</v>
      </c>
      <c r="G155" s="8" t="str">
        <f t="shared" si="2"/>
        <v>STEWART MICHAEL</v>
      </c>
    </row>
    <row r="156" spans="1:7" x14ac:dyDescent="0.25">
      <c r="A156" s="8">
        <v>42709.676828703705</v>
      </c>
      <c r="B156" s="21" t="s">
        <v>211</v>
      </c>
      <c r="C156" s="21" t="s">
        <v>593</v>
      </c>
      <c r="D156" s="165">
        <v>1140000</v>
      </c>
      <c r="E156" s="21" t="s">
        <v>379</v>
      </c>
      <c r="F156" s="21" t="s">
        <v>380</v>
      </c>
      <c r="G156" s="8" t="str">
        <f t="shared" si="2"/>
        <v>YOUNG ELIZABETH</v>
      </c>
    </row>
    <row r="157" spans="1:7" x14ac:dyDescent="0.25">
      <c r="A157" s="8">
        <v>42709.677418981482</v>
      </c>
      <c r="B157" s="21" t="s">
        <v>232</v>
      </c>
      <c r="C157" s="21" t="s">
        <v>455</v>
      </c>
      <c r="D157" s="165">
        <v>1770000</v>
      </c>
      <c r="E157" s="21" t="s">
        <v>356</v>
      </c>
      <c r="F157" s="21" t="s">
        <v>357</v>
      </c>
      <c r="G157" s="8" t="str">
        <f t="shared" si="2"/>
        <v>BRUDER RICHARD</v>
      </c>
    </row>
    <row r="158" spans="1:7" x14ac:dyDescent="0.25">
      <c r="A158" s="8">
        <v>42709.682233796295</v>
      </c>
      <c r="B158" s="21" t="s">
        <v>248</v>
      </c>
      <c r="C158" s="21" t="s">
        <v>456</v>
      </c>
      <c r="D158" s="165">
        <v>1280000</v>
      </c>
      <c r="E158" s="21" t="s">
        <v>354</v>
      </c>
      <c r="F158" s="21" t="s">
        <v>355</v>
      </c>
      <c r="G158" s="8" t="str">
        <f t="shared" si="2"/>
        <v>BARTLETT KIANDRA</v>
      </c>
    </row>
    <row r="159" spans="1:7" x14ac:dyDescent="0.25">
      <c r="A159" s="8">
        <v>42709.689641203702</v>
      </c>
      <c r="B159" s="21" t="s">
        <v>297</v>
      </c>
      <c r="C159" s="21" t="s">
        <v>594</v>
      </c>
      <c r="D159" s="165">
        <v>1540000</v>
      </c>
      <c r="E159" s="21" t="s">
        <v>559</v>
      </c>
      <c r="F159" s="21" t="s">
        <v>560</v>
      </c>
      <c r="G159" s="8" t="str">
        <f t="shared" si="2"/>
        <v>HELVIE ADAM</v>
      </c>
    </row>
    <row r="160" spans="1:7" x14ac:dyDescent="0.25">
      <c r="A160" s="8">
        <v>42709.692546296297</v>
      </c>
      <c r="B160" s="21" t="s">
        <v>233</v>
      </c>
      <c r="C160" s="21" t="s">
        <v>595</v>
      </c>
      <c r="D160" s="165">
        <v>1770000</v>
      </c>
      <c r="E160" s="21" t="s">
        <v>356</v>
      </c>
      <c r="F160" s="21" t="s">
        <v>357</v>
      </c>
      <c r="G160" s="8" t="str">
        <f t="shared" si="2"/>
        <v>BRUDER RICHARD</v>
      </c>
    </row>
    <row r="161" spans="1:7" x14ac:dyDescent="0.25">
      <c r="A161" s="8">
        <v>42709.693009259259</v>
      </c>
      <c r="B161" s="21" t="s">
        <v>216</v>
      </c>
      <c r="C161" s="21" t="s">
        <v>596</v>
      </c>
      <c r="D161" s="165">
        <v>940000</v>
      </c>
      <c r="E161" s="21" t="s">
        <v>550</v>
      </c>
      <c r="F161" s="21" t="s">
        <v>551</v>
      </c>
      <c r="G161" s="8" t="str">
        <f t="shared" si="2"/>
        <v>BONDS REYNALDO</v>
      </c>
    </row>
    <row r="162" spans="1:7" x14ac:dyDescent="0.25">
      <c r="A162" s="8">
        <v>42709.696956018517</v>
      </c>
      <c r="B162" s="21" t="s">
        <v>280</v>
      </c>
      <c r="C162" s="21" t="s">
        <v>597</v>
      </c>
      <c r="D162" s="165">
        <v>1290000</v>
      </c>
      <c r="E162" s="21" t="s">
        <v>283</v>
      </c>
      <c r="F162" s="21" t="s">
        <v>307</v>
      </c>
      <c r="G162" s="8" t="str">
        <f t="shared" si="2"/>
        <v>COOLAHAN JOHN</v>
      </c>
    </row>
    <row r="163" spans="1:7" x14ac:dyDescent="0.25">
      <c r="A163" s="8">
        <v>42709.702106481483</v>
      </c>
      <c r="B163" s="21" t="s">
        <v>221</v>
      </c>
      <c r="C163" s="21" t="s">
        <v>598</v>
      </c>
      <c r="D163" s="165">
        <v>2020000</v>
      </c>
      <c r="E163" s="21" t="s">
        <v>326</v>
      </c>
      <c r="F163" s="21" t="s">
        <v>307</v>
      </c>
      <c r="G163" s="8" t="str">
        <f t="shared" si="2"/>
        <v>SHOOK JOHN</v>
      </c>
    </row>
    <row r="164" spans="1:7" x14ac:dyDescent="0.25">
      <c r="A164" s="8">
        <v>42709.703414351854</v>
      </c>
      <c r="B164" s="21" t="s">
        <v>184</v>
      </c>
      <c r="C164" s="21" t="s">
        <v>599</v>
      </c>
      <c r="D164" s="165">
        <v>930000</v>
      </c>
      <c r="E164" s="21" t="s">
        <v>351</v>
      </c>
      <c r="F164" s="21" t="s">
        <v>352</v>
      </c>
      <c r="G164" s="8" t="str">
        <f t="shared" si="2"/>
        <v>CLARK KATHLEEN</v>
      </c>
    </row>
    <row r="165" spans="1:7" x14ac:dyDescent="0.25">
      <c r="A165" s="8">
        <v>42709.712407407409</v>
      </c>
      <c r="B165" s="21" t="s">
        <v>256</v>
      </c>
      <c r="C165" s="21" t="s">
        <v>600</v>
      </c>
      <c r="D165" s="165">
        <v>880000</v>
      </c>
      <c r="E165" s="21" t="s">
        <v>353</v>
      </c>
      <c r="F165" s="21" t="s">
        <v>309</v>
      </c>
      <c r="G165" s="8" t="str">
        <f t="shared" si="2"/>
        <v>STEWART MICHAEL</v>
      </c>
    </row>
    <row r="166" spans="1:7" x14ac:dyDescent="0.25">
      <c r="A166" s="8">
        <v>42709.712430555555</v>
      </c>
      <c r="B166" s="21" t="s">
        <v>327</v>
      </c>
      <c r="C166" s="21" t="s">
        <v>601</v>
      </c>
      <c r="D166" s="165">
        <v>2090000</v>
      </c>
      <c r="E166" s="21" t="s">
        <v>358</v>
      </c>
      <c r="F166" s="21" t="s">
        <v>309</v>
      </c>
      <c r="G166" s="8" t="str">
        <f t="shared" si="2"/>
        <v>HAITHCOX MICHAEL</v>
      </c>
    </row>
    <row r="167" spans="1:7" x14ac:dyDescent="0.25">
      <c r="A167" s="8">
        <v>42709.71365740741</v>
      </c>
      <c r="B167" s="21" t="s">
        <v>428</v>
      </c>
      <c r="C167" s="21" t="s">
        <v>602</v>
      </c>
      <c r="D167" s="165">
        <v>1290000</v>
      </c>
      <c r="E167" s="21" t="s">
        <v>283</v>
      </c>
      <c r="F167" s="21" t="s">
        <v>307</v>
      </c>
      <c r="G167" s="8" t="str">
        <f t="shared" si="2"/>
        <v>COOLAHAN JOHN</v>
      </c>
    </row>
    <row r="168" spans="1:7" x14ac:dyDescent="0.25">
      <c r="A168" s="8">
        <v>42709.714085648149</v>
      </c>
      <c r="B168" s="21" t="s">
        <v>537</v>
      </c>
      <c r="C168" s="21" t="s">
        <v>603</v>
      </c>
      <c r="D168" s="165">
        <v>1810000</v>
      </c>
      <c r="E168" s="21" t="s">
        <v>359</v>
      </c>
      <c r="F168" s="21" t="s">
        <v>313</v>
      </c>
      <c r="G168" s="8" t="str">
        <f t="shared" si="2"/>
        <v>NEWELL JAMES</v>
      </c>
    </row>
    <row r="169" spans="1:7" x14ac:dyDescent="0.25">
      <c r="A169" s="8">
        <v>42709.71670138889</v>
      </c>
      <c r="B169" s="21" t="s">
        <v>209</v>
      </c>
      <c r="C169" s="21" t="s">
        <v>604</v>
      </c>
      <c r="D169" s="165">
        <v>1180000</v>
      </c>
      <c r="E169" s="21" t="s">
        <v>282</v>
      </c>
      <c r="F169" s="21" t="s">
        <v>311</v>
      </c>
      <c r="G169" s="8" t="str">
        <f t="shared" si="2"/>
        <v>LEVERE CRAIG</v>
      </c>
    </row>
    <row r="170" spans="1:7" x14ac:dyDescent="0.25">
      <c r="A170" s="8">
        <v>42709.71675925926</v>
      </c>
      <c r="B170" s="21" t="s">
        <v>249</v>
      </c>
      <c r="C170" s="21" t="s">
        <v>605</v>
      </c>
      <c r="D170" s="165">
        <v>1280000</v>
      </c>
      <c r="E170" s="21" t="s">
        <v>354</v>
      </c>
      <c r="F170" s="21" t="s">
        <v>355</v>
      </c>
      <c r="G170" s="8" t="str">
        <f t="shared" si="2"/>
        <v>BARTLETT KIANDRA</v>
      </c>
    </row>
    <row r="171" spans="1:7" x14ac:dyDescent="0.25">
      <c r="A171" s="8">
        <v>42709.719618055555</v>
      </c>
      <c r="B171" s="21" t="s">
        <v>232</v>
      </c>
      <c r="C171" s="21" t="s">
        <v>606</v>
      </c>
      <c r="D171" s="165">
        <v>1770000</v>
      </c>
      <c r="E171" s="21" t="s">
        <v>356</v>
      </c>
      <c r="F171" s="21" t="s">
        <v>357</v>
      </c>
      <c r="G171" s="8" t="str">
        <f t="shared" si="2"/>
        <v>BRUDER RICHARD</v>
      </c>
    </row>
    <row r="172" spans="1:7" x14ac:dyDescent="0.25">
      <c r="A172" s="8">
        <v>42709.72519675926</v>
      </c>
      <c r="B172" s="21" t="s">
        <v>218</v>
      </c>
      <c r="C172" s="21" t="s">
        <v>607</v>
      </c>
      <c r="D172" s="165">
        <v>1140000</v>
      </c>
      <c r="E172" s="21" t="s">
        <v>379</v>
      </c>
      <c r="F172" s="21" t="s">
        <v>380</v>
      </c>
      <c r="G172" s="8" t="str">
        <f t="shared" si="2"/>
        <v>YOUNG ELIZABETH</v>
      </c>
    </row>
    <row r="173" spans="1:7" x14ac:dyDescent="0.25">
      <c r="A173" s="8">
        <v>42709.727719907409</v>
      </c>
      <c r="B173" s="21" t="s">
        <v>281</v>
      </c>
      <c r="C173" s="21" t="s">
        <v>608</v>
      </c>
      <c r="D173" s="165">
        <v>940000</v>
      </c>
      <c r="E173" s="21" t="s">
        <v>550</v>
      </c>
      <c r="F173" s="21" t="s">
        <v>551</v>
      </c>
      <c r="G173" s="8" t="str">
        <f t="shared" si="2"/>
        <v>BONDS REYNALDO</v>
      </c>
    </row>
    <row r="174" spans="1:7" x14ac:dyDescent="0.25">
      <c r="A174" s="8">
        <v>42709.7344212963</v>
      </c>
      <c r="B174" s="21" t="s">
        <v>233</v>
      </c>
      <c r="C174" s="21" t="s">
        <v>609</v>
      </c>
      <c r="D174" s="165">
        <v>1770000</v>
      </c>
      <c r="E174" s="21" t="s">
        <v>356</v>
      </c>
      <c r="F174" s="21" t="s">
        <v>357</v>
      </c>
      <c r="G174" s="8" t="str">
        <f t="shared" si="2"/>
        <v>BRUDER RICHARD</v>
      </c>
    </row>
    <row r="175" spans="1:7" x14ac:dyDescent="0.25">
      <c r="A175" s="8">
        <v>42709.735150462962</v>
      </c>
      <c r="B175" s="21" t="s">
        <v>220</v>
      </c>
      <c r="C175" s="21" t="s">
        <v>610</v>
      </c>
      <c r="D175" s="165">
        <v>2420000</v>
      </c>
      <c r="E175" s="21" t="s">
        <v>219</v>
      </c>
      <c r="F175" s="21" t="s">
        <v>611</v>
      </c>
      <c r="G175" s="8" t="str">
        <f t="shared" si="2"/>
        <v>HOLCOMB KAMDEN</v>
      </c>
    </row>
    <row r="176" spans="1:7" x14ac:dyDescent="0.25">
      <c r="A176" s="8">
        <v>42709.741851851853</v>
      </c>
      <c r="B176" s="21" t="s">
        <v>280</v>
      </c>
      <c r="C176" s="21" t="s">
        <v>612</v>
      </c>
      <c r="D176" s="165">
        <v>1290000</v>
      </c>
      <c r="E176" s="21" t="s">
        <v>283</v>
      </c>
      <c r="F176" s="21" t="s">
        <v>307</v>
      </c>
      <c r="G176" s="8" t="str">
        <f t="shared" si="2"/>
        <v>COOLAHAN JOHN</v>
      </c>
    </row>
    <row r="177" spans="1:7" x14ac:dyDescent="0.25">
      <c r="A177" s="8">
        <v>42709.744618055556</v>
      </c>
      <c r="B177" s="21" t="s">
        <v>298</v>
      </c>
      <c r="C177" s="21" t="s">
        <v>613</v>
      </c>
      <c r="D177" s="165">
        <v>930000</v>
      </c>
      <c r="E177" s="21" t="s">
        <v>351</v>
      </c>
      <c r="F177" s="21" t="s">
        <v>352</v>
      </c>
      <c r="G177" s="8" t="str">
        <f t="shared" si="2"/>
        <v>CLARK KATHLEEN</v>
      </c>
    </row>
    <row r="178" spans="1:7" x14ac:dyDescent="0.25">
      <c r="A178" s="8">
        <v>42709.747777777775</v>
      </c>
      <c r="B178" s="21" t="s">
        <v>261</v>
      </c>
      <c r="C178" s="21" t="s">
        <v>614</v>
      </c>
      <c r="D178" s="165">
        <v>2450000</v>
      </c>
      <c r="E178" s="21" t="s">
        <v>615</v>
      </c>
      <c r="F178" s="21" t="s">
        <v>616</v>
      </c>
      <c r="G178" s="8" t="str">
        <f t="shared" si="2"/>
        <v>NELSON ARIANE</v>
      </c>
    </row>
    <row r="179" spans="1:7" x14ac:dyDescent="0.25">
      <c r="A179" s="8">
        <v>42709.748402777775</v>
      </c>
      <c r="B179" s="21" t="s">
        <v>183</v>
      </c>
      <c r="C179" s="21" t="s">
        <v>617</v>
      </c>
      <c r="D179" s="165">
        <v>2020000</v>
      </c>
      <c r="E179" s="21" t="s">
        <v>326</v>
      </c>
      <c r="F179" s="21" t="s">
        <v>307</v>
      </c>
      <c r="G179" s="8" t="str">
        <f t="shared" si="2"/>
        <v>SHOOK JOHN</v>
      </c>
    </row>
    <row r="180" spans="1:7" x14ac:dyDescent="0.25">
      <c r="A180" s="8">
        <v>42709.7502662037</v>
      </c>
      <c r="B180" s="21" t="s">
        <v>443</v>
      </c>
      <c r="C180" s="21" t="s">
        <v>618</v>
      </c>
      <c r="D180" s="165">
        <v>880000</v>
      </c>
      <c r="E180" s="21" t="s">
        <v>353</v>
      </c>
      <c r="F180" s="21" t="s">
        <v>309</v>
      </c>
      <c r="G180" s="8" t="str">
        <f t="shared" si="2"/>
        <v>STEWART MICHAEL</v>
      </c>
    </row>
    <row r="181" spans="1:7" x14ac:dyDescent="0.25">
      <c r="A181" s="8">
        <v>42709.754351851851</v>
      </c>
      <c r="B181" s="21" t="s">
        <v>211</v>
      </c>
      <c r="C181" s="21" t="s">
        <v>619</v>
      </c>
      <c r="D181" s="165">
        <v>1180000</v>
      </c>
      <c r="E181" s="21" t="s">
        <v>282</v>
      </c>
      <c r="F181" s="21" t="s">
        <v>311</v>
      </c>
      <c r="G181" s="8" t="str">
        <f t="shared" si="2"/>
        <v>LEVERE CRAIG</v>
      </c>
    </row>
    <row r="182" spans="1:7" x14ac:dyDescent="0.25">
      <c r="A182" s="8">
        <v>42709.755578703705</v>
      </c>
      <c r="B182" s="21" t="s">
        <v>428</v>
      </c>
      <c r="C182" s="21" t="s">
        <v>457</v>
      </c>
      <c r="D182" s="165">
        <v>1290000</v>
      </c>
      <c r="E182" s="21" t="s">
        <v>283</v>
      </c>
      <c r="F182" s="21" t="s">
        <v>307</v>
      </c>
      <c r="G182" s="8" t="str">
        <f t="shared" si="2"/>
        <v>COOLAHAN JOHN</v>
      </c>
    </row>
    <row r="183" spans="1:7" x14ac:dyDescent="0.25">
      <c r="A183" s="8">
        <v>42709.758391203701</v>
      </c>
      <c r="B183" s="21" t="s">
        <v>248</v>
      </c>
      <c r="C183" s="21" t="s">
        <v>620</v>
      </c>
      <c r="D183" s="165">
        <v>1800000</v>
      </c>
      <c r="E183" s="21" t="s">
        <v>263</v>
      </c>
      <c r="F183" s="21" t="s">
        <v>349</v>
      </c>
      <c r="G183" s="8" t="str">
        <f t="shared" si="2"/>
        <v>CHANDLER KELVIN</v>
      </c>
    </row>
    <row r="184" spans="1:7" x14ac:dyDescent="0.25">
      <c r="A184" s="8">
        <v>42709.760706018518</v>
      </c>
      <c r="B184" s="21" t="s">
        <v>232</v>
      </c>
      <c r="C184" s="21" t="s">
        <v>621</v>
      </c>
      <c r="D184" s="165">
        <v>2470000</v>
      </c>
      <c r="E184" s="21" t="s">
        <v>381</v>
      </c>
      <c r="F184" s="21" t="s">
        <v>382</v>
      </c>
      <c r="G184" s="8" t="str">
        <f t="shared" si="2"/>
        <v>ROMERO CHAD</v>
      </c>
    </row>
    <row r="185" spans="1:7" x14ac:dyDescent="0.25">
      <c r="A185" s="8">
        <v>42709.760949074072</v>
      </c>
      <c r="B185" s="21" t="s">
        <v>297</v>
      </c>
      <c r="C185" s="21" t="s">
        <v>622</v>
      </c>
      <c r="D185" s="165">
        <v>1140000</v>
      </c>
      <c r="E185" s="21" t="s">
        <v>379</v>
      </c>
      <c r="F185" s="21" t="s">
        <v>380</v>
      </c>
      <c r="G185" s="8" t="str">
        <f t="shared" si="2"/>
        <v>YOUNG ELIZABETH</v>
      </c>
    </row>
    <row r="186" spans="1:7" x14ac:dyDescent="0.25">
      <c r="A186" s="8">
        <v>42709.767627314817</v>
      </c>
      <c r="B186" s="21" t="s">
        <v>216</v>
      </c>
      <c r="C186" s="21" t="s">
        <v>623</v>
      </c>
      <c r="D186" s="165">
        <v>1230000</v>
      </c>
      <c r="E186" s="21" t="s">
        <v>288</v>
      </c>
      <c r="F186" s="21" t="s">
        <v>308</v>
      </c>
      <c r="G186" s="8" t="str">
        <f t="shared" si="2"/>
        <v>YANAI IAN</v>
      </c>
    </row>
    <row r="187" spans="1:7" x14ac:dyDescent="0.25">
      <c r="A187" s="8">
        <v>42709.776134259257</v>
      </c>
      <c r="B187" s="21" t="s">
        <v>233</v>
      </c>
      <c r="C187" s="21" t="s">
        <v>624</v>
      </c>
      <c r="D187" s="165">
        <v>2470000</v>
      </c>
      <c r="E187" s="21" t="s">
        <v>381</v>
      </c>
      <c r="F187" s="21" t="s">
        <v>382</v>
      </c>
      <c r="G187" s="8" t="str">
        <f t="shared" si="2"/>
        <v>ROMERO CHAD</v>
      </c>
    </row>
    <row r="188" spans="1:7" x14ac:dyDescent="0.25">
      <c r="A188" s="8">
        <v>42709.77820601852</v>
      </c>
      <c r="B188" s="21" t="s">
        <v>221</v>
      </c>
      <c r="C188" s="21" t="s">
        <v>458</v>
      </c>
      <c r="D188" s="165">
        <v>2420000</v>
      </c>
      <c r="E188" s="21" t="s">
        <v>219</v>
      </c>
      <c r="F188" s="21" t="s">
        <v>611</v>
      </c>
      <c r="G188" s="8" t="str">
        <f t="shared" si="2"/>
        <v>HOLCOMB KAMDEN</v>
      </c>
    </row>
    <row r="189" spans="1:7" x14ac:dyDescent="0.25">
      <c r="A189" s="8">
        <v>42709.782384259262</v>
      </c>
      <c r="B189" s="21" t="s">
        <v>280</v>
      </c>
      <c r="C189" s="21" t="s">
        <v>625</v>
      </c>
      <c r="D189" s="165">
        <v>1290000</v>
      </c>
      <c r="E189" s="21" t="s">
        <v>283</v>
      </c>
      <c r="F189" s="21" t="s">
        <v>307</v>
      </c>
      <c r="G189" s="8" t="str">
        <f t="shared" si="2"/>
        <v>COOLAHAN JOHN</v>
      </c>
    </row>
    <row r="190" spans="1:7" x14ac:dyDescent="0.25">
      <c r="A190" s="8">
        <v>42709.785104166665</v>
      </c>
      <c r="B190" s="21" t="s">
        <v>256</v>
      </c>
      <c r="C190" s="21" t="s">
        <v>626</v>
      </c>
      <c r="D190" s="165">
        <v>2020000</v>
      </c>
      <c r="E190" s="21" t="s">
        <v>326</v>
      </c>
      <c r="F190" s="21" t="s">
        <v>307</v>
      </c>
      <c r="G190" s="8" t="str">
        <f t="shared" si="2"/>
        <v>SHOOK JOHN</v>
      </c>
    </row>
    <row r="191" spans="1:7" x14ac:dyDescent="0.25">
      <c r="A191" s="8">
        <v>42709.787476851852</v>
      </c>
      <c r="B191" s="21" t="s">
        <v>209</v>
      </c>
      <c r="C191" s="21" t="s">
        <v>627</v>
      </c>
      <c r="D191" s="165">
        <v>2370000</v>
      </c>
      <c r="E191" s="21" t="s">
        <v>628</v>
      </c>
      <c r="F191" s="21" t="s">
        <v>629</v>
      </c>
      <c r="G191" s="8" t="str">
        <f t="shared" si="2"/>
        <v>DELGADO DIANAH</v>
      </c>
    </row>
    <row r="192" spans="1:7" x14ac:dyDescent="0.25">
      <c r="A192" s="8">
        <v>42709.789826388886</v>
      </c>
      <c r="B192" s="21" t="s">
        <v>184</v>
      </c>
      <c r="C192" s="21" t="s">
        <v>630</v>
      </c>
      <c r="D192" s="165">
        <v>930000</v>
      </c>
      <c r="E192" s="21" t="s">
        <v>351</v>
      </c>
      <c r="F192" s="21" t="s">
        <v>352</v>
      </c>
      <c r="G192" s="8" t="str">
        <f t="shared" si="2"/>
        <v>CLARK KATHLEEN</v>
      </c>
    </row>
    <row r="193" spans="1:7" x14ac:dyDescent="0.25">
      <c r="A193" s="8">
        <v>42709.795914351853</v>
      </c>
      <c r="B193" s="21" t="s">
        <v>249</v>
      </c>
      <c r="C193" s="21" t="s">
        <v>631</v>
      </c>
      <c r="D193" s="165">
        <v>1800000</v>
      </c>
      <c r="E193" s="21" t="s">
        <v>263</v>
      </c>
      <c r="F193" s="21" t="s">
        <v>349</v>
      </c>
      <c r="G193" s="8" t="str">
        <f t="shared" si="2"/>
        <v>CHANDLER KELVIN</v>
      </c>
    </row>
    <row r="194" spans="1:7" x14ac:dyDescent="0.25">
      <c r="A194" s="8">
        <v>42709.796979166669</v>
      </c>
      <c r="B194" s="21" t="s">
        <v>428</v>
      </c>
      <c r="C194" s="21" t="s">
        <v>632</v>
      </c>
      <c r="D194" s="165">
        <v>1290000</v>
      </c>
      <c r="E194" s="21" t="s">
        <v>283</v>
      </c>
      <c r="F194" s="21" t="s">
        <v>307</v>
      </c>
      <c r="G194" s="8" t="str">
        <f t="shared" si="2"/>
        <v>COOLAHAN JOHN</v>
      </c>
    </row>
    <row r="195" spans="1:7" x14ac:dyDescent="0.25">
      <c r="A195" s="8">
        <v>42709.798784722225</v>
      </c>
      <c r="B195" s="21" t="s">
        <v>281</v>
      </c>
      <c r="C195" s="21" t="s">
        <v>633</v>
      </c>
      <c r="D195" s="165">
        <v>1230000</v>
      </c>
      <c r="E195" s="21" t="s">
        <v>288</v>
      </c>
      <c r="F195" s="21" t="s">
        <v>308</v>
      </c>
      <c r="G195" s="8" t="str">
        <f t="shared" ref="G195:G258" si="3">E195&amp;" "&amp;F195</f>
        <v>YANAI IAN</v>
      </c>
    </row>
    <row r="196" spans="1:7" x14ac:dyDescent="0.25">
      <c r="A196" s="8">
        <v>42709.799710648149</v>
      </c>
      <c r="B196" s="21" t="s">
        <v>218</v>
      </c>
      <c r="C196" s="21" t="s">
        <v>634</v>
      </c>
      <c r="D196" s="165">
        <v>1140000</v>
      </c>
      <c r="E196" s="21" t="s">
        <v>379</v>
      </c>
      <c r="F196" s="21" t="s">
        <v>380</v>
      </c>
      <c r="G196" s="8" t="str">
        <f t="shared" si="3"/>
        <v>YOUNG ELIZABETH</v>
      </c>
    </row>
    <row r="197" spans="1:7" x14ac:dyDescent="0.25">
      <c r="A197" s="8">
        <v>42709.801238425927</v>
      </c>
      <c r="B197" s="21" t="s">
        <v>232</v>
      </c>
      <c r="C197" s="21" t="s">
        <v>635</v>
      </c>
      <c r="D197" s="165">
        <v>2530000</v>
      </c>
      <c r="E197" s="21" t="s">
        <v>264</v>
      </c>
      <c r="F197" s="21" t="s">
        <v>636</v>
      </c>
      <c r="G197" s="8" t="str">
        <f t="shared" si="3"/>
        <v>LALONDE GREGORY</v>
      </c>
    </row>
    <row r="198" spans="1:7" x14ac:dyDescent="0.25">
      <c r="A198" s="8">
        <v>42709.807372685187</v>
      </c>
      <c r="B198" s="21" t="s">
        <v>220</v>
      </c>
      <c r="C198" s="21" t="s">
        <v>637</v>
      </c>
      <c r="D198" s="165">
        <v>1810000</v>
      </c>
      <c r="E198" s="21" t="s">
        <v>359</v>
      </c>
      <c r="F198" s="21" t="s">
        <v>313</v>
      </c>
      <c r="G198" s="8" t="str">
        <f t="shared" si="3"/>
        <v>NEWELL JAMES</v>
      </c>
    </row>
    <row r="199" spans="1:7" x14ac:dyDescent="0.25">
      <c r="A199" s="8">
        <v>42709.817650462966</v>
      </c>
      <c r="B199" s="21" t="s">
        <v>233</v>
      </c>
      <c r="C199" s="21" t="s">
        <v>638</v>
      </c>
      <c r="D199" s="165">
        <v>2530000</v>
      </c>
      <c r="E199" s="21" t="s">
        <v>264</v>
      </c>
      <c r="F199" s="21" t="s">
        <v>636</v>
      </c>
      <c r="G199" s="8" t="str">
        <f t="shared" si="3"/>
        <v>LALONDE GREGORY</v>
      </c>
    </row>
    <row r="200" spans="1:7" x14ac:dyDescent="0.25">
      <c r="A200" s="8">
        <v>42709.817847222221</v>
      </c>
      <c r="B200" s="21" t="s">
        <v>183</v>
      </c>
      <c r="C200" s="21" t="s">
        <v>639</v>
      </c>
      <c r="D200" s="165">
        <v>2020000</v>
      </c>
      <c r="E200" s="21" t="s">
        <v>326</v>
      </c>
      <c r="F200" s="21" t="s">
        <v>307</v>
      </c>
      <c r="G200" s="8" t="str">
        <f t="shared" si="3"/>
        <v>SHOOK JOHN</v>
      </c>
    </row>
    <row r="201" spans="1:7" x14ac:dyDescent="0.25">
      <c r="A201" s="8">
        <v>42709.825428240743</v>
      </c>
      <c r="B201" s="21" t="s">
        <v>211</v>
      </c>
      <c r="C201" s="21" t="s">
        <v>640</v>
      </c>
      <c r="D201" s="165">
        <v>2370000</v>
      </c>
      <c r="E201" s="21" t="s">
        <v>628</v>
      </c>
      <c r="F201" s="21" t="s">
        <v>629</v>
      </c>
      <c r="G201" s="8" t="str">
        <f t="shared" si="3"/>
        <v>DELGADO DIANAH</v>
      </c>
    </row>
    <row r="202" spans="1:7" x14ac:dyDescent="0.25">
      <c r="A202" s="27">
        <v>42709.83084490741</v>
      </c>
      <c r="B202" s="21" t="s">
        <v>248</v>
      </c>
      <c r="C202" s="21" t="s">
        <v>641</v>
      </c>
      <c r="D202" s="165">
        <v>1800000</v>
      </c>
      <c r="E202" s="21" t="s">
        <v>263</v>
      </c>
      <c r="F202" s="21" t="s">
        <v>349</v>
      </c>
      <c r="G202" s="8" t="str">
        <f t="shared" si="3"/>
        <v>CHANDLER KELVIN</v>
      </c>
    </row>
    <row r="203" spans="1:7" x14ac:dyDescent="0.25">
      <c r="A203" s="8">
        <v>42709.838483796295</v>
      </c>
      <c r="B203" s="21" t="s">
        <v>232</v>
      </c>
      <c r="C203" s="21" t="s">
        <v>642</v>
      </c>
      <c r="D203" s="165">
        <v>1770000</v>
      </c>
      <c r="E203" s="21" t="s">
        <v>356</v>
      </c>
      <c r="F203" s="21" t="s">
        <v>357</v>
      </c>
      <c r="G203" s="8" t="str">
        <f t="shared" si="3"/>
        <v>BRUDER RICHARD</v>
      </c>
    </row>
    <row r="204" spans="1:7" x14ac:dyDescent="0.25">
      <c r="A204" s="8">
        <v>42709.838900462964</v>
      </c>
      <c r="B204" s="21" t="s">
        <v>216</v>
      </c>
      <c r="C204" s="21" t="s">
        <v>643</v>
      </c>
      <c r="D204" s="165">
        <v>1230000</v>
      </c>
      <c r="E204" s="21" t="s">
        <v>288</v>
      </c>
      <c r="F204" s="21" t="s">
        <v>308</v>
      </c>
      <c r="G204" s="8" t="str">
        <f t="shared" si="3"/>
        <v>YANAI IAN</v>
      </c>
    </row>
    <row r="205" spans="1:7" x14ac:dyDescent="0.25">
      <c r="A205" s="8">
        <v>42709.845393518517</v>
      </c>
      <c r="B205" s="21" t="s">
        <v>211</v>
      </c>
      <c r="C205" s="21" t="s">
        <v>640</v>
      </c>
      <c r="D205" s="165">
        <v>2370000</v>
      </c>
      <c r="E205" s="21" t="s">
        <v>628</v>
      </c>
      <c r="F205" s="21" t="s">
        <v>629</v>
      </c>
      <c r="G205" s="8" t="str">
        <f t="shared" si="3"/>
        <v>DELGADO DIANAH</v>
      </c>
    </row>
    <row r="206" spans="1:7" x14ac:dyDescent="0.25">
      <c r="A206" s="8">
        <v>42709.846192129633</v>
      </c>
      <c r="B206" s="21" t="s">
        <v>221</v>
      </c>
      <c r="C206" s="21" t="s">
        <v>644</v>
      </c>
      <c r="D206" s="165">
        <v>1810000</v>
      </c>
      <c r="E206" s="21" t="s">
        <v>359</v>
      </c>
      <c r="F206" s="21" t="s">
        <v>313</v>
      </c>
      <c r="G206" s="8" t="str">
        <f t="shared" si="3"/>
        <v>NEWELL JAMES</v>
      </c>
    </row>
    <row r="207" spans="1:7" x14ac:dyDescent="0.25">
      <c r="A207" s="8">
        <v>42709.859247685185</v>
      </c>
      <c r="B207" s="21" t="s">
        <v>233</v>
      </c>
      <c r="C207" s="21" t="s">
        <v>645</v>
      </c>
      <c r="D207" s="165">
        <v>1770000</v>
      </c>
      <c r="E207" s="21" t="s">
        <v>356</v>
      </c>
      <c r="F207" s="21" t="s">
        <v>357</v>
      </c>
      <c r="G207" s="8" t="str">
        <f t="shared" si="3"/>
        <v>BRUDER RICHARD</v>
      </c>
    </row>
    <row r="208" spans="1:7" x14ac:dyDescent="0.25">
      <c r="A208" s="8">
        <v>42709.869884259257</v>
      </c>
      <c r="B208" s="21" t="s">
        <v>249</v>
      </c>
      <c r="C208" s="21" t="s">
        <v>646</v>
      </c>
      <c r="D208" s="165">
        <v>1800000</v>
      </c>
      <c r="E208" s="21" t="s">
        <v>263</v>
      </c>
      <c r="F208" s="21" t="s">
        <v>349</v>
      </c>
      <c r="G208" s="8" t="str">
        <f t="shared" si="3"/>
        <v>CHANDLER KELVIN</v>
      </c>
    </row>
    <row r="209" spans="1:7" x14ac:dyDescent="0.25">
      <c r="A209" s="8">
        <v>42709.869930555556</v>
      </c>
      <c r="B209" s="21" t="s">
        <v>209</v>
      </c>
      <c r="C209" s="21" t="s">
        <v>647</v>
      </c>
      <c r="D209" s="165">
        <v>1180000</v>
      </c>
      <c r="E209" s="21" t="s">
        <v>282</v>
      </c>
      <c r="F209" s="21" t="s">
        <v>311</v>
      </c>
      <c r="G209" s="8" t="str">
        <f t="shared" si="3"/>
        <v>LEVERE CRAIG</v>
      </c>
    </row>
    <row r="210" spans="1:7" x14ac:dyDescent="0.25">
      <c r="A210" s="8">
        <v>42709.885706018518</v>
      </c>
      <c r="B210" s="21" t="s">
        <v>232</v>
      </c>
      <c r="C210" s="21" t="s">
        <v>648</v>
      </c>
      <c r="D210" s="165">
        <v>1290000</v>
      </c>
      <c r="E210" s="21" t="s">
        <v>283</v>
      </c>
      <c r="F210" s="21" t="s">
        <v>307</v>
      </c>
      <c r="G210" s="8" t="str">
        <f t="shared" si="3"/>
        <v>COOLAHAN JOHN</v>
      </c>
    </row>
    <row r="211" spans="1:7" x14ac:dyDescent="0.25">
      <c r="A211" s="8">
        <v>42709.890659722223</v>
      </c>
      <c r="B211" s="21" t="s">
        <v>281</v>
      </c>
      <c r="C211" s="21" t="s">
        <v>649</v>
      </c>
      <c r="D211" s="165">
        <v>1230000</v>
      </c>
      <c r="E211" s="21" t="s">
        <v>288</v>
      </c>
      <c r="F211" s="21" t="s">
        <v>308</v>
      </c>
      <c r="G211" s="8" t="str">
        <f t="shared" si="3"/>
        <v>YANAI IAN</v>
      </c>
    </row>
    <row r="212" spans="1:7" x14ac:dyDescent="0.25">
      <c r="A212" s="8">
        <v>42709.891250000001</v>
      </c>
      <c r="B212" s="21" t="s">
        <v>220</v>
      </c>
      <c r="C212" s="21" t="s">
        <v>650</v>
      </c>
      <c r="D212" s="165">
        <v>1810000</v>
      </c>
      <c r="E212" s="21" t="s">
        <v>359</v>
      </c>
      <c r="F212" s="21" t="s">
        <v>313</v>
      </c>
      <c r="G212" s="8" t="str">
        <f t="shared" si="3"/>
        <v>NEWELL JAMES</v>
      </c>
    </row>
    <row r="213" spans="1:7" x14ac:dyDescent="0.25">
      <c r="A213" s="8">
        <v>42709.902233796296</v>
      </c>
      <c r="B213" s="21" t="s">
        <v>233</v>
      </c>
      <c r="C213" s="21" t="s">
        <v>651</v>
      </c>
      <c r="D213" s="165">
        <v>1290000</v>
      </c>
      <c r="E213" s="21" t="s">
        <v>283</v>
      </c>
      <c r="F213" s="21" t="s">
        <v>307</v>
      </c>
      <c r="G213" s="8" t="str">
        <f t="shared" si="3"/>
        <v>COOLAHAN JOHN</v>
      </c>
    </row>
    <row r="214" spans="1:7" x14ac:dyDescent="0.25">
      <c r="A214" s="8">
        <v>42709.90997685185</v>
      </c>
      <c r="B214" s="21" t="s">
        <v>211</v>
      </c>
      <c r="C214" s="21" t="s">
        <v>652</v>
      </c>
      <c r="D214" s="165">
        <v>1180000</v>
      </c>
      <c r="E214" s="21" t="s">
        <v>282</v>
      </c>
      <c r="F214" s="21" t="s">
        <v>311</v>
      </c>
      <c r="G214" s="8" t="str">
        <f t="shared" si="3"/>
        <v>LEVERE CRAIG</v>
      </c>
    </row>
    <row r="215" spans="1:7" x14ac:dyDescent="0.25">
      <c r="A215" s="8">
        <v>42709.914224537039</v>
      </c>
      <c r="B215" s="21" t="s">
        <v>248</v>
      </c>
      <c r="C215" s="21" t="s">
        <v>653</v>
      </c>
      <c r="D215" s="165">
        <v>1800000</v>
      </c>
      <c r="E215" s="21" t="s">
        <v>263</v>
      </c>
      <c r="F215" s="21" t="s">
        <v>349</v>
      </c>
      <c r="G215" s="8" t="str">
        <f t="shared" si="3"/>
        <v>CHANDLER KELVIN</v>
      </c>
    </row>
    <row r="216" spans="1:7" x14ac:dyDescent="0.25">
      <c r="A216" s="8">
        <v>42709.92082175926</v>
      </c>
      <c r="B216" s="21" t="s">
        <v>216</v>
      </c>
      <c r="C216" s="21" t="s">
        <v>654</v>
      </c>
      <c r="D216" s="165">
        <v>1230000</v>
      </c>
      <c r="E216" s="21" t="s">
        <v>288</v>
      </c>
      <c r="F216" s="21" t="s">
        <v>308</v>
      </c>
      <c r="G216" s="8" t="str">
        <f t="shared" si="3"/>
        <v>YANAI IAN</v>
      </c>
    </row>
    <row r="217" spans="1:7" x14ac:dyDescent="0.25">
      <c r="A217" s="8">
        <v>42709.927905092591</v>
      </c>
      <c r="B217" s="21" t="s">
        <v>232</v>
      </c>
      <c r="C217" s="21" t="s">
        <v>459</v>
      </c>
      <c r="D217" s="165">
        <v>1290000</v>
      </c>
      <c r="E217" s="21" t="s">
        <v>283</v>
      </c>
      <c r="F217" s="21" t="s">
        <v>307</v>
      </c>
      <c r="G217" s="8" t="str">
        <f t="shared" si="3"/>
        <v>COOLAHAN JOHN</v>
      </c>
    </row>
    <row r="218" spans="1:7" x14ac:dyDescent="0.25">
      <c r="A218" s="8">
        <v>42709.9296412037</v>
      </c>
      <c r="B218" s="21" t="s">
        <v>221</v>
      </c>
      <c r="C218" s="21" t="s">
        <v>655</v>
      </c>
      <c r="D218" s="165">
        <v>1810000</v>
      </c>
      <c r="E218" s="21" t="s">
        <v>359</v>
      </c>
      <c r="F218" s="21" t="s">
        <v>313</v>
      </c>
      <c r="G218" s="8" t="str">
        <f t="shared" si="3"/>
        <v>NEWELL JAMES</v>
      </c>
    </row>
    <row r="219" spans="1:7" x14ac:dyDescent="0.25">
      <c r="A219" s="8">
        <v>42709.94195601852</v>
      </c>
      <c r="B219" s="21" t="s">
        <v>233</v>
      </c>
      <c r="C219" s="21" t="s">
        <v>656</v>
      </c>
      <c r="D219" s="165">
        <v>1290000</v>
      </c>
      <c r="E219" s="21" t="s">
        <v>283</v>
      </c>
      <c r="F219" s="21" t="s">
        <v>307</v>
      </c>
      <c r="G219" s="8" t="str">
        <f t="shared" si="3"/>
        <v>COOLAHAN JOHN</v>
      </c>
    </row>
    <row r="220" spans="1:7" x14ac:dyDescent="0.25">
      <c r="A220" s="8">
        <v>42709.951099537036</v>
      </c>
      <c r="B220" s="21" t="s">
        <v>249</v>
      </c>
      <c r="C220" s="21" t="s">
        <v>657</v>
      </c>
      <c r="D220" s="165">
        <v>1800000</v>
      </c>
      <c r="E220" s="21" t="s">
        <v>263</v>
      </c>
      <c r="F220" s="21" t="s">
        <v>349</v>
      </c>
      <c r="G220" s="8" t="str">
        <f t="shared" si="3"/>
        <v>CHANDLER KELVIN</v>
      </c>
    </row>
    <row r="221" spans="1:7" x14ac:dyDescent="0.25">
      <c r="A221" s="8">
        <v>42709.951122685183</v>
      </c>
      <c r="B221" s="21" t="s">
        <v>209</v>
      </c>
      <c r="C221" s="21" t="s">
        <v>658</v>
      </c>
      <c r="D221" s="165">
        <v>1180000</v>
      </c>
      <c r="E221" s="21" t="s">
        <v>282</v>
      </c>
      <c r="F221" s="21" t="s">
        <v>311</v>
      </c>
      <c r="G221" s="8" t="str">
        <f t="shared" si="3"/>
        <v>LEVERE CRAIG</v>
      </c>
    </row>
    <row r="222" spans="1:7" x14ac:dyDescent="0.25">
      <c r="A222" s="8">
        <v>42709.963935185187</v>
      </c>
      <c r="B222" s="21" t="s">
        <v>281</v>
      </c>
      <c r="C222" s="21" t="s">
        <v>659</v>
      </c>
      <c r="D222" s="165">
        <v>1230000</v>
      </c>
      <c r="E222" s="21" t="s">
        <v>288</v>
      </c>
      <c r="F222" s="21" t="s">
        <v>308</v>
      </c>
      <c r="G222" s="8" t="str">
        <f t="shared" si="3"/>
        <v>YANAI IAN</v>
      </c>
    </row>
    <row r="223" spans="1:7" x14ac:dyDescent="0.25">
      <c r="A223" s="8">
        <v>42709.975960648146</v>
      </c>
      <c r="B223" s="21" t="s">
        <v>220</v>
      </c>
      <c r="C223" s="21" t="s">
        <v>660</v>
      </c>
      <c r="D223" s="165">
        <v>1810000</v>
      </c>
      <c r="E223" s="21" t="s">
        <v>359</v>
      </c>
      <c r="F223" s="21" t="s">
        <v>313</v>
      </c>
      <c r="G223" s="8" t="str">
        <f t="shared" si="3"/>
        <v>NEWELL JAMES</v>
      </c>
    </row>
    <row r="224" spans="1:7" x14ac:dyDescent="0.25">
      <c r="A224" s="8">
        <v>42709.993807870371</v>
      </c>
      <c r="B224" t="s">
        <v>211</v>
      </c>
      <c r="C224" t="s">
        <v>661</v>
      </c>
      <c r="D224" s="165">
        <v>1180000</v>
      </c>
      <c r="E224" t="s">
        <v>282</v>
      </c>
      <c r="F224" s="21" t="s">
        <v>311</v>
      </c>
      <c r="G224" s="8" t="str">
        <f t="shared" si="3"/>
        <v>LEVERE CRAIG</v>
      </c>
    </row>
    <row r="225" spans="1:7" x14ac:dyDescent="0.25">
      <c r="A225" s="8">
        <v>42709.997939814813</v>
      </c>
      <c r="B225" t="s">
        <v>248</v>
      </c>
      <c r="C225" t="s">
        <v>662</v>
      </c>
      <c r="D225" s="165">
        <v>1800000</v>
      </c>
      <c r="E225" t="s">
        <v>263</v>
      </c>
      <c r="F225" s="21" t="s">
        <v>349</v>
      </c>
      <c r="G225" s="8" t="str">
        <f t="shared" si="3"/>
        <v>CHANDLER KELVIN</v>
      </c>
    </row>
    <row r="226" spans="1:7" x14ac:dyDescent="0.25">
      <c r="A226" s="8">
        <v>42710.004502314812</v>
      </c>
      <c r="B226" t="s">
        <v>216</v>
      </c>
      <c r="C226" t="s">
        <v>663</v>
      </c>
      <c r="D226" s="165">
        <v>1230000</v>
      </c>
      <c r="E226" t="s">
        <v>288</v>
      </c>
      <c r="F226" s="21" t="s">
        <v>308</v>
      </c>
      <c r="G226" s="8" t="str">
        <f t="shared" si="3"/>
        <v>YANAI IAN</v>
      </c>
    </row>
    <row r="227" spans="1:7" x14ac:dyDescent="0.25">
      <c r="A227" s="8">
        <v>42710.01290509259</v>
      </c>
      <c r="B227" t="s">
        <v>221</v>
      </c>
      <c r="C227" t="s">
        <v>664</v>
      </c>
      <c r="D227" s="165">
        <v>1810000</v>
      </c>
      <c r="E227" t="s">
        <v>359</v>
      </c>
      <c r="F227" s="21" t="s">
        <v>313</v>
      </c>
      <c r="G227" s="8" t="str">
        <f t="shared" si="3"/>
        <v>NEWELL JAMES</v>
      </c>
    </row>
    <row r="228" spans="1:7" x14ac:dyDescent="0.25">
      <c r="A228" s="8">
        <v>42710.027905092589</v>
      </c>
      <c r="B228" t="s">
        <v>209</v>
      </c>
      <c r="C228" t="s">
        <v>665</v>
      </c>
      <c r="D228" s="165">
        <v>1180000</v>
      </c>
      <c r="E228" t="s">
        <v>282</v>
      </c>
      <c r="F228" s="21" t="s">
        <v>311</v>
      </c>
      <c r="G228" s="8" t="str">
        <f t="shared" si="3"/>
        <v>LEVERE CRAIG</v>
      </c>
    </row>
    <row r="229" spans="1:7" x14ac:dyDescent="0.25">
      <c r="A229" s="8">
        <v>42710.036469907405</v>
      </c>
      <c r="B229" t="s">
        <v>249</v>
      </c>
      <c r="C229" t="s">
        <v>666</v>
      </c>
      <c r="D229" s="165">
        <v>1800000</v>
      </c>
      <c r="E229" t="s">
        <v>263</v>
      </c>
      <c r="F229" s="21" t="s">
        <v>349</v>
      </c>
      <c r="G229" s="8" t="str">
        <f t="shared" si="3"/>
        <v>CHANDLER KELVIN</v>
      </c>
    </row>
    <row r="230" spans="1:7" x14ac:dyDescent="0.25">
      <c r="A230" s="8">
        <v>42710.046238425923</v>
      </c>
      <c r="B230" t="s">
        <v>220</v>
      </c>
      <c r="C230" t="s">
        <v>667</v>
      </c>
      <c r="D230" s="165">
        <v>1810000</v>
      </c>
      <c r="E230" t="s">
        <v>359</v>
      </c>
      <c r="F230" s="21" t="s">
        <v>313</v>
      </c>
      <c r="G230" s="8" t="str">
        <f t="shared" si="3"/>
        <v>NEWELL JAMES</v>
      </c>
    </row>
    <row r="231" spans="1:7" x14ac:dyDescent="0.25">
      <c r="A231" s="8">
        <v>42710.047407407408</v>
      </c>
      <c r="B231" t="s">
        <v>281</v>
      </c>
      <c r="C231" t="s">
        <v>668</v>
      </c>
      <c r="D231" s="165">
        <v>1230000</v>
      </c>
      <c r="E231" t="s">
        <v>288</v>
      </c>
      <c r="F231" s="21" t="s">
        <v>308</v>
      </c>
      <c r="G231" s="8" t="str">
        <f t="shared" si="3"/>
        <v>YANAI IAN</v>
      </c>
    </row>
    <row r="232" spans="1:7" x14ac:dyDescent="0.25">
      <c r="A232" s="8">
        <v>42710.047662037039</v>
      </c>
      <c r="B232" t="s">
        <v>220</v>
      </c>
      <c r="C232" t="s">
        <v>667</v>
      </c>
      <c r="D232" s="165">
        <v>1810000</v>
      </c>
      <c r="E232" t="s">
        <v>359</v>
      </c>
      <c r="F232" s="21" t="s">
        <v>313</v>
      </c>
      <c r="G232" s="8" t="str">
        <f t="shared" si="3"/>
        <v>NEWELL JAMES</v>
      </c>
    </row>
    <row r="233" spans="1:7" x14ac:dyDescent="0.25">
      <c r="A233" s="8">
        <v>42710.069421296299</v>
      </c>
      <c r="B233" t="s">
        <v>248</v>
      </c>
      <c r="C233" t="s">
        <v>669</v>
      </c>
      <c r="D233" s="165">
        <v>1800000</v>
      </c>
      <c r="E233" t="s">
        <v>263</v>
      </c>
      <c r="F233" s="21" t="s">
        <v>349</v>
      </c>
      <c r="G233" s="8" t="str">
        <f t="shared" si="3"/>
        <v>CHANDLER KELVIN</v>
      </c>
    </row>
    <row r="234" spans="1:7" x14ac:dyDescent="0.25">
      <c r="A234" s="8">
        <v>42710.070196759261</v>
      </c>
      <c r="B234" t="s">
        <v>248</v>
      </c>
      <c r="C234" t="s">
        <v>669</v>
      </c>
      <c r="D234" s="165">
        <v>1800000</v>
      </c>
      <c r="E234" t="s">
        <v>263</v>
      </c>
      <c r="F234" s="21" t="s">
        <v>349</v>
      </c>
      <c r="G234" s="8" t="str">
        <f t="shared" si="3"/>
        <v>CHANDLER KELVIN</v>
      </c>
    </row>
    <row r="235" spans="1:7" x14ac:dyDescent="0.25">
      <c r="A235" s="8">
        <v>42710.087384259263</v>
      </c>
      <c r="B235" t="s">
        <v>216</v>
      </c>
      <c r="C235" t="s">
        <v>670</v>
      </c>
      <c r="D235" s="165">
        <v>1230000</v>
      </c>
      <c r="E235" t="s">
        <v>288</v>
      </c>
      <c r="F235" s="21" t="s">
        <v>308</v>
      </c>
      <c r="G235" s="8" t="str">
        <f t="shared" si="3"/>
        <v>YANAI IAN</v>
      </c>
    </row>
    <row r="236" spans="1:7" x14ac:dyDescent="0.25">
      <c r="A236" s="8">
        <v>42705.941400462965</v>
      </c>
      <c r="B236" t="s">
        <v>254</v>
      </c>
      <c r="C236" t="s">
        <v>329</v>
      </c>
      <c r="D236" s="165">
        <v>1230000</v>
      </c>
      <c r="E236" t="s">
        <v>288</v>
      </c>
      <c r="F236" s="21" t="s">
        <v>308</v>
      </c>
      <c r="G236" s="8" t="str">
        <f t="shared" si="3"/>
        <v>YANAI IAN</v>
      </c>
    </row>
    <row r="237" spans="1:7" x14ac:dyDescent="0.25">
      <c r="A237" s="8">
        <v>42705.951643518521</v>
      </c>
      <c r="B237" t="s">
        <v>328</v>
      </c>
      <c r="C237" t="s">
        <v>330</v>
      </c>
      <c r="D237" s="165">
        <v>1180000</v>
      </c>
      <c r="E237" t="s">
        <v>282</v>
      </c>
      <c r="F237" s="21" t="s">
        <v>311</v>
      </c>
      <c r="G237" s="8" t="str">
        <f t="shared" si="3"/>
        <v>LEVERE CRAIG</v>
      </c>
    </row>
    <row r="238" spans="1:7" x14ac:dyDescent="0.25">
      <c r="A238" s="8">
        <v>42705.952060185184</v>
      </c>
      <c r="B238" t="s">
        <v>261</v>
      </c>
      <c r="C238" t="s">
        <v>331</v>
      </c>
      <c r="D238" s="165">
        <v>1300000</v>
      </c>
      <c r="E238" t="s">
        <v>113</v>
      </c>
      <c r="F238" s="21" t="s">
        <v>312</v>
      </c>
      <c r="G238" s="8" t="str">
        <f t="shared" si="3"/>
        <v>LEVIN SCOTT</v>
      </c>
    </row>
    <row r="239" spans="1:7" x14ac:dyDescent="0.25">
      <c r="A239" s="8">
        <v>42705.97446759259</v>
      </c>
      <c r="B239" t="s">
        <v>256</v>
      </c>
      <c r="C239" t="s">
        <v>332</v>
      </c>
      <c r="D239" s="165">
        <v>2000000</v>
      </c>
      <c r="E239" t="s">
        <v>213</v>
      </c>
      <c r="F239" s="21" t="s">
        <v>313</v>
      </c>
      <c r="G239" s="8" t="str">
        <f t="shared" si="3"/>
        <v>STAMBAUGH JAMES</v>
      </c>
    </row>
    <row r="240" spans="1:7" x14ac:dyDescent="0.25">
      <c r="A240" s="8">
        <v>42705.976018518515</v>
      </c>
      <c r="B240" t="s">
        <v>220</v>
      </c>
      <c r="C240" t="s">
        <v>333</v>
      </c>
      <c r="D240" s="165">
        <v>1290000</v>
      </c>
      <c r="E240" t="s">
        <v>283</v>
      </c>
      <c r="F240" s="21" t="s">
        <v>307</v>
      </c>
      <c r="G240" s="8" t="str">
        <f t="shared" si="3"/>
        <v>COOLAHAN JOHN</v>
      </c>
    </row>
    <row r="241" spans="1:7" x14ac:dyDescent="0.25">
      <c r="A241" s="8">
        <v>42705.993807870371</v>
      </c>
      <c r="B241" t="s">
        <v>316</v>
      </c>
      <c r="C241" t="s">
        <v>334</v>
      </c>
      <c r="D241" s="165">
        <v>1180000</v>
      </c>
      <c r="E241" t="s">
        <v>282</v>
      </c>
      <c r="F241" s="21" t="s">
        <v>311</v>
      </c>
      <c r="G241" s="8" t="str">
        <f t="shared" si="3"/>
        <v>LEVERE CRAIG</v>
      </c>
    </row>
    <row r="242" spans="1:7" x14ac:dyDescent="0.25">
      <c r="A242" s="8">
        <v>42705.99627314815</v>
      </c>
      <c r="B242" t="s">
        <v>240</v>
      </c>
      <c r="C242" t="s">
        <v>335</v>
      </c>
      <c r="D242" s="165">
        <v>1300000</v>
      </c>
      <c r="E242" t="s">
        <v>113</v>
      </c>
      <c r="F242" s="21" t="s">
        <v>312</v>
      </c>
      <c r="G242" s="8" t="str">
        <f t="shared" si="3"/>
        <v>LEVIN SCOTT</v>
      </c>
    </row>
    <row r="243" spans="1:7" x14ac:dyDescent="0.25">
      <c r="A243" s="8">
        <v>42706.004305555558</v>
      </c>
      <c r="B243" t="s">
        <v>183</v>
      </c>
      <c r="C243" t="s">
        <v>336</v>
      </c>
      <c r="D243" s="165">
        <v>2000000</v>
      </c>
      <c r="E243" t="s">
        <v>213</v>
      </c>
      <c r="F243" s="21" t="s">
        <v>313</v>
      </c>
      <c r="G243" s="8" t="str">
        <f t="shared" si="3"/>
        <v>STAMBAUGH JAMES</v>
      </c>
    </row>
    <row r="244" spans="1:7" x14ac:dyDescent="0.25">
      <c r="A244" s="8">
        <v>42706.00990740741</v>
      </c>
      <c r="B244" t="s">
        <v>221</v>
      </c>
      <c r="C244" t="s">
        <v>318</v>
      </c>
      <c r="D244" s="165">
        <v>1290000</v>
      </c>
      <c r="E244" t="s">
        <v>283</v>
      </c>
      <c r="F244" s="21" t="s">
        <v>307</v>
      </c>
      <c r="G244" s="8" t="str">
        <f t="shared" si="3"/>
        <v>COOLAHAN JOHN</v>
      </c>
    </row>
    <row r="245" spans="1:7" x14ac:dyDescent="0.25">
      <c r="A245" s="8">
        <v>42706.026990740742</v>
      </c>
      <c r="B245" t="s">
        <v>328</v>
      </c>
      <c r="C245" t="s">
        <v>337</v>
      </c>
      <c r="D245" s="165">
        <v>1180000</v>
      </c>
      <c r="E245" t="s">
        <v>282</v>
      </c>
      <c r="F245" s="21" t="s">
        <v>311</v>
      </c>
      <c r="G245" s="8" t="str">
        <f t="shared" si="3"/>
        <v>LEVERE CRAIG</v>
      </c>
    </row>
    <row r="246" spans="1:7" x14ac:dyDescent="0.25">
      <c r="A246" s="8">
        <v>42706.035787037035</v>
      </c>
      <c r="B246" t="s">
        <v>261</v>
      </c>
      <c r="C246" t="s">
        <v>317</v>
      </c>
      <c r="D246" s="165">
        <v>1300000</v>
      </c>
      <c r="E246" t="s">
        <v>113</v>
      </c>
      <c r="F246" s="21" t="s">
        <v>312</v>
      </c>
      <c r="G246" s="8" t="str">
        <f t="shared" si="3"/>
        <v>LEVIN SCOTT</v>
      </c>
    </row>
    <row r="247" spans="1:7" x14ac:dyDescent="0.25">
      <c r="A247" s="8">
        <v>42706.04965277778</v>
      </c>
      <c r="B247" t="s">
        <v>296</v>
      </c>
      <c r="C247" t="s">
        <v>338</v>
      </c>
      <c r="D247" s="165">
        <v>1290000</v>
      </c>
      <c r="E247" t="s">
        <v>283</v>
      </c>
      <c r="F247" s="21" t="s">
        <v>307</v>
      </c>
      <c r="G247" s="8" t="str">
        <f t="shared" si="3"/>
        <v>COOLAHAN JOHN</v>
      </c>
    </row>
    <row r="248" spans="1:7" x14ac:dyDescent="0.25">
      <c r="A248" s="8">
        <v>42706.05704861111</v>
      </c>
      <c r="B248" t="s">
        <v>256</v>
      </c>
      <c r="C248" t="s">
        <v>339</v>
      </c>
      <c r="D248" s="165">
        <v>2000000</v>
      </c>
      <c r="E248" t="s">
        <v>213</v>
      </c>
      <c r="F248" s="21" t="s">
        <v>313</v>
      </c>
      <c r="G248" s="8" t="str">
        <f t="shared" si="3"/>
        <v>STAMBAUGH JAMES</v>
      </c>
    </row>
    <row r="249" spans="1:7" x14ac:dyDescent="0.25">
      <c r="A249" s="8">
        <v>42706.06658564815</v>
      </c>
      <c r="B249" t="s">
        <v>240</v>
      </c>
      <c r="C249" t="s">
        <v>340</v>
      </c>
      <c r="D249" s="165">
        <v>1300000</v>
      </c>
      <c r="E249" t="s">
        <v>113</v>
      </c>
      <c r="F249" s="21" t="s">
        <v>312</v>
      </c>
      <c r="G249" s="8" t="str">
        <f t="shared" si="3"/>
        <v>LEVIN SCOTT</v>
      </c>
    </row>
    <row r="250" spans="1:7" x14ac:dyDescent="0.25">
      <c r="A250" s="8">
        <v>42700.022650462961</v>
      </c>
      <c r="B250" t="s">
        <v>154</v>
      </c>
      <c r="C250" t="s">
        <v>265</v>
      </c>
      <c r="D250" s="165">
        <v>2530000</v>
      </c>
      <c r="E250" t="s">
        <v>264</v>
      </c>
      <c r="F250" s="21" t="str">
        <f t="shared" ref="F250:F265" si="4">B250</f>
        <v>rtdc.l.rtdc.4051:itc</v>
      </c>
      <c r="G250" s="8" t="str">
        <f t="shared" si="3"/>
        <v>LALONDE rtdc.l.rtdc.4051:itc</v>
      </c>
    </row>
    <row r="251" spans="1:7" x14ac:dyDescent="0.25">
      <c r="A251" s="8">
        <v>42700.032500000001</v>
      </c>
      <c r="B251" t="s">
        <v>233</v>
      </c>
      <c r="C251" t="s">
        <v>262</v>
      </c>
      <c r="D251" s="165">
        <v>1800000</v>
      </c>
      <c r="E251" t="s">
        <v>263</v>
      </c>
      <c r="F251" s="21" t="str">
        <f t="shared" si="4"/>
        <v>rtdc.l.rtdc.4013:itc</v>
      </c>
      <c r="G251" s="8" t="str">
        <f t="shared" si="3"/>
        <v>CHANDLER rtdc.l.rtdc.4013:itc</v>
      </c>
    </row>
    <row r="252" spans="1:7" x14ac:dyDescent="0.25">
      <c r="A252" s="8">
        <v>42700.037488425929</v>
      </c>
      <c r="B252" t="s">
        <v>209</v>
      </c>
      <c r="C252" t="s">
        <v>267</v>
      </c>
      <c r="D252" s="165">
        <v>2600000</v>
      </c>
      <c r="E252" t="s">
        <v>250</v>
      </c>
      <c r="F252" s="21" t="str">
        <f t="shared" si="4"/>
        <v>rtdc.l.rtdc.4040:itc</v>
      </c>
      <c r="G252" s="8" t="str">
        <f t="shared" si="3"/>
        <v>DAVIDSON rtdc.l.rtdc.4040:itc</v>
      </c>
    </row>
    <row r="253" spans="1:7" x14ac:dyDescent="0.25">
      <c r="A253" s="8">
        <v>42700.045208333337</v>
      </c>
      <c r="B253" t="s">
        <v>155</v>
      </c>
      <c r="C253" t="s">
        <v>266</v>
      </c>
      <c r="D253" s="165">
        <v>2530000</v>
      </c>
      <c r="E253" t="s">
        <v>264</v>
      </c>
      <c r="F253" s="21" t="str">
        <f t="shared" si="4"/>
        <v>rtdc.l.rtdc.4052:itc</v>
      </c>
      <c r="G253" s="8" t="str">
        <f t="shared" si="3"/>
        <v>LALONDE rtdc.l.rtdc.4052:itc</v>
      </c>
    </row>
    <row r="254" spans="1:7" x14ac:dyDescent="0.25">
      <c r="A254" s="8">
        <v>42700.045347222222</v>
      </c>
      <c r="B254" t="s">
        <v>242</v>
      </c>
      <c r="C254" t="s">
        <v>268</v>
      </c>
      <c r="D254" s="165">
        <v>2630000</v>
      </c>
      <c r="E254" t="s">
        <v>251</v>
      </c>
      <c r="F254" s="21" t="str">
        <f t="shared" si="4"/>
        <v>rtdc.l.rtdc.4046:itc</v>
      </c>
      <c r="G254" s="8" t="str">
        <f t="shared" si="3"/>
        <v>SAFIEF rtdc.l.rtdc.4046:itc</v>
      </c>
    </row>
    <row r="255" spans="1:7" x14ac:dyDescent="0.25">
      <c r="A255" s="8">
        <v>42700.053495370368</v>
      </c>
      <c r="B255" t="s">
        <v>249</v>
      </c>
      <c r="C255" t="s">
        <v>269</v>
      </c>
      <c r="D255" s="165">
        <v>2000000</v>
      </c>
      <c r="E255" t="s">
        <v>213</v>
      </c>
      <c r="F255" s="21" t="str">
        <f t="shared" si="4"/>
        <v>rtdc.l.rtdc.4041:itc</v>
      </c>
      <c r="G255" s="8" t="str">
        <f t="shared" si="3"/>
        <v>STAMBAUGH rtdc.l.rtdc.4041:itc</v>
      </c>
    </row>
    <row r="256" spans="1:7" x14ac:dyDescent="0.25">
      <c r="A256" s="8">
        <v>42700.064895833333</v>
      </c>
      <c r="B256" t="s">
        <v>154</v>
      </c>
      <c r="C256" t="s">
        <v>265</v>
      </c>
      <c r="D256" s="165">
        <v>2530000</v>
      </c>
      <c r="E256" t="s">
        <v>264</v>
      </c>
      <c r="F256" s="21" t="str">
        <f t="shared" si="4"/>
        <v>rtdc.l.rtdc.4051:itc</v>
      </c>
      <c r="G256" s="8" t="str">
        <f t="shared" si="3"/>
        <v>LALONDE rtdc.l.rtdc.4051:itc</v>
      </c>
    </row>
    <row r="257" spans="1:7" x14ac:dyDescent="0.25">
      <c r="A257" s="8">
        <v>42700.072881944441</v>
      </c>
      <c r="B257" t="s">
        <v>232</v>
      </c>
      <c r="C257" t="s">
        <v>270</v>
      </c>
      <c r="D257" s="165">
        <v>1800000</v>
      </c>
      <c r="E257" t="s">
        <v>263</v>
      </c>
      <c r="F257" s="21" t="str">
        <f t="shared" si="4"/>
        <v>rtdc.l.rtdc.4014:itc</v>
      </c>
      <c r="G257" s="8" t="str">
        <f t="shared" si="3"/>
        <v>CHANDLER rtdc.l.rtdc.4014:itc</v>
      </c>
    </row>
    <row r="258" spans="1:7" x14ac:dyDescent="0.25">
      <c r="A258" s="8">
        <v>42700.07576388889</v>
      </c>
      <c r="B258" t="s">
        <v>211</v>
      </c>
      <c r="C258" t="s">
        <v>271</v>
      </c>
      <c r="D258" s="165">
        <v>2600000</v>
      </c>
      <c r="E258" t="s">
        <v>250</v>
      </c>
      <c r="F258" s="21" t="str">
        <f t="shared" si="4"/>
        <v>rtdc.l.rtdc.4039:itc</v>
      </c>
      <c r="G258" s="8" t="str">
        <f t="shared" si="3"/>
        <v>DAVIDSON rtdc.l.rtdc.4039:itc</v>
      </c>
    </row>
    <row r="259" spans="1:7" x14ac:dyDescent="0.25">
      <c r="A259" s="8">
        <v>42700.083275462966</v>
      </c>
      <c r="B259" t="s">
        <v>155</v>
      </c>
      <c r="C259" t="s">
        <v>266</v>
      </c>
      <c r="D259" s="165">
        <v>2530000</v>
      </c>
      <c r="E259" t="s">
        <v>264</v>
      </c>
      <c r="F259" s="21" t="str">
        <f t="shared" si="4"/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248</v>
      </c>
      <c r="C260" t="s">
        <v>272</v>
      </c>
      <c r="D260" s="165">
        <v>2000000</v>
      </c>
      <c r="E260" t="s">
        <v>213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265</v>
      </c>
      <c r="D261" s="165">
        <v>2530000</v>
      </c>
      <c r="E261" t="s">
        <v>264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209</v>
      </c>
      <c r="C262" t="s">
        <v>273</v>
      </c>
      <c r="D262" s="165">
        <v>2600000</v>
      </c>
      <c r="E262" t="s">
        <v>250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207</v>
      </c>
      <c r="C263" t="s">
        <v>222</v>
      </c>
      <c r="D263" s="165">
        <v>2000000</v>
      </c>
      <c r="E263" t="s">
        <v>213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218</v>
      </c>
      <c r="C264" t="s">
        <v>223</v>
      </c>
      <c r="D264" s="165">
        <v>2550000</v>
      </c>
      <c r="E264" t="s">
        <v>217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221</v>
      </c>
      <c r="C265" t="s">
        <v>224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216</v>
      </c>
      <c r="C266" t="s">
        <v>225</v>
      </c>
      <c r="D266" s="165">
        <v>2420000</v>
      </c>
      <c r="E266" t="s">
        <v>219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214</v>
      </c>
      <c r="C267" t="s">
        <v>226</v>
      </c>
      <c r="D267" s="165">
        <v>2000000</v>
      </c>
      <c r="E267" t="s">
        <v>213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220</v>
      </c>
      <c r="C268" t="s">
        <v>227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171</v>
      </c>
      <c r="I1" s="164" t="s">
        <v>172</v>
      </c>
      <c r="J1" s="164" t="s">
        <v>166</v>
      </c>
      <c r="K1" s="164" t="s">
        <v>164</v>
      </c>
      <c r="L1" s="164" t="s">
        <v>159</v>
      </c>
      <c r="M1" s="164" t="s">
        <v>169</v>
      </c>
      <c r="N1" s="164" t="s">
        <v>163</v>
      </c>
      <c r="O1" s="164" t="s">
        <v>170</v>
      </c>
      <c r="P1" s="164" t="s">
        <v>167</v>
      </c>
      <c r="Q1"/>
      <c r="R1"/>
    </row>
    <row r="2" spans="1:18" x14ac:dyDescent="0.25">
      <c r="A2" s="165">
        <v>35.6</v>
      </c>
      <c r="B2" s="165">
        <v>0.3</v>
      </c>
      <c r="C2" s="165">
        <v>14.84</v>
      </c>
      <c r="D2" s="8">
        <v>42709</v>
      </c>
      <c r="E2" s="165">
        <v>0.42</v>
      </c>
      <c r="F2" s="165" t="s">
        <v>275</v>
      </c>
      <c r="G2" s="165">
        <v>252.65</v>
      </c>
      <c r="H2" s="165">
        <v>0</v>
      </c>
      <c r="I2" s="165">
        <v>0</v>
      </c>
      <c r="J2" s="165">
        <v>1007.14</v>
      </c>
      <c r="K2" s="165" t="s">
        <v>289</v>
      </c>
      <c r="L2" s="165">
        <v>35.6</v>
      </c>
      <c r="M2" s="165">
        <v>1480921200</v>
      </c>
      <c r="N2" s="165">
        <v>10</v>
      </c>
      <c r="O2" s="165">
        <v>209</v>
      </c>
      <c r="P2" s="165">
        <v>2.78</v>
      </c>
      <c r="Q2"/>
      <c r="R2"/>
    </row>
    <row r="3" spans="1:18" x14ac:dyDescent="0.25">
      <c r="A3" s="165">
        <v>33.659999999999997</v>
      </c>
      <c r="B3" s="165">
        <v>0.25</v>
      </c>
      <c r="C3" s="165">
        <v>14.85</v>
      </c>
      <c r="D3" s="8">
        <v>42709.041666666664</v>
      </c>
      <c r="E3" s="165">
        <v>0.45</v>
      </c>
      <c r="F3" s="165" t="s">
        <v>275</v>
      </c>
      <c r="G3" s="165">
        <v>252.8</v>
      </c>
      <c r="H3" s="165">
        <v>0</v>
      </c>
      <c r="I3" s="165">
        <v>0</v>
      </c>
      <c r="J3" s="165">
        <v>1006.75</v>
      </c>
      <c r="K3" s="165" t="s">
        <v>289</v>
      </c>
      <c r="L3" s="165">
        <v>33.659999999999997</v>
      </c>
      <c r="M3" s="165">
        <v>1480924800</v>
      </c>
      <c r="N3" s="165">
        <v>5.15</v>
      </c>
      <c r="O3" s="165">
        <v>216</v>
      </c>
      <c r="P3" s="165">
        <v>1</v>
      </c>
      <c r="Q3"/>
      <c r="R3"/>
    </row>
    <row r="4" spans="1:18" x14ac:dyDescent="0.25">
      <c r="A4" s="165">
        <v>32.909999999999997</v>
      </c>
      <c r="B4" s="165">
        <v>0.17</v>
      </c>
      <c r="C4" s="165">
        <v>16.64</v>
      </c>
      <c r="D4" s="8">
        <v>42709.083333333336</v>
      </c>
      <c r="E4" s="165">
        <v>0.51</v>
      </c>
      <c r="F4" s="165" t="s">
        <v>360</v>
      </c>
      <c r="G4" s="165">
        <v>252.96</v>
      </c>
      <c r="H4" s="165">
        <v>0</v>
      </c>
      <c r="I4" s="165">
        <v>0</v>
      </c>
      <c r="J4" s="165">
        <v>1006.6</v>
      </c>
      <c r="K4" s="165" t="s">
        <v>361</v>
      </c>
      <c r="L4" s="165">
        <v>32.909999999999997</v>
      </c>
      <c r="M4" s="165">
        <v>1480928400</v>
      </c>
      <c r="N4" s="165">
        <v>4.29</v>
      </c>
      <c r="O4" s="165">
        <v>251</v>
      </c>
      <c r="P4" s="165">
        <v>1.71</v>
      </c>
      <c r="Q4"/>
      <c r="R4"/>
    </row>
    <row r="5" spans="1:18" x14ac:dyDescent="0.25">
      <c r="A5" s="165">
        <v>31.1</v>
      </c>
      <c r="B5" s="165">
        <v>0.14000000000000001</v>
      </c>
      <c r="C5" s="165">
        <v>15.3</v>
      </c>
      <c r="D5" s="8">
        <v>42709.125</v>
      </c>
      <c r="E5" s="165">
        <v>0.51</v>
      </c>
      <c r="F5" s="165" t="s">
        <v>360</v>
      </c>
      <c r="G5" s="165">
        <v>254.2</v>
      </c>
      <c r="H5" s="165">
        <v>0</v>
      </c>
      <c r="I5" s="165">
        <v>0</v>
      </c>
      <c r="J5" s="165">
        <v>1005.22</v>
      </c>
      <c r="K5" s="165" t="s">
        <v>361</v>
      </c>
      <c r="L5" s="165">
        <v>31.1</v>
      </c>
      <c r="M5" s="165">
        <v>1480932000</v>
      </c>
      <c r="N5" s="165">
        <v>3.83</v>
      </c>
      <c r="O5" s="165">
        <v>251</v>
      </c>
      <c r="P5" s="165">
        <v>2.0699999999999998</v>
      </c>
      <c r="Q5"/>
      <c r="R5"/>
    </row>
    <row r="6" spans="1:18" x14ac:dyDescent="0.25">
      <c r="A6" s="165">
        <v>33.159999999999997</v>
      </c>
      <c r="B6" s="165">
        <v>0.1</v>
      </c>
      <c r="C6" s="165">
        <v>18.12</v>
      </c>
      <c r="D6" s="8">
        <v>42709.166666666664</v>
      </c>
      <c r="E6" s="165">
        <v>0.53</v>
      </c>
      <c r="F6" s="165" t="s">
        <v>360</v>
      </c>
      <c r="G6" s="165">
        <v>256.05</v>
      </c>
      <c r="H6" s="165">
        <v>0</v>
      </c>
      <c r="I6" s="165">
        <v>0</v>
      </c>
      <c r="J6" s="165">
        <v>1003.4</v>
      </c>
      <c r="K6" s="165" t="s">
        <v>361</v>
      </c>
      <c r="L6" s="165">
        <v>33.159999999999997</v>
      </c>
      <c r="M6" s="165">
        <v>1480935600</v>
      </c>
      <c r="N6" s="165">
        <v>3.99</v>
      </c>
      <c r="O6" s="165">
        <v>257</v>
      </c>
      <c r="P6" s="165">
        <v>1.96</v>
      </c>
      <c r="Q6"/>
      <c r="R6"/>
    </row>
    <row r="7" spans="1:18" x14ac:dyDescent="0.25">
      <c r="A7" s="165">
        <v>32.96</v>
      </c>
      <c r="B7" s="165">
        <v>0.1</v>
      </c>
      <c r="C7" s="165">
        <v>17.55</v>
      </c>
      <c r="D7" s="8">
        <v>42709.208333333336</v>
      </c>
      <c r="E7" s="165">
        <v>0.53</v>
      </c>
      <c r="F7" s="165" t="s">
        <v>360</v>
      </c>
      <c r="G7" s="165">
        <v>258.83999999999997</v>
      </c>
      <c r="H7" s="165">
        <v>0</v>
      </c>
      <c r="I7" s="165">
        <v>0</v>
      </c>
      <c r="J7" s="165">
        <v>1002.2</v>
      </c>
      <c r="K7" s="165" t="s">
        <v>361</v>
      </c>
      <c r="L7" s="165">
        <v>32.96</v>
      </c>
      <c r="M7" s="165">
        <v>1480939200</v>
      </c>
      <c r="N7" s="165">
        <v>5.89</v>
      </c>
      <c r="O7" s="165">
        <v>252</v>
      </c>
      <c r="P7" s="165">
        <v>2.0299999999999998</v>
      </c>
      <c r="Q7"/>
      <c r="R7"/>
    </row>
    <row r="8" spans="1:18" x14ac:dyDescent="0.25">
      <c r="A8" s="165">
        <v>31.92</v>
      </c>
      <c r="B8" s="165">
        <v>0.12</v>
      </c>
      <c r="C8" s="165">
        <v>16.77</v>
      </c>
      <c r="D8" s="8">
        <v>42709.25</v>
      </c>
      <c r="E8" s="165">
        <v>0.53</v>
      </c>
      <c r="F8" s="165" t="s">
        <v>360</v>
      </c>
      <c r="G8" s="165">
        <v>263.35000000000002</v>
      </c>
      <c r="H8" s="165">
        <v>0</v>
      </c>
      <c r="I8" s="165">
        <v>0</v>
      </c>
      <c r="J8" s="165">
        <v>1002.27</v>
      </c>
      <c r="K8" s="165" t="s">
        <v>361</v>
      </c>
      <c r="L8" s="165">
        <v>31.92</v>
      </c>
      <c r="M8" s="165">
        <v>1480942800</v>
      </c>
      <c r="N8" s="165">
        <v>4.3899999999999997</v>
      </c>
      <c r="O8" s="165">
        <v>246</v>
      </c>
      <c r="P8" s="165">
        <v>2.0499999999999998</v>
      </c>
      <c r="Q8"/>
      <c r="R8"/>
    </row>
    <row r="9" spans="1:18" x14ac:dyDescent="0.25">
      <c r="A9" s="165">
        <v>34.33</v>
      </c>
      <c r="B9" s="165">
        <v>0.19</v>
      </c>
      <c r="C9" s="165">
        <v>19.399999999999999</v>
      </c>
      <c r="D9" s="8">
        <v>42709.291666666664</v>
      </c>
      <c r="E9" s="165">
        <v>0.54</v>
      </c>
      <c r="F9" s="165" t="s">
        <v>360</v>
      </c>
      <c r="G9" s="165">
        <v>268.81</v>
      </c>
      <c r="H9" s="165">
        <v>0</v>
      </c>
      <c r="I9" s="165">
        <v>0</v>
      </c>
      <c r="J9" s="165">
        <v>1003.02</v>
      </c>
      <c r="K9" s="165" t="s">
        <v>361</v>
      </c>
      <c r="L9" s="165">
        <v>34.33</v>
      </c>
      <c r="M9" s="165">
        <v>1480946400</v>
      </c>
      <c r="N9" s="165">
        <v>3.72</v>
      </c>
      <c r="O9" s="165">
        <v>264</v>
      </c>
      <c r="P9" s="165">
        <v>1.87</v>
      </c>
      <c r="Q9"/>
      <c r="R9"/>
    </row>
    <row r="10" spans="1:18" x14ac:dyDescent="0.25">
      <c r="A10" s="165">
        <v>33.6</v>
      </c>
      <c r="B10" s="165">
        <v>0.21</v>
      </c>
      <c r="C10" s="165">
        <v>20.97</v>
      </c>
      <c r="D10" s="8">
        <v>42709.333333333336</v>
      </c>
      <c r="E10" s="165">
        <v>0.54</v>
      </c>
      <c r="F10" s="165" t="s">
        <v>671</v>
      </c>
      <c r="G10" s="165">
        <v>273.31</v>
      </c>
      <c r="H10" s="165">
        <v>0</v>
      </c>
      <c r="I10" s="165">
        <v>0</v>
      </c>
      <c r="J10" s="165">
        <v>1003.49</v>
      </c>
      <c r="K10" s="165" t="s">
        <v>361</v>
      </c>
      <c r="L10" s="165">
        <v>36.049999999999997</v>
      </c>
      <c r="M10" s="165">
        <v>1480950000</v>
      </c>
      <c r="N10" s="165">
        <v>10</v>
      </c>
      <c r="O10" s="165">
        <v>266</v>
      </c>
      <c r="P10" s="165">
        <v>3.24</v>
      </c>
      <c r="Q10"/>
      <c r="R10"/>
    </row>
    <row r="11" spans="1:18" x14ac:dyDescent="0.25">
      <c r="A11" s="165">
        <v>37.76</v>
      </c>
      <c r="B11" s="165">
        <v>0.24</v>
      </c>
      <c r="C11" s="165">
        <v>22.42</v>
      </c>
      <c r="D11" s="8">
        <v>42709.375</v>
      </c>
      <c r="E11" s="165">
        <v>0.47</v>
      </c>
      <c r="F11" s="165" t="s">
        <v>671</v>
      </c>
      <c r="G11" s="165">
        <v>276.08999999999997</v>
      </c>
      <c r="H11" s="165">
        <v>0</v>
      </c>
      <c r="I11" s="165">
        <v>0</v>
      </c>
      <c r="J11" s="165">
        <v>1003.08</v>
      </c>
      <c r="K11" s="165" t="s">
        <v>361</v>
      </c>
      <c r="L11" s="165">
        <v>41.18</v>
      </c>
      <c r="M11" s="165">
        <v>1480953600</v>
      </c>
      <c r="N11" s="165">
        <v>3.32</v>
      </c>
      <c r="O11" s="165">
        <v>264</v>
      </c>
      <c r="P11" s="165">
        <v>5.13</v>
      </c>
      <c r="Q11"/>
      <c r="R11"/>
    </row>
    <row r="12" spans="1:18" x14ac:dyDescent="0.25">
      <c r="A12" s="165">
        <v>37.4</v>
      </c>
      <c r="B12" s="165">
        <v>0.26</v>
      </c>
      <c r="C12" s="165">
        <v>17.14</v>
      </c>
      <c r="D12" s="8">
        <v>42709.416666666664</v>
      </c>
      <c r="E12" s="165">
        <v>0.36</v>
      </c>
      <c r="F12" s="165" t="s">
        <v>276</v>
      </c>
      <c r="G12" s="165">
        <v>277.89999999999998</v>
      </c>
      <c r="H12" s="165">
        <v>0</v>
      </c>
      <c r="I12" s="165">
        <v>0</v>
      </c>
      <c r="J12" s="165">
        <v>1002.44</v>
      </c>
      <c r="K12" s="165" t="s">
        <v>289</v>
      </c>
      <c r="L12" s="165">
        <v>42.27</v>
      </c>
      <c r="M12" s="165">
        <v>1480957200</v>
      </c>
      <c r="N12" s="165">
        <v>2.66</v>
      </c>
      <c r="O12" s="165">
        <v>269</v>
      </c>
      <c r="P12" s="165">
        <v>7.89</v>
      </c>
      <c r="Q12"/>
      <c r="R12"/>
    </row>
    <row r="13" spans="1:18" x14ac:dyDescent="0.25">
      <c r="A13" s="165">
        <v>45.47</v>
      </c>
      <c r="B13" s="165">
        <v>0.26</v>
      </c>
      <c r="C13" s="165">
        <v>22.22</v>
      </c>
      <c r="D13" s="8">
        <v>42709.458333333336</v>
      </c>
      <c r="E13" s="165">
        <v>0.34</v>
      </c>
      <c r="F13" s="165" t="s">
        <v>276</v>
      </c>
      <c r="G13" s="165">
        <v>279.13</v>
      </c>
      <c r="H13" s="165">
        <v>0</v>
      </c>
      <c r="I13" s="165">
        <v>0</v>
      </c>
      <c r="J13" s="165">
        <v>1002.25</v>
      </c>
      <c r="K13" s="165" t="s">
        <v>289</v>
      </c>
      <c r="L13" s="165">
        <v>49.5</v>
      </c>
      <c r="M13" s="165">
        <v>1480960800</v>
      </c>
      <c r="N13" s="165">
        <v>10</v>
      </c>
      <c r="O13" s="165">
        <v>269</v>
      </c>
      <c r="P13" s="165">
        <v>9.82</v>
      </c>
      <c r="Q13"/>
      <c r="R13"/>
    </row>
    <row r="14" spans="1:18" x14ac:dyDescent="0.25">
      <c r="A14" s="165">
        <v>50.36</v>
      </c>
      <c r="B14" s="165">
        <v>0.32</v>
      </c>
      <c r="C14" s="165">
        <v>17.350000000000001</v>
      </c>
      <c r="D14" s="8">
        <v>42709.5</v>
      </c>
      <c r="E14" s="165">
        <v>0.27</v>
      </c>
      <c r="F14" s="165" t="s">
        <v>276</v>
      </c>
      <c r="G14" s="165">
        <v>279.5</v>
      </c>
      <c r="H14" s="165">
        <v>0</v>
      </c>
      <c r="I14" s="165">
        <v>0</v>
      </c>
      <c r="J14" s="165">
        <v>1002.51</v>
      </c>
      <c r="K14" s="165" t="s">
        <v>289</v>
      </c>
      <c r="L14" s="165">
        <v>50.36</v>
      </c>
      <c r="M14" s="165">
        <v>1480964400</v>
      </c>
      <c r="N14" s="165">
        <v>2.71</v>
      </c>
      <c r="O14" s="165">
        <v>280</v>
      </c>
      <c r="P14" s="165">
        <v>12.06</v>
      </c>
      <c r="Q14"/>
      <c r="R14"/>
    </row>
    <row r="15" spans="1:18" x14ac:dyDescent="0.25">
      <c r="A15" s="165">
        <v>50.4</v>
      </c>
      <c r="B15" s="165">
        <v>0.34</v>
      </c>
      <c r="C15" s="165">
        <v>13.68</v>
      </c>
      <c r="D15" s="8">
        <v>42709.541666666664</v>
      </c>
      <c r="E15" s="165">
        <v>0.23</v>
      </c>
      <c r="F15" s="165" t="s">
        <v>276</v>
      </c>
      <c r="G15" s="165">
        <v>279.27999999999997</v>
      </c>
      <c r="H15" s="165">
        <v>0</v>
      </c>
      <c r="I15" s="165">
        <v>0</v>
      </c>
      <c r="J15" s="165">
        <v>1002.98</v>
      </c>
      <c r="K15" s="165" t="s">
        <v>289</v>
      </c>
      <c r="L15" s="165">
        <v>50.4</v>
      </c>
      <c r="M15" s="165">
        <v>1480968000</v>
      </c>
      <c r="N15" s="165">
        <v>2.73</v>
      </c>
      <c r="O15" s="165">
        <v>290</v>
      </c>
      <c r="P15" s="165">
        <v>11.53</v>
      </c>
      <c r="Q15"/>
      <c r="R15"/>
    </row>
    <row r="16" spans="1:18" x14ac:dyDescent="0.25">
      <c r="A16" s="165">
        <v>45.5</v>
      </c>
      <c r="B16" s="165">
        <v>0.36</v>
      </c>
      <c r="C16" s="165">
        <v>12.18</v>
      </c>
      <c r="D16" s="8">
        <v>42709.583333333336</v>
      </c>
      <c r="E16" s="165">
        <v>0.22</v>
      </c>
      <c r="F16" s="165" t="s">
        <v>276</v>
      </c>
      <c r="G16" s="165">
        <v>279.68</v>
      </c>
      <c r="H16" s="165">
        <v>0</v>
      </c>
      <c r="I16" s="165">
        <v>0</v>
      </c>
      <c r="J16" s="165">
        <v>1004.16</v>
      </c>
      <c r="K16" s="165" t="s">
        <v>289</v>
      </c>
      <c r="L16" s="165">
        <v>49.58</v>
      </c>
      <c r="M16" s="165">
        <v>1480971600</v>
      </c>
      <c r="N16" s="165">
        <v>2.8</v>
      </c>
      <c r="O16" s="165">
        <v>282</v>
      </c>
      <c r="P16" s="165">
        <v>10.06</v>
      </c>
      <c r="Q16"/>
      <c r="R16"/>
    </row>
    <row r="17" spans="1:18" x14ac:dyDescent="0.25">
      <c r="A17" s="165">
        <v>44.89</v>
      </c>
      <c r="B17" s="165">
        <v>0.36</v>
      </c>
      <c r="C17" s="165">
        <v>13.08</v>
      </c>
      <c r="D17" s="8">
        <v>42709.625</v>
      </c>
      <c r="E17" s="165">
        <v>0.24</v>
      </c>
      <c r="F17" s="165" t="s">
        <v>276</v>
      </c>
      <c r="G17" s="165">
        <v>281.35000000000002</v>
      </c>
      <c r="H17" s="165">
        <v>0</v>
      </c>
      <c r="I17" s="165">
        <v>0</v>
      </c>
      <c r="J17" s="165">
        <v>1006.73</v>
      </c>
      <c r="K17" s="165" t="s">
        <v>289</v>
      </c>
      <c r="L17" s="165">
        <v>48.07</v>
      </c>
      <c r="M17" s="165">
        <v>1480975200</v>
      </c>
      <c r="N17" s="165">
        <v>2.8</v>
      </c>
      <c r="O17" s="165">
        <v>280</v>
      </c>
      <c r="P17" s="165">
        <v>6.94</v>
      </c>
      <c r="Q17"/>
      <c r="R17"/>
    </row>
    <row r="18" spans="1:18" x14ac:dyDescent="0.25">
      <c r="A18" s="165">
        <v>38.44</v>
      </c>
      <c r="B18" s="165">
        <v>0.36</v>
      </c>
      <c r="C18" s="165">
        <v>12.03</v>
      </c>
      <c r="D18" s="8">
        <v>42709.666666666664</v>
      </c>
      <c r="E18" s="165">
        <v>0.28000000000000003</v>
      </c>
      <c r="F18" s="165" t="s">
        <v>276</v>
      </c>
      <c r="G18" s="165">
        <v>283.64</v>
      </c>
      <c r="H18" s="165">
        <v>0</v>
      </c>
      <c r="I18" s="165">
        <v>0</v>
      </c>
      <c r="J18" s="165">
        <v>1008.65</v>
      </c>
      <c r="K18" s="165" t="s">
        <v>289</v>
      </c>
      <c r="L18" s="165">
        <v>43.29</v>
      </c>
      <c r="M18" s="165">
        <v>1480978800</v>
      </c>
      <c r="N18" s="165">
        <v>5.0599999999999996</v>
      </c>
      <c r="O18" s="165">
        <v>321</v>
      </c>
      <c r="P18" s="165">
        <v>8.32</v>
      </c>
      <c r="Q18"/>
      <c r="R18"/>
    </row>
    <row r="19" spans="1:18" x14ac:dyDescent="0.25">
      <c r="A19" s="165">
        <v>32.58</v>
      </c>
      <c r="B19" s="165">
        <v>0.28000000000000003</v>
      </c>
      <c r="C19" s="165">
        <v>8.14</v>
      </c>
      <c r="D19" s="8">
        <v>42709.708333333336</v>
      </c>
      <c r="E19" s="165">
        <v>0.3</v>
      </c>
      <c r="F19" s="165" t="s">
        <v>275</v>
      </c>
      <c r="G19" s="165">
        <v>285.83</v>
      </c>
      <c r="H19" s="165">
        <v>0</v>
      </c>
      <c r="I19" s="165">
        <v>0</v>
      </c>
      <c r="J19" s="165">
        <v>1010.5</v>
      </c>
      <c r="K19" s="165" t="s">
        <v>289</v>
      </c>
      <c r="L19" s="165">
        <v>37.01</v>
      </c>
      <c r="M19" s="165">
        <v>1480982400</v>
      </c>
      <c r="N19" s="165">
        <v>5.49</v>
      </c>
      <c r="O19" s="165">
        <v>344</v>
      </c>
      <c r="P19" s="165">
        <v>5.48</v>
      </c>
      <c r="Q19"/>
      <c r="R19"/>
    </row>
    <row r="20" spans="1:18" x14ac:dyDescent="0.25">
      <c r="A20" s="165">
        <v>29.96</v>
      </c>
      <c r="B20" s="165">
        <v>0.19</v>
      </c>
      <c r="C20" s="165">
        <v>7.8</v>
      </c>
      <c r="D20" s="8">
        <v>42709.75</v>
      </c>
      <c r="E20" s="165">
        <v>0.33</v>
      </c>
      <c r="F20" s="165" t="s">
        <v>360</v>
      </c>
      <c r="G20" s="165">
        <v>287.82</v>
      </c>
      <c r="H20" s="165">
        <v>0</v>
      </c>
      <c r="I20" s="165">
        <v>0</v>
      </c>
      <c r="J20" s="165">
        <v>1012.13</v>
      </c>
      <c r="K20" s="165" t="s">
        <v>361</v>
      </c>
      <c r="L20" s="165">
        <v>33.64</v>
      </c>
      <c r="M20" s="165">
        <v>1480986000</v>
      </c>
      <c r="N20" s="165">
        <v>6.23</v>
      </c>
      <c r="O20" s="165">
        <v>359</v>
      </c>
      <c r="P20" s="165">
        <v>4.01</v>
      </c>
      <c r="Q20"/>
      <c r="R20"/>
    </row>
    <row r="21" spans="1:18" x14ac:dyDescent="0.25">
      <c r="A21" s="165">
        <v>28.96</v>
      </c>
      <c r="B21" s="165">
        <v>0.24</v>
      </c>
      <c r="C21" s="165">
        <v>7.49</v>
      </c>
      <c r="D21" s="8">
        <v>42709.791666666664</v>
      </c>
      <c r="E21" s="165">
        <v>0.4</v>
      </c>
      <c r="F21" s="165" t="s">
        <v>360</v>
      </c>
      <c r="G21" s="165">
        <v>289.7</v>
      </c>
      <c r="H21" s="165">
        <v>0</v>
      </c>
      <c r="I21" s="165">
        <v>0</v>
      </c>
      <c r="J21" s="165">
        <v>1015.07</v>
      </c>
      <c r="K21" s="165" t="s">
        <v>361</v>
      </c>
      <c r="L21" s="165">
        <v>28.96</v>
      </c>
      <c r="M21" s="165">
        <v>1480989600</v>
      </c>
      <c r="N21" s="165">
        <v>7.45</v>
      </c>
      <c r="O21" s="165">
        <v>126</v>
      </c>
      <c r="P21" s="165">
        <v>2.2799999999999998</v>
      </c>
      <c r="Q21"/>
      <c r="R21"/>
    </row>
    <row r="22" spans="1:18" x14ac:dyDescent="0.25">
      <c r="A22" s="165">
        <v>27.49</v>
      </c>
      <c r="B22" s="165">
        <v>0.22</v>
      </c>
      <c r="C22" s="165">
        <v>6.23</v>
      </c>
      <c r="D22" s="8">
        <v>42709.833333333336</v>
      </c>
      <c r="E22" s="165">
        <v>0.4</v>
      </c>
      <c r="F22" s="165" t="s">
        <v>360</v>
      </c>
      <c r="G22" s="165">
        <v>291.05</v>
      </c>
      <c r="H22" s="165">
        <v>0</v>
      </c>
      <c r="I22" s="165">
        <v>0</v>
      </c>
      <c r="J22" s="165">
        <v>1017.81</v>
      </c>
      <c r="K22" s="165" t="s">
        <v>361</v>
      </c>
      <c r="L22" s="165">
        <v>27.49</v>
      </c>
      <c r="M22" s="165">
        <v>1480993200</v>
      </c>
      <c r="N22" s="165">
        <v>6.65</v>
      </c>
      <c r="O22" s="165">
        <v>200</v>
      </c>
      <c r="P22" s="165">
        <v>2.58</v>
      </c>
      <c r="Q22"/>
      <c r="R22"/>
    </row>
    <row r="23" spans="1:18" x14ac:dyDescent="0.25">
      <c r="A23" s="165">
        <v>21.5</v>
      </c>
      <c r="B23" s="165">
        <v>0.33</v>
      </c>
      <c r="C23" s="165">
        <v>4.34</v>
      </c>
      <c r="D23" s="8">
        <v>42709.875</v>
      </c>
      <c r="E23" s="165">
        <v>0.39</v>
      </c>
      <c r="F23" s="165" t="s">
        <v>275</v>
      </c>
      <c r="G23" s="165">
        <v>291.24</v>
      </c>
      <c r="H23" s="165">
        <v>0</v>
      </c>
      <c r="I23" s="165">
        <v>0</v>
      </c>
      <c r="J23" s="165">
        <v>1018.93</v>
      </c>
      <c r="K23" s="165" t="s">
        <v>289</v>
      </c>
      <c r="L23" s="165">
        <v>25.78</v>
      </c>
      <c r="M23" s="165">
        <v>1480996800</v>
      </c>
      <c r="N23" s="165">
        <v>5.79</v>
      </c>
      <c r="O23" s="165">
        <v>232</v>
      </c>
      <c r="P23" s="165">
        <v>3.54</v>
      </c>
      <c r="Q23"/>
      <c r="R23"/>
    </row>
    <row r="24" spans="1:18" x14ac:dyDescent="0.25">
      <c r="A24" s="165">
        <v>20.02</v>
      </c>
      <c r="B24" s="165">
        <v>0.32</v>
      </c>
      <c r="C24" s="165">
        <v>3.56</v>
      </c>
      <c r="D24" s="8">
        <v>42709.916666666664</v>
      </c>
      <c r="E24" s="165">
        <v>0.39</v>
      </c>
      <c r="F24" s="165" t="s">
        <v>275</v>
      </c>
      <c r="G24" s="165">
        <v>290.89</v>
      </c>
      <c r="H24" s="165">
        <v>0</v>
      </c>
      <c r="I24" s="165">
        <v>0</v>
      </c>
      <c r="J24" s="165">
        <v>1019.15</v>
      </c>
      <c r="K24" s="165" t="s">
        <v>289</v>
      </c>
      <c r="L24" s="165">
        <v>24.87</v>
      </c>
      <c r="M24" s="165">
        <v>1481000400</v>
      </c>
      <c r="N24" s="165">
        <v>5.91</v>
      </c>
      <c r="O24" s="165">
        <v>245</v>
      </c>
      <c r="P24" s="165">
        <v>3.86</v>
      </c>
      <c r="Q24"/>
      <c r="R24"/>
    </row>
    <row r="25" spans="1:18" x14ac:dyDescent="0.25">
      <c r="A25" s="165">
        <v>23.66</v>
      </c>
      <c r="B25" s="165">
        <v>0.31</v>
      </c>
      <c r="C25" s="165">
        <v>1.97</v>
      </c>
      <c r="D25" s="8">
        <v>42709.958333333336</v>
      </c>
      <c r="E25" s="165">
        <v>0.38</v>
      </c>
      <c r="F25" s="165" t="s">
        <v>275</v>
      </c>
      <c r="G25" s="165">
        <v>291.39999999999998</v>
      </c>
      <c r="H25" s="165">
        <v>0</v>
      </c>
      <c r="I25" s="165">
        <v>0</v>
      </c>
      <c r="J25" s="165">
        <v>1019.51</v>
      </c>
      <c r="K25" s="165" t="s">
        <v>289</v>
      </c>
      <c r="L25" s="165">
        <v>23.66</v>
      </c>
      <c r="M25" s="165">
        <v>1481004000</v>
      </c>
      <c r="N25" s="165">
        <v>6.49</v>
      </c>
      <c r="O25" s="165">
        <v>259</v>
      </c>
      <c r="P25" s="165">
        <v>2.5499999999999998</v>
      </c>
      <c r="Q25"/>
      <c r="R25"/>
    </row>
    <row r="26" spans="1:18" x14ac:dyDescent="0.25">
      <c r="A26" s="165">
        <v>22.49</v>
      </c>
      <c r="B26" s="165">
        <v>0.27</v>
      </c>
      <c r="C26" s="165">
        <v>0.86</v>
      </c>
      <c r="D26" s="8">
        <v>42710</v>
      </c>
      <c r="E26" s="165">
        <v>0.38</v>
      </c>
      <c r="F26" s="165" t="s">
        <v>275</v>
      </c>
      <c r="G26" s="165">
        <v>294.10000000000002</v>
      </c>
      <c r="H26" s="165">
        <v>0</v>
      </c>
      <c r="I26" s="165">
        <v>0</v>
      </c>
      <c r="J26" s="165">
        <v>1020.37</v>
      </c>
      <c r="K26" s="165" t="s">
        <v>289</v>
      </c>
      <c r="L26" s="165">
        <v>22.49</v>
      </c>
      <c r="M26" s="165">
        <v>1481007600</v>
      </c>
      <c r="N26" s="165">
        <v>10</v>
      </c>
      <c r="O26" s="165">
        <v>247</v>
      </c>
      <c r="P26" s="165">
        <v>1.61</v>
      </c>
      <c r="Q26"/>
      <c r="R26"/>
    </row>
    <row r="27" spans="1:18" x14ac:dyDescent="0.25">
      <c r="A27" s="165">
        <v>20.81</v>
      </c>
      <c r="B27" s="165">
        <v>0.16</v>
      </c>
      <c r="C27" s="165">
        <v>0.05</v>
      </c>
      <c r="D27" s="8">
        <v>42710.041666666664</v>
      </c>
      <c r="E27" s="165">
        <v>0.39</v>
      </c>
      <c r="F27" s="165" t="s">
        <v>360</v>
      </c>
      <c r="G27" s="165">
        <v>296.8</v>
      </c>
      <c r="H27" s="165">
        <v>0</v>
      </c>
      <c r="I27" s="165">
        <v>0</v>
      </c>
      <c r="J27" s="165">
        <v>1021.14</v>
      </c>
      <c r="K27" s="165" t="s">
        <v>361</v>
      </c>
      <c r="L27" s="165">
        <v>20.81</v>
      </c>
      <c r="M27" s="165">
        <v>1481011200</v>
      </c>
      <c r="N27" s="165">
        <v>6.79</v>
      </c>
      <c r="O27" s="165">
        <v>208</v>
      </c>
      <c r="P27" s="165">
        <v>2.35</v>
      </c>
      <c r="Q27"/>
      <c r="R27"/>
    </row>
    <row r="28" spans="1:18" x14ac:dyDescent="0.25">
      <c r="A28" s="165">
        <v>19.25</v>
      </c>
      <c r="B28" s="165">
        <v>7.0000000000000007E-2</v>
      </c>
      <c r="C28" s="165">
        <v>-0.57999999999999996</v>
      </c>
      <c r="D28" s="8">
        <v>42710.083333333336</v>
      </c>
      <c r="E28" s="165">
        <v>0.41</v>
      </c>
      <c r="F28" s="165" t="s">
        <v>360</v>
      </c>
      <c r="G28" s="165">
        <v>299.5</v>
      </c>
      <c r="H28" s="165">
        <v>0</v>
      </c>
      <c r="I28" s="165">
        <v>0</v>
      </c>
      <c r="J28" s="165">
        <v>1021.96</v>
      </c>
      <c r="K28" s="165" t="s">
        <v>361</v>
      </c>
      <c r="L28" s="165">
        <v>19.25</v>
      </c>
      <c r="M28" s="165">
        <v>1481014800</v>
      </c>
      <c r="N28" s="165">
        <v>4.4000000000000004</v>
      </c>
      <c r="O28" s="165">
        <v>164</v>
      </c>
      <c r="P28" s="165">
        <v>2.7</v>
      </c>
      <c r="Q28"/>
      <c r="R28"/>
    </row>
    <row r="29" spans="1:18" x14ac:dyDescent="0.25">
      <c r="A29" s="165">
        <v>15.3</v>
      </c>
      <c r="B29" s="165">
        <v>0.06</v>
      </c>
      <c r="C29" s="165">
        <v>-4.16</v>
      </c>
      <c r="D29" s="8">
        <v>42710.125</v>
      </c>
      <c r="E29" s="165">
        <v>0.41</v>
      </c>
      <c r="F29" s="165" t="s">
        <v>360</v>
      </c>
      <c r="G29" s="165">
        <v>302.23</v>
      </c>
      <c r="H29" s="165">
        <v>0</v>
      </c>
      <c r="I29" s="165">
        <v>0</v>
      </c>
      <c r="J29" s="165">
        <v>1022.62</v>
      </c>
      <c r="K29" s="165" t="s">
        <v>361</v>
      </c>
      <c r="L29" s="165">
        <v>15.3</v>
      </c>
      <c r="M29" s="165">
        <v>1481018400</v>
      </c>
      <c r="N29" s="165">
        <v>6.73</v>
      </c>
      <c r="O29" s="165">
        <v>164</v>
      </c>
      <c r="P29" s="165">
        <v>2.95</v>
      </c>
      <c r="Q29"/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203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2"/>
  <sheetViews>
    <sheetView workbookViewId="0">
      <selection activeCell="O6" sqref="O6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5" bestFit="1" customWidth="1"/>
    <col min="16" max="16" width="9.140625" style="165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42709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5">
        <f t="shared" ref="M3:M14" si="0">AVERAGE(K3:L3)</f>
        <v>2.7201</v>
      </c>
      <c r="O3" t="s">
        <v>103</v>
      </c>
      <c r="P3" s="165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5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5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5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5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5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5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5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5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5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5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5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205</v>
      </c>
      <c r="J17" s="33"/>
      <c r="K17" s="34"/>
      <c r="L17" s="34"/>
    </row>
    <row r="18" spans="3:13" x14ac:dyDescent="0.25">
      <c r="C18" t="s">
        <v>832</v>
      </c>
      <c r="J18" s="33" t="s">
        <v>85</v>
      </c>
      <c r="K18" s="34"/>
      <c r="L18" s="34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833</v>
      </c>
      <c r="J19" s="33" t="s">
        <v>86</v>
      </c>
      <c r="K19" s="34"/>
      <c r="L19" s="34"/>
      <c r="M19" s="165" t="s">
        <v>112</v>
      </c>
    </row>
    <row r="20" spans="3:13" x14ac:dyDescent="0.25">
      <c r="C20" t="s">
        <v>834</v>
      </c>
      <c r="J20" t="s">
        <v>87</v>
      </c>
      <c r="M20" s="165" t="s">
        <v>287</v>
      </c>
    </row>
    <row r="21" spans="3:13" x14ac:dyDescent="0.25">
      <c r="C21" t="s">
        <v>835</v>
      </c>
      <c r="J21" s="21" t="s">
        <v>90</v>
      </c>
      <c r="K21" s="21" t="s">
        <v>91</v>
      </c>
      <c r="M21" s="165" t="s">
        <v>182</v>
      </c>
    </row>
    <row r="22" spans="3:13" x14ac:dyDescent="0.25">
      <c r="C22" t="s">
        <v>836</v>
      </c>
      <c r="J22" s="21" t="s">
        <v>92</v>
      </c>
      <c r="K22" s="21" t="s">
        <v>93</v>
      </c>
      <c r="M22" s="165" t="s">
        <v>111</v>
      </c>
    </row>
    <row r="23" spans="3:13" x14ac:dyDescent="0.25">
      <c r="C23" t="s">
        <v>837</v>
      </c>
      <c r="J23" s="29" t="s">
        <v>95</v>
      </c>
      <c r="K23" s="21"/>
      <c r="M23" s="165">
        <v>-7</v>
      </c>
    </row>
    <row r="24" spans="3:13" x14ac:dyDescent="0.25">
      <c r="C24" t="s">
        <v>838</v>
      </c>
      <c r="J24" s="21" t="s">
        <v>108</v>
      </c>
      <c r="K24" s="21"/>
      <c r="M24" s="165" t="s">
        <v>110</v>
      </c>
    </row>
    <row r="25" spans="3:13" x14ac:dyDescent="0.25">
      <c r="C25" t="s">
        <v>839</v>
      </c>
      <c r="J25" t="s">
        <v>151</v>
      </c>
      <c r="M25" s="165" t="b">
        <v>1</v>
      </c>
    </row>
    <row r="26" spans="3:13" x14ac:dyDescent="0.25">
      <c r="C26" t="s">
        <v>840</v>
      </c>
      <c r="J26" t="s">
        <v>152</v>
      </c>
      <c r="M26" s="165" t="str">
        <f>"C:\Users\stu\Documents\GitHub\eaglep3-reporting\EC\"&amp;TEXT(A2,"yyyy-mm-dd")&amp;"-refined-times.txt"</f>
        <v>C:\Users\stu\Documents\GitHub\eaglep3-reporting\EC\2016-12-05-refined-times.txt</v>
      </c>
    </row>
    <row r="27" spans="3:13" x14ac:dyDescent="0.25">
      <c r="C27" t="s">
        <v>841</v>
      </c>
      <c r="J27" t="s">
        <v>188</v>
      </c>
      <c r="M27" s="165" t="str">
        <f>"C:\Users\stu\Documents\GitHub\eaglep3-reporting\EC\"&amp;TEXT(A2,"YYYY-MM-DD")&amp;"-Enforcements.txt"</f>
        <v>C:\Users\stu\Documents\GitHub\eaglep3-reporting\EC\2016-12-05-Enforcements.txt</v>
      </c>
    </row>
    <row r="28" spans="3:13" x14ac:dyDescent="0.25">
      <c r="C28" t="s">
        <v>842</v>
      </c>
      <c r="J28" t="s">
        <v>189</v>
      </c>
      <c r="M28" s="165" t="str">
        <f>"C:\Users\stu\Documents\GitHub\eaglep3-reporting\EC\"&amp;TEXT(A2,"YYYY-MM-DD")&amp;"-Runs-refined.txt"</f>
        <v>C:\Users\stu\Documents\GitHub\eaglep3-reporting\EC\2016-12-05-Runs-refined.txt</v>
      </c>
    </row>
    <row r="29" spans="3:13" x14ac:dyDescent="0.25">
      <c r="C29" t="s">
        <v>843</v>
      </c>
      <c r="J29" t="s">
        <v>190</v>
      </c>
      <c r="M29" s="165" t="str">
        <f>"C:\Users\stu\Documents\GitHub\eaglep3-reporting\EC\"&amp;TEXT(A2,"YYYY-MM-DD")&amp;"-Trips.txt"</f>
        <v>C:\Users\stu\Documents\GitHub\eaglep3-reporting\EC\2016-12-05-Trips.txt</v>
      </c>
    </row>
    <row r="30" spans="3:13" x14ac:dyDescent="0.25">
      <c r="C30" t="s">
        <v>844</v>
      </c>
      <c r="J30" t="s">
        <v>191</v>
      </c>
      <c r="M30" s="165" t="str">
        <f>"C:\Users\stu\Documents\GitHub\eaglep3-reporting\EC\"&amp;TEXT(A2,"YYYY-MM-DD")&amp;"-Weather.txt"</f>
        <v>C:\Users\stu\Documents\GitHub\eaglep3-reporting\EC\2016-12-05-Weather.txt</v>
      </c>
    </row>
    <row r="31" spans="3:13" x14ac:dyDescent="0.25">
      <c r="C31" t="s">
        <v>845</v>
      </c>
    </row>
    <row r="32" spans="3:13" x14ac:dyDescent="0.25">
      <c r="C32" t="s">
        <v>846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212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19" workbookViewId="0">
      <selection activeCell="D5" sqref="D5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857</v>
      </c>
      <c r="B1" t="str">
        <f t="shared" ref="B1:B52" si="0">MID(A1,6,23)</f>
        <v>2016/12/05 10:51:18.527</v>
      </c>
      <c r="C1" t="e">
        <f>ABS(B1-#REF!)</f>
        <v>#REF!</v>
      </c>
    </row>
    <row r="2" spans="1:3" x14ac:dyDescent="0.25">
      <c r="A2" t="s">
        <v>858</v>
      </c>
      <c r="B2" s="21" t="str">
        <f t="shared" si="0"/>
        <v>2016/12/05 10:51:18.978</v>
      </c>
      <c r="C2">
        <f>ABS(B2-B1)</f>
        <v>5.219902959652245E-6</v>
      </c>
    </row>
    <row r="3" spans="1:3" x14ac:dyDescent="0.25">
      <c r="A3" t="s">
        <v>859</v>
      </c>
      <c r="B3" s="21" t="str">
        <f t="shared" si="0"/>
        <v>2016/12/05 10:52:01.527</v>
      </c>
      <c r="C3" s="21">
        <f t="shared" ref="C3:C52" si="1">ABS(B3-B2)</f>
        <v>4.9246528215007856E-4</v>
      </c>
    </row>
    <row r="4" spans="1:3" x14ac:dyDescent="0.25">
      <c r="A4" t="s">
        <v>860</v>
      </c>
      <c r="B4" s="21" t="str">
        <f t="shared" si="0"/>
        <v>2016/12/05 10:52:01.980</v>
      </c>
      <c r="C4" s="21">
        <f t="shared" si="1"/>
        <v>5.2430550567805767E-6</v>
      </c>
    </row>
    <row r="5" spans="1:3" x14ac:dyDescent="0.25">
      <c r="A5" t="s">
        <v>861</v>
      </c>
      <c r="B5" s="21" t="str">
        <f t="shared" si="0"/>
        <v>2016/12/05 12:04:53.159</v>
      </c>
      <c r="C5" s="21">
        <f t="shared" si="1"/>
        <v>5.0592349536600523E-2</v>
      </c>
    </row>
    <row r="6" spans="1:3" x14ac:dyDescent="0.25">
      <c r="A6" t="s">
        <v>862</v>
      </c>
      <c r="B6" s="21" t="str">
        <f t="shared" si="0"/>
        <v>2016/12/05 12:04:53.336</v>
      </c>
      <c r="C6" s="21">
        <f t="shared" si="1"/>
        <v>2.0486113498918712E-6</v>
      </c>
    </row>
    <row r="7" spans="1:3" x14ac:dyDescent="0.25">
      <c r="A7" t="s">
        <v>863</v>
      </c>
      <c r="B7" s="21" t="str">
        <f t="shared" si="0"/>
        <v>2016/12/05 12:25:29.924</v>
      </c>
      <c r="C7" s="21">
        <f t="shared" si="1"/>
        <v>1.4312361112388317E-2</v>
      </c>
    </row>
    <row r="8" spans="1:3" x14ac:dyDescent="0.25">
      <c r="A8" t="s">
        <v>864</v>
      </c>
      <c r="B8" s="21" t="str">
        <f t="shared" si="0"/>
        <v>2016/12/05 12:25:30.360</v>
      </c>
      <c r="C8" s="21">
        <f t="shared" si="1"/>
        <v>5.0462913350202143E-6</v>
      </c>
    </row>
    <row r="9" spans="1:3" x14ac:dyDescent="0.25">
      <c r="A9" t="s">
        <v>865</v>
      </c>
      <c r="B9" s="21" t="str">
        <f t="shared" si="0"/>
        <v>2016/12/05 12:25:31.345</v>
      </c>
      <c r="C9" s="21">
        <f t="shared" si="1"/>
        <v>1.1400465155020356E-5</v>
      </c>
    </row>
    <row r="10" spans="1:3" x14ac:dyDescent="0.25">
      <c r="A10" t="s">
        <v>866</v>
      </c>
      <c r="B10" s="21" t="str">
        <f t="shared" si="0"/>
        <v>2016/12/05 13:06:40.156</v>
      </c>
      <c r="C10" s="21">
        <f t="shared" si="1"/>
        <v>2.8574201387527864E-2</v>
      </c>
    </row>
    <row r="11" spans="1:3" x14ac:dyDescent="0.25">
      <c r="A11" t="s">
        <v>867</v>
      </c>
      <c r="B11" s="21" t="str">
        <f t="shared" si="0"/>
        <v>2016/12/05 13:06:41.336</v>
      </c>
      <c r="C11" s="21">
        <f t="shared" si="1"/>
        <v>1.3657408999279141E-5</v>
      </c>
    </row>
    <row r="12" spans="1:3" x14ac:dyDescent="0.25">
      <c r="A12" t="s">
        <v>868</v>
      </c>
      <c r="B12" s="21" t="str">
        <f t="shared" si="0"/>
        <v>2016/12/05 13:39:30.305</v>
      </c>
      <c r="C12" s="21">
        <f t="shared" si="1"/>
        <v>2.2788993053836748E-2</v>
      </c>
    </row>
    <row r="13" spans="1:3" x14ac:dyDescent="0.25">
      <c r="A13" t="s">
        <v>869</v>
      </c>
      <c r="B13" s="21" t="str">
        <f t="shared" si="0"/>
        <v>2016/12/05 13:39:30.340</v>
      </c>
      <c r="C13" s="21">
        <f t="shared" si="1"/>
        <v>4.0509621612727642E-7</v>
      </c>
    </row>
    <row r="14" spans="1:3" x14ac:dyDescent="0.25">
      <c r="A14" t="s">
        <v>870</v>
      </c>
      <c r="B14" s="21" t="str">
        <f t="shared" si="0"/>
        <v>2016/12/05 14:18:27.083</v>
      </c>
      <c r="C14" s="21">
        <f t="shared" si="1"/>
        <v>2.7045636576076504E-2</v>
      </c>
    </row>
    <row r="15" spans="1:3" x14ac:dyDescent="0.25">
      <c r="A15" t="s">
        <v>871</v>
      </c>
      <c r="B15" s="21" t="str">
        <f t="shared" si="0"/>
        <v>2016/12/05 14:18:27.086</v>
      </c>
      <c r="C15" s="21">
        <f t="shared" si="1"/>
        <v>3.4720869734883308E-8</v>
      </c>
    </row>
    <row r="16" spans="1:3" x14ac:dyDescent="0.25">
      <c r="A16" t="s">
        <v>872</v>
      </c>
      <c r="B16" s="21" t="str">
        <f t="shared" si="0"/>
        <v>2016/12/05 14:18:27.463</v>
      </c>
      <c r="C16" s="21">
        <f t="shared" si="1"/>
        <v>4.3634208850562572E-6</v>
      </c>
    </row>
    <row r="17" spans="1:3" x14ac:dyDescent="0.25">
      <c r="A17" t="s">
        <v>873</v>
      </c>
      <c r="B17" s="21" t="str">
        <f t="shared" si="0"/>
        <v>2016/12/05 14:36:39.921</v>
      </c>
      <c r="C17" s="21">
        <f t="shared" si="1"/>
        <v>1.2644189817365259E-2</v>
      </c>
    </row>
    <row r="18" spans="1:3" x14ac:dyDescent="0.25">
      <c r="A18" t="s">
        <v>874</v>
      </c>
      <c r="B18" s="21" t="str">
        <f t="shared" si="0"/>
        <v>2016/12/05 14:36:39.968</v>
      </c>
      <c r="C18" s="21">
        <f t="shared" si="1"/>
        <v>5.4397969506680965E-7</v>
      </c>
    </row>
    <row r="19" spans="1:3" x14ac:dyDescent="0.25">
      <c r="A19" t="s">
        <v>875</v>
      </c>
      <c r="B19" s="21" t="str">
        <f t="shared" si="0"/>
        <v>2016/12/05 14:36:40.372</v>
      </c>
      <c r="C19" s="21">
        <f t="shared" si="1"/>
        <v>4.6759305405430496E-6</v>
      </c>
    </row>
    <row r="20" spans="1:3" x14ac:dyDescent="0.25">
      <c r="A20" t="s">
        <v>876</v>
      </c>
      <c r="B20" s="21" t="str">
        <f t="shared" si="0"/>
        <v>2016/12/05 14:38:40.884</v>
      </c>
      <c r="C20" s="21">
        <f t="shared" si="1"/>
        <v>1.3948148116469383E-3</v>
      </c>
    </row>
    <row r="21" spans="1:3" x14ac:dyDescent="0.25">
      <c r="A21" t="s">
        <v>877</v>
      </c>
      <c r="B21" s="21" t="str">
        <f t="shared" si="0"/>
        <v>2016/12/05 14:38:40.922</v>
      </c>
      <c r="C21" s="21">
        <f t="shared" si="1"/>
        <v>4.3981708586215973E-7</v>
      </c>
    </row>
    <row r="22" spans="1:3" x14ac:dyDescent="0.25">
      <c r="A22" t="s">
        <v>878</v>
      </c>
      <c r="B22" s="21" t="str">
        <f t="shared" si="0"/>
        <v>2016/12/05 14:38:41.375</v>
      </c>
      <c r="C22" s="21">
        <f t="shared" si="1"/>
        <v>5.2430550567805767E-6</v>
      </c>
    </row>
    <row r="23" spans="1:3" x14ac:dyDescent="0.25">
      <c r="A23" t="s">
        <v>879</v>
      </c>
      <c r="B23" s="21" t="str">
        <f t="shared" si="0"/>
        <v>2016/12/05 15:19:44.821</v>
      </c>
      <c r="C23" s="21">
        <f t="shared" si="1"/>
        <v>2.8512106480775401E-2</v>
      </c>
    </row>
    <row r="24" spans="1:3" x14ac:dyDescent="0.25">
      <c r="A24" t="s">
        <v>880</v>
      </c>
      <c r="B24" s="21" t="str">
        <f t="shared" si="0"/>
        <v>2016/12/05 15:19:45.306</v>
      </c>
      <c r="C24" s="21">
        <f t="shared" si="1"/>
        <v>5.6134231272153556E-6</v>
      </c>
    </row>
    <row r="25" spans="1:3" x14ac:dyDescent="0.25">
      <c r="A25" t="s">
        <v>881</v>
      </c>
      <c r="B25" s="21" t="str">
        <f t="shared" si="0"/>
        <v>2016/12/05 15:19:45.350</v>
      </c>
      <c r="C25" s="21">
        <f t="shared" si="1"/>
        <v>5.0925882533192635E-7</v>
      </c>
    </row>
    <row r="26" spans="1:3" x14ac:dyDescent="0.25">
      <c r="A26" t="s">
        <v>882</v>
      </c>
      <c r="B26" s="21" t="str">
        <f t="shared" si="0"/>
        <v>2016/12/05 15:32:30.923</v>
      </c>
      <c r="C26" s="21">
        <f t="shared" si="1"/>
        <v>8.8607986108399928E-3</v>
      </c>
    </row>
    <row r="27" spans="1:3" x14ac:dyDescent="0.25">
      <c r="A27" t="s">
        <v>883</v>
      </c>
      <c r="B27" s="21" t="str">
        <f t="shared" si="0"/>
        <v>2016/12/05 15:32:31.365</v>
      </c>
      <c r="C27" s="21">
        <f t="shared" si="1"/>
        <v>5.1157403504475951E-6</v>
      </c>
    </row>
    <row r="28" spans="1:3" x14ac:dyDescent="0.25">
      <c r="A28" t="s">
        <v>884</v>
      </c>
      <c r="B28" s="21" t="str">
        <f t="shared" si="0"/>
        <v>2016/12/05 15:32:31.394</v>
      </c>
      <c r="C28" s="21">
        <f t="shared" si="1"/>
        <v>3.356544766575098E-7</v>
      </c>
    </row>
    <row r="29" spans="1:3" x14ac:dyDescent="0.25">
      <c r="A29" t="s">
        <v>885</v>
      </c>
      <c r="B29" s="21" t="str">
        <f t="shared" si="0"/>
        <v>2016/12/05 15:37:01.130</v>
      </c>
      <c r="C29" s="21">
        <f t="shared" si="1"/>
        <v>3.1219444426824339E-3</v>
      </c>
    </row>
    <row r="30" spans="1:3" x14ac:dyDescent="0.25">
      <c r="A30" t="s">
        <v>886</v>
      </c>
      <c r="B30" s="21" t="str">
        <f t="shared" si="0"/>
        <v>2016/12/05 15:37:01.336</v>
      </c>
      <c r="C30" s="21">
        <f t="shared" si="1"/>
        <v>2.3842585505917668E-6</v>
      </c>
    </row>
    <row r="31" spans="1:3" x14ac:dyDescent="0.25">
      <c r="A31" t="s">
        <v>887</v>
      </c>
      <c r="B31" s="21" t="str">
        <f t="shared" si="0"/>
        <v>2016/12/05 15:49:55.584</v>
      </c>
      <c r="C31" s="21">
        <f t="shared" si="1"/>
        <v>8.9612037045299076E-3</v>
      </c>
    </row>
    <row r="32" spans="1:3" x14ac:dyDescent="0.25">
      <c r="A32" t="s">
        <v>888</v>
      </c>
      <c r="B32" s="21" t="str">
        <f t="shared" si="0"/>
        <v>2016/12/05 15:49:55.874</v>
      </c>
      <c r="C32" s="21">
        <f t="shared" si="1"/>
        <v>3.3564792829565704E-6</v>
      </c>
    </row>
    <row r="33" spans="1:3" x14ac:dyDescent="0.25">
      <c r="A33" t="s">
        <v>889</v>
      </c>
      <c r="B33" s="21" t="str">
        <f t="shared" si="0"/>
        <v>2016/12/05 15:49:55.891</v>
      </c>
      <c r="C33" s="21">
        <f t="shared" si="1"/>
        <v>1.9676372176036239E-7</v>
      </c>
    </row>
    <row r="34" spans="1:3" x14ac:dyDescent="0.25">
      <c r="A34" t="s">
        <v>890</v>
      </c>
      <c r="B34" s="21" t="str">
        <f t="shared" si="0"/>
        <v>2016/12/05 16:53:28.514</v>
      </c>
      <c r="C34" s="21">
        <f t="shared" si="1"/>
        <v>4.412758101534564E-2</v>
      </c>
    </row>
    <row r="35" spans="1:3" x14ac:dyDescent="0.25">
      <c r="A35" t="s">
        <v>891</v>
      </c>
      <c r="B35" s="21" t="str">
        <f t="shared" si="0"/>
        <v>2016/12/05 16:53:28.546</v>
      </c>
      <c r="C35" s="21">
        <f t="shared" si="1"/>
        <v>3.7036807043477893E-7</v>
      </c>
    </row>
    <row r="36" spans="1:3" x14ac:dyDescent="0.25">
      <c r="A36" t="s">
        <v>892</v>
      </c>
      <c r="B36" s="21" t="str">
        <f t="shared" si="0"/>
        <v>2016/12/05 16:53:29.000</v>
      </c>
      <c r="C36" s="21">
        <f t="shared" si="1"/>
        <v>5.2546311053447425E-6</v>
      </c>
    </row>
    <row r="37" spans="1:3" x14ac:dyDescent="0.25">
      <c r="A37" t="s">
        <v>893</v>
      </c>
      <c r="B37" s="21" t="str">
        <f t="shared" si="0"/>
        <v>2016/12/05 16:53:33.527</v>
      </c>
      <c r="C37" s="21">
        <f t="shared" si="1"/>
        <v>5.2395836974028498E-5</v>
      </c>
    </row>
    <row r="38" spans="1:3" x14ac:dyDescent="0.25">
      <c r="A38" t="s">
        <v>894</v>
      </c>
      <c r="B38" s="21" t="str">
        <f t="shared" si="0"/>
        <v>2016/12/05 16:53:33.916</v>
      </c>
      <c r="C38" s="21">
        <f t="shared" si="1"/>
        <v>4.5023116399534047E-6</v>
      </c>
    </row>
    <row r="39" spans="1:3" x14ac:dyDescent="0.25">
      <c r="A39" t="s">
        <v>895</v>
      </c>
      <c r="B39" s="21" t="str">
        <f t="shared" si="0"/>
        <v>2016/12/05 16:53:34.668</v>
      </c>
      <c r="C39" s="21">
        <f t="shared" si="1"/>
        <v>8.7037042248994112E-6</v>
      </c>
    </row>
    <row r="40" spans="1:3" x14ac:dyDescent="0.25">
      <c r="A40" t="s">
        <v>896</v>
      </c>
      <c r="B40" s="21" t="str">
        <f t="shared" si="0"/>
        <v>2016/12/05 16:54:44.012</v>
      </c>
      <c r="C40" s="21">
        <f t="shared" si="1"/>
        <v>8.0259259266313165E-4</v>
      </c>
    </row>
    <row r="41" spans="1:3" x14ac:dyDescent="0.25">
      <c r="A41" t="s">
        <v>897</v>
      </c>
      <c r="B41" s="21" t="str">
        <f t="shared" si="0"/>
        <v>2016/12/05 16:55:14.520</v>
      </c>
      <c r="C41" s="21">
        <f t="shared" si="1"/>
        <v>3.5310185194248334E-4</v>
      </c>
    </row>
    <row r="42" spans="1:3" x14ac:dyDescent="0.25">
      <c r="A42" t="s">
        <v>898</v>
      </c>
      <c r="B42" s="21" t="str">
        <f t="shared" si="0"/>
        <v>2016/12/05 16:55:14.554</v>
      </c>
      <c r="C42" s="21">
        <f t="shared" si="1"/>
        <v>3.9352016756311059E-7</v>
      </c>
    </row>
    <row r="43" spans="1:3" x14ac:dyDescent="0.25">
      <c r="A43" t="s">
        <v>899</v>
      </c>
      <c r="B43" s="21" t="str">
        <f t="shared" si="0"/>
        <v>2016/12/05 17:08:16.924</v>
      </c>
      <c r="C43" s="21">
        <f t="shared" si="1"/>
        <v>9.0552083274815232E-3</v>
      </c>
    </row>
    <row r="44" spans="1:3" x14ac:dyDescent="0.25">
      <c r="A44" t="s">
        <v>900</v>
      </c>
      <c r="B44" s="21" t="str">
        <f t="shared" si="0"/>
        <v>2016/12/05 18:24:04.303</v>
      </c>
      <c r="C44" s="21">
        <f t="shared" si="1"/>
        <v>5.263170139369322E-2</v>
      </c>
    </row>
    <row r="45" spans="1:3" x14ac:dyDescent="0.25">
      <c r="A45" t="s">
        <v>901</v>
      </c>
      <c r="B45" s="21" t="str">
        <f t="shared" si="0"/>
        <v>2016/12/05 18:24:04.352</v>
      </c>
      <c r="C45" s="21">
        <f t="shared" si="1"/>
        <v>5.6713179219514132E-7</v>
      </c>
    </row>
    <row r="46" spans="1:3" x14ac:dyDescent="0.25">
      <c r="A46" t="s">
        <v>902</v>
      </c>
      <c r="B46" s="21" t="str">
        <f t="shared" si="0"/>
        <v>2016/12/05 18:43:24.313</v>
      </c>
      <c r="C46" s="21">
        <f t="shared" si="1"/>
        <v>1.3425474535324611E-2</v>
      </c>
    </row>
    <row r="47" spans="1:3" x14ac:dyDescent="0.25">
      <c r="A47" t="s">
        <v>903</v>
      </c>
      <c r="B47" s="21" t="str">
        <f t="shared" si="0"/>
        <v>2016/12/05 19:06:52.861</v>
      </c>
      <c r="C47" s="21">
        <f t="shared" si="1"/>
        <v>1.6302638883644249E-2</v>
      </c>
    </row>
    <row r="48" spans="1:3" x14ac:dyDescent="0.25">
      <c r="A48" t="s">
        <v>904</v>
      </c>
      <c r="B48" s="21" t="str">
        <f t="shared" si="0"/>
        <v>2016/12/05 20:09:59.393</v>
      </c>
      <c r="C48" s="21">
        <f t="shared" si="1"/>
        <v>4.3825601853313856E-2</v>
      </c>
    </row>
    <row r="49" spans="1:3" x14ac:dyDescent="0.25">
      <c r="A49" t="s">
        <v>905</v>
      </c>
      <c r="B49" s="21" t="str">
        <f t="shared" si="0"/>
        <v>2016/12/05 20:09:59.772</v>
      </c>
      <c r="C49" s="21">
        <f t="shared" si="1"/>
        <v>4.3865729821845889E-6</v>
      </c>
    </row>
    <row r="50" spans="1:3" x14ac:dyDescent="0.25">
      <c r="A50" t="s">
        <v>906</v>
      </c>
      <c r="B50" s="21" t="str">
        <f t="shared" si="0"/>
        <v>2016/12/05 20:10:00.014</v>
      </c>
      <c r="C50" s="21">
        <f t="shared" si="1"/>
        <v>2.8009308152832091E-6</v>
      </c>
    </row>
    <row r="51" spans="1:3" x14ac:dyDescent="0.25">
      <c r="A51" t="s">
        <v>907</v>
      </c>
      <c r="B51" s="21" t="str">
        <f t="shared" si="0"/>
        <v>2016/12/05 20:13:02.876</v>
      </c>
      <c r="C51" s="21">
        <f t="shared" si="1"/>
        <v>2.1164583304198459E-3</v>
      </c>
    </row>
    <row r="52" spans="1:3" x14ac:dyDescent="0.25">
      <c r="A52" t="s">
        <v>908</v>
      </c>
      <c r="B52" s="21" t="str">
        <f t="shared" si="0"/>
        <v>2016/12/05 20:13:03.339</v>
      </c>
      <c r="C52" s="21">
        <f t="shared" si="1"/>
        <v>5.3588009905070066E-6</v>
      </c>
    </row>
    <row r="53" spans="1:3" x14ac:dyDescent="0.25">
      <c r="A53" t="s">
        <v>909</v>
      </c>
      <c r="B53" s="21" t="str">
        <f t="shared" ref="B53:B80" si="2">MID(A53,6,23)</f>
        <v>2016/12/05 20:13:04.148</v>
      </c>
      <c r="C53" s="21">
        <f t="shared" ref="C53:C80" si="3">ABS(B53-B52)</f>
        <v>9.3634225777350366E-6</v>
      </c>
    </row>
    <row r="54" spans="1:3" x14ac:dyDescent="0.25">
      <c r="A54" t="s">
        <v>910</v>
      </c>
      <c r="B54" s="21" t="str">
        <f t="shared" si="2"/>
        <v>2016/12/05 20:31:36.889</v>
      </c>
      <c r="C54" s="21">
        <f t="shared" si="3"/>
        <v>1.2878946756245568E-2</v>
      </c>
    </row>
    <row r="55" spans="1:3" x14ac:dyDescent="0.25">
      <c r="A55" t="s">
        <v>911</v>
      </c>
      <c r="B55" s="21" t="str">
        <f t="shared" si="2"/>
        <v>2016/12/05 20:31:36.972</v>
      </c>
      <c r="C55" s="21">
        <f t="shared" si="3"/>
        <v>9.6065195975825191E-7</v>
      </c>
    </row>
    <row r="56" spans="1:3" x14ac:dyDescent="0.25">
      <c r="A56" t="s">
        <v>912</v>
      </c>
      <c r="B56" s="21" t="str">
        <f t="shared" si="2"/>
        <v>2016/12/05 21:03:57.596</v>
      </c>
      <c r="C56" s="21">
        <f t="shared" si="3"/>
        <v>2.2460925923951436E-2</v>
      </c>
    </row>
    <row r="57" spans="1:3" x14ac:dyDescent="0.25">
      <c r="A57" t="s">
        <v>913</v>
      </c>
      <c r="B57" s="21" t="str">
        <f t="shared" si="2"/>
        <v>2016/12/05 21:03:57.900</v>
      </c>
      <c r="C57" s="21">
        <f t="shared" si="3"/>
        <v>3.5185221349820495E-6</v>
      </c>
    </row>
    <row r="58" spans="1:3" x14ac:dyDescent="0.25">
      <c r="A58" t="s">
        <v>914</v>
      </c>
      <c r="B58" s="21" t="str">
        <f t="shared" si="2"/>
        <v>2016/12/05 21:20:57.137</v>
      </c>
      <c r="C58" s="21">
        <f t="shared" si="3"/>
        <v>1.1796724531450309E-2</v>
      </c>
    </row>
    <row r="59" spans="1:3" x14ac:dyDescent="0.25">
      <c r="A59" t="s">
        <v>915</v>
      </c>
      <c r="B59" s="21" t="str">
        <f t="shared" si="2"/>
        <v>2016/12/05 21:20:57.312</v>
      </c>
      <c r="C59" s="21">
        <f t="shared" si="3"/>
        <v>2.0254665287211537E-6</v>
      </c>
    </row>
    <row r="60" spans="1:3" x14ac:dyDescent="0.25">
      <c r="A60" t="s">
        <v>916</v>
      </c>
      <c r="B60" s="21" t="str">
        <f t="shared" si="2"/>
        <v>2016/12/05 21:20:57.448</v>
      </c>
      <c r="C60" s="21">
        <f t="shared" si="3"/>
        <v>1.5740733942948282E-6</v>
      </c>
    </row>
    <row r="61" spans="1:3" x14ac:dyDescent="0.25">
      <c r="A61" t="s">
        <v>917</v>
      </c>
      <c r="B61" s="21" t="str">
        <f t="shared" si="2"/>
        <v>2016/12/05 21:49:02.769</v>
      </c>
      <c r="C61" s="21">
        <f t="shared" si="3"/>
        <v>1.9506030090269633E-2</v>
      </c>
    </row>
    <row r="62" spans="1:3" x14ac:dyDescent="0.25">
      <c r="A62" t="s">
        <v>918</v>
      </c>
      <c r="B62" s="21" t="str">
        <f t="shared" si="2"/>
        <v>2016/12/05 22:51:46.585</v>
      </c>
      <c r="C62" s="21">
        <f t="shared" si="3"/>
        <v>4.3562685190408956E-2</v>
      </c>
    </row>
    <row r="63" spans="1:3" x14ac:dyDescent="0.25">
      <c r="A63" t="s">
        <v>919</v>
      </c>
      <c r="B63" s="21" t="str">
        <f t="shared" si="2"/>
        <v>2016/12/05 22:51:46.641</v>
      </c>
      <c r="C63" s="21">
        <f t="shared" si="3"/>
        <v>6.4814230427145958E-7</v>
      </c>
    </row>
    <row r="64" spans="1:3" x14ac:dyDescent="0.25">
      <c r="A64" t="s">
        <v>920</v>
      </c>
      <c r="B64" s="21" t="str">
        <f t="shared" si="2"/>
        <v>2016/12/05 22:51:46.885</v>
      </c>
      <c r="C64" s="21">
        <f t="shared" si="3"/>
        <v>2.8240756364539266E-6</v>
      </c>
    </row>
    <row r="65" spans="1:3" x14ac:dyDescent="0.25">
      <c r="A65" t="s">
        <v>921</v>
      </c>
      <c r="B65" s="21" t="str">
        <f t="shared" si="2"/>
        <v>2016/12/05 23:01:43.774</v>
      </c>
      <c r="C65" s="21">
        <f t="shared" si="3"/>
        <v>6.9084374990779907E-3</v>
      </c>
    </row>
    <row r="66" spans="1:3" x14ac:dyDescent="0.25">
      <c r="A66" t="s">
        <v>922</v>
      </c>
      <c r="B66" s="21" t="str">
        <f t="shared" si="2"/>
        <v>2016/12/05 23:01:44.401</v>
      </c>
      <c r="C66" s="21">
        <f t="shared" si="3"/>
        <v>7.2569455369375646E-6</v>
      </c>
    </row>
    <row r="67" spans="1:3" x14ac:dyDescent="0.25">
      <c r="A67" t="s">
        <v>923</v>
      </c>
      <c r="B67" s="21" t="str">
        <f t="shared" si="2"/>
        <v>2016/12/05 23:01:45.017</v>
      </c>
      <c r="C67" s="21">
        <f t="shared" si="3"/>
        <v>7.129630830604583E-6</v>
      </c>
    </row>
    <row r="68" spans="1:3" x14ac:dyDescent="0.25">
      <c r="A68" t="s">
        <v>924</v>
      </c>
      <c r="B68" s="21" t="str">
        <f t="shared" si="2"/>
        <v>2016/12/05 23:04:51.447</v>
      </c>
      <c r="C68" s="21">
        <f t="shared" si="3"/>
        <v>2.157754628569819E-3</v>
      </c>
    </row>
    <row r="69" spans="1:3" x14ac:dyDescent="0.25">
      <c r="A69" t="s">
        <v>925</v>
      </c>
      <c r="B69" s="21" t="str">
        <f t="shared" si="2"/>
        <v>2016/12/05 23:04:52.133</v>
      </c>
      <c r="C69" s="21">
        <f t="shared" si="3"/>
        <v>7.9398159869015217E-6</v>
      </c>
    </row>
    <row r="70" spans="1:3" x14ac:dyDescent="0.25">
      <c r="A70" t="s">
        <v>926</v>
      </c>
      <c r="B70" s="21" t="str">
        <f t="shared" si="2"/>
        <v>2016/12/05 23:04:52.305</v>
      </c>
      <c r="C70" s="21">
        <f t="shared" si="3"/>
        <v>1.9907383830286562E-6</v>
      </c>
    </row>
    <row r="71" spans="1:3" x14ac:dyDescent="0.25">
      <c r="A71" t="s">
        <v>927</v>
      </c>
      <c r="B71" s="21" t="str">
        <f t="shared" si="2"/>
        <v>2016/12/05 23:34:15.887</v>
      </c>
      <c r="C71" s="21">
        <f t="shared" si="3"/>
        <v>2.0411828707437962E-2</v>
      </c>
    </row>
    <row r="72" spans="1:3" x14ac:dyDescent="0.25">
      <c r="A72" t="s">
        <v>928</v>
      </c>
      <c r="B72" s="21" t="str">
        <f t="shared" si="2"/>
        <v>2016/12/05 23:34:15.962</v>
      </c>
      <c r="C72" s="21">
        <f t="shared" si="3"/>
        <v>8.6805084720253944E-7</v>
      </c>
    </row>
    <row r="73" spans="1:3" x14ac:dyDescent="0.25">
      <c r="A73" t="s">
        <v>929</v>
      </c>
      <c r="B73" s="21" t="str">
        <f t="shared" si="2"/>
        <v>2016/12/06 00:07:05.874</v>
      </c>
      <c r="C73" s="21">
        <f t="shared" si="3"/>
        <v>2.2799907412263565E-2</v>
      </c>
    </row>
    <row r="74" spans="1:3" x14ac:dyDescent="0.25">
      <c r="A74" t="s">
        <v>930</v>
      </c>
      <c r="B74" s="21" t="str">
        <f t="shared" si="2"/>
        <v>2016/12/06 00:07:05.879</v>
      </c>
      <c r="C74" s="21">
        <f t="shared" si="3"/>
        <v>5.7865690905600786E-8</v>
      </c>
    </row>
    <row r="75" spans="1:3" x14ac:dyDescent="0.25">
      <c r="A75" t="s">
        <v>931</v>
      </c>
      <c r="B75" s="21" t="str">
        <f t="shared" si="2"/>
        <v>2016/12/06 01:36:19.391</v>
      </c>
      <c r="C75" s="21">
        <f t="shared" si="3"/>
        <v>6.1961944447830319E-2</v>
      </c>
    </row>
    <row r="76" spans="1:3" x14ac:dyDescent="0.25">
      <c r="A76" t="s">
        <v>932</v>
      </c>
      <c r="B76" s="21" t="str">
        <f t="shared" si="2"/>
        <v>2016/12/06 01:36:19.926</v>
      </c>
      <c r="C76" s="21">
        <f t="shared" si="3"/>
        <v>6.1921309679746628E-6</v>
      </c>
    </row>
    <row r="77" spans="1:3" x14ac:dyDescent="0.25">
      <c r="A77" t="s">
        <v>933</v>
      </c>
      <c r="B77" s="21" t="str">
        <f t="shared" si="2"/>
        <v>2016/12/06 02:18:20.955</v>
      </c>
      <c r="C77" s="21">
        <f t="shared" si="3"/>
        <v>2.9178576383856125E-2</v>
      </c>
    </row>
    <row r="78" spans="1:3" x14ac:dyDescent="0.25">
      <c r="A78" t="s">
        <v>934</v>
      </c>
      <c r="B78" s="21" t="str">
        <f t="shared" si="2"/>
        <v>2016/12/06 02:18:21.361</v>
      </c>
      <c r="C78" s="21">
        <f t="shared" si="3"/>
        <v>4.6990753617137671E-6</v>
      </c>
    </row>
    <row r="79" spans="1:3" x14ac:dyDescent="0.25">
      <c r="A79" t="s">
        <v>935</v>
      </c>
      <c r="B79" s="21" t="str">
        <f t="shared" si="2"/>
        <v>2016/12/06 05:34:19.878</v>
      </c>
      <c r="C79" s="21">
        <f t="shared" si="3"/>
        <v>0.13609394676313968</v>
      </c>
    </row>
    <row r="80" spans="1:3" x14ac:dyDescent="0.25">
      <c r="A80" t="s">
        <v>936</v>
      </c>
      <c r="B80" s="21" t="str">
        <f t="shared" si="2"/>
        <v>2016/12/06 05:34:20.964</v>
      </c>
      <c r="C80" s="21">
        <f t="shared" si="3"/>
        <v>1.2569442333187908E-5</v>
      </c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41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2016-12-06T16:41:13Z</dcterms:modified>
</cp:coreProperties>
</file>