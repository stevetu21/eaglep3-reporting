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Enforcements!$A$6:$AC$40</definedName>
    <definedName name="_xlnm._FilterDatabase" localSheetId="2" hidden="1">'Missing Trips'!$A$2:$J$26</definedName>
    <definedName name="_xlnm._FilterDatabase" localSheetId="0" hidden="1">'Train Runs'!$A$12:$AG$402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6" i="1" l="1"/>
  <c r="P159" i="1" l="1"/>
  <c r="X191" i="1"/>
  <c r="K190" i="1"/>
  <c r="L190" i="1"/>
  <c r="M190" i="1"/>
  <c r="N190" i="1" s="1"/>
  <c r="V190" i="1"/>
  <c r="AA190" i="1"/>
  <c r="AB190" i="1"/>
  <c r="AC190" i="1"/>
  <c r="AD190" i="1"/>
  <c r="T190" i="1" s="1"/>
  <c r="AE190" i="1"/>
  <c r="AF190" i="1"/>
  <c r="AH190" i="1"/>
  <c r="AM190" i="1"/>
  <c r="AN190" i="1"/>
  <c r="AO190" i="1"/>
  <c r="K189" i="1"/>
  <c r="L189" i="1"/>
  <c r="M189" i="1"/>
  <c r="N189" i="1" s="1"/>
  <c r="T189" i="1"/>
  <c r="V189" i="1"/>
  <c r="X189" i="1"/>
  <c r="AA189" i="1"/>
  <c r="AB189" i="1"/>
  <c r="AC189" i="1"/>
  <c r="AD189" i="1"/>
  <c r="AE189" i="1"/>
  <c r="AF189" i="1"/>
  <c r="AH189" i="1"/>
  <c r="AM189" i="1"/>
  <c r="AN189" i="1"/>
  <c r="AO189" i="1"/>
  <c r="X182" i="1"/>
  <c r="K181" i="1"/>
  <c r="L181" i="1"/>
  <c r="M181" i="1"/>
  <c r="N181" i="1" s="1"/>
  <c r="V181" i="1"/>
  <c r="AA181" i="1"/>
  <c r="AB181" i="1"/>
  <c r="AC181" i="1"/>
  <c r="AD181" i="1"/>
  <c r="T181" i="1" s="1"/>
  <c r="AE181" i="1"/>
  <c r="R36" i="3" s="1"/>
  <c r="AF181" i="1"/>
  <c r="AH181" i="1"/>
  <c r="AM181" i="1"/>
  <c r="AN181" i="1"/>
  <c r="AO181" i="1"/>
  <c r="X178" i="1"/>
  <c r="K177" i="1"/>
  <c r="L177" i="1"/>
  <c r="M177" i="1"/>
  <c r="N177" i="1" s="1"/>
  <c r="V177" i="1"/>
  <c r="AA177" i="1"/>
  <c r="AB177" i="1"/>
  <c r="AC177" i="1"/>
  <c r="AD177" i="1"/>
  <c r="T177" i="1" s="1"/>
  <c r="AE177" i="1"/>
  <c r="AF177" i="1"/>
  <c r="AH177" i="1"/>
  <c r="AM177" i="1"/>
  <c r="AN177" i="1"/>
  <c r="AO177" i="1"/>
  <c r="X165" i="1"/>
  <c r="K156" i="1"/>
  <c r="L156" i="1"/>
  <c r="M156" i="1"/>
  <c r="N156" i="1" s="1"/>
  <c r="V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39" i="1"/>
  <c r="L139" i="1"/>
  <c r="M139" i="1"/>
  <c r="N139" i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K117" i="1"/>
  <c r="L117" i="1"/>
  <c r="M117" i="1"/>
  <c r="N117" i="1" s="1"/>
  <c r="V117" i="1"/>
  <c r="AA117" i="1"/>
  <c r="AB117" i="1"/>
  <c r="AC117" i="1"/>
  <c r="AD117" i="1"/>
  <c r="T117" i="1" s="1"/>
  <c r="AE117" i="1"/>
  <c r="AF117" i="1"/>
  <c r="AH117" i="1"/>
  <c r="AM117" i="1"/>
  <c r="AN117" i="1"/>
  <c r="AO11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T16" i="1"/>
  <c r="V16" i="1"/>
  <c r="Y16" i="1"/>
  <c r="Z16" i="1"/>
  <c r="AA16" i="1" s="1"/>
  <c r="AB16" i="1"/>
  <c r="AC16" i="1"/>
  <c r="AD16" i="1"/>
  <c r="X16" i="1" s="1"/>
  <c r="AE16" i="1"/>
  <c r="AF16" i="1"/>
  <c r="AH16" i="1"/>
  <c r="AM16" i="1"/>
  <c r="AN16" i="1"/>
  <c r="AO16" i="1"/>
  <c r="K17" i="1"/>
  <c r="L17" i="1"/>
  <c r="M17" i="1"/>
  <c r="N17" i="1" s="1"/>
  <c r="T17" i="1"/>
  <c r="V17" i="1"/>
  <c r="Y17" i="1"/>
  <c r="Z17" i="1"/>
  <c r="AA17" i="1" s="1"/>
  <c r="AB17" i="1"/>
  <c r="AC17" i="1"/>
  <c r="AD17" i="1"/>
  <c r="X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S13" i="3" s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X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T29" i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22" i="3" s="1"/>
  <c r="Y32" i="1"/>
  <c r="Z32" i="1"/>
  <c r="AB32" i="1"/>
  <c r="AC32" i="1"/>
  <c r="AD32" i="1"/>
  <c r="T32" i="1" s="1"/>
  <c r="AE32" i="1"/>
  <c r="R22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T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S14" i="3" s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T53" i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S23" i="3" s="1"/>
  <c r="Y56" i="1"/>
  <c r="Z56" i="1"/>
  <c r="AB56" i="1"/>
  <c r="AC56" i="1"/>
  <c r="AD56" i="1"/>
  <c r="T56" i="1" s="1"/>
  <c r="AE56" i="1"/>
  <c r="R23" i="3" s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AA60" i="1" s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AA61" i="1" s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63" i="1"/>
  <c r="AM63" i="1"/>
  <c r="AN63" i="1"/>
  <c r="AO63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4" i="1"/>
  <c r="AM64" i="1"/>
  <c r="AN64" i="1"/>
  <c r="AO64" i="1"/>
  <c r="K64" i="1"/>
  <c r="L64" i="1"/>
  <c r="M64" i="1"/>
  <c r="N64" i="1" s="1"/>
  <c r="V64" i="1"/>
  <c r="S9" i="3" s="1"/>
  <c r="Y64" i="1"/>
  <c r="Z64" i="1"/>
  <c r="AB64" i="1"/>
  <c r="AC64" i="1"/>
  <c r="AD64" i="1"/>
  <c r="T64" i="1" s="1"/>
  <c r="AE64" i="1"/>
  <c r="AF64" i="1"/>
  <c r="AH65" i="1"/>
  <c r="AM65" i="1"/>
  <c r="AN65" i="1"/>
  <c r="AO65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6" i="1"/>
  <c r="AM66" i="1"/>
  <c r="AN66" i="1"/>
  <c r="AO66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7" i="1"/>
  <c r="AM67" i="1"/>
  <c r="AN67" i="1"/>
  <c r="AO67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8" i="1"/>
  <c r="AM68" i="1"/>
  <c r="AN68" i="1"/>
  <c r="AO68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9" i="1"/>
  <c r="AM69" i="1"/>
  <c r="AN69" i="1"/>
  <c r="AO69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70" i="1"/>
  <c r="AM70" i="1"/>
  <c r="AN70" i="1"/>
  <c r="AO70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1" i="1"/>
  <c r="AM71" i="1"/>
  <c r="AN71" i="1"/>
  <c r="AO71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2" i="1"/>
  <c r="AM72" i="1"/>
  <c r="AN72" i="1"/>
  <c r="AO72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3" i="1"/>
  <c r="AM73" i="1"/>
  <c r="AN73" i="1"/>
  <c r="AO73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4" i="1"/>
  <c r="AM74" i="1"/>
  <c r="AN74" i="1"/>
  <c r="AO74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5" i="1"/>
  <c r="AM75" i="1"/>
  <c r="AN75" i="1"/>
  <c r="AO75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6" i="1"/>
  <c r="AM76" i="1"/>
  <c r="AN76" i="1"/>
  <c r="AO76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7" i="1"/>
  <c r="AM77" i="1"/>
  <c r="AN77" i="1"/>
  <c r="AO77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8" i="1"/>
  <c r="AM78" i="1"/>
  <c r="AN78" i="1"/>
  <c r="AO78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9" i="1"/>
  <c r="AM79" i="1"/>
  <c r="AN79" i="1"/>
  <c r="AO79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80" i="1"/>
  <c r="AM80" i="1"/>
  <c r="AN80" i="1"/>
  <c r="AO80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1" i="1"/>
  <c r="AM81" i="1"/>
  <c r="AN81" i="1"/>
  <c r="AO81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2" i="1"/>
  <c r="AM82" i="1"/>
  <c r="AN82" i="1"/>
  <c r="AO82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3" i="1"/>
  <c r="AM83" i="1"/>
  <c r="AN83" i="1"/>
  <c r="AO83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4" i="1"/>
  <c r="AM84" i="1"/>
  <c r="AN84" i="1"/>
  <c r="AO84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5" i="1"/>
  <c r="AM85" i="1"/>
  <c r="AN85" i="1"/>
  <c r="AO85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6" i="1"/>
  <c r="AM86" i="1"/>
  <c r="AN86" i="1"/>
  <c r="AO86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7" i="1"/>
  <c r="AM87" i="1"/>
  <c r="AN87" i="1"/>
  <c r="AO87" i="1"/>
  <c r="K87" i="1"/>
  <c r="L87" i="1"/>
  <c r="M87" i="1"/>
  <c r="N87" i="1" s="1"/>
  <c r="V87" i="1"/>
  <c r="S16" i="3" s="1"/>
  <c r="Y87" i="1"/>
  <c r="Z87" i="1"/>
  <c r="AB87" i="1"/>
  <c r="AC87" i="1"/>
  <c r="AD87" i="1"/>
  <c r="AE87" i="1"/>
  <c r="AF87" i="1"/>
  <c r="AH88" i="1"/>
  <c r="AM88" i="1"/>
  <c r="AN88" i="1"/>
  <c r="AO88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9" i="1"/>
  <c r="AM89" i="1"/>
  <c r="AN89" i="1"/>
  <c r="AO89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90" i="1"/>
  <c r="AM90" i="1"/>
  <c r="AN90" i="1"/>
  <c r="AO90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1" i="1"/>
  <c r="AM91" i="1"/>
  <c r="AN91" i="1"/>
  <c r="AO91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2" i="1"/>
  <c r="AM92" i="1"/>
  <c r="AN92" i="1"/>
  <c r="AO92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3" i="1"/>
  <c r="AM93" i="1"/>
  <c r="AN93" i="1"/>
  <c r="AO93" i="1"/>
  <c r="K159" i="1"/>
  <c r="L159" i="1"/>
  <c r="M159" i="1"/>
  <c r="V159" i="1"/>
  <c r="Y159" i="1"/>
  <c r="Z159" i="1"/>
  <c r="AB159" i="1"/>
  <c r="AC159" i="1"/>
  <c r="AD159" i="1"/>
  <c r="AE159" i="1"/>
  <c r="AF159" i="1"/>
  <c r="AH94" i="1"/>
  <c r="AM94" i="1"/>
  <c r="AN94" i="1"/>
  <c r="AO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5" i="1"/>
  <c r="AM95" i="1"/>
  <c r="AN95" i="1"/>
  <c r="AO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7" i="1"/>
  <c r="AM97" i="1"/>
  <c r="AN97" i="1"/>
  <c r="AO9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8" i="1"/>
  <c r="AM98" i="1"/>
  <c r="AN98" i="1"/>
  <c r="AO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9" i="1"/>
  <c r="AM99" i="1"/>
  <c r="AN99" i="1"/>
  <c r="AO99" i="1"/>
  <c r="AH100" i="1"/>
  <c r="AM100" i="1"/>
  <c r="AN100" i="1"/>
  <c r="AO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AO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AM102" i="1"/>
  <c r="AN102" i="1"/>
  <c r="AO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AO103" i="1"/>
  <c r="K168" i="1"/>
  <c r="L168" i="1"/>
  <c r="M168" i="1"/>
  <c r="N168" i="1" s="1"/>
  <c r="V168" i="1"/>
  <c r="S30" i="3" s="1"/>
  <c r="Y168" i="1"/>
  <c r="Z168" i="1"/>
  <c r="AB168" i="1"/>
  <c r="AC168" i="1"/>
  <c r="AD168" i="1"/>
  <c r="AE168" i="1"/>
  <c r="R30" i="3" s="1"/>
  <c r="AF168" i="1"/>
  <c r="AH104" i="1"/>
  <c r="AM104" i="1"/>
  <c r="AN104" i="1"/>
  <c r="AO104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5" i="1"/>
  <c r="AM105" i="1"/>
  <c r="AN105" i="1"/>
  <c r="AO105" i="1"/>
  <c r="K169" i="1"/>
  <c r="L169" i="1"/>
  <c r="M169" i="1"/>
  <c r="N169" i="1" s="1"/>
  <c r="V169" i="1"/>
  <c r="S27" i="3" s="1"/>
  <c r="Y169" i="1"/>
  <c r="Z169" i="1"/>
  <c r="AB169" i="1"/>
  <c r="AC169" i="1"/>
  <c r="AD169" i="1"/>
  <c r="AE169" i="1"/>
  <c r="R27" i="3" s="1"/>
  <c r="AF169" i="1"/>
  <c r="AH106" i="1"/>
  <c r="AM106" i="1"/>
  <c r="AN106" i="1"/>
  <c r="AO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AO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AO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AO1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0" i="1"/>
  <c r="AM110" i="1"/>
  <c r="AN110" i="1"/>
  <c r="AO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AO111" i="1"/>
  <c r="K175" i="1"/>
  <c r="L175" i="1"/>
  <c r="M175" i="1"/>
  <c r="V175" i="1"/>
  <c r="Y175" i="1"/>
  <c r="Z175" i="1"/>
  <c r="AB175" i="1"/>
  <c r="AC175" i="1"/>
  <c r="AD175" i="1"/>
  <c r="AE175" i="1"/>
  <c r="AF175" i="1"/>
  <c r="AH112" i="1"/>
  <c r="AM112" i="1"/>
  <c r="AN112" i="1"/>
  <c r="AO112" i="1"/>
  <c r="K176" i="1"/>
  <c r="L176" i="1"/>
  <c r="M176" i="1"/>
  <c r="V176" i="1"/>
  <c r="Y176" i="1"/>
  <c r="Z176" i="1"/>
  <c r="AB176" i="1"/>
  <c r="AC176" i="1"/>
  <c r="AD176" i="1"/>
  <c r="T176" i="1" s="1"/>
  <c r="AE176" i="1"/>
  <c r="AF176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AM115" i="1"/>
  <c r="AN115" i="1"/>
  <c r="AO115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6" i="1"/>
  <c r="AM116" i="1"/>
  <c r="AN116" i="1"/>
  <c r="AO116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8" i="1"/>
  <c r="AM118" i="1"/>
  <c r="AN118" i="1"/>
  <c r="AO118" i="1"/>
  <c r="K182" i="1"/>
  <c r="L182" i="1"/>
  <c r="M182" i="1"/>
  <c r="N182" i="1" s="1"/>
  <c r="V182" i="1"/>
  <c r="S31" i="3" s="1"/>
  <c r="Y182" i="1"/>
  <c r="Z182" i="1"/>
  <c r="AB182" i="1"/>
  <c r="AC182" i="1"/>
  <c r="AD182" i="1"/>
  <c r="AE182" i="1"/>
  <c r="R31" i="3" s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AO120" i="1"/>
  <c r="K184" i="1"/>
  <c r="L184" i="1"/>
  <c r="M184" i="1"/>
  <c r="N184" i="1" s="1"/>
  <c r="V184" i="1"/>
  <c r="S32" i="3" s="1"/>
  <c r="Y184" i="1"/>
  <c r="Z184" i="1"/>
  <c r="AB184" i="1"/>
  <c r="AC184" i="1"/>
  <c r="AD184" i="1"/>
  <c r="AE184" i="1"/>
  <c r="R32" i="3" s="1"/>
  <c r="AF184" i="1"/>
  <c r="AH121" i="1"/>
  <c r="AM121" i="1"/>
  <c r="AN121" i="1"/>
  <c r="AO121" i="1"/>
  <c r="K185" i="1"/>
  <c r="L185" i="1"/>
  <c r="M185" i="1"/>
  <c r="N185" i="1" s="1"/>
  <c r="V185" i="1"/>
  <c r="S26" i="3" s="1"/>
  <c r="Y185" i="1"/>
  <c r="Z185" i="1"/>
  <c r="AB185" i="1"/>
  <c r="AC185" i="1"/>
  <c r="AD185" i="1"/>
  <c r="AE185" i="1"/>
  <c r="R26" i="3" s="1"/>
  <c r="AF185" i="1"/>
  <c r="AH122" i="1"/>
  <c r="AM122" i="1"/>
  <c r="AN122" i="1"/>
  <c r="AO122" i="1"/>
  <c r="K186" i="1"/>
  <c r="L186" i="1"/>
  <c r="M186" i="1"/>
  <c r="N186" i="1" s="1"/>
  <c r="V186" i="1"/>
  <c r="Y186" i="1"/>
  <c r="Z186" i="1"/>
  <c r="AB186" i="1"/>
  <c r="AC186" i="1"/>
  <c r="AD186" i="1"/>
  <c r="AE186" i="1"/>
  <c r="R33" i="3" s="1"/>
  <c r="AF186" i="1"/>
  <c r="AH123" i="1"/>
  <c r="AM123" i="1"/>
  <c r="AN123" i="1"/>
  <c r="AO12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4" i="1"/>
  <c r="AM124" i="1"/>
  <c r="AN124" i="1"/>
  <c r="AO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AO125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6" i="1"/>
  <c r="AM126" i="1"/>
  <c r="AN126" i="1"/>
  <c r="AO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AO127" i="1"/>
  <c r="K192" i="1"/>
  <c r="L192" i="1"/>
  <c r="M192" i="1"/>
  <c r="N192" i="1" s="1"/>
  <c r="V192" i="1"/>
  <c r="S34" i="3" s="1"/>
  <c r="Y192" i="1"/>
  <c r="Z192" i="1"/>
  <c r="AB192" i="1"/>
  <c r="AC192" i="1"/>
  <c r="AD192" i="1"/>
  <c r="AE192" i="1"/>
  <c r="R34" i="3" s="1"/>
  <c r="AF192" i="1"/>
  <c r="AH128" i="1"/>
  <c r="AM128" i="1"/>
  <c r="AN128" i="1"/>
  <c r="AO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AM129" i="1"/>
  <c r="AN129" i="1"/>
  <c r="AO129" i="1"/>
  <c r="K194" i="1"/>
  <c r="L194" i="1"/>
  <c r="M194" i="1"/>
  <c r="N194" i="1" s="1"/>
  <c r="V194" i="1"/>
  <c r="S35" i="3" s="1"/>
  <c r="Y194" i="1"/>
  <c r="Z194" i="1"/>
  <c r="AB194" i="1"/>
  <c r="AC194" i="1"/>
  <c r="AD194" i="1"/>
  <c r="AE194" i="1"/>
  <c r="R35" i="3" s="1"/>
  <c r="AF194" i="1"/>
  <c r="AH130" i="1"/>
  <c r="AM130" i="1"/>
  <c r="AN130" i="1"/>
  <c r="AO13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1" i="1"/>
  <c r="AM131" i="1"/>
  <c r="AN131" i="1"/>
  <c r="AO131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2" i="1"/>
  <c r="AM132" i="1"/>
  <c r="AN132" i="1"/>
  <c r="AO132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5" i="1"/>
  <c r="AM135" i="1"/>
  <c r="AN135" i="1"/>
  <c r="AO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7" i="1"/>
  <c r="AM137" i="1"/>
  <c r="AN137" i="1"/>
  <c r="AO137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8" i="1"/>
  <c r="AM138" i="1"/>
  <c r="AN138" i="1"/>
  <c r="AO138" i="1"/>
  <c r="K210" i="1"/>
  <c r="L210" i="1"/>
  <c r="M210" i="1"/>
  <c r="N210" i="1"/>
  <c r="V210" i="1"/>
  <c r="Y210" i="1"/>
  <c r="Z210" i="1"/>
  <c r="AB210" i="1"/>
  <c r="AC210" i="1"/>
  <c r="AD210" i="1"/>
  <c r="T210" i="1" s="1"/>
  <c r="AE210" i="1"/>
  <c r="AF210" i="1"/>
  <c r="AH140" i="1"/>
  <c r="AM140" i="1"/>
  <c r="AN140" i="1"/>
  <c r="AO140" i="1"/>
  <c r="K211" i="1"/>
  <c r="L211" i="1"/>
  <c r="M211" i="1"/>
  <c r="N211" i="1" s="1"/>
  <c r="V211" i="1"/>
  <c r="S40" i="3" s="1"/>
  <c r="Y211" i="1"/>
  <c r="Z211" i="1"/>
  <c r="AB211" i="1"/>
  <c r="AC211" i="1"/>
  <c r="AD211" i="1"/>
  <c r="AE211" i="1"/>
  <c r="R40" i="3" s="1"/>
  <c r="AF211" i="1"/>
  <c r="AH141" i="1"/>
  <c r="AM141" i="1"/>
  <c r="AN141" i="1"/>
  <c r="AO141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2" i="1"/>
  <c r="AM142" i="1"/>
  <c r="AN142" i="1"/>
  <c r="AO142" i="1"/>
  <c r="K104" i="1"/>
  <c r="L104" i="1"/>
  <c r="M104" i="1"/>
  <c r="N104" i="1"/>
  <c r="V104" i="1"/>
  <c r="Y104" i="1"/>
  <c r="Z104" i="1"/>
  <c r="AB104" i="1"/>
  <c r="AC104" i="1"/>
  <c r="AD104" i="1"/>
  <c r="AE104" i="1"/>
  <c r="AF104" i="1"/>
  <c r="AH143" i="1"/>
  <c r="AM143" i="1"/>
  <c r="AN143" i="1"/>
  <c r="AO143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4" i="1"/>
  <c r="AM144" i="1"/>
  <c r="AN144" i="1"/>
  <c r="AO144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5" i="1"/>
  <c r="AM145" i="1"/>
  <c r="AN145" i="1"/>
  <c r="AO145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6" i="1"/>
  <c r="AM146" i="1"/>
  <c r="AN146" i="1"/>
  <c r="AO146" i="1"/>
  <c r="K108" i="1"/>
  <c r="L108" i="1"/>
  <c r="M108" i="1"/>
  <c r="N108" i="1" s="1"/>
  <c r="T108" i="1"/>
  <c r="V108" i="1"/>
  <c r="S8" i="3" s="1"/>
  <c r="Y108" i="1"/>
  <c r="Z108" i="1"/>
  <c r="AB108" i="1"/>
  <c r="AC108" i="1"/>
  <c r="AD108" i="1"/>
  <c r="X108" i="1" s="1"/>
  <c r="AE108" i="1"/>
  <c r="R8" i="3" s="1"/>
  <c r="AF108" i="1"/>
  <c r="AH147" i="1"/>
  <c r="AM147" i="1"/>
  <c r="AN147" i="1"/>
  <c r="AO147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48" i="1"/>
  <c r="AM148" i="1"/>
  <c r="AN148" i="1"/>
  <c r="AO148" i="1"/>
  <c r="K110" i="1"/>
  <c r="L110" i="1"/>
  <c r="M110" i="1"/>
  <c r="P110" i="1" s="1"/>
  <c r="V110" i="1"/>
  <c r="S18" i="3" s="1"/>
  <c r="Y110" i="1"/>
  <c r="Z110" i="1"/>
  <c r="AB110" i="1"/>
  <c r="AC110" i="1"/>
  <c r="AD110" i="1"/>
  <c r="T110" i="1" s="1"/>
  <c r="AE110" i="1"/>
  <c r="R15" i="3" s="1"/>
  <c r="AF110" i="1"/>
  <c r="AH149" i="1"/>
  <c r="AM149" i="1"/>
  <c r="AN149" i="1"/>
  <c r="AO149" i="1"/>
  <c r="K111" i="1"/>
  <c r="L111" i="1"/>
  <c r="M111" i="1"/>
  <c r="V111" i="1"/>
  <c r="Y111" i="1"/>
  <c r="Z111" i="1"/>
  <c r="AB111" i="1"/>
  <c r="AC111" i="1"/>
  <c r="AD111" i="1"/>
  <c r="AE111" i="1"/>
  <c r="AF111" i="1"/>
  <c r="AH150" i="1"/>
  <c r="AM150" i="1"/>
  <c r="AN150" i="1"/>
  <c r="AO150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51" i="1"/>
  <c r="AM151" i="1"/>
  <c r="AN151" i="1"/>
  <c r="AO151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2" i="1"/>
  <c r="AM152" i="1"/>
  <c r="AN152" i="1"/>
  <c r="AO152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3" i="1"/>
  <c r="AM153" i="1"/>
  <c r="AN153" i="1"/>
  <c r="AO153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4" i="1"/>
  <c r="AM154" i="1"/>
  <c r="AN154" i="1"/>
  <c r="AO154" i="1"/>
  <c r="K116" i="1"/>
  <c r="L116" i="1"/>
  <c r="M116" i="1"/>
  <c r="N116" i="1" s="1"/>
  <c r="V116" i="1"/>
  <c r="S12" i="3" s="1"/>
  <c r="Y116" i="1"/>
  <c r="Z116" i="1"/>
  <c r="AB116" i="1"/>
  <c r="AC116" i="1"/>
  <c r="AD116" i="1"/>
  <c r="T116" i="1" s="1"/>
  <c r="AE116" i="1"/>
  <c r="R12" i="3" s="1"/>
  <c r="AF116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7" i="1"/>
  <c r="AM157" i="1"/>
  <c r="AN157" i="1"/>
  <c r="AO157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8" i="1"/>
  <c r="AM158" i="1"/>
  <c r="AN158" i="1"/>
  <c r="AO158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9" i="1"/>
  <c r="AM159" i="1"/>
  <c r="AN159" i="1"/>
  <c r="AO159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60" i="1"/>
  <c r="AM160" i="1"/>
  <c r="AN160" i="1"/>
  <c r="AO160" i="1"/>
  <c r="K122" i="1"/>
  <c r="L122" i="1"/>
  <c r="M122" i="1"/>
  <c r="N122" i="1" s="1"/>
  <c r="V122" i="1"/>
  <c r="S17" i="3" s="1"/>
  <c r="Y122" i="1"/>
  <c r="AA122" i="1" s="1"/>
  <c r="Z122" i="1"/>
  <c r="AB122" i="1"/>
  <c r="AC122" i="1"/>
  <c r="AD122" i="1"/>
  <c r="T122" i="1" s="1"/>
  <c r="AE122" i="1"/>
  <c r="R17" i="3" s="1"/>
  <c r="AF122" i="1"/>
  <c r="AH161" i="1"/>
  <c r="AM161" i="1"/>
  <c r="AN161" i="1"/>
  <c r="AO161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2" i="1"/>
  <c r="AM162" i="1"/>
  <c r="AN162" i="1"/>
  <c r="AO162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3" i="1"/>
  <c r="AM163" i="1"/>
  <c r="AN163" i="1"/>
  <c r="AO163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64" i="1"/>
  <c r="AM164" i="1"/>
  <c r="AN164" i="1"/>
  <c r="AO164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5" i="1"/>
  <c r="AM165" i="1"/>
  <c r="AN165" i="1"/>
  <c r="AO165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6" i="1"/>
  <c r="AM166" i="1"/>
  <c r="AN166" i="1"/>
  <c r="AO166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67" i="1"/>
  <c r="AM167" i="1"/>
  <c r="AN167" i="1"/>
  <c r="AO167" i="1"/>
  <c r="K130" i="1"/>
  <c r="L130" i="1"/>
  <c r="M130" i="1"/>
  <c r="P130" i="1" s="1"/>
  <c r="V130" i="1"/>
  <c r="S20" i="3" s="1"/>
  <c r="Y130" i="1"/>
  <c r="Z130" i="1"/>
  <c r="AA130" i="1"/>
  <c r="AB130" i="1"/>
  <c r="AC130" i="1"/>
  <c r="AD130" i="1"/>
  <c r="T130" i="1" s="1"/>
  <c r="AE130" i="1"/>
  <c r="R20" i="3" s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1" i="1"/>
  <c r="AM171" i="1"/>
  <c r="AN171" i="1"/>
  <c r="AO171" i="1"/>
  <c r="K134" i="1"/>
  <c r="L134" i="1"/>
  <c r="M134" i="1"/>
  <c r="N134" i="1" s="1"/>
  <c r="V134" i="1"/>
  <c r="S24" i="3" s="1"/>
  <c r="Y134" i="1"/>
  <c r="Z134" i="1"/>
  <c r="AB134" i="1"/>
  <c r="AC134" i="1"/>
  <c r="AD134" i="1"/>
  <c r="T134" i="1" s="1"/>
  <c r="AE134" i="1"/>
  <c r="R24" i="3" s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A135" i="1" s="1"/>
  <c r="AB135" i="1"/>
  <c r="AC135" i="1"/>
  <c r="AD135" i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4" i="1"/>
  <c r="AM174" i="1"/>
  <c r="AN174" i="1"/>
  <c r="AO174" i="1"/>
  <c r="K137" i="1"/>
  <c r="L137" i="1"/>
  <c r="M137" i="1"/>
  <c r="N137" i="1"/>
  <c r="V137" i="1"/>
  <c r="Y137" i="1"/>
  <c r="Z137" i="1"/>
  <c r="AA137" i="1" s="1"/>
  <c r="AB137" i="1"/>
  <c r="AC137" i="1"/>
  <c r="AD137" i="1"/>
  <c r="T137" i="1" s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6" i="1"/>
  <c r="AM176" i="1"/>
  <c r="AN176" i="1"/>
  <c r="AO176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9" i="1"/>
  <c r="AM179" i="1"/>
  <c r="AN179" i="1"/>
  <c r="AO179" i="1"/>
  <c r="K142" i="1"/>
  <c r="L142" i="1"/>
  <c r="M142" i="1"/>
  <c r="N142" i="1" s="1"/>
  <c r="V142" i="1"/>
  <c r="S25" i="3" s="1"/>
  <c r="Y142" i="1"/>
  <c r="Z142" i="1"/>
  <c r="AA142" i="1" s="1"/>
  <c r="AB142" i="1"/>
  <c r="AC142" i="1"/>
  <c r="AD142" i="1"/>
  <c r="AE142" i="1"/>
  <c r="R25" i="3" s="1"/>
  <c r="AF142" i="1"/>
  <c r="AH180" i="1"/>
  <c r="AM180" i="1"/>
  <c r="AN180" i="1"/>
  <c r="AO180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82" i="1"/>
  <c r="AM182" i="1"/>
  <c r="AN182" i="1"/>
  <c r="AO182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3" i="1"/>
  <c r="AM183" i="1"/>
  <c r="AN183" i="1"/>
  <c r="AO183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4" i="1"/>
  <c r="AM184" i="1"/>
  <c r="AN184" i="1"/>
  <c r="AO184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5" i="1"/>
  <c r="AM185" i="1"/>
  <c r="AN185" i="1"/>
  <c r="AO18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6" i="1"/>
  <c r="AM186" i="1"/>
  <c r="AN186" i="1"/>
  <c r="AO186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7" i="1"/>
  <c r="AM187" i="1"/>
  <c r="AN187" i="1"/>
  <c r="AO187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8" i="1"/>
  <c r="AM188" i="1"/>
  <c r="AN188" i="1"/>
  <c r="AO188" i="1"/>
  <c r="K150" i="1"/>
  <c r="L150" i="1"/>
  <c r="M150" i="1"/>
  <c r="V150" i="1"/>
  <c r="S11" i="3" s="1"/>
  <c r="Y150" i="1"/>
  <c r="Z150" i="1"/>
  <c r="AB150" i="1"/>
  <c r="AC150" i="1"/>
  <c r="AD150" i="1"/>
  <c r="AE150" i="1"/>
  <c r="R11" i="3" s="1"/>
  <c r="AF150" i="1"/>
  <c r="AH191" i="1"/>
  <c r="AM191" i="1"/>
  <c r="AN191" i="1"/>
  <c r="AO191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2" i="1"/>
  <c r="AM192" i="1"/>
  <c r="AN192" i="1"/>
  <c r="AO192" i="1"/>
  <c r="K152" i="1"/>
  <c r="L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93" i="1"/>
  <c r="AM193" i="1"/>
  <c r="AN193" i="1"/>
  <c r="AO193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4" i="1"/>
  <c r="AM194" i="1"/>
  <c r="AN194" i="1"/>
  <c r="AO194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AH195" i="1"/>
  <c r="AM195" i="1"/>
  <c r="AN195" i="1"/>
  <c r="AO195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6" i="1"/>
  <c r="AM196" i="1"/>
  <c r="AN196" i="1"/>
  <c r="AO19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97" i="1"/>
  <c r="AM197" i="1"/>
  <c r="AN197" i="1"/>
  <c r="AO19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8" i="1"/>
  <c r="AM198" i="1"/>
  <c r="AN198" i="1"/>
  <c r="AO19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9" i="1"/>
  <c r="AM199" i="1"/>
  <c r="AN199" i="1"/>
  <c r="AO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AO20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1" i="1"/>
  <c r="AM201" i="1"/>
  <c r="AN201" i="1"/>
  <c r="AO20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2" i="1"/>
  <c r="AM202" i="1"/>
  <c r="AN202" i="1"/>
  <c r="AO20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3" i="1"/>
  <c r="AM203" i="1"/>
  <c r="AN203" i="1"/>
  <c r="AO20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4" i="1"/>
  <c r="AM204" i="1"/>
  <c r="AN204" i="1"/>
  <c r="AO204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5" i="1"/>
  <c r="AM205" i="1"/>
  <c r="AN205" i="1"/>
  <c r="AO205" i="1"/>
  <c r="K203" i="1"/>
  <c r="L203" i="1"/>
  <c r="M203" i="1"/>
  <c r="N203" i="1"/>
  <c r="V203" i="1"/>
  <c r="Y203" i="1"/>
  <c r="Z203" i="1"/>
  <c r="AB203" i="1"/>
  <c r="AC203" i="1"/>
  <c r="AD203" i="1"/>
  <c r="T203" i="1" s="1"/>
  <c r="AE203" i="1"/>
  <c r="AF203" i="1"/>
  <c r="AH206" i="1"/>
  <c r="AM206" i="1"/>
  <c r="AN206" i="1"/>
  <c r="AO206" i="1"/>
  <c r="K204" i="1"/>
  <c r="L204" i="1"/>
  <c r="M204" i="1"/>
  <c r="N204" i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AO207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AO208" i="1"/>
  <c r="K206" i="1"/>
  <c r="L206" i="1"/>
  <c r="M206" i="1"/>
  <c r="N206" i="1"/>
  <c r="V206" i="1"/>
  <c r="Y206" i="1"/>
  <c r="Z206" i="1"/>
  <c r="AB206" i="1"/>
  <c r="AC206" i="1"/>
  <c r="AD206" i="1"/>
  <c r="T206" i="1" s="1"/>
  <c r="AE206" i="1"/>
  <c r="AF206" i="1"/>
  <c r="AH209" i="1"/>
  <c r="AM209" i="1"/>
  <c r="AN209" i="1"/>
  <c r="AO209" i="1"/>
  <c r="K207" i="1"/>
  <c r="L207" i="1"/>
  <c r="M207" i="1"/>
  <c r="N207" i="1"/>
  <c r="V207" i="1"/>
  <c r="Y207" i="1"/>
  <c r="Z207" i="1"/>
  <c r="AB207" i="1"/>
  <c r="AC207" i="1"/>
  <c r="AD207" i="1"/>
  <c r="X207" i="1" s="1"/>
  <c r="AE207" i="1"/>
  <c r="AF207" i="1"/>
  <c r="AH210" i="1"/>
  <c r="AM210" i="1"/>
  <c r="AN210" i="1"/>
  <c r="AO21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B216" i="1"/>
  <c r="AC216" i="1"/>
  <c r="AD216" i="1"/>
  <c r="X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M13" i="3"/>
  <c r="R13" i="3"/>
  <c r="U13" i="3"/>
  <c r="T13" i="3" s="1"/>
  <c r="V13" i="3"/>
  <c r="X13" i="3"/>
  <c r="M10" i="3"/>
  <c r="R10" i="3"/>
  <c r="S10" i="3"/>
  <c r="U10" i="3"/>
  <c r="V10" i="3"/>
  <c r="X10" i="3"/>
  <c r="M21" i="3"/>
  <c r="R21" i="3"/>
  <c r="S21" i="3"/>
  <c r="U21" i="3"/>
  <c r="AC21" i="3" s="1"/>
  <c r="V21" i="3"/>
  <c r="X21" i="3"/>
  <c r="M7" i="3"/>
  <c r="R7" i="3"/>
  <c r="U7" i="3"/>
  <c r="V7" i="3"/>
  <c r="X7" i="3"/>
  <c r="M22" i="3"/>
  <c r="U22" i="3"/>
  <c r="T22" i="3" s="1"/>
  <c r="V22" i="3"/>
  <c r="X22" i="3"/>
  <c r="M14" i="3"/>
  <c r="R14" i="3"/>
  <c r="U14" i="3"/>
  <c r="T14" i="3" s="1"/>
  <c r="V14" i="3"/>
  <c r="X14" i="3"/>
  <c r="M30" i="3"/>
  <c r="U30" i="3"/>
  <c r="AC30" i="3" s="1"/>
  <c r="V30" i="3"/>
  <c r="X30" i="3"/>
  <c r="M23" i="3"/>
  <c r="U23" i="3"/>
  <c r="V23" i="3"/>
  <c r="X23" i="3"/>
  <c r="M27" i="3"/>
  <c r="U27" i="3"/>
  <c r="T27" i="3" s="1"/>
  <c r="V27" i="3"/>
  <c r="X27" i="3"/>
  <c r="M41" i="3"/>
  <c r="R41" i="3"/>
  <c r="S41" i="3"/>
  <c r="U41" i="3"/>
  <c r="T41" i="3" s="1"/>
  <c r="V41" i="3"/>
  <c r="X41" i="3"/>
  <c r="M9" i="3"/>
  <c r="R9" i="3"/>
  <c r="U9" i="3"/>
  <c r="AC9" i="3" s="1"/>
  <c r="V9" i="3"/>
  <c r="X9" i="3"/>
  <c r="M19" i="3"/>
  <c r="R19" i="3"/>
  <c r="U19" i="3"/>
  <c r="AD19" i="3" s="1"/>
  <c r="V19" i="3"/>
  <c r="X19" i="3"/>
  <c r="M16" i="3"/>
  <c r="R16" i="3"/>
  <c r="U16" i="3"/>
  <c r="T16" i="3" s="1"/>
  <c r="V16" i="3"/>
  <c r="X16" i="3"/>
  <c r="M29" i="3"/>
  <c r="R29" i="3"/>
  <c r="S29" i="3"/>
  <c r="U29" i="3"/>
  <c r="T29" i="3" s="1"/>
  <c r="V29" i="3"/>
  <c r="X29" i="3"/>
  <c r="M28" i="3"/>
  <c r="S28" i="3"/>
  <c r="U28" i="3"/>
  <c r="T28" i="3" s="1"/>
  <c r="V28" i="3"/>
  <c r="X28" i="3"/>
  <c r="M36" i="3"/>
  <c r="S36" i="3"/>
  <c r="U36" i="3"/>
  <c r="V36" i="3"/>
  <c r="X36" i="3"/>
  <c r="M8" i="3"/>
  <c r="U8" i="3"/>
  <c r="T8" i="3" s="1"/>
  <c r="V8" i="3"/>
  <c r="X8" i="3"/>
  <c r="M31" i="3"/>
  <c r="U31" i="3"/>
  <c r="T31" i="3" s="1"/>
  <c r="V31" i="3"/>
  <c r="X31" i="3"/>
  <c r="M18" i="3"/>
  <c r="U18" i="3"/>
  <c r="T18" i="3" s="1"/>
  <c r="V18" i="3"/>
  <c r="X18" i="3"/>
  <c r="M15" i="3"/>
  <c r="U15" i="3"/>
  <c r="V15" i="3"/>
  <c r="X15" i="3"/>
  <c r="M12" i="3"/>
  <c r="U12" i="3"/>
  <c r="AC12" i="3" s="1"/>
  <c r="V12" i="3"/>
  <c r="X12" i="3"/>
  <c r="M37" i="3"/>
  <c r="R37" i="3"/>
  <c r="S37" i="3"/>
  <c r="U37" i="3"/>
  <c r="AD37" i="3" s="1"/>
  <c r="V37" i="3"/>
  <c r="X37" i="3"/>
  <c r="M17" i="3"/>
  <c r="U17" i="3"/>
  <c r="T17" i="3" s="1"/>
  <c r="V17" i="3"/>
  <c r="X17" i="3"/>
  <c r="M32" i="3"/>
  <c r="U32" i="3"/>
  <c r="V32" i="3"/>
  <c r="X32" i="3"/>
  <c r="M26" i="3"/>
  <c r="U26" i="3"/>
  <c r="T26" i="3" s="1"/>
  <c r="V26" i="3"/>
  <c r="X26" i="3"/>
  <c r="M38" i="3"/>
  <c r="R38" i="3"/>
  <c r="S38" i="3"/>
  <c r="U38" i="3"/>
  <c r="T38" i="3" s="1"/>
  <c r="V38" i="3"/>
  <c r="X38" i="3"/>
  <c r="M20" i="3"/>
  <c r="U20" i="3"/>
  <c r="T20" i="3" s="1"/>
  <c r="V20" i="3"/>
  <c r="X20" i="3"/>
  <c r="M33" i="3"/>
  <c r="S33" i="3"/>
  <c r="U33" i="3"/>
  <c r="V33" i="3"/>
  <c r="X33" i="3"/>
  <c r="M24" i="3"/>
  <c r="U24" i="3"/>
  <c r="V24" i="3"/>
  <c r="X24" i="3"/>
  <c r="M25" i="3"/>
  <c r="U25" i="3"/>
  <c r="T25" i="3" s="1"/>
  <c r="V25" i="3"/>
  <c r="X25" i="3"/>
  <c r="M34" i="3"/>
  <c r="U34" i="3"/>
  <c r="T34" i="3" s="1"/>
  <c r="V34" i="3"/>
  <c r="X34" i="3"/>
  <c r="M35" i="3"/>
  <c r="U35" i="3"/>
  <c r="V35" i="3"/>
  <c r="X35" i="3"/>
  <c r="M11" i="3"/>
  <c r="U11" i="3"/>
  <c r="V11" i="3"/>
  <c r="X11" i="3"/>
  <c r="M40" i="3"/>
  <c r="U40" i="3"/>
  <c r="T40" i="3" s="1"/>
  <c r="V40" i="3"/>
  <c r="X40" i="3"/>
  <c r="AG190" i="1"/>
  <c r="AG189" i="1"/>
  <c r="AG181" i="1"/>
  <c r="AG177" i="1"/>
  <c r="AG156" i="1"/>
  <c r="AG139" i="1"/>
  <c r="AG117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209" i="1"/>
  <c r="AG66" i="1"/>
  <c r="AG70" i="1"/>
  <c r="AG159" i="1"/>
  <c r="AG163" i="1"/>
  <c r="AG166" i="1"/>
  <c r="AG169" i="1"/>
  <c r="AG173" i="1"/>
  <c r="AG178" i="1"/>
  <c r="AG75" i="1"/>
  <c r="AG79" i="1"/>
  <c r="AG83" i="1"/>
  <c r="AG87" i="1"/>
  <c r="AG179" i="1"/>
  <c r="AG183" i="1"/>
  <c r="AG187" i="1"/>
  <c r="AG192" i="1"/>
  <c r="AG96" i="1"/>
  <c r="AG100" i="1"/>
  <c r="AG211" i="1"/>
  <c r="AG106" i="1"/>
  <c r="AG110" i="1"/>
  <c r="AG114" i="1"/>
  <c r="AG119" i="1"/>
  <c r="AG123" i="1"/>
  <c r="AG127" i="1"/>
  <c r="AG131" i="1"/>
  <c r="AG135" i="1"/>
  <c r="AG140" i="1"/>
  <c r="AG144" i="1"/>
  <c r="AG148" i="1"/>
  <c r="AG152" i="1"/>
  <c r="AG157" i="1"/>
  <c r="AG198" i="1"/>
  <c r="AG202" i="1"/>
  <c r="AG206" i="1"/>
  <c r="AG213" i="1"/>
  <c r="AG217" i="1"/>
  <c r="AG221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4" i="1"/>
  <c r="AG68" i="1"/>
  <c r="AG91" i="1"/>
  <c r="AG161" i="1"/>
  <c r="AG168" i="1"/>
  <c r="AG171" i="1"/>
  <c r="AG175" i="1"/>
  <c r="AG73" i="1"/>
  <c r="AG77" i="1"/>
  <c r="AG81" i="1"/>
  <c r="AG85" i="1"/>
  <c r="AG89" i="1"/>
  <c r="AG180" i="1"/>
  <c r="AG185" i="1"/>
  <c r="AG95" i="1"/>
  <c r="AG194" i="1"/>
  <c r="AG98" i="1"/>
  <c r="AG102" i="1"/>
  <c r="AG104" i="1"/>
  <c r="AG108" i="1"/>
  <c r="AG112" i="1"/>
  <c r="AG116" i="1"/>
  <c r="AG121" i="1"/>
  <c r="AG18" i="1"/>
  <c r="AG26" i="1"/>
  <c r="AG34" i="1"/>
  <c r="AG42" i="1"/>
  <c r="AG50" i="1"/>
  <c r="AG58" i="1"/>
  <c r="AG65" i="1"/>
  <c r="AG92" i="1"/>
  <c r="AG165" i="1"/>
  <c r="AG172" i="1"/>
  <c r="AG74" i="1"/>
  <c r="AG82" i="1"/>
  <c r="AG90" i="1"/>
  <c r="AG186" i="1"/>
  <c r="AG195" i="1"/>
  <c r="AG210" i="1"/>
  <c r="AG109" i="1"/>
  <c r="AG118" i="1"/>
  <c r="AG125" i="1"/>
  <c r="AG130" i="1"/>
  <c r="AG136" i="1"/>
  <c r="AG142" i="1"/>
  <c r="AG147" i="1"/>
  <c r="AG153" i="1"/>
  <c r="AG196" i="1"/>
  <c r="AG201" i="1"/>
  <c r="AG207" i="1"/>
  <c r="AG215" i="1"/>
  <c r="AG220" i="1"/>
  <c r="AG218" i="1"/>
  <c r="AG16" i="1"/>
  <c r="AG40" i="1"/>
  <c r="AG63" i="1"/>
  <c r="AG170" i="1"/>
  <c r="AG88" i="1"/>
  <c r="AG101" i="1"/>
  <c r="AG115" i="1"/>
  <c r="AG134" i="1"/>
  <c r="AG151" i="1"/>
  <c r="AG205" i="1"/>
  <c r="AG219" i="1"/>
  <c r="AG20" i="1"/>
  <c r="AG28" i="1"/>
  <c r="AG36" i="1"/>
  <c r="AG44" i="1"/>
  <c r="AG52" i="1"/>
  <c r="AG60" i="1"/>
  <c r="AG67" i="1"/>
  <c r="AG160" i="1"/>
  <c r="AG167" i="1"/>
  <c r="AG174" i="1"/>
  <c r="AG76" i="1"/>
  <c r="AG84" i="1"/>
  <c r="AG94" i="1"/>
  <c r="AG188" i="1"/>
  <c r="AG97" i="1"/>
  <c r="AG103" i="1"/>
  <c r="AG111" i="1"/>
  <c r="AG120" i="1"/>
  <c r="AG126" i="1"/>
  <c r="AG132" i="1"/>
  <c r="AG137" i="1"/>
  <c r="AG143" i="1"/>
  <c r="AG149" i="1"/>
  <c r="AG154" i="1"/>
  <c r="AG197" i="1"/>
  <c r="AG203" i="1"/>
  <c r="AG208" i="1"/>
  <c r="AG216" i="1"/>
  <c r="AG222" i="1"/>
  <c r="AG62" i="1"/>
  <c r="AG78" i="1"/>
  <c r="AG191" i="1"/>
  <c r="AG113" i="1"/>
  <c r="AG128" i="1"/>
  <c r="AG138" i="1"/>
  <c r="AG145" i="1"/>
  <c r="AG155" i="1"/>
  <c r="AG204" i="1"/>
  <c r="AG223" i="1"/>
  <c r="AG32" i="1"/>
  <c r="AG48" i="1"/>
  <c r="AG71" i="1"/>
  <c r="AG80" i="1"/>
  <c r="AG193" i="1"/>
  <c r="AG124" i="1"/>
  <c r="AG141" i="1"/>
  <c r="AG200" i="1"/>
  <c r="AG14" i="1"/>
  <c r="AG22" i="1"/>
  <c r="AG30" i="1"/>
  <c r="AG38" i="1"/>
  <c r="AG46" i="1"/>
  <c r="AG54" i="1"/>
  <c r="AG69" i="1"/>
  <c r="AG162" i="1"/>
  <c r="AG93" i="1"/>
  <c r="AG176" i="1"/>
  <c r="AG86" i="1"/>
  <c r="AG182" i="1"/>
  <c r="AG99" i="1"/>
  <c r="AG105" i="1"/>
  <c r="AG122" i="1"/>
  <c r="AG133" i="1"/>
  <c r="AG150" i="1"/>
  <c r="AG199" i="1"/>
  <c r="AG212" i="1"/>
  <c r="AG24" i="1"/>
  <c r="AG56" i="1"/>
  <c r="AG164" i="1"/>
  <c r="AG72" i="1"/>
  <c r="AG184" i="1"/>
  <c r="AG107" i="1"/>
  <c r="AG129" i="1"/>
  <c r="AG146" i="1"/>
  <c r="AG158" i="1"/>
  <c r="AG214" i="1"/>
  <c r="W14" i="3"/>
  <c r="W38" i="3"/>
  <c r="W19" i="3"/>
  <c r="W33" i="3"/>
  <c r="W30" i="3"/>
  <c r="W17" i="3"/>
  <c r="W27" i="3"/>
  <c r="W26" i="3"/>
  <c r="W34" i="3"/>
  <c r="W10" i="3"/>
  <c r="W31" i="3"/>
  <c r="W23" i="3"/>
  <c r="W32" i="3"/>
  <c r="W21" i="3"/>
  <c r="W18" i="3"/>
  <c r="W22" i="3"/>
  <c r="W12" i="3"/>
  <c r="W25" i="3"/>
  <c r="W41" i="3"/>
  <c r="W40" i="3"/>
  <c r="W36" i="3"/>
  <c r="W35" i="3"/>
  <c r="W9" i="3"/>
  <c r="W20" i="3"/>
  <c r="W16" i="3"/>
  <c r="W24" i="3"/>
  <c r="W29" i="3"/>
  <c r="W7" i="3"/>
  <c r="W15" i="3"/>
  <c r="W37" i="3"/>
  <c r="W28" i="3"/>
  <c r="W13" i="3"/>
  <c r="W8" i="3"/>
  <c r="W11" i="3"/>
  <c r="W190" i="1" l="1"/>
  <c r="U190" i="1"/>
  <c r="S190" i="1" s="1"/>
  <c r="AI190" i="1"/>
  <c r="X190" i="1"/>
  <c r="R28" i="3"/>
  <c r="AI189" i="1"/>
  <c r="U189" i="1"/>
  <c r="S189" i="1" s="1"/>
  <c r="W189" i="1"/>
  <c r="AI181" i="1"/>
  <c r="U181" i="1"/>
  <c r="S181" i="1" s="1"/>
  <c r="W181" i="1"/>
  <c r="X181" i="1"/>
  <c r="AI177" i="1"/>
  <c r="U177" i="1"/>
  <c r="S177" i="1" s="1"/>
  <c r="W177" i="1"/>
  <c r="X177" i="1"/>
  <c r="X142" i="1"/>
  <c r="X62" i="1"/>
  <c r="X141" i="1"/>
  <c r="AD38" i="3"/>
  <c r="X109" i="1"/>
  <c r="X106" i="1"/>
  <c r="X71" i="1"/>
  <c r="AA41" i="1"/>
  <c r="AA36" i="1"/>
  <c r="AA199" i="1"/>
  <c r="AA128" i="1"/>
  <c r="AA124" i="1"/>
  <c r="X114" i="1"/>
  <c r="R18" i="3"/>
  <c r="AA208" i="1"/>
  <c r="AA151" i="1"/>
  <c r="AA148" i="1"/>
  <c r="X111" i="1"/>
  <c r="X107" i="1"/>
  <c r="X195" i="1"/>
  <c r="X186" i="1"/>
  <c r="AA174" i="1"/>
  <c r="AA170" i="1"/>
  <c r="AA167" i="1"/>
  <c r="AA62" i="1"/>
  <c r="AA56" i="1"/>
  <c r="X55" i="1"/>
  <c r="X54" i="1"/>
  <c r="AA47" i="1"/>
  <c r="AA37" i="1"/>
  <c r="X18" i="1"/>
  <c r="X118" i="1"/>
  <c r="X139" i="1"/>
  <c r="AI156" i="1"/>
  <c r="U156" i="1"/>
  <c r="S156" i="1" s="1"/>
  <c r="W156" i="1"/>
  <c r="X156" i="1"/>
  <c r="AE25" i="3"/>
  <c r="AI139" i="1"/>
  <c r="U139" i="1"/>
  <c r="S139" i="1" s="1"/>
  <c r="W139" i="1"/>
  <c r="AD13" i="3"/>
  <c r="AD23" i="3"/>
  <c r="AI117" i="1"/>
  <c r="U117" i="1"/>
  <c r="S117" i="1" s="1"/>
  <c r="W117" i="1"/>
  <c r="X117" i="1"/>
  <c r="AD35" i="3"/>
  <c r="S19" i="3"/>
  <c r="S7" i="3"/>
  <c r="AD30" i="3"/>
  <c r="AA201" i="1"/>
  <c r="X196" i="1"/>
  <c r="S15" i="3"/>
  <c r="X200" i="1"/>
  <c r="X147" i="1"/>
  <c r="AA120" i="1"/>
  <c r="AD29" i="3"/>
  <c r="AD25" i="3"/>
  <c r="AA215" i="1"/>
  <c r="X208" i="1"/>
  <c r="X202" i="1"/>
  <c r="AA198" i="1"/>
  <c r="W198" i="1" s="1"/>
  <c r="AA197" i="1"/>
  <c r="AA155" i="1"/>
  <c r="X151" i="1"/>
  <c r="AA145" i="1"/>
  <c r="X144" i="1"/>
  <c r="AA138" i="1"/>
  <c r="AA132" i="1"/>
  <c r="X131" i="1"/>
  <c r="AA126" i="1"/>
  <c r="AA118" i="1"/>
  <c r="AA113" i="1"/>
  <c r="X211" i="1"/>
  <c r="X210" i="1"/>
  <c r="X102" i="1"/>
  <c r="X101" i="1"/>
  <c r="X97" i="1"/>
  <c r="X193" i="1"/>
  <c r="X188" i="1"/>
  <c r="X184" i="1"/>
  <c r="X94" i="1"/>
  <c r="AA176" i="1"/>
  <c r="AA172" i="1"/>
  <c r="AA93" i="1"/>
  <c r="AA165" i="1"/>
  <c r="AA162" i="1"/>
  <c r="AA92" i="1"/>
  <c r="X69" i="1"/>
  <c r="X68" i="1"/>
  <c r="X66" i="1"/>
  <c r="X64" i="1"/>
  <c r="AA58" i="1"/>
  <c r="AA57" i="1"/>
  <c r="AA48" i="1"/>
  <c r="X47" i="1"/>
  <c r="X46" i="1"/>
  <c r="AA44" i="1"/>
  <c r="W44" i="1" s="1"/>
  <c r="AA40" i="1"/>
  <c r="X39" i="1"/>
  <c r="X38" i="1"/>
  <c r="AA34" i="1"/>
  <c r="W34" i="1" s="1"/>
  <c r="AA33" i="1"/>
  <c r="AA30" i="1"/>
  <c r="X29" i="1"/>
  <c r="AA27" i="1"/>
  <c r="W27" i="1" s="1"/>
  <c r="AA26" i="1"/>
  <c r="AA23" i="1"/>
  <c r="AD41" i="3"/>
  <c r="AA217" i="1"/>
  <c r="AA157" i="1"/>
  <c r="AA147" i="1"/>
  <c r="AA146" i="1"/>
  <c r="AA141" i="1"/>
  <c r="W141" i="1" s="1"/>
  <c r="AA134" i="1"/>
  <c r="T65" i="1"/>
  <c r="AA164" i="1"/>
  <c r="AA160" i="1"/>
  <c r="W160" i="1" s="1"/>
  <c r="X89" i="1"/>
  <c r="X85" i="1"/>
  <c r="X81" i="1"/>
  <c r="X77" i="1"/>
  <c r="X73" i="1"/>
  <c r="AA68" i="1"/>
  <c r="AA64" i="1"/>
  <c r="AA209" i="1"/>
  <c r="W209" i="1" s="1"/>
  <c r="AA55" i="1"/>
  <c r="AA53" i="1"/>
  <c r="AA52" i="1"/>
  <c r="AA50" i="1"/>
  <c r="AA49" i="1"/>
  <c r="AA46" i="1"/>
  <c r="AA43" i="1"/>
  <c r="AA38" i="1"/>
  <c r="W38" i="1" s="1"/>
  <c r="AA32" i="1"/>
  <c r="X31" i="1"/>
  <c r="AA25" i="1"/>
  <c r="X24" i="1"/>
  <c r="AD31" i="3"/>
  <c r="AD33" i="3"/>
  <c r="AD26" i="3"/>
  <c r="AE21" i="3"/>
  <c r="AD18" i="3"/>
  <c r="AE41" i="3"/>
  <c r="AE29" i="3"/>
  <c r="AD22" i="3"/>
  <c r="AD21" i="3"/>
  <c r="AD11" i="3"/>
  <c r="X221" i="1"/>
  <c r="AA213" i="1"/>
  <c r="W213" i="1" s="1"/>
  <c r="AA196" i="1"/>
  <c r="AA158" i="1"/>
  <c r="AA144" i="1"/>
  <c r="W144" i="1" s="1"/>
  <c r="AA133" i="1"/>
  <c r="AA131" i="1"/>
  <c r="X128" i="1"/>
  <c r="AA123" i="1"/>
  <c r="X120" i="1"/>
  <c r="AA114" i="1"/>
  <c r="T114" i="1"/>
  <c r="X110" i="1"/>
  <c r="X105" i="1"/>
  <c r="X104" i="1"/>
  <c r="AA175" i="1"/>
  <c r="AA171" i="1"/>
  <c r="W171" i="1" s="1"/>
  <c r="AA168" i="1"/>
  <c r="AA161" i="1"/>
  <c r="AA91" i="1"/>
  <c r="W91" i="1" s="1"/>
  <c r="X90" i="1"/>
  <c r="X86" i="1"/>
  <c r="X82" i="1"/>
  <c r="X78" i="1"/>
  <c r="AA75" i="1"/>
  <c r="X74" i="1"/>
  <c r="AA71" i="1"/>
  <c r="AA67" i="1"/>
  <c r="W67" i="1" s="1"/>
  <c r="X61" i="1"/>
  <c r="X52" i="1"/>
  <c r="X45" i="1"/>
  <c r="X36" i="1"/>
  <c r="AA24" i="1"/>
  <c r="T24" i="1"/>
  <c r="AA20" i="1"/>
  <c r="AA18" i="1"/>
  <c r="T18" i="1"/>
  <c r="X219" i="1"/>
  <c r="T200" i="1"/>
  <c r="U200" i="1" s="1"/>
  <c r="S200" i="1" s="1"/>
  <c r="X155" i="1"/>
  <c r="T111" i="1"/>
  <c r="T102" i="1"/>
  <c r="X30" i="1"/>
  <c r="AA28" i="1"/>
  <c r="W28" i="1" s="1"/>
  <c r="AA223" i="1"/>
  <c r="AA221" i="1"/>
  <c r="X213" i="1"/>
  <c r="AA206" i="1"/>
  <c r="AA204" i="1"/>
  <c r="AA202" i="1"/>
  <c r="X201" i="1"/>
  <c r="X198" i="1"/>
  <c r="X197" i="1"/>
  <c r="AA152" i="1"/>
  <c r="AA150" i="1"/>
  <c r="AA149" i="1"/>
  <c r="W149" i="1" s="1"/>
  <c r="X148" i="1"/>
  <c r="AA140" i="1"/>
  <c r="AA136" i="1"/>
  <c r="X135" i="1"/>
  <c r="AA127" i="1"/>
  <c r="X124" i="1"/>
  <c r="AA119" i="1"/>
  <c r="X115" i="1"/>
  <c r="AA110" i="1"/>
  <c r="T104" i="1"/>
  <c r="X103" i="1"/>
  <c r="X180" i="1"/>
  <c r="AA178" i="1"/>
  <c r="AA173" i="1"/>
  <c r="AA169" i="1"/>
  <c r="AA166" i="1"/>
  <c r="AA163" i="1"/>
  <c r="AA159" i="1"/>
  <c r="X88" i="1"/>
  <c r="X84" i="1"/>
  <c r="X80" i="1"/>
  <c r="X76" i="1"/>
  <c r="AA73" i="1"/>
  <c r="X72" i="1"/>
  <c r="X60" i="1"/>
  <c r="X53" i="1"/>
  <c r="X44" i="1"/>
  <c r="X37" i="1"/>
  <c r="X28" i="1"/>
  <c r="X27" i="1"/>
  <c r="X26" i="1"/>
  <c r="X25" i="1"/>
  <c r="X21" i="1"/>
  <c r="X20" i="1"/>
  <c r="X19" i="1"/>
  <c r="AA219" i="1"/>
  <c r="W219" i="1" s="1"/>
  <c r="X217" i="1"/>
  <c r="X206" i="1"/>
  <c r="X223" i="1"/>
  <c r="X215" i="1"/>
  <c r="X204" i="1"/>
  <c r="AA220" i="1"/>
  <c r="AA216" i="1"/>
  <c r="AA212" i="1"/>
  <c r="W212" i="1" s="1"/>
  <c r="AA205" i="1"/>
  <c r="T201" i="1"/>
  <c r="X154" i="1"/>
  <c r="X150" i="1"/>
  <c r="X146" i="1"/>
  <c r="X143" i="1"/>
  <c r="X138" i="1"/>
  <c r="X137" i="1"/>
  <c r="X134" i="1"/>
  <c r="X133" i="1"/>
  <c r="X130" i="1"/>
  <c r="X126" i="1"/>
  <c r="X122" i="1"/>
  <c r="X116" i="1"/>
  <c r="AA115" i="1"/>
  <c r="W115" i="1" s="1"/>
  <c r="X113" i="1"/>
  <c r="AA112" i="1"/>
  <c r="T112" i="1"/>
  <c r="AA106" i="1"/>
  <c r="W106" i="1" s="1"/>
  <c r="AA211" i="1"/>
  <c r="X100" i="1"/>
  <c r="T100" i="1"/>
  <c r="T99" i="1"/>
  <c r="U99" i="1" s="1"/>
  <c r="S99" i="1" s="1"/>
  <c r="X99" i="1"/>
  <c r="X98" i="1"/>
  <c r="T98" i="1"/>
  <c r="AA222" i="1"/>
  <c r="W222" i="1" s="1"/>
  <c r="AA218" i="1"/>
  <c r="AA214" i="1"/>
  <c r="AA207" i="1"/>
  <c r="AA203" i="1"/>
  <c r="W203" i="1" s="1"/>
  <c r="AA200" i="1"/>
  <c r="X199" i="1"/>
  <c r="T196" i="1"/>
  <c r="T154" i="1"/>
  <c r="U154" i="1" s="1"/>
  <c r="S154" i="1" s="1"/>
  <c r="T150" i="1"/>
  <c r="T146" i="1"/>
  <c r="T142" i="1"/>
  <c r="AA116" i="1"/>
  <c r="AA111" i="1"/>
  <c r="AA108" i="1"/>
  <c r="AA104" i="1"/>
  <c r="AA102" i="1"/>
  <c r="T115" i="1"/>
  <c r="T106" i="1"/>
  <c r="T211" i="1"/>
  <c r="T69" i="1"/>
  <c r="X59" i="1"/>
  <c r="X58" i="1"/>
  <c r="X51" i="1"/>
  <c r="X50" i="1"/>
  <c r="X43" i="1"/>
  <c r="X42" i="1"/>
  <c r="X35" i="1"/>
  <c r="X34" i="1"/>
  <c r="T21" i="1"/>
  <c r="X15" i="1"/>
  <c r="AA14" i="1"/>
  <c r="AA100" i="1"/>
  <c r="AA98" i="1"/>
  <c r="X194" i="1"/>
  <c r="X95" i="1"/>
  <c r="X185" i="1"/>
  <c r="AA74" i="1"/>
  <c r="T71" i="1"/>
  <c r="U71" i="1" s="1"/>
  <c r="S71" i="1" s="1"/>
  <c r="X70" i="1"/>
  <c r="AA69" i="1"/>
  <c r="X67" i="1"/>
  <c r="AA66" i="1"/>
  <c r="T66" i="1"/>
  <c r="X63" i="1"/>
  <c r="X57" i="1"/>
  <c r="X56" i="1"/>
  <c r="T55" i="1"/>
  <c r="X49" i="1"/>
  <c r="X48" i="1"/>
  <c r="T47" i="1"/>
  <c r="U47" i="1" s="1"/>
  <c r="S47" i="1" s="1"/>
  <c r="X41" i="1"/>
  <c r="X40" i="1"/>
  <c r="T39" i="1"/>
  <c r="X33" i="1"/>
  <c r="X32" i="1"/>
  <c r="T31" i="1"/>
  <c r="T23" i="1"/>
  <c r="X22" i="1"/>
  <c r="AA21" i="1"/>
  <c r="X209" i="1"/>
  <c r="T19" i="1"/>
  <c r="AA15" i="1"/>
  <c r="W15" i="1" s="1"/>
  <c r="AA109" i="1"/>
  <c r="AA107" i="1"/>
  <c r="AA105" i="1"/>
  <c r="AA103" i="1"/>
  <c r="W103" i="1" s="1"/>
  <c r="AA210" i="1"/>
  <c r="AA101" i="1"/>
  <c r="AA99" i="1"/>
  <c r="X96" i="1"/>
  <c r="X192" i="1"/>
  <c r="X187" i="1"/>
  <c r="X183" i="1"/>
  <c r="X87" i="1"/>
  <c r="X83" i="1"/>
  <c r="X79" i="1"/>
  <c r="X75" i="1"/>
  <c r="AA72" i="1"/>
  <c r="AA70" i="1"/>
  <c r="AA65" i="1"/>
  <c r="T59" i="1"/>
  <c r="T51" i="1"/>
  <c r="T43" i="1"/>
  <c r="T35" i="1"/>
  <c r="AA22" i="1"/>
  <c r="AA19" i="1"/>
  <c r="W19" i="1" s="1"/>
  <c r="U223" i="1"/>
  <c r="S223" i="1" s="1"/>
  <c r="AI223" i="1"/>
  <c r="U222" i="1"/>
  <c r="S222" i="1" s="1"/>
  <c r="AI222" i="1"/>
  <c r="U221" i="1"/>
  <c r="S221" i="1" s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AI216" i="1"/>
  <c r="U215" i="1"/>
  <c r="S215" i="1" s="1"/>
  <c r="AI215" i="1"/>
  <c r="U214" i="1"/>
  <c r="S214" i="1" s="1"/>
  <c r="AI214" i="1"/>
  <c r="U213" i="1"/>
  <c r="S213" i="1" s="1"/>
  <c r="AI213" i="1"/>
  <c r="U212" i="1"/>
  <c r="S212" i="1" s="1"/>
  <c r="AI212" i="1"/>
  <c r="U208" i="1"/>
  <c r="S208" i="1" s="1"/>
  <c r="AI211" i="1"/>
  <c r="AI210" i="1"/>
  <c r="U206" i="1"/>
  <c r="S206" i="1" s="1"/>
  <c r="AI209" i="1"/>
  <c r="U205" i="1"/>
  <c r="S205" i="1" s="1"/>
  <c r="AI208" i="1"/>
  <c r="U204" i="1"/>
  <c r="S204" i="1" s="1"/>
  <c r="AI207" i="1"/>
  <c r="U203" i="1"/>
  <c r="S203" i="1" s="1"/>
  <c r="AI206" i="1"/>
  <c r="W202" i="1"/>
  <c r="AI205" i="1"/>
  <c r="U201" i="1"/>
  <c r="S201" i="1" s="1"/>
  <c r="AI204" i="1"/>
  <c r="AI203" i="1"/>
  <c r="U199" i="1"/>
  <c r="S199" i="1" s="1"/>
  <c r="AI202" i="1"/>
  <c r="AI201" i="1"/>
  <c r="U197" i="1"/>
  <c r="S197" i="1" s="1"/>
  <c r="AI200" i="1"/>
  <c r="U196" i="1"/>
  <c r="S196" i="1" s="1"/>
  <c r="AI199" i="1"/>
  <c r="U158" i="1"/>
  <c r="S158" i="1" s="1"/>
  <c r="AI198" i="1"/>
  <c r="AI197" i="1"/>
  <c r="U155" i="1"/>
  <c r="S155" i="1" s="1"/>
  <c r="AI196" i="1"/>
  <c r="AI195" i="1"/>
  <c r="U153" i="1"/>
  <c r="S153" i="1" s="1"/>
  <c r="AI194" i="1"/>
  <c r="AI193" i="1"/>
  <c r="U151" i="1"/>
  <c r="S151" i="1" s="1"/>
  <c r="AI192" i="1"/>
  <c r="U150" i="1"/>
  <c r="AI191" i="1"/>
  <c r="U149" i="1"/>
  <c r="S149" i="1" s="1"/>
  <c r="AI188" i="1"/>
  <c r="AI187" i="1"/>
  <c r="U147" i="1"/>
  <c r="S147" i="1" s="1"/>
  <c r="AI186" i="1"/>
  <c r="U146" i="1"/>
  <c r="S146" i="1" s="1"/>
  <c r="AI185" i="1"/>
  <c r="U145" i="1"/>
  <c r="S145" i="1" s="1"/>
  <c r="AI184" i="1"/>
  <c r="AI183" i="1"/>
  <c r="U143" i="1"/>
  <c r="S143" i="1" s="1"/>
  <c r="AI182" i="1"/>
  <c r="U142" i="1"/>
  <c r="S142" i="1" s="1"/>
  <c r="AI180" i="1"/>
  <c r="U141" i="1"/>
  <c r="S141" i="1" s="1"/>
  <c r="AI179" i="1"/>
  <c r="AI178" i="1"/>
  <c r="U138" i="1"/>
  <c r="S138" i="1" s="1"/>
  <c r="AI176" i="1"/>
  <c r="U137" i="1"/>
  <c r="S137" i="1" s="1"/>
  <c r="AI175" i="1"/>
  <c r="U136" i="1"/>
  <c r="S136" i="1" s="1"/>
  <c r="AI174" i="1"/>
  <c r="AI173" i="1"/>
  <c r="U134" i="1"/>
  <c r="S134" i="1" s="1"/>
  <c r="AI172" i="1"/>
  <c r="U133" i="1"/>
  <c r="S133" i="1" s="1"/>
  <c r="AI171" i="1"/>
  <c r="U132" i="1"/>
  <c r="S132" i="1" s="1"/>
  <c r="AI170" i="1"/>
  <c r="AI169" i="1"/>
  <c r="U130" i="1"/>
  <c r="S130" i="1" s="1"/>
  <c r="AI168" i="1"/>
  <c r="AI167" i="1"/>
  <c r="U128" i="1"/>
  <c r="S128" i="1" s="1"/>
  <c r="AI166" i="1"/>
  <c r="AI165" i="1"/>
  <c r="U126" i="1"/>
  <c r="S126" i="1" s="1"/>
  <c r="AI164" i="1"/>
  <c r="U124" i="1"/>
  <c r="S124" i="1" s="1"/>
  <c r="AI163" i="1"/>
  <c r="AI162" i="1"/>
  <c r="U122" i="1"/>
  <c r="S122" i="1" s="1"/>
  <c r="AI161" i="1"/>
  <c r="AI160" i="1"/>
  <c r="U120" i="1"/>
  <c r="S120" i="1" s="1"/>
  <c r="AI159" i="1"/>
  <c r="AI158" i="1"/>
  <c r="AI157" i="1"/>
  <c r="U118" i="1"/>
  <c r="S118" i="1" s="1"/>
  <c r="AI155" i="1"/>
  <c r="U116" i="1"/>
  <c r="S116" i="1" s="1"/>
  <c r="AI154" i="1"/>
  <c r="U115" i="1"/>
  <c r="S115" i="1" s="1"/>
  <c r="AI153" i="1"/>
  <c r="U114" i="1"/>
  <c r="S114" i="1" s="1"/>
  <c r="AI152" i="1"/>
  <c r="U113" i="1"/>
  <c r="S113" i="1" s="1"/>
  <c r="AI151" i="1"/>
  <c r="U112" i="1"/>
  <c r="S112" i="1" s="1"/>
  <c r="AI150" i="1"/>
  <c r="U111" i="1"/>
  <c r="AI149" i="1"/>
  <c r="U110" i="1"/>
  <c r="AI148" i="1"/>
  <c r="U109" i="1"/>
  <c r="S109" i="1" s="1"/>
  <c r="AI147" i="1"/>
  <c r="U108" i="1"/>
  <c r="S108" i="1" s="1"/>
  <c r="AI146" i="1"/>
  <c r="U107" i="1"/>
  <c r="S107" i="1" s="1"/>
  <c r="AI145" i="1"/>
  <c r="U106" i="1"/>
  <c r="S106" i="1" s="1"/>
  <c r="AI144" i="1"/>
  <c r="U105" i="1"/>
  <c r="S105" i="1" s="1"/>
  <c r="AI143" i="1"/>
  <c r="U104" i="1"/>
  <c r="S104" i="1" s="1"/>
  <c r="AI142" i="1"/>
  <c r="U103" i="1"/>
  <c r="S103" i="1" s="1"/>
  <c r="AI141" i="1"/>
  <c r="U211" i="1"/>
  <c r="S211" i="1" s="1"/>
  <c r="AI140" i="1"/>
  <c r="U210" i="1"/>
  <c r="S210" i="1" s="1"/>
  <c r="AI138" i="1"/>
  <c r="U102" i="1"/>
  <c r="S102" i="1" s="1"/>
  <c r="AI137" i="1"/>
  <c r="U101" i="1"/>
  <c r="S101" i="1" s="1"/>
  <c r="AI136" i="1"/>
  <c r="U100" i="1"/>
  <c r="S100" i="1" s="1"/>
  <c r="AI135" i="1"/>
  <c r="AI134" i="1"/>
  <c r="U98" i="1"/>
  <c r="S98" i="1" s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6" i="1"/>
  <c r="U179" i="1"/>
  <c r="S179" i="1" s="1"/>
  <c r="AI115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114" i="1"/>
  <c r="U176" i="1"/>
  <c r="S176" i="1" s="1"/>
  <c r="AI113" i="1"/>
  <c r="AI112" i="1"/>
  <c r="U174" i="1"/>
  <c r="S174" i="1" s="1"/>
  <c r="AI111" i="1"/>
  <c r="AI110" i="1"/>
  <c r="U172" i="1"/>
  <c r="S172" i="1" s="1"/>
  <c r="AI109" i="1"/>
  <c r="AI108" i="1"/>
  <c r="U170" i="1"/>
  <c r="S170" i="1" s="1"/>
  <c r="AI107" i="1"/>
  <c r="AI106" i="1"/>
  <c r="U93" i="1"/>
  <c r="S93" i="1" s="1"/>
  <c r="AI105" i="1"/>
  <c r="AI104" i="1"/>
  <c r="U167" i="1"/>
  <c r="S167" i="1" s="1"/>
  <c r="AI103" i="1"/>
  <c r="AI102" i="1"/>
  <c r="U165" i="1"/>
  <c r="S165" i="1" s="1"/>
  <c r="AI101" i="1"/>
  <c r="AI100" i="1"/>
  <c r="U164" i="1"/>
  <c r="S164" i="1" s="1"/>
  <c r="AI99" i="1"/>
  <c r="AI98" i="1"/>
  <c r="U162" i="1"/>
  <c r="S162" i="1" s="1"/>
  <c r="AI97" i="1"/>
  <c r="AI96" i="1"/>
  <c r="U160" i="1"/>
  <c r="S160" i="1" s="1"/>
  <c r="AI95" i="1"/>
  <c r="AI94" i="1"/>
  <c r="U92" i="1"/>
  <c r="S92" i="1" s="1"/>
  <c r="AI93" i="1"/>
  <c r="AI92" i="1"/>
  <c r="AI72" i="1"/>
  <c r="U70" i="1"/>
  <c r="S70" i="1" s="1"/>
  <c r="AI71" i="1"/>
  <c r="U69" i="1"/>
  <c r="S69" i="1" s="1"/>
  <c r="AI70" i="1"/>
  <c r="U68" i="1"/>
  <c r="S68" i="1" s="1"/>
  <c r="AI69" i="1"/>
  <c r="U67" i="1"/>
  <c r="S67" i="1" s="1"/>
  <c r="AI68" i="1"/>
  <c r="U66" i="1"/>
  <c r="S66" i="1" s="1"/>
  <c r="AI67" i="1"/>
  <c r="U65" i="1"/>
  <c r="S65" i="1" s="1"/>
  <c r="AI66" i="1"/>
  <c r="U64" i="1"/>
  <c r="S64" i="1" s="1"/>
  <c r="AI65" i="1"/>
  <c r="U63" i="1"/>
  <c r="S63" i="1" s="1"/>
  <c r="AI64" i="1"/>
  <c r="U209" i="1"/>
  <c r="S209" i="1" s="1"/>
  <c r="AI63" i="1"/>
  <c r="U62" i="1"/>
  <c r="S62" i="1" s="1"/>
  <c r="AI62" i="1"/>
  <c r="U61" i="1"/>
  <c r="S61" i="1" s="1"/>
  <c r="AI61" i="1"/>
  <c r="W61" i="1"/>
  <c r="U60" i="1"/>
  <c r="S60" i="1" s="1"/>
  <c r="AI60" i="1"/>
  <c r="U59" i="1"/>
  <c r="S59" i="1" s="1"/>
  <c r="AI59" i="1"/>
  <c r="W59" i="1"/>
  <c r="U58" i="1"/>
  <c r="S58" i="1" s="1"/>
  <c r="AI58" i="1"/>
  <c r="U57" i="1"/>
  <c r="S57" i="1" s="1"/>
  <c r="AI57" i="1"/>
  <c r="W57" i="1"/>
  <c r="U56" i="1"/>
  <c r="S56" i="1" s="1"/>
  <c r="AI56" i="1"/>
  <c r="U55" i="1"/>
  <c r="S55" i="1" s="1"/>
  <c r="AI55" i="1"/>
  <c r="U54" i="1"/>
  <c r="S54" i="1" s="1"/>
  <c r="AI54" i="1"/>
  <c r="U53" i="1"/>
  <c r="S53" i="1" s="1"/>
  <c r="AI53" i="1"/>
  <c r="W53" i="1"/>
  <c r="U52" i="1"/>
  <c r="S52" i="1" s="1"/>
  <c r="AI52" i="1"/>
  <c r="U51" i="1"/>
  <c r="S51" i="1" s="1"/>
  <c r="AI51" i="1"/>
  <c r="W51" i="1"/>
  <c r="U50" i="1"/>
  <c r="S50" i="1" s="1"/>
  <c r="AI50" i="1"/>
  <c r="U49" i="1"/>
  <c r="S49" i="1" s="1"/>
  <c r="AI49" i="1"/>
  <c r="W49" i="1"/>
  <c r="U48" i="1"/>
  <c r="S48" i="1" s="1"/>
  <c r="AI48" i="1"/>
  <c r="AI47" i="1"/>
  <c r="U46" i="1"/>
  <c r="S46" i="1" s="1"/>
  <c r="AI46" i="1"/>
  <c r="U45" i="1"/>
  <c r="S45" i="1" s="1"/>
  <c r="AI45" i="1"/>
  <c r="W45" i="1"/>
  <c r="U44" i="1"/>
  <c r="S44" i="1" s="1"/>
  <c r="AI44" i="1"/>
  <c r="U43" i="1"/>
  <c r="S43" i="1" s="1"/>
  <c r="AI43" i="1"/>
  <c r="W43" i="1"/>
  <c r="U42" i="1"/>
  <c r="S42" i="1" s="1"/>
  <c r="AI42" i="1"/>
  <c r="U41" i="1"/>
  <c r="S41" i="1" s="1"/>
  <c r="AI41" i="1"/>
  <c r="W41" i="1"/>
  <c r="U40" i="1"/>
  <c r="S40" i="1" s="1"/>
  <c r="AI40" i="1"/>
  <c r="U39" i="1"/>
  <c r="S39" i="1" s="1"/>
  <c r="AI39" i="1"/>
  <c r="W39" i="1"/>
  <c r="U38" i="1"/>
  <c r="S38" i="1" s="1"/>
  <c r="AI38" i="1"/>
  <c r="U37" i="1"/>
  <c r="S37" i="1" s="1"/>
  <c r="AI37" i="1"/>
  <c r="W37" i="1"/>
  <c r="U36" i="1"/>
  <c r="S36" i="1" s="1"/>
  <c r="AI36" i="1"/>
  <c r="U35" i="1"/>
  <c r="S35" i="1" s="1"/>
  <c r="AI35" i="1"/>
  <c r="W35" i="1"/>
  <c r="U34" i="1"/>
  <c r="S34" i="1" s="1"/>
  <c r="AI34" i="1"/>
  <c r="U33" i="1"/>
  <c r="S33" i="1" s="1"/>
  <c r="AI33" i="1"/>
  <c r="W33" i="1"/>
  <c r="U32" i="1"/>
  <c r="S32" i="1" s="1"/>
  <c r="AI32" i="1"/>
  <c r="U31" i="1"/>
  <c r="S31" i="1" s="1"/>
  <c r="AI31" i="1"/>
  <c r="W31" i="1"/>
  <c r="U30" i="1"/>
  <c r="S30" i="1" s="1"/>
  <c r="AI30" i="1"/>
  <c r="U29" i="1"/>
  <c r="S29" i="1" s="1"/>
  <c r="AI29" i="1"/>
  <c r="W29" i="1"/>
  <c r="U28" i="1"/>
  <c r="S28" i="1" s="1"/>
  <c r="AI28" i="1"/>
  <c r="AI27" i="1"/>
  <c r="U26" i="1"/>
  <c r="S26" i="1" s="1"/>
  <c r="AI26" i="1"/>
  <c r="AI25" i="1"/>
  <c r="U24" i="1"/>
  <c r="S24" i="1" s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97" i="1"/>
  <c r="W155" i="1"/>
  <c r="W151" i="1"/>
  <c r="W147" i="1"/>
  <c r="W143" i="1"/>
  <c r="W221" i="1"/>
  <c r="W218" i="1"/>
  <c r="W217" i="1"/>
  <c r="W214" i="1"/>
  <c r="W207" i="1"/>
  <c r="W206" i="1"/>
  <c r="W201" i="1"/>
  <c r="W199" i="1"/>
  <c r="W223" i="1"/>
  <c r="W220" i="1"/>
  <c r="W216" i="1"/>
  <c r="W215" i="1"/>
  <c r="W208" i="1"/>
  <c r="W205" i="1"/>
  <c r="W204" i="1"/>
  <c r="W158" i="1"/>
  <c r="W153" i="1"/>
  <c r="W145" i="1"/>
  <c r="W136" i="1"/>
  <c r="W132" i="1"/>
  <c r="W138" i="1"/>
  <c r="W134" i="1"/>
  <c r="W135" i="1"/>
  <c r="W23" i="1"/>
  <c r="T207" i="1"/>
  <c r="U207" i="1" s="1"/>
  <c r="S207" i="1" s="1"/>
  <c r="X218" i="1"/>
  <c r="X214" i="1"/>
  <c r="X212" i="1"/>
  <c r="X203" i="1"/>
  <c r="T202" i="1"/>
  <c r="U202" i="1" s="1"/>
  <c r="S202" i="1" s="1"/>
  <c r="W200" i="1"/>
  <c r="W196" i="1"/>
  <c r="X158" i="1"/>
  <c r="W154" i="1"/>
  <c r="X153" i="1"/>
  <c r="W150" i="1"/>
  <c r="X149" i="1"/>
  <c r="W146" i="1"/>
  <c r="X145" i="1"/>
  <c r="W142" i="1"/>
  <c r="W137" i="1"/>
  <c r="X136" i="1"/>
  <c r="W133" i="1"/>
  <c r="X132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W111" i="1"/>
  <c r="W157" i="1"/>
  <c r="W152" i="1"/>
  <c r="W148" i="1"/>
  <c r="W131" i="1"/>
  <c r="T216" i="1"/>
  <c r="U216" i="1" s="1"/>
  <c r="S216" i="1" s="1"/>
  <c r="X222" i="1"/>
  <c r="X220" i="1"/>
  <c r="X205" i="1"/>
  <c r="T198" i="1"/>
  <c r="U198" i="1" s="1"/>
  <c r="S198" i="1" s="1"/>
  <c r="T157" i="1"/>
  <c r="U157" i="1" s="1"/>
  <c r="S157" i="1" s="1"/>
  <c r="T152" i="1"/>
  <c r="U152" i="1" s="1"/>
  <c r="S152" i="1" s="1"/>
  <c r="T148" i="1"/>
  <c r="U148" i="1" s="1"/>
  <c r="S148" i="1" s="1"/>
  <c r="T144" i="1"/>
  <c r="U144" i="1" s="1"/>
  <c r="S144" i="1" s="1"/>
  <c r="T140" i="1"/>
  <c r="U140" i="1" s="1"/>
  <c r="S140" i="1" s="1"/>
  <c r="T135" i="1"/>
  <c r="U135" i="1" s="1"/>
  <c r="S135" i="1" s="1"/>
  <c r="T131" i="1"/>
  <c r="U131" i="1" s="1"/>
  <c r="S131" i="1" s="1"/>
  <c r="W113" i="1"/>
  <c r="W140" i="1"/>
  <c r="W17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09" i="1"/>
  <c r="W107" i="1"/>
  <c r="W105" i="1"/>
  <c r="W210" i="1"/>
  <c r="W101" i="1"/>
  <c r="W99" i="1"/>
  <c r="T178" i="1"/>
  <c r="U178" i="1" s="1"/>
  <c r="S178" i="1" s="1"/>
  <c r="X175" i="1"/>
  <c r="T175" i="1"/>
  <c r="U175" i="1" s="1"/>
  <c r="X173" i="1"/>
  <c r="T173" i="1"/>
  <c r="U173" i="1" s="1"/>
  <c r="S173" i="1" s="1"/>
  <c r="X171" i="1"/>
  <c r="T171" i="1"/>
  <c r="U171" i="1" s="1"/>
  <c r="S171" i="1" s="1"/>
  <c r="X169" i="1"/>
  <c r="T169" i="1"/>
  <c r="U169" i="1" s="1"/>
  <c r="S169" i="1" s="1"/>
  <c r="X168" i="1"/>
  <c r="T168" i="1"/>
  <c r="U168" i="1" s="1"/>
  <c r="S168" i="1" s="1"/>
  <c r="X166" i="1"/>
  <c r="T166" i="1"/>
  <c r="U166" i="1" s="1"/>
  <c r="S166" i="1" s="1"/>
  <c r="X163" i="1"/>
  <c r="T163" i="1"/>
  <c r="U163" i="1" s="1"/>
  <c r="S163" i="1" s="1"/>
  <c r="X161" i="1"/>
  <c r="T161" i="1"/>
  <c r="U161" i="1" s="1"/>
  <c r="S161" i="1" s="1"/>
  <c r="X159" i="1"/>
  <c r="T159" i="1"/>
  <c r="U159" i="1" s="1"/>
  <c r="S159" i="1" s="1"/>
  <c r="X91" i="1"/>
  <c r="T91" i="1"/>
  <c r="U91" i="1" s="1"/>
  <c r="S91" i="1" s="1"/>
  <c r="W65" i="1"/>
  <c r="W116" i="1"/>
  <c r="W114" i="1"/>
  <c r="W112" i="1"/>
  <c r="W110" i="1"/>
  <c r="W108" i="1"/>
  <c r="W104" i="1"/>
  <c r="W211" i="1"/>
  <c r="W102" i="1"/>
  <c r="W100" i="1"/>
  <c r="W98" i="1"/>
  <c r="W36" i="1"/>
  <c r="W63" i="1"/>
  <c r="W56" i="1"/>
  <c r="W48" i="1"/>
  <c r="W52" i="1"/>
  <c r="T97" i="1"/>
  <c r="U97" i="1" s="1"/>
  <c r="S97" i="1" s="1"/>
  <c r="T194" i="1"/>
  <c r="U194" i="1" s="1"/>
  <c r="S194" i="1" s="1"/>
  <c r="T191" i="1"/>
  <c r="U191" i="1" s="1"/>
  <c r="S191" i="1" s="1"/>
  <c r="T187" i="1"/>
  <c r="U187" i="1" s="1"/>
  <c r="S187" i="1" s="1"/>
  <c r="T184" i="1"/>
  <c r="U184" i="1" s="1"/>
  <c r="S184" i="1" s="1"/>
  <c r="T183" i="1"/>
  <c r="U183" i="1" s="1"/>
  <c r="S183" i="1" s="1"/>
  <c r="T182" i="1"/>
  <c r="U182" i="1" s="1"/>
  <c r="S182" i="1" s="1"/>
  <c r="T180" i="1"/>
  <c r="U180" i="1" s="1"/>
  <c r="S180" i="1" s="1"/>
  <c r="T94" i="1"/>
  <c r="U94" i="1" s="1"/>
  <c r="S94" i="1" s="1"/>
  <c r="W69" i="1"/>
  <c r="W60" i="1"/>
  <c r="T96" i="1"/>
  <c r="U96" i="1" s="1"/>
  <c r="S96" i="1" s="1"/>
  <c r="T195" i="1"/>
  <c r="U195" i="1" s="1"/>
  <c r="S195" i="1" s="1"/>
  <c r="T193" i="1"/>
  <c r="U193" i="1" s="1"/>
  <c r="S193" i="1" s="1"/>
  <c r="T192" i="1"/>
  <c r="U192" i="1" s="1"/>
  <c r="S192" i="1" s="1"/>
  <c r="T95" i="1"/>
  <c r="U95" i="1" s="1"/>
  <c r="S95" i="1" s="1"/>
  <c r="T188" i="1"/>
  <c r="U188" i="1" s="1"/>
  <c r="S188" i="1" s="1"/>
  <c r="T186" i="1"/>
  <c r="U186" i="1" s="1"/>
  <c r="S186" i="1" s="1"/>
  <c r="T185" i="1"/>
  <c r="U185" i="1" s="1"/>
  <c r="S185" i="1" s="1"/>
  <c r="X179" i="1"/>
  <c r="W178" i="1"/>
  <c r="X176" i="1"/>
  <c r="W175" i="1"/>
  <c r="X174" i="1"/>
  <c r="W173" i="1"/>
  <c r="X172" i="1"/>
  <c r="X170" i="1"/>
  <c r="W169" i="1"/>
  <c r="X93" i="1"/>
  <c r="W168" i="1"/>
  <c r="X167" i="1"/>
  <c r="W166" i="1"/>
  <c r="X164" i="1"/>
  <c r="W163" i="1"/>
  <c r="X162" i="1"/>
  <c r="W161" i="1"/>
  <c r="X160" i="1"/>
  <c r="W159" i="1"/>
  <c r="X92" i="1"/>
  <c r="T90" i="1"/>
  <c r="U90" i="1" s="1"/>
  <c r="S90" i="1" s="1"/>
  <c r="T89" i="1"/>
  <c r="U89" i="1" s="1"/>
  <c r="S89" i="1" s="1"/>
  <c r="W71" i="1"/>
  <c r="W58" i="1"/>
  <c r="W54" i="1"/>
  <c r="W47" i="1"/>
  <c r="W42" i="1"/>
  <c r="W32" i="1"/>
  <c r="AA97" i="1"/>
  <c r="W97" i="1" s="1"/>
  <c r="AA96" i="1"/>
  <c r="W96" i="1" s="1"/>
  <c r="AA195" i="1"/>
  <c r="W195" i="1" s="1"/>
  <c r="AA194" i="1"/>
  <c r="W194" i="1" s="1"/>
  <c r="AA193" i="1"/>
  <c r="W193" i="1" s="1"/>
  <c r="AA192" i="1"/>
  <c r="W192" i="1" s="1"/>
  <c r="AA191" i="1"/>
  <c r="W191" i="1" s="1"/>
  <c r="AA95" i="1"/>
  <c r="W95" i="1" s="1"/>
  <c r="AA188" i="1"/>
  <c r="W188" i="1" s="1"/>
  <c r="AA187" i="1"/>
  <c r="W187" i="1" s="1"/>
  <c r="AA186" i="1"/>
  <c r="W186" i="1" s="1"/>
  <c r="AA185" i="1"/>
  <c r="W185" i="1" s="1"/>
  <c r="AA184" i="1"/>
  <c r="W184" i="1" s="1"/>
  <c r="AA183" i="1"/>
  <c r="W183" i="1" s="1"/>
  <c r="AA182" i="1"/>
  <c r="W182" i="1" s="1"/>
  <c r="AA180" i="1"/>
  <c r="W180" i="1" s="1"/>
  <c r="AA94" i="1"/>
  <c r="W94" i="1" s="1"/>
  <c r="AA179" i="1"/>
  <c r="W179" i="1" s="1"/>
  <c r="W176" i="1"/>
  <c r="W174" i="1"/>
  <c r="W172" i="1"/>
  <c r="W170" i="1"/>
  <c r="W93" i="1"/>
  <c r="W167" i="1"/>
  <c r="W165" i="1"/>
  <c r="W164" i="1"/>
  <c r="W162" i="1"/>
  <c r="W92" i="1"/>
  <c r="W62" i="1"/>
  <c r="W55" i="1"/>
  <c r="W50" i="1"/>
  <c r="W46" i="1"/>
  <c r="W40" i="1"/>
  <c r="W25" i="1"/>
  <c r="T88" i="1"/>
  <c r="U88" i="1" s="1"/>
  <c r="S88" i="1" s="1"/>
  <c r="T87" i="1"/>
  <c r="U87" i="1" s="1"/>
  <c r="S87" i="1" s="1"/>
  <c r="T86" i="1"/>
  <c r="U86" i="1" s="1"/>
  <c r="S86" i="1" s="1"/>
  <c r="T85" i="1"/>
  <c r="U85" i="1" s="1"/>
  <c r="S85" i="1" s="1"/>
  <c r="T84" i="1"/>
  <c r="U84" i="1" s="1"/>
  <c r="S84" i="1" s="1"/>
  <c r="T83" i="1"/>
  <c r="U83" i="1" s="1"/>
  <c r="S83" i="1" s="1"/>
  <c r="T82" i="1"/>
  <c r="U82" i="1" s="1"/>
  <c r="S82" i="1" s="1"/>
  <c r="T81" i="1"/>
  <c r="U81" i="1" s="1"/>
  <c r="S81" i="1" s="1"/>
  <c r="T80" i="1"/>
  <c r="U80" i="1" s="1"/>
  <c r="S80" i="1" s="1"/>
  <c r="T79" i="1"/>
  <c r="U79" i="1" s="1"/>
  <c r="S79" i="1" s="1"/>
  <c r="T78" i="1"/>
  <c r="U78" i="1" s="1"/>
  <c r="S78" i="1" s="1"/>
  <c r="T77" i="1"/>
  <c r="U77" i="1" s="1"/>
  <c r="S77" i="1" s="1"/>
  <c r="T76" i="1"/>
  <c r="U76" i="1" s="1"/>
  <c r="S76" i="1" s="1"/>
  <c r="T75" i="1"/>
  <c r="U75" i="1" s="1"/>
  <c r="S75" i="1" s="1"/>
  <c r="T74" i="1"/>
  <c r="U74" i="1" s="1"/>
  <c r="S74" i="1" s="1"/>
  <c r="T73" i="1"/>
  <c r="U73" i="1" s="1"/>
  <c r="S73" i="1" s="1"/>
  <c r="T72" i="1"/>
  <c r="U72" i="1" s="1"/>
  <c r="S72" i="1" s="1"/>
  <c r="W70" i="1"/>
  <c r="W68" i="1"/>
  <c r="W66" i="1"/>
  <c r="W64" i="1"/>
  <c r="W30" i="1"/>
  <c r="W21" i="1"/>
  <c r="AA90" i="1"/>
  <c r="W90" i="1" s="1"/>
  <c r="AA89" i="1"/>
  <c r="W89" i="1" s="1"/>
  <c r="AA88" i="1"/>
  <c r="W88" i="1" s="1"/>
  <c r="AA87" i="1"/>
  <c r="W87" i="1" s="1"/>
  <c r="AA86" i="1"/>
  <c r="W86" i="1" s="1"/>
  <c r="AA85" i="1"/>
  <c r="W85" i="1" s="1"/>
  <c r="AA84" i="1"/>
  <c r="W84" i="1" s="1"/>
  <c r="AA83" i="1"/>
  <c r="W83" i="1" s="1"/>
  <c r="AA82" i="1"/>
  <c r="W82" i="1" s="1"/>
  <c r="AA81" i="1"/>
  <c r="W81" i="1" s="1"/>
  <c r="AA80" i="1"/>
  <c r="W80" i="1" s="1"/>
  <c r="AA79" i="1"/>
  <c r="W79" i="1" s="1"/>
  <c r="AA78" i="1"/>
  <c r="W78" i="1" s="1"/>
  <c r="AA77" i="1"/>
  <c r="W77" i="1" s="1"/>
  <c r="AA76" i="1"/>
  <c r="W76" i="1" s="1"/>
  <c r="W75" i="1"/>
  <c r="W74" i="1"/>
  <c r="W73" i="1"/>
  <c r="W72" i="1"/>
  <c r="W26" i="1"/>
  <c r="T27" i="1"/>
  <c r="U27" i="1" s="1"/>
  <c r="S27" i="1" s="1"/>
  <c r="T25" i="1"/>
  <c r="U25" i="1" s="1"/>
  <c r="S25" i="1" s="1"/>
  <c r="W24" i="1"/>
  <c r="W22" i="1"/>
  <c r="W20" i="1"/>
  <c r="W18" i="1"/>
  <c r="W16" i="1"/>
  <c r="W14" i="1"/>
  <c r="AD34" i="3"/>
  <c r="AC31" i="3"/>
  <c r="AC36" i="3"/>
  <c r="AD17" i="3"/>
  <c r="AE15" i="3"/>
  <c r="AD9" i="3"/>
  <c r="AC40" i="3"/>
  <c r="AC35" i="3"/>
  <c r="AE37" i="3"/>
  <c r="AC20" i="3"/>
  <c r="AE33" i="3"/>
  <c r="AD27" i="3"/>
  <c r="AE19" i="3"/>
  <c r="AD15" i="3"/>
  <c r="AE17" i="3"/>
  <c r="AC37" i="3"/>
  <c r="AC38" i="3"/>
  <c r="AC32" i="3"/>
  <c r="AC18" i="3"/>
  <c r="AC41" i="3"/>
  <c r="AC23" i="3"/>
  <c r="T23" i="3"/>
  <c r="AD10" i="3"/>
  <c r="AE9" i="3"/>
  <c r="T10" i="3"/>
  <c r="AC34" i="3"/>
  <c r="T37" i="3"/>
  <c r="AC15" i="3"/>
  <c r="AC25" i="3"/>
  <c r="AC33" i="3"/>
  <c r="AC17" i="3"/>
  <c r="AC29" i="3"/>
  <c r="AC19" i="3"/>
  <c r="T19" i="3"/>
  <c r="AD14" i="3"/>
  <c r="AE13" i="3"/>
  <c r="AE11" i="3"/>
  <c r="AC28" i="3"/>
  <c r="AC14" i="3"/>
  <c r="AC7" i="3"/>
  <c r="T7" i="3"/>
  <c r="Y34" i="3"/>
  <c r="Y25" i="3"/>
  <c r="Y11" i="3"/>
  <c r="Y24" i="3"/>
  <c r="Y26" i="3"/>
  <c r="Y12" i="3"/>
  <c r="Y8" i="3"/>
  <c r="Y16" i="3"/>
  <c r="Y27" i="3"/>
  <c r="Y22" i="3"/>
  <c r="Y13" i="3"/>
  <c r="Y20" i="3"/>
  <c r="Y17" i="3"/>
  <c r="Y18" i="3"/>
  <c r="Y28" i="3"/>
  <c r="Y9" i="3"/>
  <c r="Y30" i="3"/>
  <c r="Y21" i="3"/>
  <c r="Y37" i="3"/>
  <c r="Y35" i="3"/>
  <c r="Y33" i="3"/>
  <c r="Y32" i="3"/>
  <c r="Y15" i="3"/>
  <c r="Y36" i="3"/>
  <c r="Y19" i="3"/>
  <c r="Y23" i="3"/>
  <c r="Y7" i="3"/>
  <c r="Y40" i="3"/>
  <c r="Y38" i="3"/>
  <c r="Y31" i="3"/>
  <c r="Y29" i="3"/>
  <c r="Y41" i="3"/>
  <c r="Y14" i="3"/>
  <c r="Y10" i="3"/>
  <c r="AC24" i="3"/>
  <c r="T24" i="3"/>
  <c r="AE36" i="3"/>
  <c r="AD36" i="3"/>
  <c r="AC11" i="3"/>
  <c r="T11" i="3"/>
  <c r="AE40" i="3"/>
  <c r="AD40" i="3"/>
  <c r="T35" i="3"/>
  <c r="AD32" i="3"/>
  <c r="AD28" i="3"/>
  <c r="AD24" i="3"/>
  <c r="T36" i="3"/>
  <c r="AD20" i="3"/>
  <c r="AD16" i="3"/>
  <c r="AD12" i="3"/>
  <c r="AC10" i="3"/>
  <c r="AD8" i="3"/>
  <c r="AE32" i="3"/>
  <c r="AE28" i="3"/>
  <c r="T12" i="3"/>
  <c r="AE35" i="3"/>
  <c r="T33" i="3"/>
  <c r="AE31" i="3"/>
  <c r="T32" i="3"/>
  <c r="AE27" i="3"/>
  <c r="T15" i="3"/>
  <c r="AE23" i="3"/>
  <c r="AE38" i="3"/>
  <c r="AE34" i="3"/>
  <c r="AC26" i="3"/>
  <c r="AE30" i="3"/>
  <c r="AE26" i="3"/>
  <c r="AC8" i="3"/>
  <c r="AE22" i="3"/>
  <c r="AC16" i="3"/>
  <c r="AE18" i="3"/>
  <c r="T9" i="3"/>
  <c r="AC27" i="3"/>
  <c r="AE14" i="3"/>
  <c r="T30" i="3"/>
  <c r="AC22" i="3"/>
  <c r="AE10" i="3"/>
  <c r="T21" i="3"/>
  <c r="AC13" i="3"/>
  <c r="AE24" i="3"/>
  <c r="AE20" i="3"/>
  <c r="AE16" i="3"/>
  <c r="AE12" i="3"/>
  <c r="AE8" i="3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S39" i="3"/>
  <c r="R39" i="3"/>
  <c r="M39" i="3"/>
  <c r="U39" i="3"/>
  <c r="AC39" i="3" s="1"/>
  <c r="V39" i="3"/>
  <c r="X39" i="3"/>
  <c r="S110" i="1" l="1"/>
  <c r="AE39" i="3"/>
  <c r="AD39" i="3"/>
  <c r="T39" i="3"/>
  <c r="W39" i="3"/>
  <c r="Y39" i="3" l="1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13" i="3" s="1"/>
  <c r="G34" i="4"/>
  <c r="G35" i="4"/>
  <c r="G36" i="4"/>
  <c r="G37" i="4"/>
  <c r="G38" i="4"/>
  <c r="G39" i="4"/>
  <c r="G40" i="4"/>
  <c r="G41" i="4"/>
  <c r="G42" i="4"/>
  <c r="N10" i="3" s="1"/>
  <c r="G43" i="4"/>
  <c r="G44" i="4"/>
  <c r="G45" i="4"/>
  <c r="G46" i="4"/>
  <c r="G47" i="4"/>
  <c r="N21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N14" i="3" s="1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N23" i="3" s="1"/>
  <c r="G87" i="4"/>
  <c r="G88" i="4"/>
  <c r="G89" i="4"/>
  <c r="N30" i="3" s="1"/>
  <c r="G90" i="4"/>
  <c r="G91" i="4"/>
  <c r="G92" i="4"/>
  <c r="G93" i="4"/>
  <c r="N27" i="3" s="1"/>
  <c r="G94" i="4"/>
  <c r="G95" i="4"/>
  <c r="N9" i="3" s="1"/>
  <c r="G96" i="4"/>
  <c r="G97" i="4"/>
  <c r="N41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29" i="3" s="1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8" i="3" s="1"/>
  <c r="G156" i="4"/>
  <c r="N12" i="3" s="1"/>
  <c r="G157" i="4"/>
  <c r="N31" i="3" s="1"/>
  <c r="G158" i="4"/>
  <c r="G159" i="4"/>
  <c r="G160" i="4"/>
  <c r="G161" i="4"/>
  <c r="G162" i="4"/>
  <c r="G163" i="4"/>
  <c r="G164" i="4"/>
  <c r="N37" i="3" s="1"/>
  <c r="G165" i="4"/>
  <c r="G166" i="4"/>
  <c r="N17" i="3" s="1"/>
  <c r="G167" i="4"/>
  <c r="G168" i="4"/>
  <c r="G169" i="4"/>
  <c r="N32" i="3" s="1"/>
  <c r="G170" i="4"/>
  <c r="G171" i="4"/>
  <c r="G172" i="4"/>
  <c r="G173" i="4"/>
  <c r="G174" i="4"/>
  <c r="G175" i="4"/>
  <c r="G176" i="4"/>
  <c r="G177" i="4"/>
  <c r="G178" i="4"/>
  <c r="N20" i="3" s="1"/>
  <c r="G179" i="4"/>
  <c r="G180" i="4"/>
  <c r="G181" i="4"/>
  <c r="N33" i="3" s="1"/>
  <c r="G182" i="4"/>
  <c r="G183" i="4"/>
  <c r="G184" i="4"/>
  <c r="N39" i="3" s="1"/>
  <c r="G185" i="4"/>
  <c r="N24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25" i="3" s="1"/>
  <c r="G200" i="4"/>
  <c r="G201" i="4"/>
  <c r="G202" i="4"/>
  <c r="G203" i="4"/>
  <c r="G204" i="4"/>
  <c r="N34" i="3" s="1"/>
  <c r="G205" i="4"/>
  <c r="G206" i="4"/>
  <c r="G207" i="4"/>
  <c r="G208" i="4"/>
  <c r="G209" i="4"/>
  <c r="G210" i="4"/>
  <c r="N35" i="3" s="1"/>
  <c r="G211" i="4"/>
  <c r="N11" i="3" s="1"/>
  <c r="G212" i="4"/>
  <c r="G213" i="4"/>
  <c r="G214" i="4"/>
  <c r="G215" i="4"/>
  <c r="G216" i="4"/>
  <c r="G217" i="4"/>
  <c r="N40" i="3" s="1"/>
  <c r="G218" i="4"/>
  <c r="G219" i="4"/>
  <c r="G220" i="4"/>
  <c r="G221" i="4"/>
  <c r="G222" i="4"/>
  <c r="G223" i="4"/>
  <c r="G2" i="4"/>
  <c r="N7" i="3" l="1"/>
  <c r="N22" i="3"/>
  <c r="N38" i="3"/>
  <c r="N26" i="3"/>
  <c r="N28" i="3"/>
  <c r="N36" i="3"/>
  <c r="N18" i="3"/>
  <c r="N15" i="3"/>
  <c r="N19" i="3"/>
  <c r="N1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<sst xmlns="http://schemas.openxmlformats.org/spreadsheetml/2006/main" count="2809" uniqueCount="1046">
  <si>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</si>
  <si>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</si>
  <si>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</si>
  <si>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</si>
  <si>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</si>
  <si>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</si>
  <si>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</si>
  <si>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</si>
  <si>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</si>
  <si>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</si>
  <si>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</si>
  <si>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</si>
  <si>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</si>
  <si>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</si>
  <si>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</si>
  <si>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</si>
  <si>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</si>
  <si>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</si>
  <si>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</si>
  <si>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</si>
  <si>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</si>
  <si>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</si>
  <si>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</si>
  <si>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</si>
  <si>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</si>
  <si>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</si>
  <si>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</si>
  <si>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</si>
  <si>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</si>
  <si>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</si>
  <si>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</si>
  <si>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</si>
  <si>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</si>
  <si>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</si>
  <si>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</si>
  <si>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</si>
  <si>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</si>
  <si>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</si>
  <si>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</si>
  <si>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</si>
  <si>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</si>
  <si>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</si>
  <si>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</si>
  <si>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</si>
  <si>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</si>
  <si>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</si>
  <si>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</si>
  <si>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</si>
  <si>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</si>
  <si>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</si>
  <si>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</si>
  <si>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</si>
  <si>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</si>
  <si>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</si>
  <si>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</si>
  <si>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</si>
  <si>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</si>
  <si>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</si>
  <si>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</si>
  <si>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</si>
  <si>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</si>
  <si>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</si>
  <si>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</si>
  <si>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</si>
  <si>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</si>
  <si>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</si>
  <si>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</si>
  <si>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</si>
  <si>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</si>
  <si>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</si>
  <si>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</si>
  <si>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</si>
  <si>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</si>
  <si>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</si>
  <si>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</si>
  <si>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</si>
  <si>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</si>
  <si>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</si>
  <si>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</si>
  <si>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</si>
  <si>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</si>
  <si>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</si>
  <si>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</si>
  <si>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</si>
  <si>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</si>
  <si>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</si>
  <si>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</si>
  <si>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</si>
  <si>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</si>
  <si>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</si>
  <si>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</si>
  <si>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</si>
  <si>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</si>
  <si>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</si>
  <si>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</si>
  <si>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</si>
  <si>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</si>
  <si>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</si>
  <si>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</si>
  <si>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</si>
  <si>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</si>
  <si>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</si>
  <si>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</si>
  <si>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</si>
  <si>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</si>
  <si>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</si>
  <si>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</si>
  <si>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</si>
  <si>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</si>
  <si>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</si>
  <si>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</si>
  <si>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</si>
  <si>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</si>
  <si>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</si>
  <si>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</si>
  <si>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</si>
  <si>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</si>
  <si>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</si>
  <si>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</si>
  <si>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</si>
  <si>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</si>
  <si>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</si>
  <si>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</si>
  <si>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</si>
  <si>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</si>
  <si>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</si>
  <si>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</si>
  <si>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</si>
  <si>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</si>
  <si>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</si>
  <si>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</si>
  <si>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</si>
  <si>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</si>
  <si>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</si>
  <si>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</si>
  <si>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</si>
  <si>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</si>
  <si>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</si>
  <si>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</si>
  <si>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</si>
  <si>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</si>
  <si>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</si>
  <si>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</si>
  <si>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</si>
  <si>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</si>
  <si>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</si>
  <si>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</si>
  <si>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</si>
  <si>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</si>
  <si>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</si>
  <si>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</si>
  <si>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</si>
  <si>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</si>
  <si>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</si>
  <si>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</si>
  <si>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</si>
  <si>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</si>
  <si>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</si>
  <si>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</si>
  <si>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</si>
  <si>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</si>
  <si>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</si>
  <si>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</si>
  <si>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</si>
  <si>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</si>
  <si>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</si>
  <si>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</si>
  <si>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</si>
  <si>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</si>
  <si>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</si>
  <si>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</si>
  <si>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</si>
  <si>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</si>
  <si>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</si>
  <si>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</si>
  <si>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</si>
  <si>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</si>
  <si>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</si>
  <si>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</si>
  <si>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</si>
  <si>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</si>
  <si>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</si>
  <si>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</si>
  <si>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</si>
  <si>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</si>
  <si>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</si>
  <si>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</si>
  <si>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</si>
  <si>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</si>
  <si>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</si>
  <si>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</si>
  <si>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</si>
  <si>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</si>
  <si>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</si>
  <si>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</si>
  <si>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</si>
  <si>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</si>
  <si>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</si>
  <si>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</si>
  <si>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</si>
  <si>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</si>
  <si>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</si>
  <si>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</si>
  <si>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</si>
  <si>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</si>
  <si>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</si>
  <si>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</si>
  <si>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</si>
  <si>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</si>
  <si>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</si>
  <si>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</si>
  <si>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</si>
  <si>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</si>
  <si>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</si>
  <si>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</si>
  <si>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</si>
  <si>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</si>
  <si>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</si>
  <si>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</si>
  <si>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</si>
  <si>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</si>
  <si>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</si>
  <si>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</si>
  <si>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</si>
  <si>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</si>
  <si>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</si>
  <si>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</si>
  <si>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</si>
  <si>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</si>
  <si>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</si>
  <si>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</si>
  <si>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</si>
  <si>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</si>
  <si>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</si>
  <si>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</si>
  <si>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</si>
  <si>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</si>
  <si>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</si>
  <si>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</si>
  <si>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</si>
  <si>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</si>
  <si>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</si>
  <si>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</si>
  <si>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</si>
  <si>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</si>
  <si>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</si>
  <si>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</si>
  <si>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</si>
  <si>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</si>
  <si>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</si>
  <si>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</si>
  <si>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</si>
  <si>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</si>
  <si>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</si>
  <si>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</si>
  <si>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</si>
  <si>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</si>
  <si>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</si>
  <si>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</si>
  <si>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</si>
  <si>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</si>
  <si>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</si>
  <si>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</si>
  <si>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</si>
  <si>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</si>
  <si>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</si>
  <si>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</si>
  <si>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</si>
  <si>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</si>
  <si>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</si>
  <si>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</si>
  <si>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</si>
  <si>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</si>
  <si>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</si>
  <si>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</si>
  <si>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</si>
  <si>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</si>
  <si>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</si>
  <si>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</si>
  <si>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</si>
  <si>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</si>
  <si>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</si>
  <si>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</si>
  <si>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</si>
  <si>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</si>
  <si>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</si>
  <si>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</si>
  <si>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</si>
  <si>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</si>
  <si>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</si>
  <si>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</si>
  <si>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</si>
  <si>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</si>
  <si>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</si>
  <si>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</si>
  <si>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</si>
  <si>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</si>
  <si>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</si>
  <si>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</si>
  <si>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</si>
  <si>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</si>
  <si>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</si>
  <si>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</si>
  <si>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</si>
  <si>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</si>
  <si>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</si>
  <si>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</si>
  <si>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</si>
  <si>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</si>
  <si>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</si>
  <si>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</si>
  <si>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</si>
  <si>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</si>
  <si>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</si>
  <si>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</si>
  <si>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</si>
  <si>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</si>
  <si>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</si>
  <si>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</si>
  <si>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</si>
  <si>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</si>
  <si>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</si>
  <si>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</si>
  <si>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</si>
  <si>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</si>
  <si>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</si>
  <si>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</si>
  <si>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</si>
  <si>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</si>
  <si>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</si>
  <si>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</si>
  <si>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</si>
  <si>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</si>
  <si>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</si>
  <si>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</si>
  <si>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</si>
  <si>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</si>
  <si>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</si>
  <si>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</si>
  <si>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</si>
  <si>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</si>
  <si>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</si>
  <si>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</si>
  <si>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</si>
  <si>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</si>
  <si>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</si>
  <si>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</si>
  <si>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</si>
  <si>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</si>
  <si>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</si>
  <si>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</si>
  <si>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</si>
  <si>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</si>
  <si>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</si>
  <si>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</si>
  <si>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</si>
  <si>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</si>
  <si>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</si>
  <si>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</si>
  <si>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</si>
  <si>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</si>
  <si>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</si>
  <si>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</si>
  <si>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</si>
  <si>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</si>
  <si>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</si>
  <si>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</si>
  <si>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204:451</t>
  </si>
  <si>
    <t>204:233312</t>
  </si>
  <si>
    <t>204:471</t>
  </si>
  <si>
    <t>STAMBAUGH</t>
  </si>
  <si>
    <t>204:154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</si>
  <si>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</si>
  <si>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</si>
  <si>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</si>
  <si>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</si>
  <si>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</si>
  <si>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</si>
  <si>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</si>
  <si>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</si>
  <si>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ANDERS</t>
  </si>
  <si>
    <t>STEVEN</t>
  </si>
  <si>
    <t>204:233291</t>
  </si>
  <si>
    <t>204:467</t>
  </si>
  <si>
    <t>204:473</t>
  </si>
  <si>
    <t>rtdc.l.rtdc.4055:itc</t>
  </si>
  <si>
    <t>MICHAEL</t>
  </si>
  <si>
    <t>204:233302</t>
  </si>
  <si>
    <t>clear-night</t>
  </si>
  <si>
    <t>Clear</t>
  </si>
  <si>
    <t>rtdc.l.rtdc.4066:itc</t>
  </si>
  <si>
    <t>rtdc.l.rtdc.4065:itc</t>
  </si>
  <si>
    <t>MCREYNOLDS</t>
  </si>
  <si>
    <t>KYLE</t>
  </si>
  <si>
    <t>204:233314</t>
  </si>
  <si>
    <t>%REDMINEAPIKEY%</t>
  </si>
  <si>
    <t>204:464</t>
  </si>
  <si>
    <t>204:232991</t>
  </si>
  <si>
    <t>rtdc.l.rtdc.4052:itc</t>
  </si>
  <si>
    <t>rtdc.l.rtdc.4051:itc</t>
  </si>
  <si>
    <t>STEWART</t>
  </si>
  <si>
    <t>204:232985</t>
  </si>
  <si>
    <t>204:232994</t>
  </si>
  <si>
    <t>clear-day</t>
  </si>
  <si>
    <t>204:442</t>
  </si>
  <si>
    <t>204:232965</t>
  </si>
  <si>
    <t>204:462</t>
  </si>
  <si>
    <t>204:232989</t>
  </si>
  <si>
    <t>204:232987</t>
  </si>
  <si>
    <t>300:23346</t>
  </si>
  <si>
    <t>SIGNAL</t>
  </si>
  <si>
    <t>Signal based authority (5)</t>
  </si>
  <si>
    <t>rtdc.l.rtdc.4001:itc</t>
  </si>
  <si>
    <t>rtdc.l.rtdc.4002:itc</t>
  </si>
  <si>
    <t>204:138</t>
  </si>
  <si>
    <t>204:440</t>
  </si>
  <si>
    <t>204:444</t>
  </si>
  <si>
    <t>204:233023</t>
  </si>
  <si>
    <t>204:233299</t>
  </si>
  <si>
    <t>204:136</t>
  </si>
  <si>
    <t>204:233332</t>
  </si>
  <si>
    <t>204:141</t>
  </si>
  <si>
    <t>Wi-MAX data drop</t>
  </si>
  <si>
    <t>rtdc.l.rtdc.4008:itc</t>
  </si>
  <si>
    <t>204:233297</t>
  </si>
  <si>
    <t>rtdc.l.rtdc.4060:itc</t>
  </si>
  <si>
    <t>rtdc.l.rtdc.4020:itc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</si>
  <si>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</si>
  <si>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</si>
  <si>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</si>
  <si>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</si>
  <si>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</si>
  <si>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</si>
  <si>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</si>
  <si>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204:232996</t>
  </si>
  <si>
    <t>204:469</t>
  </si>
  <si>
    <t>204:233288</t>
  </si>
  <si>
    <t>204:233293</t>
  </si>
  <si>
    <t>204:233311</t>
  </si>
  <si>
    <t>204:232998</t>
  </si>
  <si>
    <t>204:233327</t>
  </si>
  <si>
    <t>204:232980</t>
  </si>
  <si>
    <t>DE LA ROSA</t>
  </si>
  <si>
    <t>ALEX</t>
  </si>
  <si>
    <t>BRUDER</t>
  </si>
  <si>
    <t>RICHARD</t>
  </si>
  <si>
    <t>ROBINSON</t>
  </si>
  <si>
    <t>KADDIBA</t>
  </si>
  <si>
    <t>MOSES</t>
  </si>
  <si>
    <t>BRADLEY</t>
  </si>
  <si>
    <t>BIRKHOLZ</t>
  </si>
  <si>
    <t>NADINE</t>
  </si>
  <si>
    <t>204:233002</t>
  </si>
  <si>
    <t>204:232988</t>
  </si>
  <si>
    <t>204:132</t>
  </si>
  <si>
    <t>300:58958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</si>
  <si>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</si>
  <si>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</si>
  <si>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</si>
  <si>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</si>
  <si>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</si>
  <si>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</si>
  <si>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rtdc.l.rtdc.4043:itc</t>
  </si>
  <si>
    <t>rtdc.l.rtdc.4044:itc</t>
  </si>
  <si>
    <t>DAVIS</t>
  </si>
  <si>
    <t>WENDY</t>
  </si>
  <si>
    <t>FORTUNATO</t>
  </si>
  <si>
    <t>FRANK</t>
  </si>
  <si>
    <t>GEBRETEKLE</t>
  </si>
  <si>
    <t>DAGNEW</t>
  </si>
  <si>
    <t>PAGE</t>
  </si>
  <si>
    <t>MARCUS</t>
  </si>
  <si>
    <t>rtdc.l.rtdc.4006:itc</t>
  </si>
  <si>
    <t>BERLING</t>
  </si>
  <si>
    <t>GARY</t>
  </si>
  <si>
    <t>HOLCOMB</t>
  </si>
  <si>
    <t>KAMDEN</t>
  </si>
  <si>
    <t>DELGADO</t>
  </si>
  <si>
    <t>DIANAH</t>
  </si>
  <si>
    <t>ZEWDU</t>
  </si>
  <si>
    <t>DEREJE</t>
  </si>
  <si>
    <t>204:134</t>
  </si>
  <si>
    <t>204:233309</t>
  </si>
  <si>
    <t>204:232982</t>
  </si>
  <si>
    <t>204:233013</t>
  </si>
  <si>
    <t>204:232986</t>
  </si>
  <si>
    <t>204:233334</t>
  </si>
  <si>
    <t>204:233318</t>
  </si>
  <si>
    <t>204:232984</t>
  </si>
  <si>
    <t>204:163</t>
  </si>
  <si>
    <t>204:233307</t>
  </si>
  <si>
    <t>204:233308</t>
  </si>
  <si>
    <t>204:233321</t>
  </si>
  <si>
    <t>204:233000</t>
  </si>
  <si>
    <t>204:233301</t>
  </si>
  <si>
    <t>204:466</t>
  </si>
  <si>
    <t>204:233317</t>
  </si>
  <si>
    <t>204:484</t>
  </si>
  <si>
    <t>300:23312</t>
  </si>
  <si>
    <t>204:701</t>
  </si>
  <si>
    <t>204:703</t>
  </si>
  <si>
    <t>300:58615</t>
  </si>
  <si>
    <t>300:58626</t>
  </si>
  <si>
    <t>204:677</t>
  </si>
  <si>
    <t>rtdc.l.rtdc.4015:itc</t>
  </si>
  <si>
    <t>rtdc.l.rtdc.4058:itc</t>
  </si>
  <si>
    <t>rtdc.l.rtdc.4024:itc</t>
  </si>
  <si>
    <t>rtdc.l.rtdc.4023:itc</t>
  </si>
  <si>
    <t>rtdc.l.rtdc.4057:itc</t>
  </si>
  <si>
    <t>rtdc.l.rtdc.4031:itc</t>
  </si>
  <si>
    <t>837-19</t>
  </si>
  <si>
    <t>216-19</t>
  </si>
  <si>
    <t>226-19</t>
  </si>
  <si>
    <t>MAELZER</t>
  </si>
  <si>
    <t>KURT</t>
  </si>
  <si>
    <t>WILLIAMS</t>
  </si>
  <si>
    <t>DONTE</t>
  </si>
  <si>
    <t>rtdc.l.rtdc.4016:itc</t>
  </si>
  <si>
    <t>rtdc.l.rtdc.4013:itc</t>
  </si>
  <si>
    <t>rtdc.l.rtdc.4014:itc</t>
  </si>
  <si>
    <t>GONZALEZ</t>
  </si>
  <si>
    <t>ARMANDO</t>
  </si>
  <si>
    <t>BADERTSCHER</t>
  </si>
  <si>
    <t>DIANE</t>
  </si>
  <si>
    <t>KILLION</t>
  </si>
  <si>
    <t>DAVID</t>
  </si>
  <si>
    <t>rtdc.l.rtdc.4032:itc</t>
  </si>
  <si>
    <t>196-19</t>
  </si>
  <si>
    <t>203-19</t>
  </si>
  <si>
    <t>830-19</t>
  </si>
  <si>
    <t>831-19</t>
  </si>
  <si>
    <t>198-19</t>
  </si>
  <si>
    <t>205-19</t>
  </si>
  <si>
    <t>200-19</t>
  </si>
  <si>
    <t>207-19</t>
  </si>
  <si>
    <t>75-19</t>
  </si>
  <si>
    <t>832-19</t>
  </si>
  <si>
    <t>202-19</t>
  </si>
  <si>
    <t>833-19</t>
  </si>
  <si>
    <t>209-19</t>
  </si>
  <si>
    <t>77-19</t>
  </si>
  <si>
    <t>204-19</t>
  </si>
  <si>
    <t>211-19</t>
  </si>
  <si>
    <t>834-19</t>
  </si>
  <si>
    <t>835-19</t>
  </si>
  <si>
    <t>206-19</t>
  </si>
  <si>
    <t>213-19</t>
  </si>
  <si>
    <t>79-19</t>
  </si>
  <si>
    <t>NICHOLSON</t>
  </si>
  <si>
    <t>WESLEY</t>
  </si>
  <si>
    <t>208-19</t>
  </si>
  <si>
    <t>215-19</t>
  </si>
  <si>
    <t>836-19</t>
  </si>
  <si>
    <t>210-19</t>
  </si>
  <si>
    <t>217-19</t>
  </si>
  <si>
    <t>ELBAUM</t>
  </si>
  <si>
    <t>MIKE</t>
  </si>
  <si>
    <t>212-19</t>
  </si>
  <si>
    <t>219-19</t>
  </si>
  <si>
    <t>838-19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</si>
  <si>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</si>
  <si>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</si>
  <si>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</si>
  <si>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</si>
  <si>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</si>
  <si>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</si>
  <si>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</si>
  <si>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</si>
  <si>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</si>
  <si>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</si>
  <si>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</si>
  <si>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</si>
  <si>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</si>
  <si>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</si>
  <si>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</si>
  <si>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</si>
  <si>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</si>
  <si>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</si>
  <si>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</si>
  <si>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</si>
  <si>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</si>
  <si>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</si>
  <si>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</si>
  <si>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</si>
  <si>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</si>
  <si>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</si>
  <si>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</si>
  <si>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</si>
  <si>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</si>
  <si>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</si>
  <si>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</si>
  <si>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</si>
  <si>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</si>
  <si>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</si>
  <si>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</si>
  <si>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</si>
  <si>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</si>
  <si>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</si>
  <si>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</si>
  <si>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</si>
  <si>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</si>
  <si>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</si>
  <si>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</si>
  <si>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</si>
  <si>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</si>
  <si>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</si>
  <si>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</si>
  <si>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</si>
  <si>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</si>
  <si>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</si>
  <si>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</si>
  <si>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</si>
  <si>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204:165</t>
  </si>
  <si>
    <t>204:232978</t>
  </si>
  <si>
    <t>204:232973</t>
  </si>
  <si>
    <t>204:233340</t>
  </si>
  <si>
    <t>204:435</t>
  </si>
  <si>
    <t>204:232969</t>
  </si>
  <si>
    <t>204:233304</t>
  </si>
  <si>
    <t>204:233305</t>
  </si>
  <si>
    <t>204:167</t>
  </si>
  <si>
    <t>204:233319</t>
  </si>
  <si>
    <t>204:233280</t>
  </si>
  <si>
    <t>204:429</t>
  </si>
  <si>
    <t>204:233355</t>
  </si>
  <si>
    <t>204:233049</t>
  </si>
  <si>
    <t>204:233264</t>
  </si>
  <si>
    <t>204:129</t>
  </si>
  <si>
    <t>204:233336</t>
  </si>
  <si>
    <t>300:23306</t>
  </si>
  <si>
    <t>204:967</t>
  </si>
  <si>
    <t>300:58988</t>
  </si>
  <si>
    <t>300:58935</t>
  </si>
  <si>
    <t>204:720</t>
  </si>
  <si>
    <t>204:979</t>
  </si>
  <si>
    <t>300:58600</t>
  </si>
  <si>
    <t>300:58624</t>
  </si>
  <si>
    <t>rtdc.l.rtdc.4025:itc</t>
  </si>
  <si>
    <t>300-22</t>
  </si>
  <si>
    <t>108-22</t>
  </si>
  <si>
    <t>rtdc.l.rtdc.4028:itc</t>
  </si>
  <si>
    <t>119-22</t>
  </si>
  <si>
    <t>116-22</t>
  </si>
  <si>
    <t>rtdc.l.rtdc.4027:itc</t>
  </si>
  <si>
    <t>120-22</t>
  </si>
  <si>
    <t>rtdc.l.rtdc.4036:itc</t>
  </si>
  <si>
    <t>139-22</t>
  </si>
  <si>
    <t>1809-22</t>
  </si>
  <si>
    <t>144-22</t>
  </si>
  <si>
    <t>1810-22</t>
  </si>
  <si>
    <t>rtdc.l.rtdc.4061:itc</t>
  </si>
  <si>
    <t>62-22</t>
  </si>
  <si>
    <t>152-22</t>
  </si>
  <si>
    <t>175-22</t>
  </si>
  <si>
    <t>1817-22</t>
  </si>
  <si>
    <t>1821-22</t>
  </si>
  <si>
    <t>rtdc.l.rtdc.4035:itc</t>
  </si>
  <si>
    <t>196-22</t>
  </si>
  <si>
    <t>1822-22</t>
  </si>
  <si>
    <t>rtdc.l.rtdc.4019:itc</t>
  </si>
  <si>
    <t>198-22</t>
  </si>
  <si>
    <t>203-22</t>
  </si>
  <si>
    <t>1823-22</t>
  </si>
  <si>
    <t>209-22</t>
  </si>
  <si>
    <t>1824-22</t>
  </si>
  <si>
    <t>1825-22</t>
  </si>
  <si>
    <t>217-22</t>
  </si>
  <si>
    <t>1826-22</t>
  </si>
  <si>
    <t>221-22</t>
  </si>
  <si>
    <t>229-22</t>
  </si>
  <si>
    <t>1832-22</t>
  </si>
  <si>
    <t>1834-22</t>
  </si>
  <si>
    <t>237-22</t>
  </si>
  <si>
    <t>1902-22</t>
  </si>
  <si>
    <t>307-21</t>
  </si>
  <si>
    <t>244-21</t>
  </si>
  <si>
    <t>rtdc.l.rtdc.4050:itc</t>
  </si>
  <si>
    <t>309-21</t>
  </si>
  <si>
    <t>246-21</t>
  </si>
  <si>
    <t>311-21</t>
  </si>
  <si>
    <t>313-21</t>
  </si>
  <si>
    <t>rtdc.l.rtdc.4026:itc</t>
  </si>
  <si>
    <t>51-22</t>
  </si>
  <si>
    <t>101-22</t>
  </si>
  <si>
    <t>52-22</t>
  </si>
  <si>
    <t>302-22</t>
  </si>
  <si>
    <t>103-22</t>
  </si>
  <si>
    <t>304-22</t>
  </si>
  <si>
    <t>102-22</t>
  </si>
  <si>
    <t>306-22</t>
  </si>
  <si>
    <t>BARRON</t>
  </si>
  <si>
    <t>PERLA</t>
  </si>
  <si>
    <t>105-22</t>
  </si>
  <si>
    <t>53-22</t>
  </si>
  <si>
    <t>308-22</t>
  </si>
  <si>
    <t>54-22</t>
  </si>
  <si>
    <t>107-22</t>
  </si>
  <si>
    <t>104-22</t>
  </si>
  <si>
    <t>1502-22</t>
  </si>
  <si>
    <t>109-22</t>
  </si>
  <si>
    <t>310-22</t>
  </si>
  <si>
    <t>111-22</t>
  </si>
  <si>
    <t>106-22</t>
  </si>
  <si>
    <t>113-22</t>
  </si>
  <si>
    <t>1901-22</t>
  </si>
  <si>
    <t>MACDONALD</t>
  </si>
  <si>
    <t>THOMAS</t>
  </si>
  <si>
    <t>110-22</t>
  </si>
  <si>
    <t>312-22</t>
  </si>
  <si>
    <t>LAMAR</t>
  </si>
  <si>
    <t>NEKESHA</t>
  </si>
  <si>
    <t>115-22</t>
  </si>
  <si>
    <t>1800-22</t>
  </si>
  <si>
    <t>112-22</t>
  </si>
  <si>
    <t>117-22</t>
  </si>
  <si>
    <t>55-22</t>
  </si>
  <si>
    <t>BROWN</t>
  </si>
  <si>
    <t>JACOB</t>
  </si>
  <si>
    <t>56-22</t>
  </si>
  <si>
    <t>1801-22</t>
  </si>
  <si>
    <t>114-22</t>
  </si>
  <si>
    <t>121-22</t>
  </si>
  <si>
    <t>1802-22</t>
  </si>
  <si>
    <t>123-22</t>
  </si>
  <si>
    <t>125-22</t>
  </si>
  <si>
    <t>118-22</t>
  </si>
  <si>
    <t>60-22</t>
  </si>
  <si>
    <t>122-22</t>
  </si>
  <si>
    <t>127-22</t>
  </si>
  <si>
    <t>1803-22</t>
  </si>
  <si>
    <t>124-22</t>
  </si>
  <si>
    <t>129-22</t>
  </si>
  <si>
    <t>126-22</t>
  </si>
  <si>
    <t>131-22</t>
  </si>
  <si>
    <t>ROMERO</t>
  </si>
  <si>
    <t>CHAD</t>
  </si>
  <si>
    <t>1804-22</t>
  </si>
  <si>
    <t>133-22</t>
  </si>
  <si>
    <t>128-22</t>
  </si>
  <si>
    <t>135-22</t>
  </si>
  <si>
    <t>130-22</t>
  </si>
  <si>
    <t>1805-22</t>
  </si>
  <si>
    <t>132-22</t>
  </si>
  <si>
    <t>137-22</t>
  </si>
  <si>
    <t>1806-22</t>
  </si>
  <si>
    <t>134-22</t>
  </si>
  <si>
    <t>136-22</t>
  </si>
  <si>
    <t>141-22</t>
  </si>
  <si>
    <t>138-22</t>
  </si>
  <si>
    <t>143-22</t>
  </si>
  <si>
    <t>1807-22</t>
  </si>
  <si>
    <t>145-22</t>
  </si>
  <si>
    <t>140-22</t>
  </si>
  <si>
    <t>1808-22</t>
  </si>
  <si>
    <t>147-22</t>
  </si>
  <si>
    <t>142-22</t>
  </si>
  <si>
    <t>149-22</t>
  </si>
  <si>
    <t>151-22</t>
  </si>
  <si>
    <t>153-22</t>
  </si>
  <si>
    <t>146-22</t>
  </si>
  <si>
    <t>148-22</t>
  </si>
  <si>
    <t>155-22</t>
  </si>
  <si>
    <t>150-22</t>
  </si>
  <si>
    <t>157-22</t>
  </si>
  <si>
    <t>159-22</t>
  </si>
  <si>
    <t>154-22</t>
  </si>
  <si>
    <t>1811-22</t>
  </si>
  <si>
    <t>161-22</t>
  </si>
  <si>
    <t>156-22</t>
  </si>
  <si>
    <t>163-22</t>
  </si>
  <si>
    <t>SAFIEF</t>
  </si>
  <si>
    <t>AEIMEN</t>
  </si>
  <si>
    <t>1812-22</t>
  </si>
  <si>
    <t>158-22</t>
  </si>
  <si>
    <t>165-22</t>
  </si>
  <si>
    <t>GUZMAN</t>
  </si>
  <si>
    <t>DANNY</t>
  </si>
  <si>
    <t>160-22</t>
  </si>
  <si>
    <t>rtdc.l.rtdc.4062:itc</t>
  </si>
  <si>
    <t>61-22</t>
  </si>
  <si>
    <t>167-22</t>
  </si>
  <si>
    <t>162-22</t>
  </si>
  <si>
    <t>1813-22</t>
  </si>
  <si>
    <t>164-22</t>
  </si>
  <si>
    <t>169-22</t>
  </si>
  <si>
    <t>166-22</t>
  </si>
  <si>
    <t>171-22</t>
  </si>
  <si>
    <t>1814-22</t>
  </si>
  <si>
    <t>173-22</t>
  </si>
  <si>
    <t>SMITH</t>
  </si>
  <si>
    <t>168-22</t>
  </si>
  <si>
    <t>170-22</t>
  </si>
  <si>
    <t>177-22</t>
  </si>
  <si>
    <t>1815-22</t>
  </si>
  <si>
    <t>172-22</t>
  </si>
  <si>
    <t>179-22</t>
  </si>
  <si>
    <t>1816-22</t>
  </si>
  <si>
    <t>174-22</t>
  </si>
  <si>
    <t>181-22</t>
  </si>
  <si>
    <t>176-22</t>
  </si>
  <si>
    <t>178-22</t>
  </si>
  <si>
    <t>183-22</t>
  </si>
  <si>
    <t>185-22</t>
  </si>
  <si>
    <t>180-22</t>
  </si>
  <si>
    <t>187-22</t>
  </si>
  <si>
    <t>1818-22</t>
  </si>
  <si>
    <t>189-22</t>
  </si>
  <si>
    <t>182-22</t>
  </si>
  <si>
    <t>184-22</t>
  </si>
  <si>
    <t>191-22</t>
  </si>
  <si>
    <t>1819-22</t>
  </si>
  <si>
    <t>186-22</t>
  </si>
  <si>
    <t>193-22</t>
  </si>
  <si>
    <t>188-22</t>
  </si>
  <si>
    <t>195-22</t>
  </si>
  <si>
    <t>1820-22</t>
  </si>
  <si>
    <t>190-22</t>
  </si>
  <si>
    <t>197-22</t>
  </si>
  <si>
    <t>192-22</t>
  </si>
  <si>
    <t>194-22</t>
  </si>
  <si>
    <t>199-22</t>
  </si>
  <si>
    <t>201-22</t>
  </si>
  <si>
    <t>75-22</t>
  </si>
  <si>
    <t>205-22</t>
  </si>
  <si>
    <t>200-22</t>
  </si>
  <si>
    <t>207-22</t>
  </si>
  <si>
    <t>202-22</t>
  </si>
  <si>
    <t>204-22</t>
  </si>
  <si>
    <t>77-22</t>
  </si>
  <si>
    <t>211-22</t>
  </si>
  <si>
    <t>206-22</t>
  </si>
  <si>
    <t>213-22</t>
  </si>
  <si>
    <t>208-22</t>
  </si>
  <si>
    <t>70-22</t>
  </si>
  <si>
    <t>WEST</t>
  </si>
  <si>
    <t>BRYAN</t>
  </si>
  <si>
    <t>215-22</t>
  </si>
  <si>
    <t>210-22</t>
  </si>
  <si>
    <t>212-22</t>
  </si>
  <si>
    <t>219-22</t>
  </si>
  <si>
    <t>301-22</t>
  </si>
  <si>
    <t>214-22</t>
  </si>
  <si>
    <t>216-22</t>
  </si>
  <si>
    <t>218-22</t>
  </si>
  <si>
    <t>1827-22</t>
  </si>
  <si>
    <t>303-22</t>
  </si>
  <si>
    <t>220-22</t>
  </si>
  <si>
    <t>1828-22</t>
  </si>
  <si>
    <t>223-22</t>
  </si>
  <si>
    <t>305-22</t>
  </si>
  <si>
    <t>222-22</t>
  </si>
  <si>
    <t>225-22</t>
  </si>
  <si>
    <t>1829-22</t>
  </si>
  <si>
    <t>224-22</t>
  </si>
  <si>
    <t>227-22</t>
  </si>
  <si>
    <t>1830-22</t>
  </si>
  <si>
    <t>226-22</t>
  </si>
  <si>
    <t>1831-22</t>
  </si>
  <si>
    <t>228-22</t>
  </si>
  <si>
    <t>231-22</t>
  </si>
  <si>
    <t>233-22</t>
  </si>
  <si>
    <t>230-22</t>
  </si>
  <si>
    <t>235-22</t>
  </si>
  <si>
    <t>1833-22</t>
  </si>
  <si>
    <t>232-22</t>
  </si>
  <si>
    <t>234-22</t>
  </si>
  <si>
    <t>1835-22</t>
  </si>
  <si>
    <t>CASSIDY</t>
  </si>
  <si>
    <t>BRANDON</t>
  </si>
  <si>
    <t>236-22</t>
  </si>
  <si>
    <t>239-22</t>
  </si>
  <si>
    <t>241-22</t>
  </si>
  <si>
    <t>238-22</t>
  </si>
  <si>
    <t>243-22</t>
  </si>
  <si>
    <t>240-22</t>
  </si>
  <si>
    <t>242-22</t>
  </si>
  <si>
    <t>313-22</t>
  </si>
  <si>
    <t>244-22</t>
  </si>
  <si>
    <t>307-22</t>
  </si>
  <si>
    <t>309-22</t>
  </si>
  <si>
    <t>311-22</t>
  </si>
  <si>
    <t>204:759</t>
  </si>
  <si>
    <t>204:426</t>
  </si>
  <si>
    <t>204:233324</t>
  </si>
  <si>
    <t>204:233009</t>
  </si>
  <si>
    <t>204:232975</t>
  </si>
  <si>
    <t>204:233011</t>
  </si>
  <si>
    <t>204:233338</t>
  </si>
  <si>
    <t>204:233270</t>
  </si>
  <si>
    <t>204:232957</t>
  </si>
  <si>
    <t>204:478</t>
  </si>
  <si>
    <t>204:233284</t>
  </si>
  <si>
    <t>204:232946</t>
  </si>
  <si>
    <t>204:232992</t>
  </si>
  <si>
    <t>204:170</t>
  </si>
  <si>
    <t>204:233341</t>
  </si>
  <si>
    <t>204:233005</t>
  </si>
  <si>
    <t>204:233003</t>
  </si>
  <si>
    <t>204:169</t>
  </si>
  <si>
    <t>204:88173</t>
  </si>
  <si>
    <t>204:233015</t>
  </si>
  <si>
    <t>204:232953</t>
  </si>
  <si>
    <t>204:232993</t>
  </si>
  <si>
    <t>300:26738</t>
  </si>
  <si>
    <t>300:9216</t>
  </si>
  <si>
    <t>204:475</t>
  </si>
  <si>
    <t>204:233323</t>
  </si>
  <si>
    <t>204:486</t>
  </si>
  <si>
    <t>204:233276</t>
  </si>
  <si>
    <t>204:233272</t>
  </si>
  <si>
    <t>204:233325</t>
  </si>
  <si>
    <t>204:233010</t>
  </si>
  <si>
    <t>204:130</t>
  </si>
  <si>
    <t>204:232964</t>
  </si>
  <si>
    <t>204:233289</t>
  </si>
  <si>
    <t>300:58598</t>
  </si>
  <si>
    <t>300:50793</t>
  </si>
  <si>
    <t>204:1007</t>
  </si>
  <si>
    <t>300:58912</t>
  </si>
  <si>
    <t>204:741</t>
  </si>
  <si>
    <t>204:1030</t>
  </si>
  <si>
    <t>300:58907</t>
  </si>
  <si>
    <t>300:58581</t>
  </si>
  <si>
    <t>204:771</t>
  </si>
  <si>
    <t>204:1063</t>
  </si>
  <si>
    <t>300:58905</t>
  </si>
  <si>
    <t>300:58585</t>
  </si>
  <si>
    <t>204:766</t>
  </si>
  <si>
    <t>204:1083</t>
  </si>
  <si>
    <t>204:995</t>
  </si>
  <si>
    <t>300:58928</t>
  </si>
  <si>
    <t>204:755</t>
  </si>
  <si>
    <t>204:1048</t>
  </si>
  <si>
    <t>300:58920</t>
  </si>
  <si>
    <t>300:58596</t>
  </si>
  <si>
    <t>204:729</t>
  </si>
  <si>
    <t>204:1049</t>
  </si>
  <si>
    <t>204:710</t>
  </si>
  <si>
    <t>204:1272</t>
  </si>
  <si>
    <t>300:58916</t>
  </si>
  <si>
    <t>300:57238</t>
  </si>
  <si>
    <t>300:57246</t>
  </si>
  <si>
    <t>204:752</t>
  </si>
  <si>
    <t>300:58698</t>
  </si>
  <si>
    <t>204:965</t>
  </si>
  <si>
    <t>300:59005</t>
  </si>
  <si>
    <t>300:58685</t>
  </si>
  <si>
    <t>204:682</t>
  </si>
  <si>
    <t>300:58681</t>
  </si>
  <si>
    <t>204:731</t>
  </si>
  <si>
    <t>204:1016</t>
  </si>
  <si>
    <t>300:58993</t>
  </si>
  <si>
    <t>300:58679</t>
  </si>
  <si>
    <t>204:976</t>
  </si>
  <si>
    <t>300:58649</t>
  </si>
  <si>
    <t>204:712</t>
  </si>
  <si>
    <t>300:59001</t>
  </si>
  <si>
    <t>300:58690</t>
  </si>
  <si>
    <t>300:58677</t>
  </si>
  <si>
    <t>204:1032</t>
  </si>
  <si>
    <t>300:58982</t>
  </si>
  <si>
    <t>300:58687</t>
  </si>
  <si>
    <t>204:689</t>
  </si>
  <si>
    <t>300:58933</t>
  </si>
  <si>
    <t>204:233343</t>
  </si>
  <si>
    <t>300:29687</t>
  </si>
  <si>
    <t>300:28770</t>
  </si>
  <si>
    <t>204:233004</t>
  </si>
  <si>
    <t>204:233320</t>
  </si>
  <si>
    <t>204:233019</t>
  </si>
  <si>
    <t>204:64172</t>
  </si>
  <si>
    <t>204:181</t>
  </si>
  <si>
    <t>204:104543</t>
  </si>
  <si>
    <t>204:233326</t>
  </si>
  <si>
    <t>204:233306</t>
  </si>
  <si>
    <t>204:232959</t>
  </si>
  <si>
    <t>204:233441</t>
  </si>
  <si>
    <t>204:233138</t>
  </si>
  <si>
    <t>204:118</t>
  </si>
  <si>
    <t>204:233300</t>
  </si>
  <si>
    <t>204:232972</t>
  </si>
  <si>
    <t>204:129686</t>
  </si>
  <si>
    <t>204:233366</t>
  </si>
  <si>
    <t>204:233040</t>
  </si>
  <si>
    <t>204:233436</t>
  </si>
  <si>
    <t>204:233142</t>
  </si>
  <si>
    <t>204:233331</t>
  </si>
  <si>
    <t>204:233006</t>
  </si>
  <si>
    <t>204:233385</t>
  </si>
  <si>
    <t>204:233038</t>
  </si>
  <si>
    <t>204:233027</t>
  </si>
  <si>
    <t>204:233361</t>
  </si>
  <si>
    <t>204:233045</t>
  </si>
  <si>
    <t>204:420</t>
  </si>
  <si>
    <t>204:415</t>
  </si>
  <si>
    <t>204:413</t>
  </si>
  <si>
    <t>204:233329</t>
  </si>
  <si>
    <t>204:233342</t>
  </si>
  <si>
    <t>204:233062</t>
  </si>
  <si>
    <t>300:19522</t>
  </si>
  <si>
    <t>204:502</t>
  </si>
  <si>
    <t>300:22058</t>
  </si>
  <si>
    <t>300:5147</t>
  </si>
  <si>
    <t>204:738</t>
  </si>
  <si>
    <t>300:23310</t>
  </si>
  <si>
    <t>300:23671</t>
  </si>
  <si>
    <t>300:18843</t>
  </si>
  <si>
    <t>300:23567</t>
  </si>
  <si>
    <t>300:23076</t>
  </si>
  <si>
    <t>204:431</t>
  </si>
  <si>
    <t>204:3354</t>
  </si>
  <si>
    <t>204:3020</t>
  </si>
  <si>
    <t>204:1162</t>
  </si>
  <si>
    <t>204:1477</t>
  </si>
  <si>
    <t>204:3307</t>
  </si>
  <si>
    <t>204:3004</t>
  </si>
  <si>
    <t>204:1483</t>
  </si>
  <si>
    <t>300:5412</t>
  </si>
  <si>
    <t>300:4952</t>
  </si>
  <si>
    <t>204:1167</t>
  </si>
  <si>
    <t>204:1170</t>
  </si>
  <si>
    <t>300:5323</t>
  </si>
  <si>
    <t>204:339</t>
  </si>
  <si>
    <t>300:24231</t>
  </si>
  <si>
    <t>300:23584</t>
  </si>
  <si>
    <t>204:1126</t>
  </si>
  <si>
    <t>204:1473</t>
  </si>
  <si>
    <t>204:1141</t>
  </si>
  <si>
    <t>start /low /b %USERPROFILE%\Documents\GitHub\eaglep3\Utilities\DownloadLogsFromS3.py --loco 4036 --day 2017-10-22</t>
  </si>
  <si>
    <t>start /low /b %USERPROFILE%\Documents\GitHub\eaglep3\Utilities\DownloadLogsFromS3.py --loco 4019 --day 2017-10-22</t>
  </si>
  <si>
    <t>start /low /b %USERPROFILE%\Documents\GitHub\eaglep3\Utilities\DownloadLogsFromS3.py --loco 4028 --day 2017-10-22</t>
  </si>
  <si>
    <t>start /low /b %USERPROFILE%\Documents\GitHub\eaglep3\Utilities\DownloadLogsFromS3.py --loco 4051 --day 2017-10-22</t>
  </si>
  <si>
    <t>start /low /b %USERPROFILE%\Documents\GitHub\eaglep3\Utilities\DownloadLogsFromS3.py --loco 4015 --day 2017-10-22</t>
  </si>
  <si>
    <t>start /low /b %USERPROFILE%\Documents\GitHub\eaglep3\Utilities\DownloadLogsFromS3.py --loco 4027 --day 2017-10-22</t>
  </si>
  <si>
    <t>start /low /b %USERPROFILE%\Documents\GitHub\eaglep3\Utilities\DownloadLogsFromS3.py --loco 4035 --day 2017-10-22</t>
  </si>
  <si>
    <t>start /low /b %USERPROFILE%\Documents\GitHub\eaglep3\Utilities\DownloadLogsFromS3.py --loco 4001 --day 2017-10-22</t>
  </si>
  <si>
    <t>start /low /b %USERPROFILE%\Documents\GitHub\eaglep3\Utilities\DownloadLogsFromS3.py --loco 4036 --day 2017-10-23</t>
  </si>
  <si>
    <t>start /low /b %USERPROFILE%\Documents\GitHub\eaglep3\Utilities\DownloadLogsFromS3.py --loco 4025 --day 2017-10-22</t>
  </si>
  <si>
    <t>start /low /b %USERPROFILE%\Documents\GitHub\eaglep3\Utilities\DownloadLogsFromS3.py --loco 4028 --day 2017-10-23</t>
  </si>
  <si>
    <t>start /low /b %USERPROFILE%\Documents\GitHub\eaglep3\Utilities\DownloadLogsFromS3.py --loco 4031 --day 2017-10-22</t>
  </si>
  <si>
    <t>start /low /b %USERPROFILE%\Documents\GitHub\eaglep3\Utilities\DownloadLogsFromS3.py --loco 4016 --day 2017-10-23</t>
  </si>
  <si>
    <t>start /low /b %USERPROFILE%\Documents\GitHub\eaglep3\Utilities\DownloadLogsFromS3.py --loco 4016 --day 2017-10-22</t>
  </si>
  <si>
    <t>start /low /b %USERPROFILE%\Documents\GitHub\eaglep3\Utilities\DownloadLogsFromS3.py --loco 4015 --day 2017-10-23</t>
  </si>
  <si>
    <t>Minor onboard en route failure required re-init prior to departure</t>
  </si>
  <si>
    <t>Banner without braking</t>
  </si>
  <si>
    <t>Operator hard cut-out, then re-initialized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</si>
</sst>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2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07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43030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43030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COUNTIFS($N$13:$N$9450,"&gt;0",$AG$13:$AG$9450,I1)</f>
        <v>142</v>
      </c>
      <c r="K5" s="39"/>
      <c r="L5" s="172"/>
      <c r="M5" s="40">
        <f>AVERAGEIFS($N$13:$N$9450,$AG$13:$AG$9450,I1)</f>
        <v>36.994600939592281</v>
      </c>
      <c r="N5" s="38">
        <f t="array" ref="N5">MIN(IF($AG$13:$AG$9450=I1,IF(ISNUMBER($N$13:$N$9450),IF($N$13:$N$9450&gt;0,$N$13:$N$9450))))</f>
        <v>33.999999995576218</v>
      </c>
      <c r="O5" s="3">
        <f t="array" ref="O5">MAX(IF($AG$13:$AG$9450=I1,IF(ISNUMBER($N$13:$N$9450),IF($N$13:$N$9450&gt;0,$N$13:$N$9450))))</f>
        <v>41.699999993434176</v>
      </c>
      <c r="P5" s="2"/>
      <c r="R5" s="163" t="s">
        <v>17</v>
      </c>
      <c r="S5" s="207">
        <f>COUNTIFS($N$13:$N$9450,"&gt;0",$AG$13:$AG$9450,R1)</f>
        <v>35</v>
      </c>
      <c r="T5" s="172"/>
      <c r="U5" s="195"/>
      <c r="V5" s="211">
        <f>AVERAGEIFS($N$13:$N$9450,$AG$13:$AG$9450,R1)</f>
        <v>13.81333333263839</v>
      </c>
      <c r="W5" s="212">
        <f t="array" ref="W5">MIN(IF($AG$13:$AG$9450=R1,IF(ISNUMBER($N$13:$N$9450),IF($N$13:$N$9450&gt;0,$N$13:$N$9450))))</f>
        <v>11.016666664509103</v>
      </c>
      <c r="X5" s="200">
        <f t="array" ref="X5">MAX(IF($AG$13:$AG$9450=R1,IF(ISNUMBER($N$13:$N$9450),IF($N$13:$N$9450&gt;0,$N$13:$N$9450))))</f>
        <v>20.61666666646488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COUNT($O$13:$O$208)</f>
        <v>0</v>
      </c>
      <c r="K6" s="39"/>
      <c r="L6" s="172"/>
      <c r="M6" s="40">
        <f>IFERROR(AVERAGE($O$13:$O$208),0)</f>
        <v>0</v>
      </c>
      <c r="N6" s="38">
        <f>MIN($O$13:$O$208)</f>
        <v>0</v>
      </c>
      <c r="O6" s="3">
        <f>MAX($O$13:$O$208)</f>
        <v>0</v>
      </c>
      <c r="P6" s="2"/>
      <c r="R6" s="164" t="s">
        <v>43</v>
      </c>
      <c r="S6" s="207">
        <f>COUNT($O$13:$O$208)</f>
        <v>0</v>
      </c>
      <c r="T6" s="172"/>
      <c r="U6" s="195"/>
      <c r="V6" s="211">
        <f>IFERROR(AVERAGE($O$13:$O$208),0)</f>
        <v>0</v>
      </c>
      <c r="W6" s="212">
        <f>MIN($O$13:$O$208)</f>
        <v>0</v>
      </c>
      <c r="X6" s="200">
        <f>MAX($O$13:$O$208)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COUNTIFS($P$13:$P$9450,"&gt;0",$AG$13:$AG$9450,I1)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COUNTIFS($P$13:$P$9450,"&gt;0",$AG$13:$AG$9450,R1)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36.994600939592281</v>
      </c>
      <c r="N8" s="38">
        <f>N5</f>
        <v>33.999999995576218</v>
      </c>
      <c r="O8" s="3">
        <f>O5</f>
        <v>41.699999993434176</v>
      </c>
      <c r="P8" s="2"/>
      <c r="R8" s="163" t="s">
        <v>16</v>
      </c>
      <c r="S8" s="207">
        <f>S5</f>
        <v>35</v>
      </c>
      <c r="T8" s="172"/>
      <c r="U8" s="195"/>
      <c r="V8" s="211">
        <f>V5</f>
        <v>13.81333333263839</v>
      </c>
      <c r="W8" s="212">
        <f>W5</f>
        <v>11.016666664509103</v>
      </c>
      <c r="X8" s="200">
        <f>X5</f>
        <v>20.61666666646488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0.97222222222222221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- 2017-10-22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AVERAGE(S13:S116)</f>
        <v>0.99838187702265369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683</v>
      </c>
      <c r="B13" s="7">
        <v>4036</v>
      </c>
      <c r="C13" s="21" t="s">
        <v>194</v>
      </c>
      <c r="D13" s="21" t="s">
        <v>881</v>
      </c>
      <c r="E13" s="13">
        <v>43030.12699074074</v>
      </c>
      <c r="F13" s="13">
        <v>43030.135613425926</v>
      </c>
      <c r="G13" s="7">
        <v>97</v>
      </c>
      <c r="H13" s="21" t="s">
        <v>382</v>
      </c>
      <c r="I13" s="13">
        <v>43030.159328703703</v>
      </c>
      <c r="J13" s="7">
        <v>0</v>
      </c>
      <c r="K13" s="89" t="str">
        <f>IF(ISEVEN(B13),(B13-1)&amp;"/"&amp;B13,B13&amp;"/"&amp;(B13+1))</f>
        <v>4035/4036</v>
      </c>
      <c r="L13" s="185" t="str">
        <f>VLOOKUP(A13,'Trips&amp;Operators'!$C$1:$G$99911,5,FALSE)</f>
        <v>DELGADO DIANAH</v>
      </c>
      <c r="M13" s="6">
        <f>I13-F13</f>
        <v>2.3715277777228039E-2</v>
      </c>
      <c r="N13" s="7">
        <f>24*60*SUM($M13:$M13)</f>
        <v>34.149999999208376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-22T02:02:52-0600',mode:absolute,to:'2017-10-22T04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7.5899999999999995E-2</v>
      </c>
      <c r="Z13" s="204">
        <f>RIGHT(H13,LEN(H13)-4)/10000</f>
        <v>23.3291</v>
      </c>
      <c r="AA13" s="204">
        <f>ABS(Z13-Y13)</f>
        <v>23.2532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/stypes="app*4036*20171022*"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4036 --swversion DE.1.0.9.0 --startMP 204:759 --initTime 2017-10-22T03:02:52 --startdatetime 2017-10-22T03:15:17 --delay 97 --endMP 204:233291 --enddatetime 2017-10-22T03:49:26 --enforcementcount 0 &gt;&gt;%USERPROFILE%\Documents\GitHub\eaglep3-reporting\EC\2017-10-22-refined-times.txt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{"issue":{"subject":"","project_id":79,"tracker_id":40,"status_id":1,"priority_id":2,"assigned_to_id":338,"start_date":"2017-10-22","description":"","custom_fields":[{"id":1,"name":"Subdivision","value":"EC"},{"id":4,"name":"Milepost","value":"23.3291"},{"id":17,"name":"Train ID","value":"101-22"},{"id":16,"name":"Locomotive ID","value":"4036"},{"id":130,"name":"Impact","value":""},{"id":150,"name":"Time of Event (Mountain Time)","value":"03:49:26"},{"id":151,"name":"Denver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4036 --day 2017-10-22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09:49:26"},{"id":29,"name":"Sharepoint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-22T02:02:52-0600',mode:absolute,to:'2017-10-22T04:49:26-0600'))&amp;_a=(columns:!('Message%20ID',Summary),filters:!(),index:'emp_*',interval:auto,query:(query_string:(analyze_wildcard:!t,query:'%22rtdc.l.rtdc.4036%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688</v>
      </c>
      <c r="B14" s="7">
        <v>4035</v>
      </c>
      <c r="C14" s="21" t="s">
        <v>194</v>
      </c>
      <c r="D14" s="21" t="s">
        <v>453</v>
      </c>
      <c r="E14" s="13">
        <v>43030.161400462966</v>
      </c>
      <c r="F14" s="13">
        <v>43030.175185185188</v>
      </c>
      <c r="G14" s="7">
        <v>82</v>
      </c>
      <c r="H14" s="21" t="s">
        <v>355</v>
      </c>
      <c r="I14" s="13">
        <v>43030.20113425926</v>
      </c>
      <c r="J14" s="7">
        <v>0</v>
      </c>
      <c r="K14" s="89" t="str">
        <f>IF(ISEVEN(B14),(B14-1)&amp;"/"&amp;B14,B14&amp;"/"&amp;(B14+1))</f>
        <v>4035/4036</v>
      </c>
      <c r="L14" s="185" t="str">
        <f>VLOOKUP(A14,'Trips&amp;Operators'!$C$1:$G$99911,5,FALSE)</f>
        <v>DELGADO DIANAH</v>
      </c>
      <c r="M14" s="6">
        <f>I14-F14</f>
        <v>2.5949074071832001E-2</v>
      </c>
      <c r="N14" s="7">
        <f>24*60*SUM($M14:$M14)</f>
        <v>37.366666663438082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-22T02:52:25-0600',mode:absolute,to:'2017-10-22T05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23.2988</v>
      </c>
      <c r="Z14" s="204">
        <f>RIGHT(H14,LEN(H14)-4)/10000</f>
        <v>1.4500000000000001E-2</v>
      </c>
      <c r="AA14" s="204">
        <f>ABS(Z14-Y14)</f>
        <v>23.284299999999998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/stypes="app*4035*20171022*"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4035 --swversion DE.1.0.9.0 --startMP 204:232988 --initTime 2017-10-22T03:52:25 --startdatetime 2017-10-22T04:12:16 --delay 82 --endMP 204:145 --enddatetime 2017-10-22T04:49:38 --enforcementcount 0 &gt;&gt;%USERPROFILE%\Documents\GitHub\eaglep3-reporting\EC\2017-10-22-refined-times.txt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{"issue":{"subject":"","project_id":79,"tracker_id":40,"status_id":1,"priority_id":2,"assigned_to_id":338,"start_date":"2017-10-22","description":"","custom_fields":[{"id":1,"name":"Subdivision","value":"EC"},{"id":4,"name":"Milepost","value":"0.0145"},{"id":17,"name":"Train ID","value":"102-22"},{"id":16,"name":"Locomotive ID","value":"4035"},{"id":130,"name":"Impact","value":""},{"id":150,"name":"Time of Event (Mountain Time)","value":"04:49:38"},{"id":151,"name":"Denver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4035 --day 2017-10-22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10:49:38"},{"id":29,"name":"Sharepoint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-22T02:52:25-0600',mode:absolute,to:'2017-10-22T05:49:38-0600'))&amp;_a=(columns:!('Message%20ID',Summary),filters:!(),index:'emp_*',interval:auto,query:(query_string:(analyze_wildcard:!t,query:'%22rtdc.l.rtdc.4035%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686</v>
      </c>
      <c r="B15" s="7">
        <v>4032</v>
      </c>
      <c r="C15" s="21" t="s">
        <v>194</v>
      </c>
      <c r="D15" s="21" t="s">
        <v>882</v>
      </c>
      <c r="E15" s="13">
        <v>43030.151689814818</v>
      </c>
      <c r="F15" s="13">
        <v>43030.156458333331</v>
      </c>
      <c r="G15" s="7">
        <v>61</v>
      </c>
      <c r="H15" s="21" t="s">
        <v>883</v>
      </c>
      <c r="I15" s="13">
        <v>43030.180983796294</v>
      </c>
      <c r="J15" s="7">
        <v>0</v>
      </c>
      <c r="K15" s="89" t="str">
        <f>IF(ISEVEN(B15),(B15-1)&amp;"/"&amp;B15,B15&amp;"/"&amp;(B15+1))</f>
        <v>4031/4032</v>
      </c>
      <c r="L15" s="185" t="str">
        <f>VLOOKUP(A15,'Trips&amp;Operators'!$C$1:$G$99911,5,FALSE)</f>
        <v>MAELZER KURT</v>
      </c>
      <c r="M15" s="6">
        <f>I15-F15</f>
        <v>2.4525462962628808E-2</v>
      </c>
      <c r="N15" s="7">
        <f>24*60*SUM($M15:$M15)</f>
        <v>35.316666666185483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-22T02:38:26-0600',mode:absolute,to:'2017-10-22T05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4.2599999999999999E-2</v>
      </c>
      <c r="Z15" s="204">
        <f>RIGHT(H15,LEN(H15)-4)/10000</f>
        <v>23.3324</v>
      </c>
      <c r="AA15" s="204">
        <f>ABS(Z15-Y15)</f>
        <v>23.2898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/stypes="app*4032*20171022*"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103-22 --locoid 4032 --swversion DE.1.0.9.0 --startMP 204:426 --initTime 2017-10-22T03:38:26 --startdatetime 2017-10-22T03:45:18 --delay 61 --endMP 204:233324 --enddatetime 2017-10-22T04:20:37 --enforcementcount 0 &gt;&gt;%USERPROFILE%\Documents\GitHub\eaglep3-reporting\EC\2017-10-22-refined-times.txt</v>
      </c>
      <c r="AI15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{"issue":{"subject":"","project_id":79,"tracker_id":40,"status_id":1,"priority_id":2,"assigned_to_id":338,"start_date":"2017-10-22","description":"","custom_fields":[{"id":1,"name":"Subdivision","value":"EC"},{"id":4,"name":"Milepost","value":"23.3324"},{"id":17,"name":"Train ID","value":"103-22"},{"id":16,"name":"Locomotive ID","value":"4032"},{"id":130,"name":"Impact","value":""},{"id":150,"name":"Time of Event (Mountain Time)","value":"04:20:37"},{"id":151,"name":"Denver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4032 --day 2017-10-22</v>
      </c>
      <c r="AN15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-22T02:38:26-0600',mode:absolute,to:'2017-10-22T05:20:37-0600'))&amp;_a=(columns:!('Message%20ID',Summary),filters:!(),index:'emp_*',interval:auto,query:(query_string:(analyze_wildcard:!t,query:'%22rtdc.l.rtdc.4032%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697</v>
      </c>
      <c r="B16" s="7">
        <v>4031</v>
      </c>
      <c r="C16" s="21" t="s">
        <v>194</v>
      </c>
      <c r="D16" s="21" t="s">
        <v>884</v>
      </c>
      <c r="E16" s="13">
        <v>43030.186342592591</v>
      </c>
      <c r="F16" s="13">
        <v>43030.196006944447</v>
      </c>
      <c r="G16" s="7">
        <v>86</v>
      </c>
      <c r="H16" s="21" t="s">
        <v>371</v>
      </c>
      <c r="I16" s="13">
        <v>43030.222881944443</v>
      </c>
      <c r="J16" s="7">
        <v>0</v>
      </c>
      <c r="K16" s="89" t="str">
        <f>IF(ISEVEN(B16),(B16-1)&amp;"/"&amp;B16,B16&amp;"/"&amp;(B16+1))</f>
        <v>4031/4032</v>
      </c>
      <c r="L16" s="185" t="str">
        <f>VLOOKUP(A16,'Trips&amp;Operators'!$C$1:$G$99911,5,FALSE)</f>
        <v>MAELZER KURT</v>
      </c>
      <c r="M16" s="6">
        <f>I16-F16</f>
        <v>2.6874999995925464E-2</v>
      </c>
      <c r="N16" s="7">
        <f>24*60*SUM($M16:$M16)</f>
        <v>38.699999994132668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-22T03:28:20-0600',mode:absolute,to:'2017-10-22T06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23.300899999999999</v>
      </c>
      <c r="Z16" s="204">
        <f>RIGHT(H16,LEN(H16)-4)/10000</f>
        <v>1.54E-2</v>
      </c>
      <c r="AA16" s="204">
        <f>ABS(Z16-Y16)</f>
        <v>23.285499999999999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/stypes="app*4031*20171022*"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104-22 --locoid 4031 --swversion DE.1.0.9.0 --startMP 204:233009 --initTime 2017-10-22T04:28:20 --startdatetime 2017-10-22T04:42:15 --delay 86 --endMP 204:154 --enddatetime 2017-10-22T05:20:57 --enforcementcount 0 &gt;&gt;%USERPROFILE%\Documents\GitHub\eaglep3-reporting\EC\2017-10-22-refined-times.txt</v>
      </c>
      <c r="AI16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{"issue":{"subject":"","project_id":79,"tracker_id":40,"status_id":1,"priority_id":2,"assigned_to_id":338,"start_date":"2017-10-22","description":"","custom_fields":[{"id":1,"name":"Subdivision","value":"EC"},{"id":4,"name":"Milepost","value":"0.0154"},{"id":17,"name":"Train ID","value":"104-22"},{"id":16,"name":"Locomotive ID","value":"4031"},{"id":130,"name":"Impact","value":""},{"id":150,"name":"Time of Event (Mountain Time)","value":"05:20:57"},{"id":151,"name":"Denver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4031 --day 2017-10-22</v>
      </c>
      <c r="AN16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-22T03:28:20-0600',mode:absolute,to:'2017-10-22T06:20:57-0600'))&amp;_a=(columns:!('Message%20ID',Summary),filters:!(),index:'emp_*',interval:auto,query:(query_string:(analyze_wildcard:!t,query:'%22rtdc.l.rtdc.4031%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692</v>
      </c>
      <c r="B17" s="7">
        <v>4028</v>
      </c>
      <c r="C17" s="21" t="s">
        <v>194</v>
      </c>
      <c r="D17" s="21" t="s">
        <v>334</v>
      </c>
      <c r="E17" s="13">
        <v>43030.171990740739</v>
      </c>
      <c r="F17" s="13">
        <v>43030.177245370367</v>
      </c>
      <c r="G17" s="7">
        <v>72</v>
      </c>
      <c r="H17" s="21" t="s">
        <v>494</v>
      </c>
      <c r="I17" s="13">
        <v>43030.202546296299</v>
      </c>
      <c r="J17" s="7">
        <v>0</v>
      </c>
      <c r="K17" s="89" t="str">
        <f>IF(ISEVEN(B17),(B17-1)&amp;"/"&amp;B17,B17&amp;"/"&amp;(B17+1))</f>
        <v>4027/4028</v>
      </c>
      <c r="L17" s="185" t="str">
        <f>VLOOKUP(A17,'Trips&amp;Operators'!$C$1:$G$99911,5,FALSE)</f>
        <v>DAVIS WENDY</v>
      </c>
      <c r="M17" s="6">
        <f>I17-F17</f>
        <v>2.5300925932242535E-2</v>
      </c>
      <c r="N17" s="7">
        <f>24*60*SUM($M17:$M17)</f>
        <v>36.43333334242925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-22T03:07:40-0600',mode:absolute,to:'2017-10-22T05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4.4600000000000001E-2</v>
      </c>
      <c r="Z17" s="204">
        <f>RIGHT(H17,LEN(H17)-4)/10000</f>
        <v>23.330100000000002</v>
      </c>
      <c r="AA17" s="204">
        <f>ABS(Z17-Y17)</f>
        <v>23.285500000000003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/stypes="app*4028*20171022*"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105-22 --locoid 4028 --swversion DE.1.0.9.0 --startMP 204:446 --initTime 2017-10-22T04:07:40 --startdatetime 2017-10-22T04:15:14 --delay 72 --endMP 204:233301 --enddatetime 2017-10-22T04:51:40 --enforcementcount 0 &gt;&gt;%USERPROFILE%\Documents\GitHub\eaglep3-reporting\EC\2017-10-22-refined-times.txt</v>
      </c>
      <c r="AI17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{"issue":{"subject":"","project_id":79,"tracker_id":40,"status_id":1,"priority_id":2,"assigned_to_id":338,"start_date":"2017-10-22","description":"","custom_fields":[{"id":1,"name":"Subdivision","value":"EC"},{"id":4,"name":"Milepost","value":"23.3301"},{"id":17,"name":"Train ID","value":"105-22"},{"id":16,"name":"Locomotive ID","value":"4028"},{"id":130,"name":"Impact","value":""},{"id":150,"name":"Time of Event (Mountain Time)","value":"04:51:40"},{"id":151,"name":"Denver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4028 --day 2017-10-22</v>
      </c>
      <c r="AN17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-22T03:07:40-0600',mode:absolute,to:'2017-10-22T05:51:40-0600'))&amp;_a=(columns:!('Message%20ID',Summary),filters:!(),index:'emp_*',interval:auto,query:(query_string:(analyze_wildcard:!t,query:'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702</v>
      </c>
      <c r="B18" s="7">
        <v>4027</v>
      </c>
      <c r="C18" s="21" t="s">
        <v>194</v>
      </c>
      <c r="D18" s="21" t="s">
        <v>885</v>
      </c>
      <c r="E18" s="13">
        <v>43030.203750000001</v>
      </c>
      <c r="F18" s="13">
        <v>43030.216817129629</v>
      </c>
      <c r="G18" s="7">
        <v>54</v>
      </c>
      <c r="H18" s="21" t="s">
        <v>612</v>
      </c>
      <c r="I18" s="13">
        <v>43030.244872685187</v>
      </c>
      <c r="J18" s="7">
        <v>0</v>
      </c>
      <c r="K18" s="89" t="str">
        <f>IF(ISEVEN(B18),(B18-1)&amp;"/"&amp;B18,B18&amp;"/"&amp;(B18+1))</f>
        <v>4027/4028</v>
      </c>
      <c r="L18" s="185" t="str">
        <f>VLOOKUP(A18,'Trips&amp;Operators'!$C$1:$G$99911,5,FALSE)</f>
        <v>DAVIS WENDY</v>
      </c>
      <c r="M18" s="6">
        <f>I18-F18</f>
        <v>2.8055555558239575E-2</v>
      </c>
      <c r="N18" s="7">
        <f>24*60*SUM($M18:$M18)</f>
        <v>40.400000003864989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-22T03:53:24-0600',mode:absolute,to:'2017-10-22T06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23.297499999999999</v>
      </c>
      <c r="Z18" s="204">
        <f>RIGHT(H18,LEN(H18)-4)/10000</f>
        <v>1.6500000000000001E-2</v>
      </c>
      <c r="AA18" s="204">
        <f>ABS(Z18-Y18)</f>
        <v>23.280999999999999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/stypes="app*4027*20171022*"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106-22 --locoid 4027 --swversion DE.1.0.9.0 --startMP 204:232975 --initTime 2017-10-22T04:53:24 --startdatetime 2017-10-22T05:12:13 --delay 54 --endMP 204:165 --enddatetime 2017-10-22T05:52:37 --enforcementcount 0 &gt;&gt;%USERPROFILE%\Documents\GitHub\eaglep3-reporting\EC\2017-10-22-refined-times.txt</v>
      </c>
      <c r="AI18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{"issue":{"subject":"","project_id":79,"tracker_id":40,"status_id":1,"priority_id":2,"assigned_to_id":338,"start_date":"2017-10-22","description":"","custom_fields":[{"id":1,"name":"Subdivision","value":"EC"},{"id":4,"name":"Milepost","value":"0.0165"},{"id":17,"name":"Train ID","value":"106-22"},{"id":16,"name":"Locomotive ID","value":"4027"},{"id":130,"name":"Impact","value":""},{"id":150,"name":"Time of Event (Mountain Time)","value":"05:52:37"},{"id":151,"name":"Denver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4027 --day 2017-10-22</v>
      </c>
      <c r="AN18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-22T03:53:24-0600',mode:absolute,to:'2017-10-22T06:52:37-0600'))&amp;_a=(columns:!('Message%20ID',Summary),filters:!(),index:'emp_*',interval:auto,query:(query_string:(analyze_wildcard:!t,query:'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696</v>
      </c>
      <c r="B19" s="7">
        <v>4026</v>
      </c>
      <c r="C19" s="21" t="s">
        <v>194</v>
      </c>
      <c r="D19" s="21" t="s">
        <v>495</v>
      </c>
      <c r="E19" s="13">
        <v>43030.179652777777</v>
      </c>
      <c r="F19" s="13">
        <v>43030.187685185185</v>
      </c>
      <c r="G19" s="7">
        <v>77</v>
      </c>
      <c r="H19" s="21" t="s">
        <v>491</v>
      </c>
      <c r="I19" s="13">
        <v>43030.212199074071</v>
      </c>
      <c r="J19" s="7">
        <v>0</v>
      </c>
      <c r="K19" s="89" t="str">
        <f>IF(ISEVEN(B19),(B19-1)&amp;"/"&amp;B19,B19&amp;"/"&amp;(B19+1))</f>
        <v>4025/4026</v>
      </c>
      <c r="L19" s="185" t="str">
        <f>VLOOKUP(A19,'Trips&amp;Operators'!$C$1:$G$99911,5,FALSE)</f>
        <v>LOPES KIMBERLY</v>
      </c>
      <c r="M19" s="6">
        <f>I19-F19</f>
        <v>2.4513888885849155E-2</v>
      </c>
      <c r="N19" s="7">
        <f>24*60*SUM($M19:$M19)</f>
        <v>35.299999995622784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-22T03:18:42-0600',mode:absolute,to:'2017-10-22T06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4.6600000000000003E-2</v>
      </c>
      <c r="Z19" s="204">
        <f>RIGHT(H19,LEN(H19)-4)/10000</f>
        <v>23.3308</v>
      </c>
      <c r="AA19" s="204">
        <f>ABS(Z19-Y19)</f>
        <v>23.284199999999998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/stypes="app*4026*20171022*"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107-22 --locoid 4026 --swversion DE.1.0.9.0 --startMP 204:466 --initTime 2017-10-22T04:18:42 --startdatetime 2017-10-22T04:30:16 --delay 77 --endMP 204:233308 --enddatetime 2017-10-22T05:05:34 --enforcementcount 0 &gt;&gt;%USERPROFILE%\Documents\GitHub\eaglep3-reporting\EC\2017-10-22-refined-times.txt</v>
      </c>
      <c r="AI19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{"issue":{"subject":"","project_id":79,"tracker_id":40,"status_id":1,"priority_id":2,"assigned_to_id":338,"start_date":"2017-10-22","description":"","custom_fields":[{"id":1,"name":"Subdivision","value":"EC"},{"id":4,"name":"Milepost","value":"23.3308"},{"id":17,"name":"Train ID","value":"107-22"},{"id":16,"name":"Locomotive ID","value":"4026"},{"id":130,"name":"Impact","value":""},{"id":150,"name":"Time of Event (Mountain Time)","value":"05:05:34"},{"id":151,"name":"Denver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4026 --day 2017-10-22</v>
      </c>
      <c r="AN19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-22T03:18:42-0600',mode:absolute,to:'2017-10-22T06:05:34-0600'))&amp;_a=(columns:!('Message%20ID',Summary),filters:!(),index:'emp_*',interval:auto,query:(query_string:(analyze_wildcard:!t,query:'%22rtdc.l.rtdc.4026%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639</v>
      </c>
      <c r="B20" s="7">
        <v>4025</v>
      </c>
      <c r="C20" s="21" t="s">
        <v>194</v>
      </c>
      <c r="D20" s="21" t="s">
        <v>886</v>
      </c>
      <c r="E20" s="13">
        <v>43030.217546296299</v>
      </c>
      <c r="F20" s="13">
        <v>43030.227256944447</v>
      </c>
      <c r="G20" s="7">
        <v>64</v>
      </c>
      <c r="H20" s="21" t="s">
        <v>371</v>
      </c>
      <c r="I20" s="13">
        <v>43030.256215277775</v>
      </c>
      <c r="J20" s="7">
        <v>0</v>
      </c>
      <c r="K20" s="89" t="str">
        <f>IF(ISEVEN(B20),(B20-1)&amp;"/"&amp;B20,B20&amp;"/"&amp;(B20+1))</f>
        <v>4025/4026</v>
      </c>
      <c r="L20" s="185" t="str">
        <f>VLOOKUP(A20,'Trips&amp;Operators'!$C$1:$G$99911,5,FALSE)</f>
        <v>LOPES KIMBERLY</v>
      </c>
      <c r="M20" s="6">
        <f>I20-F20</f>
        <v>2.8958333328773733E-2</v>
      </c>
      <c r="N20" s="7">
        <f>24*60*SUM($M20:$M20)</f>
        <v>41.699999993434176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-22T04:13:16-0600',mode:absolute,to:'2017-10-22T07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23.301100000000002</v>
      </c>
      <c r="Z20" s="204">
        <f>RIGHT(H20,LEN(H20)-4)/10000</f>
        <v>1.54E-2</v>
      </c>
      <c r="AA20" s="204">
        <f>ABS(Z20-Y20)</f>
        <v>23.285700000000002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/stypes="app*4025*20171022*"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108-22 --locoid 4025 --swversion DE.1.0.9.0 --startMP 204:233011 --initTime 2017-10-22T05:13:16 --startdatetime 2017-10-22T05:27:15 --delay 64 --endMP 204:154 --enddatetime 2017-10-22T06:08:57 --enforcementcount 0 &gt;&gt;%USERPROFILE%\Documents\GitHub\eaglep3-reporting\EC\2017-10-22-refined-times.txt</v>
      </c>
      <c r="AI20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{"issue":{"subject":"","project_id":79,"tracker_id":40,"status_id":1,"priority_id":2,"assigned_to_id":338,"start_date":"2017-10-22","description":"","custom_fields":[{"id":1,"name":"Subdivision","value":"EC"},{"id":4,"name":"Milepost","value":"0.0154"},{"id":17,"name":"Train ID","value":"108-22"},{"id":16,"name":"Locomotive ID","value":"4025"},{"id":130,"name":"Impact","value":""},{"id":150,"name":"Time of Event (Mountain Time)","value":"06:08:57"},{"id":151,"name":"Denver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4025 --day 2017-10-22</v>
      </c>
      <c r="AN20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-22T04:13:16-0600',mode:absolute,to:'2017-10-22T07:08:57-0600'))&amp;_a=(columns:!('Message%20ID',Summary),filters:!(),index:'emp_*',interval:auto,query:(query_string:(analyze_wildcard:!t,query:'%22rtdc.l.rtdc.4025%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699</v>
      </c>
      <c r="B21" s="7">
        <v>4002</v>
      </c>
      <c r="C21" s="21" t="s">
        <v>194</v>
      </c>
      <c r="D21" s="21" t="s">
        <v>344</v>
      </c>
      <c r="E21" s="13">
        <v>43030.195983796293</v>
      </c>
      <c r="F21" s="13">
        <v>43030.198101851849</v>
      </c>
      <c r="G21" s="7">
        <v>67</v>
      </c>
      <c r="H21" s="21" t="s">
        <v>438</v>
      </c>
      <c r="I21" s="13">
        <v>43030.221909722219</v>
      </c>
      <c r="J21" s="7">
        <v>0</v>
      </c>
      <c r="K21" s="89" t="str">
        <f>IF(ISEVEN(B21),(B21-1)&amp;"/"&amp;B21,B21&amp;"/"&amp;(B21+1))</f>
        <v>4001/4002</v>
      </c>
      <c r="L21" s="185" t="str">
        <f>VLOOKUP(A21,'Trips&amp;Operators'!$C$1:$G$99911,5,FALSE)</f>
        <v>GEBRETEKLE DAGNEW</v>
      </c>
      <c r="M21" s="6">
        <f>I21-F21</f>
        <v>2.3807870369637385E-2</v>
      </c>
      <c r="N21" s="7">
        <f>24*60*SUM($M21:$M21)</f>
        <v>34.283333332277834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-22T03:42:13-0600',mode:absolute,to:'2017-10-22T06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4.5499999999999999E-2</v>
      </c>
      <c r="Z21" s="204">
        <f>RIGHT(H21,LEN(H21)-4)/10000</f>
        <v>23.331099999999999</v>
      </c>
      <c r="AA21" s="204">
        <f>ABS(Z21-Y21)</f>
        <v>23.285599999999999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/stypes="app*4002*20171022*"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109-22 --locoid 4002 --swversion DE.1.0.9.0 --startMP 204:455 --initTime 2017-10-22T04:42:13 --startdatetime 2017-10-22T04:45:16 --delay 67 --endMP 204:233311 --enddatetime 2017-10-22T05:19:33 --enforcementcount 0 &gt;&gt;%USERPROFILE%\Documents\GitHub\eaglep3-reporting\EC\2017-10-22-refined-times.txt</v>
      </c>
      <c r="AI21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{"issue":{"subject":"","project_id":79,"tracker_id":40,"status_id":1,"priority_id":2,"assigned_to_id":338,"start_date":"2017-10-22","description":"","custom_fields":[{"id":1,"name":"Subdivision","value":"EC"},{"id":4,"name":"Milepost","value":"23.3311"},{"id":17,"name":"Train ID","value":"109-22"},{"id":16,"name":"Locomotive ID","value":"4002"},{"id":130,"name":"Impact","value":""},{"id":150,"name":"Time of Event (Mountain Time)","value":"05:19:33"},{"id":151,"name":"Denver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4002 --day 2017-10-22</v>
      </c>
      <c r="AN21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-22T03:42:13-0600',mode:absolute,to:'2017-10-22T06:19:33-0600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707</v>
      </c>
      <c r="B22" s="7">
        <v>4001</v>
      </c>
      <c r="C22" s="21" t="s">
        <v>194</v>
      </c>
      <c r="D22" s="21" t="s">
        <v>439</v>
      </c>
      <c r="E22" s="13">
        <v>43030.223171296297</v>
      </c>
      <c r="F22" s="13">
        <v>43030.237673611111</v>
      </c>
      <c r="G22" s="7">
        <v>142</v>
      </c>
      <c r="H22" s="21" t="s">
        <v>612</v>
      </c>
      <c r="I22" s="13">
        <v>43030.266111111108</v>
      </c>
      <c r="J22" s="7">
        <v>0</v>
      </c>
      <c r="K22" s="89" t="str">
        <f>IF(ISEVEN(B22),(B22-1)&amp;"/"&amp;B22,B22&amp;"/"&amp;(B22+1))</f>
        <v>4001/4002</v>
      </c>
      <c r="L22" s="185" t="str">
        <f>VLOOKUP(A22,'Trips&amp;Operators'!$C$1:$G$99911,5,FALSE)</f>
        <v>GEBRETEKLE DAGNEW</v>
      </c>
      <c r="M22" s="6">
        <f>I22-F22</f>
        <v>2.8437499997380655E-2</v>
      </c>
      <c r="N22" s="7">
        <f>24*60*SUM($M22:$M22)</f>
        <v>40.949999996228144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-22T04:21:22-0600',mode:absolute,to:'2017-10-22T07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23.299800000000001</v>
      </c>
      <c r="Z22" s="204">
        <f>RIGHT(H22,LEN(H22)-4)/10000</f>
        <v>1.6500000000000001E-2</v>
      </c>
      <c r="AA22" s="204">
        <f>ABS(Z22-Y22)</f>
        <v>23.283300000000001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/stypes="app*4001*20171022*"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110-22 --locoid 4001 --swversion DE.1.0.9.0 --startMP 204:232998 --initTime 2017-10-22T05:21:22 --startdatetime 2017-10-22T05:42:15 --delay 142 --endMP 204:165 --enddatetime 2017-10-22T06:23:12 --enforcementcount 0 &gt;&gt;%USERPROFILE%\Documents\GitHub\eaglep3-reporting\EC\2017-10-22-refined-times.txt</v>
      </c>
      <c r="AI22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{"issue":{"subject":"","project_id":79,"tracker_id":40,"status_id":1,"priority_id":2,"assigned_to_id":338,"start_date":"2017-10-22","description":"","custom_fields":[{"id":1,"name":"Subdivision","value":"EC"},{"id":4,"name":"Milepost","value":"0.0165"},{"id":17,"name":"Train ID","value":"110-22"},{"id":16,"name":"Locomotive ID","value":"4001"},{"id":130,"name":"Impact","value":""},{"id":150,"name":"Time of Event (Mountain Time)","value":"06:23:12"},{"id":151,"name":"Denver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4001 --day 2017-10-22</v>
      </c>
      <c r="AN22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-22T04:21:22-0600',mode:absolute,to:'2017-10-22T07:23:12-0600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701</v>
      </c>
      <c r="B23" s="7">
        <v>4036</v>
      </c>
      <c r="C23" s="21" t="s">
        <v>194</v>
      </c>
      <c r="D23" s="21" t="s">
        <v>334</v>
      </c>
      <c r="E23" s="13">
        <v>43030.203229166669</v>
      </c>
      <c r="F23" s="13">
        <v>43030.208599537036</v>
      </c>
      <c r="G23" s="7">
        <v>55</v>
      </c>
      <c r="H23" s="21" t="s">
        <v>887</v>
      </c>
      <c r="I23" s="13">
        <v>43030.233819444446</v>
      </c>
      <c r="J23" s="7">
        <v>0</v>
      </c>
      <c r="K23" s="89" t="str">
        <f>IF(ISEVEN(B23),(B23-1)&amp;"/"&amp;B23,B23&amp;"/"&amp;(B23+1))</f>
        <v>4035/4036</v>
      </c>
      <c r="L23" s="185" t="str">
        <f>VLOOKUP(A23,'Trips&amp;Operators'!$C$1:$G$99911,5,FALSE)</f>
        <v>DELGADO DIANAH</v>
      </c>
      <c r="M23" s="6">
        <f>I23-F23</f>
        <v>2.5219907409336884E-2</v>
      </c>
      <c r="N23" s="7">
        <f>24*60*SUM($M23:$M23)</f>
        <v>36.316666669445112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-22T03:52:39-0600',mode:absolute,to:'2017-10-22T06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4.4600000000000001E-2</v>
      </c>
      <c r="Z23" s="204">
        <f>RIGHT(H23,LEN(H23)-4)/10000</f>
        <v>23.3338</v>
      </c>
      <c r="AA23" s="204">
        <f>ABS(Z23-Y23)</f>
        <v>23.289200000000001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/stypes="app*4036*20171022*"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111-22 --locoid 4036 --swversion DE.1.0.9.0 --startMP 204:446 --initTime 2017-10-22T04:52:39 --startdatetime 2017-10-22T05:00:23 --delay 55 --endMP 204:233338 --enddatetime 2017-10-22T05:36:42 --enforcementcount 0 &gt;&gt;%USERPROFILE%\Documents\GitHub\eaglep3-reporting\EC\2017-10-22-refined-times.txt</v>
      </c>
      <c r="AI23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{"issue":{"subject":"","project_id":79,"tracker_id":40,"status_id":1,"priority_id":2,"assigned_to_id":338,"start_date":"2017-10-22","description":"","custom_fields":[{"id":1,"name":"Subdivision","value":"EC"},{"id":4,"name":"Milepost","value":"23.3338"},{"id":17,"name":"Train ID","value":"111-22"},{"id":16,"name":"Locomotive ID","value":"4036"},{"id":130,"name":"Impact","value":""},{"id":150,"name":"Time of Event (Mountain Time)","value":"05:36:42"},{"id":151,"name":"Denver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4036 --day 2017-10-22</v>
      </c>
      <c r="AN23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-22T03:52:39-0600',mode:absolute,to:'2017-10-22T06:36:42-0600'))&amp;_a=(columns:!('Message%20ID',Summary),filters:!(),index:'emp_*',interval:auto,query:(query_string:(analyze_wildcard:!t,query:'%22rtdc.l.rtdc.4036%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713</v>
      </c>
      <c r="B24" s="7">
        <v>4035</v>
      </c>
      <c r="C24" s="21" t="s">
        <v>194</v>
      </c>
      <c r="D24" s="21" t="s">
        <v>886</v>
      </c>
      <c r="E24" s="13">
        <v>43030.235243055555</v>
      </c>
      <c r="F24" s="13">
        <v>43030.248090277775</v>
      </c>
      <c r="G24" s="7">
        <v>757</v>
      </c>
      <c r="H24" s="21" t="s">
        <v>339</v>
      </c>
      <c r="I24" s="13">
        <v>43030.273472222223</v>
      </c>
      <c r="J24" s="7">
        <v>0</v>
      </c>
      <c r="K24" s="89" t="str">
        <f>IF(ISEVEN(B24),(B24-1)&amp;"/"&amp;B24,B24&amp;"/"&amp;(B24+1))</f>
        <v>4035/4036</v>
      </c>
      <c r="L24" s="185" t="str">
        <f>VLOOKUP(A24,'Trips&amp;Operators'!$C$1:$G$99911,5,FALSE)</f>
        <v>DELGADO DIANAH</v>
      </c>
      <c r="M24" s="6">
        <f>I24-F24</f>
        <v>2.5381944447872229E-2</v>
      </c>
      <c r="N24" s="7">
        <f>24*60*SUM($M24:$M24)</f>
        <v>36.55000000493601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-22T04:38:45-0600',mode:absolute,to:'2017-10-22T07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23.301100000000002</v>
      </c>
      <c r="Z24" s="204">
        <f>RIGHT(H24,LEN(H24)-4)/10000</f>
        <v>1.47E-2</v>
      </c>
      <c r="AA24" s="204">
        <f>ABS(Z24-Y24)</f>
        <v>23.2864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/stypes="app*4035*20171022*"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112-22 --locoid 4035 --swversion DE.1.0.9.0 --startMP 204:233011 --initTime 2017-10-22T05:38:45 --startdatetime 2017-10-22T05:57:15 --delay 757 --endMP 204:147 --enddatetime 2017-10-22T06:33:48 --enforcementcount 0 &gt;&gt;%USERPROFILE%\Documents\GitHub\eaglep3-reporting\EC\2017-10-22-refined-times.txt</v>
      </c>
      <c r="AI24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ID","value":"112-22"},{"id":16,"name":"Locomotive ID","value":"4035"},{"id":130,"name":"Impact","value":""},{"id":150,"name":"Time of Event (Mountain Time)","value":"06:33:48"},{"id":151,"name":"Denver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4035 --day 2017-10-22</v>
      </c>
      <c r="AN24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-22T04:38:45-0600',mode:absolute,to:'2017-10-22T07:33:48-0600'))&amp;_a=(columns:!('Message%20ID',Summary),filters:!(),index:'emp_*',interval:auto,query:(query_string:(analyze_wildcard:!t,query:'%22rtdc.l.rtdc.4035%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703</v>
      </c>
      <c r="B25" s="7">
        <v>4020</v>
      </c>
      <c r="C25" s="21" t="s">
        <v>194</v>
      </c>
      <c r="D25" s="21" t="s">
        <v>344</v>
      </c>
      <c r="E25" s="13">
        <v>43030.215254629627</v>
      </c>
      <c r="F25" s="13">
        <v>43030.219039351854</v>
      </c>
      <c r="G25" s="7">
        <v>83</v>
      </c>
      <c r="H25" s="21" t="s">
        <v>888</v>
      </c>
      <c r="I25" s="13">
        <v>43030.247754629629</v>
      </c>
      <c r="J25" s="7">
        <v>0</v>
      </c>
      <c r="K25" s="89" t="str">
        <f>IF(ISEVEN(B25),(B25-1)&amp;"/"&amp;B25,B25&amp;"/"&amp;(B25+1))</f>
        <v>4019/4020</v>
      </c>
      <c r="L25" s="185" t="str">
        <f>VLOOKUP(A25,'Trips&amp;Operators'!$C$1:$G$99911,5,FALSE)</f>
        <v>WILLIAMS DONTE</v>
      </c>
      <c r="M25" s="6">
        <f>I25-F25</f>
        <v>2.8715277774608694E-2</v>
      </c>
      <c r="N25" s="7">
        <f>24*60*SUM($M25:$M25)</f>
        <v>41.349999995436519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-22T04:09:58-0600',mode:absolute,to:'2017-10-22T06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4.5499999999999999E-2</v>
      </c>
      <c r="Z25" s="204">
        <f>RIGHT(H25,LEN(H25)-4)/10000</f>
        <v>23.327000000000002</v>
      </c>
      <c r="AA25" s="204">
        <f>ABS(Z25-Y25)</f>
        <v>23.281500000000001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/stypes="app*4020*20171022*"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113-22 --locoid 4020 --swversion DE.1.0.9.0 --startMP 204:455 --initTime 2017-10-22T05:09:58 --startdatetime 2017-10-22T05:15:25 --delay 83 --endMP 204:233270 --enddatetime 2017-10-22T05:56:46 --enforcementcount 0 &gt;&gt;%USERPROFILE%\Documents\GitHub\eaglep3-reporting\EC\2017-10-22-refined-times.txt</v>
      </c>
      <c r="AI25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{"issue":{"subject":"","project_id":79,"tracker_id":40,"status_id":1,"priority_id":2,"assigned_to_id":338,"start_date":"2017-10-22","description":"","custom_fields":[{"id":1,"name":"Subdivision","value":"EC"},{"id":4,"name":"Milepost","value":"23.327"},{"id":17,"name":"Train ID","value":"113-22"},{"id":16,"name":"Locomotive ID","value":"4020"},{"id":130,"name":"Impact","value":""},{"id":150,"name":"Time of Event (Mountain Time)","value":"05:56:46"},{"id":151,"name":"Denver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4020 --day 2017-10-22</v>
      </c>
      <c r="AN25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-22T04:09:58-0600',mode:absolute,to:'2017-10-22T06:56:46-0600'))&amp;_a=(columns:!('Message%20ID',Summary),filters:!(),index:'emp_*',interval:auto,query:(query_string:(analyze_wildcard:!t,query:'%22rtdc.l.rtdc.4020%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720</v>
      </c>
      <c r="B26" s="7">
        <v>4019</v>
      </c>
      <c r="C26" s="21" t="s">
        <v>194</v>
      </c>
      <c r="D26" s="21" t="s">
        <v>889</v>
      </c>
      <c r="E26" s="13">
        <v>43030.254201388889</v>
      </c>
      <c r="F26" s="13">
        <v>43030.25854166667</v>
      </c>
      <c r="G26" s="7">
        <v>61</v>
      </c>
      <c r="H26" s="21" t="s">
        <v>360</v>
      </c>
      <c r="I26" s="13">
        <v>43030.286608796298</v>
      </c>
      <c r="J26" s="7">
        <v>0</v>
      </c>
      <c r="K26" s="89" t="str">
        <f>IF(ISEVEN(B26),(B26-1)&amp;"/"&amp;B26,B26&amp;"/"&amp;(B26+1))</f>
        <v>4019/4020</v>
      </c>
      <c r="L26" s="185" t="str">
        <f>VLOOKUP(A26,'Trips&amp;Operators'!$C$1:$G$99911,5,FALSE)</f>
        <v>WILLIAMS DONTE</v>
      </c>
      <c r="M26" s="6">
        <f>I26-F26</f>
        <v>2.806712962774327E-2</v>
      </c>
      <c r="N26" s="7">
        <f>24*60*SUM($M26:$M26)</f>
        <v>40.416666663950309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-22T05:06:03-0600',mode:absolute,to:'2017-10-22T07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23.2957</v>
      </c>
      <c r="Z26" s="204">
        <f>RIGHT(H26,LEN(H26)-4)/10000</f>
        <v>1.61E-2</v>
      </c>
      <c r="AA26" s="204">
        <f>ABS(Z26-Y26)</f>
        <v>23.279599999999999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/stypes="app*4019*20171022*"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114-22 --locoid 4019 --swversion DE.1.0.9.0 --startMP 204:232957 --initTime 2017-10-22T06:06:03 --startdatetime 2017-10-22T06:12:18 --delay 61 --endMP 204:161 --enddatetime 2017-10-22T06:52:43 --enforcementcount 0 &gt;&gt;%USERPROFILE%\Documents\GitHub\eaglep3-reporting\EC\2017-10-22-refined-times.txt</v>
      </c>
      <c r="AI26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{"issue":{"subject":"","project_id":79,"tracker_id":40,"status_id":1,"priority_id":2,"assigned_to_id":338,"start_date":"2017-10-22","description":"","custom_fields":[{"id":1,"name":"Subdivision","value":"EC"},{"id":4,"name":"Milepost","value":"0.0161"},{"id":17,"name":"Train ID","value":"114-22"},{"id":16,"name":"Locomotive ID","value":"4019"},{"id":130,"name":"Impact","value":""},{"id":150,"name":"Time of Event (Mountain Time)","value":"06:52:43"},{"id":151,"name":"Denver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4019 --day 2017-10-22</v>
      </c>
      <c r="AN26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-22T05:06:03-0600',mode:absolute,to:'2017-10-22T07:52:43-0600'))&amp;_a=(columns:!('Message%20ID',Summary),filters:!(),index:'emp_*',interval:auto,query:(query_string:(analyze_wildcard:!t,query:'%22rtdc.l.rtdc.4019%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711</v>
      </c>
      <c r="B27" s="7">
        <v>4032</v>
      </c>
      <c r="C27" s="21" t="s">
        <v>194</v>
      </c>
      <c r="D27" s="21" t="s">
        <v>406</v>
      </c>
      <c r="E27" s="13">
        <v>43030.225601851853</v>
      </c>
      <c r="F27" s="13">
        <v>43030.22934027778</v>
      </c>
      <c r="G27" s="7">
        <v>48</v>
      </c>
      <c r="H27" s="21" t="s">
        <v>615</v>
      </c>
      <c r="I27" s="13">
        <v>43030.254953703705</v>
      </c>
      <c r="J27" s="7">
        <v>0</v>
      </c>
      <c r="K27" s="89" t="str">
        <f>IF(ISEVEN(B27),(B27-1)&amp;"/"&amp;B27,B27&amp;"/"&amp;(B27+1))</f>
        <v>4031/4032</v>
      </c>
      <c r="L27" s="185" t="str">
        <f>VLOOKUP(A27,'Trips&amp;Operators'!$C$1:$G$99911,5,FALSE)</f>
        <v>MAELZER KURT</v>
      </c>
      <c r="M27" s="6">
        <f>I27-F27</f>
        <v>2.5613425925257616E-2</v>
      </c>
      <c r="N27" s="7">
        <f>24*60*SUM($M27:$M27)</f>
        <v>36.883333332370967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-22T04:24:52-0600',mode:absolute,to:'2017-10-22T07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4.6199999999999998E-2</v>
      </c>
      <c r="Z27" s="204">
        <f>RIGHT(H27,LEN(H27)-4)/10000</f>
        <v>23.334</v>
      </c>
      <c r="AA27" s="204">
        <f>ABS(Z27-Y27)</f>
        <v>23.287800000000001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/stypes="app*4032*20171022*"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115-22 --locoid 4032 --swversion DE.1.0.9.0 --startMP 204:462 --initTime 2017-10-22T05:24:52 --startdatetime 2017-10-22T05:30:15 --delay 48 --endMP 204:233340 --enddatetime 2017-10-22T06:07:08 --enforcementcount 0 &gt;&gt;%USERPROFILE%\Documents\GitHub\eaglep3-reporting\EC\2017-10-22-refined-times.txt</v>
      </c>
      <c r="AI27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{"issue":{"subject":"","project_id":79,"tracker_id":40,"status_id":1,"priority_id":2,"assigned_to_id":338,"start_date":"2017-10-22","description":"","custom_fields":[{"id":1,"name":"Subdivision","value":"EC"},{"id":4,"name":"Milepost","value":"23.334"},{"id":17,"name":"Train ID","value":"115-22"},{"id":16,"name":"Locomotive ID","value":"4032"},{"id":130,"name":"Impact","value":""},{"id":150,"name":"Time of Event (Mountain Time)","value":"06:07:08"},{"id":151,"name":"Denver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4032 --day 2017-10-22</v>
      </c>
      <c r="AN27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-22T04:24:52-0600',mode:absolute,to:'2017-10-22T07:07:08-0600'))&amp;_a=(columns:!('Message%20ID',Summary),filters:!(),index:'emp_*',interval:auto,query:(query_string:(analyze_wildcard:!t,query:'%22rtdc.l.rtdc.4032%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642</v>
      </c>
      <c r="B28" s="7">
        <v>4031</v>
      </c>
      <c r="C28" s="21" t="s">
        <v>194</v>
      </c>
      <c r="D28" s="21" t="s">
        <v>625</v>
      </c>
      <c r="E28" s="13">
        <v>43030.262812499997</v>
      </c>
      <c r="F28" s="13">
        <v>43030.269004629627</v>
      </c>
      <c r="G28" s="7">
        <v>47</v>
      </c>
      <c r="H28" s="21" t="s">
        <v>366</v>
      </c>
      <c r="I28" s="13">
        <v>43030.295659722222</v>
      </c>
      <c r="J28" s="7">
        <v>0</v>
      </c>
      <c r="K28" s="89" t="str">
        <f>IF(ISEVEN(B28),(B28-1)&amp;"/"&amp;B28,B28&amp;"/"&amp;(B28+1))</f>
        <v>4031/4032</v>
      </c>
      <c r="L28" s="185" t="str">
        <f>VLOOKUP(A28,'Trips&amp;Operators'!$C$1:$G$99911,5,FALSE)</f>
        <v>MAELZER KURT</v>
      </c>
      <c r="M28" s="6">
        <f>I28-F28</f>
        <v>2.6655092595319729E-2</v>
      </c>
      <c r="N28" s="7">
        <f>24*60*SUM($M28:$M28)</f>
        <v>38.38333333726041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-22T05:18:27-0600',mode:absolute,to:'2017-10-22T08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23.3049</v>
      </c>
      <c r="Z28" s="204">
        <f>RIGHT(H28,LEN(H28)-4)/10000</f>
        <v>1.3899999999999999E-2</v>
      </c>
      <c r="AA28" s="204">
        <f>ABS(Z28-Y28)</f>
        <v>23.291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/stypes="app*4031*20171022*"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116-22 --locoid 4031 --swversion DE.1.0.9.0 --startMP 204:233049 --initTime 2017-10-22T06:18:27 --startdatetime 2017-10-22T06:27:22 --delay 47 --endMP 204:139 --enddatetime 2017-10-22T07:05:45 --enforcementcount 0 &gt;&gt;%USERPROFILE%\Documents\GitHub\eaglep3-reporting\EC\2017-10-22-refined-times.txt</v>
      </c>
      <c r="AI28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{"issue":{"subject":"","project_id":79,"tracker_id":40,"status_id":1,"priority_id":2,"assigned_to_id":338,"start_date":"2017-10-22","description":"","custom_fields":[{"id":1,"name":"Subdivision","value":"EC"},{"id":4,"name":"Milepost","value":"0.0139"},{"id":17,"name":"Train ID","value":"116-22"},{"id":16,"name":"Locomotive ID","value":"4031"},{"id":130,"name":"Impact","value":""},{"id":150,"name":"Time of Event (Mountain Time)","value":"07:05:45"},{"id":151,"name":"Denver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4031 --day 2017-10-22</v>
      </c>
      <c r="AN28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-22T05:18:27-0600',mode:absolute,to:'2017-10-22T08:05:45-0600'))&amp;_a=(columns:!('Message%20ID',Summary),filters:!(),index:'emp_*',interval:auto,query:(query_string:(analyze_wildcard:!t,query:'%22rtdc.l.rtdc.4031%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714</v>
      </c>
      <c r="B29" s="7">
        <v>4066</v>
      </c>
      <c r="C29" s="21" t="s">
        <v>194</v>
      </c>
      <c r="D29" s="21" t="s">
        <v>890</v>
      </c>
      <c r="E29" s="13">
        <v>43030.235497685186</v>
      </c>
      <c r="F29" s="13">
        <v>43030.239814814813</v>
      </c>
      <c r="G29" s="7">
        <v>90</v>
      </c>
      <c r="H29" s="21" t="s">
        <v>891</v>
      </c>
      <c r="I29" s="13">
        <v>43030.26421296296</v>
      </c>
      <c r="J29" s="7">
        <v>0</v>
      </c>
      <c r="K29" s="89" t="str">
        <f>IF(ISEVEN(B29),(B29-1)&amp;"/"&amp;B29,B29&amp;"/"&amp;(B29+1))</f>
        <v>4065/4066</v>
      </c>
      <c r="L29" s="185" t="str">
        <f>VLOOKUP(A29,'Trips&amp;Operators'!$C$1:$G$99911,5,FALSE)</f>
        <v>LAMAR NEKESHA</v>
      </c>
      <c r="M29" s="6">
        <f>I29-F29</f>
        <v>2.4398148147156462E-2</v>
      </c>
      <c r="N29" s="7">
        <f>24*60*SUM($M29:$M29)</f>
        <v>35.133333331905305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-22T04:39:07-0600',mode:absolute,to:'2017-10-22T07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4.7800000000000002E-2</v>
      </c>
      <c r="Z29" s="204">
        <f>RIGHT(H29,LEN(H29)-4)/10000</f>
        <v>23.328399999999998</v>
      </c>
      <c r="AA29" s="204">
        <f>ABS(Z29-Y29)</f>
        <v>23.2806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/stypes="app*4066*20171022*"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117-22 --locoid 4066 --swversion DE.1.0.9.0 --startMP 204:478 --initTime 2017-10-22T05:39:07 --startdatetime 2017-10-22T05:45:20 --delay 90 --endMP 204:233284 --enddatetime 2017-10-22T06:20:28 --enforcementcount 0 &gt;&gt;%USERPROFILE%\Documents\GitHub\eaglep3-reporting\EC\2017-10-22-refined-times.txt</v>
      </c>
      <c r="AI29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{"issue":{"subject":"","project_id":79,"tracker_id":40,"status_id":1,"priority_id":2,"assigned_to_id":338,"start_date":"2017-10-22","description":"","custom_fields":[{"id":1,"name":"Subdivision","value":"EC"},{"id":4,"name":"Milepost","value":"23.3284"},{"id":17,"name":"Train ID","value":"117-22"},{"id":16,"name":"Locomotive ID","value":"4066"},{"id":130,"name":"Impact","value":""},{"id":150,"name":"Time of Event (Mountain Time)","value":"06:20:28"},{"id":151,"name":"Denver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4066 --day 2017-10-22</v>
      </c>
      <c r="AN29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-22T04:39:07-0600',mode:absolute,to:'2017-10-22T07:20:28-0600'))&amp;_a=(columns:!('Message%20ID',Summary),filters:!(),index:'emp_*',interval:auto,query:(query_string:(analyze_wildcard:!t,query:'%22rtdc.l.rtdc.4066%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725</v>
      </c>
      <c r="B30" s="7">
        <v>4065</v>
      </c>
      <c r="C30" s="21" t="s">
        <v>194</v>
      </c>
      <c r="D30" s="21" t="s">
        <v>892</v>
      </c>
      <c r="E30" s="13">
        <v>43030.276909722219</v>
      </c>
      <c r="F30" s="13">
        <v>43030.27952546296</v>
      </c>
      <c r="G30" s="7">
        <v>62</v>
      </c>
      <c r="H30" s="21" t="s">
        <v>339</v>
      </c>
      <c r="I30" s="13">
        <v>43030.305405092593</v>
      </c>
      <c r="J30" s="7">
        <v>0</v>
      </c>
      <c r="K30" s="89" t="str">
        <f>IF(ISEVEN(B30),(B30-1)&amp;"/"&amp;B30,B30&amp;"/"&amp;(B30+1))</f>
        <v>4065/4066</v>
      </c>
      <c r="L30" s="185" t="str">
        <f>VLOOKUP(A30,'Trips&amp;Operators'!$C$1:$G$99911,5,FALSE)</f>
        <v>LAMAR NEKESHA</v>
      </c>
      <c r="M30" s="6">
        <f>I30-F30</f>
        <v>2.587962963298196E-2</v>
      </c>
      <c r="N30" s="7">
        <f>24*60*SUM($M30:$M30)</f>
        <v>37.266666671494022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-22T05:38:45-0600',mode:absolute,to:'2017-10-22T08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23.294599999999999</v>
      </c>
      <c r="Z30" s="204">
        <f>RIGHT(H30,LEN(H30)-4)/10000</f>
        <v>1.47E-2</v>
      </c>
      <c r="AA30" s="204">
        <f>ABS(Z30-Y30)</f>
        <v>23.279899999999998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/stypes="app*4065*20171022*"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118-22 --locoid 4065 --swversion DE.1.0.9.0 --startMP 204:232946 --initTime 2017-10-22T06:38:45 --startdatetime 2017-10-22T06:42:31 --delay 62 --endMP 204:147 --enddatetime 2017-10-22T07:19:47 --enforcementcount 0 &gt;&gt;%USERPROFILE%\Documents\GitHub\eaglep3-reporting\EC\2017-10-22-refined-times.txt</v>
      </c>
      <c r="AI30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ID","value":"118-22"},{"id":16,"name":"Locomotive ID","value":"4065"},{"id":130,"name":"Impact","value":""},{"id":150,"name":"Time of Event (Mountain Time)","value":"07:19:47"},{"id":151,"name":"Denver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4065 --day 2017-10-22</v>
      </c>
      <c r="AN30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-22T05:38:45-0600',mode:absolute,to:'2017-10-22T08:19:47-0600'))&amp;_a=(columns:!('Message%20ID',Summary),filters:!(),index:'emp_*',interval:auto,query:(query_string:(analyze_wildcard:!t,query:'%22rtdc.l.rtdc.4065%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641</v>
      </c>
      <c r="B31" s="7">
        <v>4028</v>
      </c>
      <c r="C31" s="21" t="s">
        <v>194</v>
      </c>
      <c r="D31" s="21" t="s">
        <v>338</v>
      </c>
      <c r="E31" s="13">
        <v>43030.246192129627</v>
      </c>
      <c r="F31" s="13">
        <v>43030.250231481485</v>
      </c>
      <c r="G31" s="7">
        <v>52</v>
      </c>
      <c r="H31" s="21" t="s">
        <v>368</v>
      </c>
      <c r="I31" s="13">
        <v>43030.27753472222</v>
      </c>
      <c r="J31" s="7">
        <v>0</v>
      </c>
      <c r="K31" s="89" t="str">
        <f>IF(ISEVEN(B31),(B31-1)&amp;"/"&amp;B31,B31&amp;"/"&amp;(B31+1))</f>
        <v>4027/4028</v>
      </c>
      <c r="L31" s="185" t="str">
        <f>VLOOKUP(A31,'Trips&amp;Operators'!$C$1:$G$99911,5,FALSE)</f>
        <v>DAVIS WENDY</v>
      </c>
      <c r="M31" s="6">
        <f>I31-F31</f>
        <v>2.7303240734909195E-2</v>
      </c>
      <c r="N31" s="7">
        <f>24*60*SUM($M31:$M31)</f>
        <v>39.316666658269241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-22T04:54:31-0600',mode:absolute,to:'2017-10-22T07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4.53E-2</v>
      </c>
      <c r="Z31" s="204">
        <f>RIGHT(H31,LEN(H31)-4)/10000</f>
        <v>23.331199999999999</v>
      </c>
      <c r="AA31" s="204">
        <f>ABS(Z31-Y31)</f>
        <v>23.285899999999998</v>
      </c>
      <c r="AB31" s="54" t="str">
        <f>VLOOKUP(A31,Enforcements!$C$7:$K$11,8,0)</f>
        <v>Speed (6)</v>
      </c>
      <c r="AC31" s="51" t="str">
        <f>VLOOKUP(A31,Enforcements!$C$7:$E$11,3,0)</f>
        <v>PERMANENT SPEED RESTRICTION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/stypes="app*4028*20171022*"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119-22 --locoid 4028 --swversion DE.1.0.9.0 --startMP 204:453 --initTime 2017-10-22T05:54:31 --startdatetime 2017-10-22T06:00:20 --delay 52 --endMP 204:233312 --enddatetime 2017-10-22T06:39:39 --enforcementcount 0 &gt;&gt;%USERPROFILE%\Documents\GitHub\eaglep3-reporting\EC\2017-10-22-refined-times.txt</v>
      </c>
      <c r="AI31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{"issue":{"subject":"","project_id":79,"tracker_id":40,"status_id":1,"priority_id":2,"assigned_to_id":338,"start_date":"2017-10-22","description":"","custom_fields":[{"id":1,"name":"Subdivision","value":"EC"},{"id":4,"name":"Milepost","value":"23.3312"},{"id":17,"name":"Train ID","value":"119-22"},{"id":16,"name":"Locomotive ID","value":"4028"},{"id":130,"name":"Impact","value":""},{"id":150,"name":"Time of Event (Mountain Time)","value":"06:39:39"},{"id":151,"name":"Denver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4028 --day 2017-10-22</v>
      </c>
      <c r="AN31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-22T04:54:31-0600',mode:absolute,to:'2017-10-22T07:39:39-0600'))&amp;_a=(columns:!('Message%20ID',Summary),filters:!(),index:'emp_*',interval:auto,query:(query_string:(analyze_wildcard:!t,query:'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644</v>
      </c>
      <c r="B32" s="7">
        <v>4027</v>
      </c>
      <c r="C32" s="21" t="s">
        <v>194</v>
      </c>
      <c r="D32" s="21" t="s">
        <v>397</v>
      </c>
      <c r="E32" s="13">
        <v>43030.282326388886</v>
      </c>
      <c r="F32" s="13">
        <v>43030.289733796293</v>
      </c>
      <c r="G32" s="7">
        <v>49</v>
      </c>
      <c r="H32" s="21" t="s">
        <v>357</v>
      </c>
      <c r="I32" s="13">
        <v>43030.31763888889</v>
      </c>
      <c r="J32" s="7">
        <v>0</v>
      </c>
      <c r="K32" s="89" t="str">
        <f>IF(ISEVEN(B32),(B32-1)&amp;"/"&amp;B32,B32&amp;"/"&amp;(B32+1))</f>
        <v>4027/4028</v>
      </c>
      <c r="L32" s="185" t="str">
        <f>VLOOKUP(A32,'Trips&amp;Operators'!$C$1:$G$99911,5,FALSE)</f>
        <v>DAVIS WENDY</v>
      </c>
      <c r="M32" s="6">
        <f>I32-F32</f>
        <v>2.7905092596483883E-2</v>
      </c>
      <c r="N32" s="7">
        <f>24*60*SUM($M32:$M32)</f>
        <v>40.183333338936791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-22T05:46:33-0600',mode:absolute,to:'2017-10-22T08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23.299099999999999</v>
      </c>
      <c r="Z32" s="204">
        <f>RIGHT(H32,LEN(H32)-4)/10000</f>
        <v>1.5599999999999999E-2</v>
      </c>
      <c r="AA32" s="204">
        <f>ABS(Z32-Y32)</f>
        <v>23.2835</v>
      </c>
      <c r="AB32" s="54" t="str">
        <f>VLOOKUP(A32,Enforcements!$C$7:$K$11,8,0)</f>
        <v>Bulletin (2)</v>
      </c>
      <c r="AC32" s="51" t="str">
        <f>VLOOKUP(A32,Enforcements!$C$7:$E$11,3,0)</f>
        <v>GRADE CROSSING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/stypes="app*4027*20171022*"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120-22 --locoid 4027 --swversion DE.1.0.9.0 --startMP 204:232991 --initTime 2017-10-22T06:46:33 --startdatetime 2017-10-22T06:57:13 --delay 49 --endMP 204:156 --enddatetime 2017-10-22T07:37:24 --enforcementcount 0 &gt;&gt;%USERPROFILE%\Documents\GitHub\eaglep3-reporting\EC\2017-10-22-refined-times.txt</v>
      </c>
      <c r="AI32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{"issue":{"subject":"","project_id":79,"tracker_id":40,"status_id":1,"priority_id":2,"assigned_to_id":338,"start_date":"2017-10-22","description":"","custom_fields":[{"id":1,"name":"Subdivision","value":"EC"},{"id":4,"name":"Milepost","value":"0.0156"},{"id":17,"name":"Train ID","value":"120-22"},{"id":16,"name":"Locomotive ID","value":"4027"},{"id":130,"name":"Impact","value":""},{"id":150,"name":"Time of Event (Mountain Time)","value":"07:37:24"},{"id":151,"name":"Denver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4027 --day 2017-10-22</v>
      </c>
      <c r="AN32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-22T05:46:33-0600',mode:absolute,to:'2017-10-22T08:37:24-0600'))&amp;_a=(columns:!('Message%20ID',Summary),filters:!(),index:'emp_*',interval:auto,query:(query_string:(analyze_wildcard:!t,query:'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721</v>
      </c>
      <c r="B33" s="7">
        <v>4026</v>
      </c>
      <c r="C33" s="21" t="s">
        <v>194</v>
      </c>
      <c r="D33" s="21" t="s">
        <v>416</v>
      </c>
      <c r="E33" s="13">
        <v>43030.258240740739</v>
      </c>
      <c r="F33" s="13">
        <v>43030.26059027778</v>
      </c>
      <c r="G33" s="7">
        <v>125</v>
      </c>
      <c r="H33" s="21" t="s">
        <v>490</v>
      </c>
      <c r="I33" s="13">
        <v>43030.284942129627</v>
      </c>
      <c r="J33" s="7">
        <v>0</v>
      </c>
      <c r="K33" s="89" t="str">
        <f>IF(ISEVEN(B33),(B33-1)&amp;"/"&amp;B33,B33&amp;"/"&amp;(B33+1))</f>
        <v>4025/4026</v>
      </c>
      <c r="L33" s="185" t="str">
        <f>VLOOKUP(A33,'Trips&amp;Operators'!$C$1:$G$99911,5,FALSE)</f>
        <v>BARRON PERLA</v>
      </c>
      <c r="M33" s="6">
        <f>I33-F33</f>
        <v>2.435185184731381E-2</v>
      </c>
      <c r="N33" s="7">
        <f>24*60*SUM($M33:$M33)</f>
        <v>35.066666660131887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-22T05:11:52-0600',mode:absolute,to:'2017-10-22T07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4.4400000000000002E-2</v>
      </c>
      <c r="Z33" s="204">
        <f>RIGHT(H33,LEN(H33)-4)/10000</f>
        <v>23.3307</v>
      </c>
      <c r="AA33" s="204">
        <f>ABS(Z33-Y33)</f>
        <v>23.286300000000001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/stypes="app*4026*20171022*"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121-22 --locoid 4026 --swversion DE.1.0.9.0 --startMP 204:444 --initTime 2017-10-22T06:11:52 --startdatetime 2017-10-22T06:15:15 --delay 125 --endMP 204:233307 --enddatetime 2017-10-22T06:50:19 --enforcementcount 0 &gt;&gt;%USERPROFILE%\Documents\GitHub\eaglep3-reporting\EC\2017-10-22-refined-times.txt</v>
      </c>
      <c r="AI33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{"issue":{"subject":"","project_id":79,"tracker_id":40,"status_id":1,"priority_id":2,"assigned_to_id":338,"start_date":"2017-10-22","description":"","custom_fields":[{"id":1,"name":"Subdivision","value":"EC"},{"id":4,"name":"Milepost","value":"23.3307"},{"id":17,"name":"Train ID","value":"121-22"},{"id":16,"name":"Locomotive ID","value":"4026"},{"id":130,"name":"Impact","value":""},{"id":150,"name":"Time of Event (Mountain Time)","value":"06:50:19"},{"id":151,"name":"Denver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4026 --day 2017-10-22</v>
      </c>
      <c r="AN33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-22T05:11:52-0600',mode:absolute,to:'2017-10-22T07:50:19-0600'))&amp;_a=(columns:!('Message%20ID',Summary),filters:!(),index:'emp_*',interval:auto,query:(query_string:(analyze_wildcard:!t,query:'%22rtdc.l.rtdc.4026%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727</v>
      </c>
      <c r="B34" s="7">
        <v>4025</v>
      </c>
      <c r="C34" s="21" t="s">
        <v>194</v>
      </c>
      <c r="D34" s="21" t="s">
        <v>893</v>
      </c>
      <c r="E34" s="13">
        <v>43030.287094907406</v>
      </c>
      <c r="F34" s="13">
        <v>43030.300185185188</v>
      </c>
      <c r="G34" s="7">
        <v>74</v>
      </c>
      <c r="H34" s="21" t="s">
        <v>354</v>
      </c>
      <c r="I34" s="13">
        <v>43030.326851851853</v>
      </c>
      <c r="J34" s="7">
        <v>0</v>
      </c>
      <c r="K34" s="89" t="str">
        <f>IF(ISEVEN(B34),(B34-1)&amp;"/"&amp;B34,B34&amp;"/"&amp;(B34+1))</f>
        <v>4025/4026</v>
      </c>
      <c r="L34" s="185" t="str">
        <f>VLOOKUP(A34,'Trips&amp;Operators'!$C$1:$G$99911,5,FALSE)</f>
        <v>BARRON PERLA</v>
      </c>
      <c r="M34" s="6">
        <f>I34-F34</f>
        <v>2.6666666664823424E-2</v>
      </c>
      <c r="N34" s="7">
        <f>24*60*SUM($M34:$M34)</f>
        <v>38.399999997345731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-22T05:53:25-0600',mode:absolute,to:'2017-10-22T08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23.299199999999999</v>
      </c>
      <c r="Z34" s="204">
        <f>RIGHT(H34,LEN(H34)-4)/10000</f>
        <v>1.52E-2</v>
      </c>
      <c r="AA34" s="204">
        <f>ABS(Z34-Y34)</f>
        <v>23.283999999999999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/stypes="app*4025*20171022*"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122-22 --locoid 4025 --swversion DE.1.0.9.0 --startMP 204:232992 --initTime 2017-10-22T06:53:25 --startdatetime 2017-10-22T07:12:16 --delay 74 --endMP 204:152 --enddatetime 2017-10-22T07:50:40 --enforcementcount 0 &gt;&gt;%USERPROFILE%\Documents\GitHub\eaglep3-reporting\EC\2017-10-22-refined-times.txt</v>
      </c>
      <c r="AI34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{"issue":{"subject":"","project_id":79,"tracker_id":40,"status_id":1,"priority_id":2,"assigned_to_id":338,"start_date":"2017-10-22","description":"","custom_fields":[{"id":1,"name":"Subdivision","value":"EC"},{"id":4,"name":"Milepost","value":"0.0152"},{"id":17,"name":"Train ID","value":"122-22"},{"id":16,"name":"Locomotive ID","value":"4025"},{"id":130,"name":"Impact","value":""},{"id":150,"name":"Time of Event (Mountain Time)","value":"07:50:40"},{"id":151,"name":"Denver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4025 --day 2017-10-22</v>
      </c>
      <c r="AN34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-22T05:53:25-0600',mode:absolute,to:'2017-10-22T08:50:40-0600'))&amp;_a=(columns:!('Message%20ID',Summary),filters:!(),index:'emp_*',interval:auto,query:(query_string:(analyze_wildcard:!t,query:'%22rtdc.l.rtdc.4025%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723</v>
      </c>
      <c r="B35" s="7">
        <v>4002</v>
      </c>
      <c r="C35" s="21" t="s">
        <v>194</v>
      </c>
      <c r="D35" s="21" t="s">
        <v>384</v>
      </c>
      <c r="E35" s="13">
        <v>43030.268495370372</v>
      </c>
      <c r="F35" s="13">
        <v>43030.270995370367</v>
      </c>
      <c r="G35" s="7">
        <v>71</v>
      </c>
      <c r="H35" s="21" t="s">
        <v>440</v>
      </c>
      <c r="I35" s="13">
        <v>43030.295393518521</v>
      </c>
      <c r="J35" s="7">
        <v>0</v>
      </c>
      <c r="K35" s="89" t="str">
        <f>IF(ISEVEN(B35),(B35-1)&amp;"/"&amp;B35,B35&amp;"/"&amp;(B35+1))</f>
        <v>4001/4002</v>
      </c>
      <c r="L35" s="185" t="str">
        <f>VLOOKUP(A35,'Trips&amp;Operators'!$C$1:$G$99911,5,FALSE)</f>
        <v>GEBRETEKLE DAGNEW</v>
      </c>
      <c r="M35" s="6">
        <f>I35-F35</f>
        <v>2.439814815443242E-2</v>
      </c>
      <c r="N35" s="7">
        <f>24*60*SUM($M35:$M35)</f>
        <v>35.133333342382684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-22T05:26:38-0600',mode:absolute,to:'2017-10-22T08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4.7300000000000002E-2</v>
      </c>
      <c r="Z35" s="204">
        <f>RIGHT(H35,LEN(H35)-4)/10000</f>
        <v>23.332699999999999</v>
      </c>
      <c r="AA35" s="204">
        <f>ABS(Z35-Y35)</f>
        <v>23.285399999999999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/stypes="app*4002*20171022*"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123-22 --locoid 4002 --swversion DE.1.0.9.0 --startMP 204:473 --initTime 2017-10-22T06:26:38 --startdatetime 2017-10-22T06:30:14 --delay 71 --endMP 204:233327 --enddatetime 2017-10-22T07:05:22 --enforcementcount 0 &gt;&gt;%USERPROFILE%\Documents\GitHub\eaglep3-reporting\EC\2017-10-22-refined-times.txt</v>
      </c>
      <c r="AI35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{"issue":{"subject":"","project_id":79,"tracker_id":40,"status_id":1,"priority_id":2,"assigned_to_id":338,"start_date":"2017-10-22","description":"","custom_fields":[{"id":1,"name":"Subdivision","value":"EC"},{"id":4,"name":"Milepost","value":"23.3327"},{"id":17,"name":"Train ID","value":"123-22"},{"id":16,"name":"Locomotive ID","value":"4002"},{"id":130,"name":"Impact","value":""},{"id":150,"name":"Time of Event (Mountain Time)","value":"07:05:22"},{"id":151,"name":"Denver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4002 --day 2017-10-22</v>
      </c>
      <c r="AN35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-22T05:26:38-0600',mode:absolute,to:'2017-10-22T08:05:22-0600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730</v>
      </c>
      <c r="B36" s="7">
        <v>4001</v>
      </c>
      <c r="C36" s="21" t="s">
        <v>194</v>
      </c>
      <c r="D36" s="21" t="s">
        <v>417</v>
      </c>
      <c r="E36" s="13">
        <v>43030.296412037038</v>
      </c>
      <c r="F36" s="13">
        <v>43030.310624999998</v>
      </c>
      <c r="G36" s="7">
        <v>54</v>
      </c>
      <c r="H36" s="21" t="s">
        <v>894</v>
      </c>
      <c r="I36" s="13">
        <v>43030.336157407408</v>
      </c>
      <c r="J36" s="7">
        <v>0</v>
      </c>
      <c r="K36" s="89" t="str">
        <f>IF(ISEVEN(B36),(B36-1)&amp;"/"&amp;B36,B36&amp;"/"&amp;(B36+1))</f>
        <v>4001/4002</v>
      </c>
      <c r="L36" s="185" t="str">
        <f>VLOOKUP(A36,'Trips&amp;Operators'!$C$1:$G$99911,5,FALSE)</f>
        <v>GEBRETEKLE DAGNEW</v>
      </c>
      <c r="M36" s="6">
        <f>I36-F36</f>
        <v>2.5532407409627922E-2</v>
      </c>
      <c r="N36" s="7">
        <f>24*60*SUM($M36:$M36)</f>
        <v>36.766666669864208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-22T06:06:50-0600',mode:absolute,to:'2017-10-22T09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23.302299999999999</v>
      </c>
      <c r="Z36" s="204">
        <f>RIGHT(H36,LEN(H36)-4)/10000</f>
        <v>1.7000000000000001E-2</v>
      </c>
      <c r="AA36" s="204">
        <f>ABS(Z36-Y36)</f>
        <v>23.285299999999999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/stypes="app*4001*20171022*"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124-22 --locoid 4001 --swversion DE.1.0.9.0 --startMP 204:233023 --initTime 2017-10-22T07:06:50 --startdatetime 2017-10-22T07:27:18 --delay 54 --endMP 204:170 --enddatetime 2017-10-22T08:04:04 --enforcementcount 0 &gt;&gt;%USERPROFILE%\Documents\GitHub\eaglep3-reporting\EC\2017-10-22-refined-times.txt</v>
      </c>
      <c r="AI36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{"issue":{"subject":"","project_id":79,"tracker_id":40,"status_id":1,"priority_id":2,"assigned_to_id":338,"start_date":"2017-10-22","description":"","custom_fields":[{"id":1,"name":"Subdivision","value":"EC"},{"id":4,"name":"Milepost","value":"0.017"},{"id":17,"name":"Train ID","value":"124-22"},{"id":16,"name":"Locomotive ID","value":"4001"},{"id":130,"name":"Impact","value":""},{"id":150,"name":"Time of Event (Mountain Time)","value":"08:04:04"},{"id":151,"name":"Denver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4001 --day 2017-10-22</v>
      </c>
      <c r="AN36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-22T06:06:50-0600',mode:absolute,to:'2017-10-22T09:04:04-0600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724</v>
      </c>
      <c r="B37" s="7">
        <v>4036</v>
      </c>
      <c r="C37" s="21" t="s">
        <v>194</v>
      </c>
      <c r="D37" s="21" t="s">
        <v>367</v>
      </c>
      <c r="E37" s="13">
        <v>43030.275706018518</v>
      </c>
      <c r="F37" s="13">
        <v>43030.281446759262</v>
      </c>
      <c r="G37" s="7">
        <v>48</v>
      </c>
      <c r="H37" s="21" t="s">
        <v>895</v>
      </c>
      <c r="I37" s="13">
        <v>43030.30505787037</v>
      </c>
      <c r="J37" s="7">
        <v>0</v>
      </c>
      <c r="K37" s="89" t="str">
        <f>IF(ISEVEN(B37),(B37-1)&amp;"/"&amp;B37,B37&amp;"/"&amp;(B37+1))</f>
        <v>4035/4036</v>
      </c>
      <c r="L37" s="185" t="str">
        <f>VLOOKUP(A37,'Trips&amp;Operators'!$C$1:$G$99911,5,FALSE)</f>
        <v>DELGADO DIANAH</v>
      </c>
      <c r="M37" s="6">
        <f>I37-F37</f>
        <v>2.361111110803904E-2</v>
      </c>
      <c r="N37" s="7">
        <f>24*60*SUM($M37:$M37)</f>
        <v>33.999999995576218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-22T05:37:01-0600',mode:absolute,to:'2017-10-22T08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4.5100000000000001E-2</v>
      </c>
      <c r="Z37" s="204">
        <f>RIGHT(H37,LEN(H37)-4)/10000</f>
        <v>23.334099999999999</v>
      </c>
      <c r="AA37" s="204">
        <f>ABS(Z37-Y37)</f>
        <v>23.288999999999998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/stypes="app*4036*20171022*"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125-22 --locoid 4036 --swversion DE.1.0.9.0 --startMP 204:451 --initTime 2017-10-22T06:37:01 --startdatetime 2017-10-22T06:45:17 --delay 48 --endMP 204:233341 --enddatetime 2017-10-22T07:19:17 --enforcementcount 0 &gt;&gt;%USERPROFILE%\Documents\GitHub\eaglep3-reporting\EC\2017-10-22-refined-times.txt</v>
      </c>
      <c r="AI37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{"issue":{"subject":"","project_id":79,"tracker_id":40,"status_id":1,"priority_id":2,"assigned_to_id":338,"start_date":"2017-10-22","description":"","custom_fields":[{"id":1,"name":"Subdivision","value":"EC"},{"id":4,"name":"Milepost","value":"23.3341"},{"id":17,"name":"Train ID","value":"125-22"},{"id":16,"name":"Locomotive ID","value":"4036"},{"id":130,"name":"Impact","value":""},{"id":150,"name":"Time of Event (Mountain Time)","value":"07:19:17"},{"id":151,"name":"Denver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4036 --day 2017-10-22</v>
      </c>
      <c r="AN37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-22T05:37:01-0600',mode:absolute,to:'2017-10-22T08:19:17-0600'))&amp;_a=(columns:!('Message%20ID',Summary),filters:!(),index:'emp_*',interval:auto,query:(query_string:(analyze_wildcard:!t,query:'%22rtdc.l.rtdc.4036%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732</v>
      </c>
      <c r="B38" s="7">
        <v>4035</v>
      </c>
      <c r="C38" s="21" t="s">
        <v>194</v>
      </c>
      <c r="D38" s="21" t="s">
        <v>896</v>
      </c>
      <c r="E38" s="13">
        <v>43030.306273148148</v>
      </c>
      <c r="F38" s="13">
        <v>43030.321018518516</v>
      </c>
      <c r="G38" s="7">
        <v>183</v>
      </c>
      <c r="H38" s="21" t="s">
        <v>335</v>
      </c>
      <c r="I38" s="13">
        <v>43030.347141203703</v>
      </c>
      <c r="J38" s="7">
        <v>0</v>
      </c>
      <c r="K38" s="89" t="str">
        <f>IF(ISEVEN(B38),(B38-1)&amp;"/"&amp;B38,B38&amp;"/"&amp;(B38+1))</f>
        <v>4035/4036</v>
      </c>
      <c r="L38" s="185" t="str">
        <f>VLOOKUP(A38,'Trips&amp;Operators'!$C$1:$G$99911,5,FALSE)</f>
        <v>DELGADO DIANAH</v>
      </c>
      <c r="M38" s="6">
        <f>I38-F38</f>
        <v>2.6122685187146999E-2</v>
      </c>
      <c r="N38" s="7">
        <f>24*60*SUM($M38:$M38)</f>
        <v>37.616666669491678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-22T06:21:02-0600',mode:absolute,to:'2017-10-22T09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23.3005</v>
      </c>
      <c r="Z38" s="204">
        <f>RIGHT(H38,LEN(H38)-4)/10000</f>
        <v>1.4999999999999999E-2</v>
      </c>
      <c r="AA38" s="204">
        <f>ABS(Z38-Y38)</f>
        <v>23.285499999999999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/stypes="app*4035*20171022*"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126-22 --locoid 4035 --swversion DE.1.0.9.0 --startMP 204:233005 --initTime 2017-10-22T07:21:02 --startdatetime 2017-10-22T07:42:16 --delay 183 --endMP 204:150 --enddatetime 2017-10-22T08:19:53 --enforcementcount 0 &gt;&gt;%USERPROFILE%\Documents\GitHub\eaglep3-reporting\EC\2017-10-22-refined-times.txt</v>
      </c>
      <c r="AI38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{"issue":{"subject":"","project_id":79,"tracker_id":40,"status_id":1,"priority_id":2,"assigned_to_id":338,"start_date":"2017-10-22","description":"","custom_fields":[{"id":1,"name":"Subdivision","value":"EC"},{"id":4,"name":"Milepost","value":"0.015"},{"id":17,"name":"Train ID","value":"126-22"},{"id":16,"name":"Locomotive ID","value":"4035"},{"id":130,"name":"Impact","value":""},{"id":150,"name":"Time of Event (Mountain Time)","value":"08:19:53"},{"id":151,"name":"Denver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4035 --day 2017-10-22</v>
      </c>
      <c r="AN38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-22T06:21:02-0600',mode:absolute,to:'2017-10-22T09:19:53-0600'))&amp;_a=(columns:!('Message%20ID',Summary),filters:!(),index:'emp_*',interval:auto,query:(query_string:(analyze_wildcard:!t,query:'%22rtdc.l.rtdc.4035%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728</v>
      </c>
      <c r="B39" s="7">
        <v>4020</v>
      </c>
      <c r="C39" s="21" t="s">
        <v>194</v>
      </c>
      <c r="D39" s="21" t="s">
        <v>383</v>
      </c>
      <c r="E39" s="13">
        <v>43030.288171296299</v>
      </c>
      <c r="F39" s="13">
        <v>43030.291898148149</v>
      </c>
      <c r="G39" s="7">
        <v>92</v>
      </c>
      <c r="H39" s="21" t="s">
        <v>420</v>
      </c>
      <c r="I39" s="13">
        <v>43030.317719907405</v>
      </c>
      <c r="J39" s="7">
        <v>0</v>
      </c>
      <c r="K39" s="89" t="str">
        <f>IF(ISEVEN(B39),(B39-1)&amp;"/"&amp;B39,B39&amp;"/"&amp;(B39+1))</f>
        <v>4019/4020</v>
      </c>
      <c r="L39" s="185" t="str">
        <f>VLOOKUP(A39,'Trips&amp;Operators'!$C$1:$G$99911,5,FALSE)</f>
        <v>WILLIAMS DONTE</v>
      </c>
      <c r="M39" s="6">
        <f>I39-F39</f>
        <v>2.5821759256359655E-2</v>
      </c>
      <c r="N39" s="7">
        <f>24*60*SUM($M39:$M39)</f>
        <v>37.183333329157904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-22T05:54:58-0600',mode:absolute,to:'2017-10-22T08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4.6699999999999998E-2</v>
      </c>
      <c r="Z39" s="204">
        <f>RIGHT(H39,LEN(H39)-4)/10000</f>
        <v>23.333200000000001</v>
      </c>
      <c r="AA39" s="204">
        <f>ABS(Z39-Y39)</f>
        <v>23.2865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/stypes="app*4020*20171022*"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127-22 --locoid 4020 --swversion DE.1.0.9.0 --startMP 204:467 --initTime 2017-10-22T06:54:58 --startdatetime 2017-10-22T07:00:20 --delay 92 --endMP 204:233332 --enddatetime 2017-10-22T07:37:31 --enforcementcount 0 &gt;&gt;%USERPROFILE%\Documents\GitHub\eaglep3-reporting\EC\2017-10-22-refined-times.txt</v>
      </c>
      <c r="AI39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{"issue":{"subject":"","project_id":79,"tracker_id":40,"status_id":1,"priority_id":2,"assigned_to_id":338,"start_date":"2017-10-22","description":"","custom_fields":[{"id":1,"name":"Subdivision","value":"EC"},{"id":4,"name":"Milepost","value":"23.3332"},{"id":17,"name":"Train ID","value":"127-22"},{"id":16,"name":"Locomotive ID","value":"4020"},{"id":130,"name":"Impact","value":""},{"id":150,"name":"Time of Event (Mountain Time)","value":"07:37:31"},{"id":151,"name":"Denver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4020 --day 2017-10-22</v>
      </c>
      <c r="AN39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-22T05:54:58-0600',mode:absolute,to:'2017-10-22T08:37:31-0600'))&amp;_a=(columns:!('Message%20ID',Summary),filters:!(),index:'emp_*',interval:auto,query:(query_string:(analyze_wildcard:!t,query:'%22rtdc.l.rtdc.4020%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738</v>
      </c>
      <c r="B40" s="7">
        <v>4019</v>
      </c>
      <c r="C40" s="21" t="s">
        <v>194</v>
      </c>
      <c r="D40" s="21" t="s">
        <v>484</v>
      </c>
      <c r="E40" s="13">
        <v>43030.32640046296</v>
      </c>
      <c r="F40" s="13">
        <v>43030.331504629627</v>
      </c>
      <c r="G40" s="7">
        <v>89</v>
      </c>
      <c r="H40" s="21" t="s">
        <v>360</v>
      </c>
      <c r="I40" s="13">
        <v>43030.358726851853</v>
      </c>
      <c r="J40" s="7">
        <v>0</v>
      </c>
      <c r="K40" s="89" t="str">
        <f>IF(ISEVEN(B40),(B40-1)&amp;"/"&amp;B40,B40&amp;"/"&amp;(B40+1))</f>
        <v>4019/4020</v>
      </c>
      <c r="L40" s="185" t="str">
        <f>VLOOKUP(A40,'Trips&amp;Operators'!$C$1:$G$99911,5,FALSE)</f>
        <v>WILLIAMS DONTE</v>
      </c>
      <c r="M40" s="6">
        <f>I40-F40</f>
        <v>2.7222222226555459E-2</v>
      </c>
      <c r="N40" s="7">
        <f>24*60*SUM($M40:$M40)</f>
        <v>39.200000006239861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-22T06:50:01-0600',mode:absolute,to:'2017-10-22T09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23.301300000000001</v>
      </c>
      <c r="Z40" s="204">
        <f>RIGHT(H40,LEN(H40)-4)/10000</f>
        <v>1.61E-2</v>
      </c>
      <c r="AA40" s="204">
        <f>ABS(Z40-Y40)</f>
        <v>23.2852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/stypes="app*4019*20171022*"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128-22 --locoid 4019 --swversion DE.1.0.9.0 --startMP 204:233013 --initTime 2017-10-22T07:50:01 --startdatetime 2017-10-22T07:57:22 --delay 89 --endMP 204:161 --enddatetime 2017-10-22T08:36:34 --enforcementcount 0 &gt;&gt;%USERPROFILE%\Documents\GitHub\eaglep3-reporting\EC\2017-10-22-refined-times.txt</v>
      </c>
      <c r="AI40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{"issue":{"subject":"","project_id":79,"tracker_id":40,"status_id":1,"priority_id":2,"assigned_to_id":338,"start_date":"2017-10-22","description":"","custom_fields":[{"id":1,"name":"Subdivision","value":"EC"},{"id":4,"name":"Milepost","value":"0.0161"},{"id":17,"name":"Train ID","value":"128-22"},{"id":16,"name":"Locomotive ID","value":"4019"},{"id":130,"name":"Impact","value":""},{"id":150,"name":"Time of Event (Mountain Time)","value":"08:36:34"},{"id":151,"name":"Denver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4019 --day 2017-10-22</v>
      </c>
      <c r="AN40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-22T06:50:01-0600',mode:absolute,to:'2017-10-22T09:36:34-0600'))&amp;_a=(columns:!('Message%20ID',Summary),filters:!(),index:'emp_*',interval:auto,query:(query_string:(analyze_wildcard:!t,query:'%22rtdc.l.rtdc.4019%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731</v>
      </c>
      <c r="B41" s="7">
        <v>4032</v>
      </c>
      <c r="C41" s="21" t="s">
        <v>194</v>
      </c>
      <c r="D41" s="21" t="s">
        <v>334</v>
      </c>
      <c r="E41" s="13">
        <v>43030.298171296294</v>
      </c>
      <c r="F41" s="13">
        <v>43030.302303240744</v>
      </c>
      <c r="G41" s="7">
        <v>51</v>
      </c>
      <c r="H41" s="21" t="s">
        <v>382</v>
      </c>
      <c r="I41" s="13">
        <v>43030.326678240737</v>
      </c>
      <c r="J41" s="7">
        <v>0</v>
      </c>
      <c r="K41" s="89" t="str">
        <f>IF(ISEVEN(B41),(B41-1)&amp;"/"&amp;B41,B41&amp;"/"&amp;(B41+1))</f>
        <v>4031/4032</v>
      </c>
      <c r="L41" s="185" t="str">
        <f>VLOOKUP(A41,'Trips&amp;Operators'!$C$1:$G$99911,5,FALSE)</f>
        <v>MAELZER KURT</v>
      </c>
      <c r="M41" s="6">
        <f>I41-F41</f>
        <v>2.4374999993597157E-2</v>
      </c>
      <c r="N41" s="7">
        <f>24*60*SUM($M41:$M41)</f>
        <v>35.099999990779907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-22T06:09:22-0600',mode:absolute,to:'2017-10-22T08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4.4600000000000001E-2</v>
      </c>
      <c r="Z41" s="204">
        <f>RIGHT(H41,LEN(H41)-4)/10000</f>
        <v>23.3291</v>
      </c>
      <c r="AA41" s="204">
        <f>ABS(Z41-Y41)</f>
        <v>23.284500000000001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/stypes="app*4032*20171022*"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129-22 --locoid 4032 --swversion DE.1.0.9.0 --startMP 204:446 --initTime 2017-10-22T07:09:22 --startdatetime 2017-10-22T07:15:19 --delay 51 --endMP 204:233291 --enddatetime 2017-10-22T07:50:25 --enforcementcount 0 &gt;&gt;%USERPROFILE%\Documents\GitHub\eaglep3-reporting\EC\2017-10-22-refined-times.txt</v>
      </c>
      <c r="AI41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{"issue":{"subject":"","project_id":79,"tracker_id":40,"status_id":1,"priority_id":2,"assigned_to_id":338,"start_date":"2017-10-22","description":"","custom_fields":[{"id":1,"name":"Subdivision","value":"EC"},{"id":4,"name":"Milepost","value":"23.3291"},{"id":17,"name":"Train ID","value":"129-22"},{"id":16,"name":"Locomotive ID","value":"4032"},{"id":130,"name":"Impact","value":""},{"id":150,"name":"Time of Event (Mountain Time)","value":"07:50:25"},{"id":151,"name":"Denver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4032 --day 2017-10-22</v>
      </c>
      <c r="AN41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-22T06:09:22-0600',mode:absolute,to:'2017-10-22T08:50:25-0600'))&amp;_a=(columns:!('Message%20ID',Summary),filters:!(),index:'emp_*',interval:auto,query:(query_string:(analyze_wildcard:!t,query:'%22rtdc.l.rtdc.4032%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740</v>
      </c>
      <c r="B42" s="7">
        <v>4031</v>
      </c>
      <c r="C42" s="21" t="s">
        <v>194</v>
      </c>
      <c r="D42" s="21" t="s">
        <v>485</v>
      </c>
      <c r="E42" s="13">
        <v>43030.332129629627</v>
      </c>
      <c r="F42" s="13">
        <v>43030.341874999998</v>
      </c>
      <c r="G42" s="7">
        <v>66</v>
      </c>
      <c r="H42" s="21" t="s">
        <v>336</v>
      </c>
      <c r="I42" s="13">
        <v>43030.36824074074</v>
      </c>
      <c r="J42" s="7">
        <v>0</v>
      </c>
      <c r="K42" s="89" t="str">
        <f>IF(ISEVEN(B42),(B42-1)&amp;"/"&amp;B42,B42&amp;"/"&amp;(B42+1))</f>
        <v>4031/4032</v>
      </c>
      <c r="L42" s="185" t="str">
        <f>VLOOKUP(A42,'Trips&amp;Operators'!$C$1:$G$99911,5,FALSE)</f>
        <v>MAELZER KURT</v>
      </c>
      <c r="M42" s="6">
        <f>I42-F42</f>
        <v>2.6365740741312038E-2</v>
      </c>
      <c r="N42" s="7">
        <f>24*60*SUM($M42:$M42)</f>
        <v>37.966666667489335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-22T06:58:16-0600',mode:absolute,to:'2017-10-22T09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23.2986</v>
      </c>
      <c r="Z42" s="204">
        <f>RIGHT(H42,LEN(H42)-4)/10000</f>
        <v>1.49E-2</v>
      </c>
      <c r="AA42" s="204">
        <f>ABS(Z42-Y42)</f>
        <v>23.2837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/stypes="app*4031*20171022*"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130-22 --locoid 4031 --swversion DE.1.0.9.0 --startMP 204:232986 --initTime 2017-10-22T07:58:16 --startdatetime 2017-10-22T08:12:18 --delay 66 --endMP 204:149 --enddatetime 2017-10-22T08:50:16 --enforcementcount 0 &gt;&gt;%USERPROFILE%\Documents\GitHub\eaglep3-reporting\EC\2017-10-22-refined-times.txt</v>
      </c>
      <c r="AI42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{"issue":{"subject":"","project_id":79,"tracker_id":40,"status_id":1,"priority_id":2,"assigned_to_id":338,"start_date":"2017-10-22","description":"","custom_fields":[{"id":1,"name":"Subdivision","value":"EC"},{"id":4,"name":"Milepost","value":"0.0149"},{"id":17,"name":"Train ID","value":"130-22"},{"id":16,"name":"Locomotive ID","value":"4031"},{"id":130,"name":"Impact","value":""},{"id":150,"name":"Time of Event (Mountain Time)","value":"08:50:16"},{"id":151,"name":"Denver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4031 --day 2017-10-22</v>
      </c>
      <c r="AN42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-22T06:58:16-0600',mode:absolute,to:'2017-10-22T09:50:16-0600'))&amp;_a=(columns:!('Message%20ID',Summary),filters:!(),index:'emp_*',interval:auto,query:(query_string:(analyze_wildcard:!t,query:'%22rtdc.l.rtdc.4031%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733</v>
      </c>
      <c r="B43" s="7">
        <v>4066</v>
      </c>
      <c r="C43" s="21" t="s">
        <v>194</v>
      </c>
      <c r="D43" s="21" t="s">
        <v>497</v>
      </c>
      <c r="E43" s="13">
        <v>43030.308449074073</v>
      </c>
      <c r="F43" s="13">
        <v>43030.312673611108</v>
      </c>
      <c r="G43" s="7">
        <v>156</v>
      </c>
      <c r="H43" s="21" t="s">
        <v>887</v>
      </c>
      <c r="I43" s="13">
        <v>43030.338287037041</v>
      </c>
      <c r="J43" s="7">
        <v>0</v>
      </c>
      <c r="K43" s="89" t="str">
        <f>IF(ISEVEN(B43),(B43-1)&amp;"/"&amp;B43,B43&amp;"/"&amp;(B43+1))</f>
        <v>4065/4066</v>
      </c>
      <c r="L43" s="185" t="str">
        <f>VLOOKUP(A43,'Trips&amp;Operators'!$C$1:$G$99911,5,FALSE)</f>
        <v>ROMERO CHAD</v>
      </c>
      <c r="M43" s="6">
        <f>I43-F43</f>
        <v>2.5613425932533573E-2</v>
      </c>
      <c r="N43" s="7">
        <f>24*60*SUM($M43:$M43)</f>
        <v>36.883333342848346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-22T06:24:10-0600',mode:absolute,to:'2017-10-22T09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4.8399999999999999E-2</v>
      </c>
      <c r="Z43" s="204">
        <f>RIGHT(H43,LEN(H43)-4)/10000</f>
        <v>23.3338</v>
      </c>
      <c r="AA43" s="204">
        <f>ABS(Z43-Y43)</f>
        <v>23.285399999999999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/stypes="app*4066*20171022*"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131-22 --locoid 4066 --swversion DE.1.0.9.0 --startMP 204:484 --initTime 2017-10-22T07:24:10 --startdatetime 2017-10-22T07:30:15 --delay 156 --endMP 204:233338 --enddatetime 2017-10-22T08:07:08 --enforcementcount 0 &gt;&gt;%USERPROFILE%\Documents\GitHub\eaglep3-reporting\EC\2017-10-22-refined-times.txt</v>
      </c>
      <c r="AI43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{"issue":{"subject":"","project_id":79,"tracker_id":40,"status_id":1,"priority_id":2,"assigned_to_id":338,"start_date":"2017-10-22","description":"","custom_fields":[{"id":1,"name":"Subdivision","value":"EC"},{"id":4,"name":"Milepost","value":"23.3338"},{"id":17,"name":"Train ID","value":"131-22"},{"id":16,"name":"Locomotive ID","value":"4066"},{"id":130,"name":"Impact","value":""},{"id":150,"name":"Time of Event (Mountain Time)","value":"08:07:08"},{"id":151,"name":"Denver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4066 --day 2017-10-22</v>
      </c>
      <c r="AN43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-22T06:24:10-0600',mode:absolute,to:'2017-10-22T09:07:08-0600'))&amp;_a=(columns:!('Message%20ID',Summary),filters:!(),index:'emp_*',interval:auto,query:(query_string:(analyze_wildcard:!t,query:'%22rtdc.l.rtdc.4066%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742</v>
      </c>
      <c r="B44" s="7">
        <v>4065</v>
      </c>
      <c r="C44" s="21" t="s">
        <v>194</v>
      </c>
      <c r="D44" s="21" t="s">
        <v>484</v>
      </c>
      <c r="E44" s="13">
        <v>43030.339687500003</v>
      </c>
      <c r="F44" s="13">
        <v>43030.352361111109</v>
      </c>
      <c r="G44" s="7">
        <v>74</v>
      </c>
      <c r="H44" s="21" t="s">
        <v>337</v>
      </c>
      <c r="I44" s="13">
        <v>43030.378009259257</v>
      </c>
      <c r="J44" s="7">
        <v>0</v>
      </c>
      <c r="K44" s="89" t="str">
        <f>IF(ISEVEN(B44),(B44-1)&amp;"/"&amp;B44,B44&amp;"/"&amp;(B44+1))</f>
        <v>4065/4066</v>
      </c>
      <c r="L44" s="185" t="str">
        <f>VLOOKUP(A44,'Trips&amp;Operators'!$C$1:$G$99911,5,FALSE)</f>
        <v>ROMERO CHAD</v>
      </c>
      <c r="M44" s="6">
        <f>I44-F44</f>
        <v>2.5648148148320615E-2</v>
      </c>
      <c r="N44" s="7">
        <f>24*60*SUM($M44:$M44)</f>
        <v>36.933333333581686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-22T07:09:09-0600',mode:absolute,to:'2017-10-22T10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23.301300000000001</v>
      </c>
      <c r="Z44" s="204">
        <f>RIGHT(H44,LEN(H44)-4)/10000</f>
        <v>1.43E-2</v>
      </c>
      <c r="AA44" s="204">
        <f>ABS(Z44-Y44)</f>
        <v>23.287000000000003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/stypes="app*4065*20171022*"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132-22 --locoid 4065 --swversion DE.1.0.9.0 --startMP 204:233013 --initTime 2017-10-22T08:09:09 --startdatetime 2017-10-22T08:27:24 --delay 74 --endMP 204:143 --enddatetime 2017-10-22T09:04:20 --enforcementcount 0 &gt;&gt;%USERPROFILE%\Documents\GitHub\eaglep3-reporting\EC\2017-10-22-refined-times.txt</v>
      </c>
      <c r="AI44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{"issue":{"subject":"","project_id":79,"tracker_id":40,"status_id":1,"priority_id":2,"assigned_to_id":338,"start_date":"2017-10-22","description":"","custom_fields":[{"id":1,"name":"Subdivision","value":"EC"},{"id":4,"name":"Milepost","value":"0.0143"},{"id":17,"name":"Train ID","value":"132-22"},{"id":16,"name":"Locomotive ID","value":"4065"},{"id":130,"name":"Impact","value":""},{"id":150,"name":"Time of Event (Mountain Time)","value":"09:04:20"},{"id":151,"name":"Denver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4065 --day 2017-10-22</v>
      </c>
      <c r="AN44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-22T07:09:09-0600',mode:absolute,to:'2017-10-22T10:04:20-0600'))&amp;_a=(columns:!('Message%20ID',Summary),filters:!(),index:'emp_*',interval:auto,query:(query_string:(analyze_wildcard:!t,query:'%22rtdc.l.rtdc.4065%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737</v>
      </c>
      <c r="B45" s="7">
        <v>4028</v>
      </c>
      <c r="C45" s="21" t="s">
        <v>194</v>
      </c>
      <c r="D45" s="21" t="s">
        <v>406</v>
      </c>
      <c r="E45" s="13">
        <v>43030.31925925926</v>
      </c>
      <c r="F45" s="13">
        <v>43030.323078703703</v>
      </c>
      <c r="G45" s="7">
        <v>63</v>
      </c>
      <c r="H45" s="21" t="s">
        <v>436</v>
      </c>
      <c r="I45" s="13">
        <v>43030.349236111113</v>
      </c>
      <c r="J45" s="7">
        <v>0</v>
      </c>
      <c r="K45" s="89" t="str">
        <f>IF(ISEVEN(B45),(B45-1)&amp;"/"&amp;B45,B45&amp;"/"&amp;(B45+1))</f>
        <v>4027/4028</v>
      </c>
      <c r="L45" s="185" t="str">
        <f>VLOOKUP(A45,'Trips&amp;Operators'!$C$1:$G$99911,5,FALSE)</f>
        <v>DAVIS WENDY</v>
      </c>
      <c r="M45" s="6">
        <f>I45-F45</f>
        <v>2.6157407410209998E-2</v>
      </c>
      <c r="N45" s="7">
        <f>24*60*SUM($M45:$M45)</f>
        <v>37.666666670702398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-22T06:39:44-0600',mode:absolute,to:'2017-10-22T09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4.6199999999999998E-2</v>
      </c>
      <c r="Z45" s="204">
        <f>RIGHT(H45,LEN(H45)-4)/10000</f>
        <v>23.328800000000001</v>
      </c>
      <c r="AA45" s="204">
        <f>ABS(Z45-Y45)</f>
        <v>23.282600000000002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/stypes="app*4028*20171022*"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133-22 --locoid 4028 --swversion DE.1.0.9.0 --startMP 204:462 --initTime 2017-10-22T07:39:44 --startdatetime 2017-10-22T07:45:14 --delay 63 --endMP 204:233288 --enddatetime 2017-10-22T08:22:54 --enforcementcount 0 &gt;&gt;%USERPROFILE%\Documents\GitHub\eaglep3-reporting\EC\2017-10-22-refined-times.txt</v>
      </c>
      <c r="AI45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{"issue":{"subject":"","project_id":79,"tracker_id":40,"status_id":1,"priority_id":2,"assigned_to_id":338,"start_date":"2017-10-22","description":"","custom_fields":[{"id":1,"name":"Subdivision","value":"EC"},{"id":4,"name":"Milepost","value":"23.3288"},{"id":17,"name":"Train ID","value":"133-22"},{"id":16,"name":"Locomotive ID","value":"4028"},{"id":130,"name":"Impact","value":""},{"id":150,"name":"Time of Event (Mountain Time)","value":"08:22:54"},{"id":151,"name":"Denver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4028 --day 2017-10-22</v>
      </c>
      <c r="AN45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-22T06:39:44-0600',mode:absolute,to:'2017-10-22T09:22:54-0600'))&amp;_a=(columns:!('Message%20ID',Summary),filters:!(),index:'emp_*',interval:auto,query:(query_string:(analyze_wildcard:!t,query:'%22rtdc.l.rtdc.4028%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745</v>
      </c>
      <c r="B46" s="7">
        <v>4027</v>
      </c>
      <c r="C46" s="21" t="s">
        <v>194</v>
      </c>
      <c r="D46" s="21" t="s">
        <v>488</v>
      </c>
      <c r="E46" s="13">
        <v>43030.359513888892</v>
      </c>
      <c r="F46" s="13">
        <v>43030.36273148148</v>
      </c>
      <c r="G46" s="7">
        <v>59</v>
      </c>
      <c r="H46" s="21" t="s">
        <v>363</v>
      </c>
      <c r="I46" s="13">
        <v>43030.390555555554</v>
      </c>
      <c r="J46" s="7">
        <v>0</v>
      </c>
      <c r="K46" s="89" t="str">
        <f>IF(ISEVEN(B46),(B46-1)&amp;"/"&amp;B46,B46&amp;"/"&amp;(B46+1))</f>
        <v>4027/4028</v>
      </c>
      <c r="L46" s="185" t="str">
        <f>VLOOKUP(A46,'Trips&amp;Operators'!$C$1:$G$99911,5,FALSE)</f>
        <v>DAVIS WENDY</v>
      </c>
      <c r="M46" s="6">
        <f>I46-F46</f>
        <v>2.7824074073578231E-2</v>
      </c>
      <c r="N46" s="7">
        <f>24*60*SUM($M46:$M46)</f>
        <v>40.066666665952653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-22T07:37:42-0600',mode:absolute,to:'2017-10-22T10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23.298400000000001</v>
      </c>
      <c r="Z46" s="204">
        <f>RIGHT(H46,LEN(H46)-4)/10000</f>
        <v>1.5800000000000002E-2</v>
      </c>
      <c r="AA46" s="204">
        <f>ABS(Z46-Y46)</f>
        <v>23.282600000000002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/stypes="app*4027*20171022*"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134-22 --locoid 4027 --swversion DE.1.0.9.0 --startMP 204:232984 --initTime 2017-10-22T08:37:42 --startdatetime 2017-10-22T08:42:20 --delay 59 --endMP 204:158 --enddatetime 2017-10-22T09:22:24 --enforcementcount 0 &gt;&gt;%USERPROFILE%\Documents\GitHub\eaglep3-reporting\EC\2017-10-22-refined-times.txt</v>
      </c>
      <c r="AI46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{"issue":{"subject":"","project_id":79,"tracker_id":40,"status_id":1,"priority_id":2,"assigned_to_id":338,"start_date":"2017-10-22","description":"","custom_fields":[{"id":1,"name":"Subdivision","value":"EC"},{"id":4,"name":"Milepost","value":"0.0158"},{"id":17,"name":"Train ID","value":"134-22"},{"id":16,"name":"Locomotive ID","value":"4027"},{"id":130,"name":"Impact","value":""},{"id":150,"name":"Time of Event (Mountain Time)","value":"09:22:24"},{"id":151,"name":"Denver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4027 --day 2017-10-22</v>
      </c>
      <c r="AN46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-22T07:37:42-0600',mode:absolute,to:'2017-10-22T10:22:24-0600'))&amp;_a=(columns:!('Message%20ID',Summary),filters:!(),index:'emp_*',interval:auto,query:(query_string:(analyze_wildcard:!t,query:'%22rtdc.l.rtdc.4027%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739</v>
      </c>
      <c r="B47" s="7">
        <v>4026</v>
      </c>
      <c r="C47" s="21" t="s">
        <v>194</v>
      </c>
      <c r="D47" s="21" t="s">
        <v>616</v>
      </c>
      <c r="E47" s="13">
        <v>43030.32849537037</v>
      </c>
      <c r="F47" s="13">
        <v>43030.333506944444</v>
      </c>
      <c r="G47" s="7">
        <v>57</v>
      </c>
      <c r="H47" s="21" t="s">
        <v>621</v>
      </c>
      <c r="I47" s="13">
        <v>43030.358402777776</v>
      </c>
      <c r="J47" s="7">
        <v>0</v>
      </c>
      <c r="K47" s="89" t="str">
        <f>IF(ISEVEN(B47),(B47-1)&amp;"/"&amp;B47,B47&amp;"/"&amp;(B47+1))</f>
        <v>4025/4026</v>
      </c>
      <c r="L47" s="185" t="str">
        <f>VLOOKUP(A47,'Trips&amp;Operators'!$C$1:$G$99911,5,FALSE)</f>
        <v>BARRON PERLA</v>
      </c>
      <c r="M47" s="6">
        <f>I47-F47</f>
        <v>2.4895833332266193E-2</v>
      </c>
      <c r="N47" s="7">
        <f>24*60*SUM($M47:$M47)</f>
        <v>35.849999998463318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-22T06:53:02-0600',mode:absolute,to:'2017-10-22T09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4.3499999999999997E-2</v>
      </c>
      <c r="Z47" s="204">
        <f>RIGHT(H47,LEN(H47)-4)/10000</f>
        <v>23.331900000000001</v>
      </c>
      <c r="AA47" s="204">
        <f>ABS(Z47-Y47)</f>
        <v>23.288399999999999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/stypes="app*4026*20171022*"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135-22 --locoid 4026 --swversion DE.1.0.9.0 --startMP 204:435 --initTime 2017-10-22T07:53:02 --startdatetime 2017-10-22T08:00:15 --delay 57 --endMP 204:233319 --enddatetime 2017-10-22T08:36:06 --enforcementcount 0 &gt;&gt;%USERPROFILE%\Documents\GitHub\eaglep3-reporting\EC\2017-10-22-refined-times.txt</v>
      </c>
      <c r="AI47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{"issue":{"subject":"","project_id":79,"tracker_id":40,"status_id":1,"priority_id":2,"assigned_to_id":338,"start_date":"2017-10-22","description":"","custom_fields":[{"id":1,"name":"Subdivision","value":"EC"},{"id":4,"name":"Milepost","value":"23.3319"},{"id":17,"name":"Train ID","value":"135-22"},{"id":16,"name":"Locomotive ID","value":"4026"},{"id":130,"name":"Impact","value":""},{"id":150,"name":"Time of Event (Mountain Time)","value":"08:36:06"},{"id":151,"name":"Denver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4026 --day 2017-10-22</v>
      </c>
      <c r="AN47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-22T06:53:02-0600',mode:absolute,to:'2017-10-22T09:36:06-0600'))&amp;_a=(columns:!('Message%20ID',Summary),filters:!(),index:'emp_*',interval:auto,query:(query_string:(analyze_wildcard:!t,query:'%22rtdc.l.rtdc.4026%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746</v>
      </c>
      <c r="B48" s="7">
        <v>4025</v>
      </c>
      <c r="C48" s="21" t="s">
        <v>194</v>
      </c>
      <c r="D48" s="21" t="s">
        <v>407</v>
      </c>
      <c r="E48" s="13">
        <v>43030.359907407408</v>
      </c>
      <c r="F48" s="13">
        <v>43030.373078703706</v>
      </c>
      <c r="G48" s="7">
        <v>57</v>
      </c>
      <c r="H48" s="21" t="s">
        <v>371</v>
      </c>
      <c r="I48" s="13">
        <v>43030.399895833332</v>
      </c>
      <c r="J48" s="7">
        <v>0</v>
      </c>
      <c r="K48" s="89" t="str">
        <f>IF(ISEVEN(B48),(B48-1)&amp;"/"&amp;B48,B48&amp;"/"&amp;(B48+1))</f>
        <v>4025/4026</v>
      </c>
      <c r="L48" s="185" t="str">
        <f>VLOOKUP(A48,'Trips&amp;Operators'!$C$1:$G$99911,5,FALSE)</f>
        <v>BARRON PERLA</v>
      </c>
      <c r="M48" s="6">
        <f>I48-F48</f>
        <v>2.6817129626579117E-2</v>
      </c>
      <c r="N48" s="7">
        <f>24*60*SUM($M48:$M48)</f>
        <v>38.616666662273929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-22T07:38:16-0600',mode:absolute,to:'2017-10-22T10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23.2989</v>
      </c>
      <c r="Z48" s="204">
        <f>RIGHT(H48,LEN(H48)-4)/10000</f>
        <v>1.54E-2</v>
      </c>
      <c r="AA48" s="204">
        <f>ABS(Z48-Y48)</f>
        <v>23.2835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/stypes="app*4025*20171022*"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136-22 --locoid 4025 --swversion DE.1.0.9.0 --startMP 204:232989 --initTime 2017-10-22T08:38:16 --startdatetime 2017-10-22T08:57:14 --delay 57 --endMP 204:154 --enddatetime 2017-10-22T09:35:51 --enforcementcount 0 &gt;&gt;%USERPROFILE%\Documents\GitHub\eaglep3-reporting\EC\2017-10-22-refined-times.txt</v>
      </c>
      <c r="AI48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{"issue":{"subject":"","project_id":79,"tracker_id":40,"status_id":1,"priority_id":2,"assigned_to_id":338,"start_date":"2017-10-22","description":"","custom_fields":[{"id":1,"name":"Subdivision","value":"EC"},{"id":4,"name":"Milepost","value":"0.0154"},{"id":17,"name":"Train ID","value":"136-22"},{"id":16,"name":"Locomotive ID","value":"4025"},{"id":130,"name":"Impact","value":""},{"id":150,"name":"Time of Event (Mountain Time)","value":"09:35:51"},{"id":151,"name":"Denver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4025 --day 2017-10-22</v>
      </c>
      <c r="AN48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-22T07:38:16-0600',mode:absolute,to:'2017-10-22T10:35:51-0600'))&amp;_a=(columns:!('Message%20ID',Summary),filters:!(),index:'emp_*',interval:auto,query:(query_string:(analyze_wildcard:!t,query:'%22rtdc.l.rtdc.4025%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743</v>
      </c>
      <c r="B49" s="7">
        <v>4002</v>
      </c>
      <c r="C49" s="21" t="s">
        <v>194</v>
      </c>
      <c r="D49" s="21" t="s">
        <v>435</v>
      </c>
      <c r="E49" s="13">
        <v>43030.339837962965</v>
      </c>
      <c r="F49" s="13">
        <v>43030.343923611108</v>
      </c>
      <c r="G49" s="7">
        <v>92</v>
      </c>
      <c r="H49" s="21" t="s">
        <v>883</v>
      </c>
      <c r="I49" s="13">
        <v>43030.367743055554</v>
      </c>
      <c r="J49" s="7">
        <v>0</v>
      </c>
      <c r="K49" s="89" t="str">
        <f>IF(ISEVEN(B49),(B49-1)&amp;"/"&amp;B49,B49&amp;"/"&amp;(B49+1))</f>
        <v>4001/4002</v>
      </c>
      <c r="L49" s="185" t="str">
        <f>VLOOKUP(A49,'Trips&amp;Operators'!$C$1:$G$99911,5,FALSE)</f>
        <v>GEBRETEKLE DAGNEW</v>
      </c>
      <c r="M49" s="6">
        <f>I49-F49</f>
        <v>2.3819444446417037E-2</v>
      </c>
      <c r="N49" s="7">
        <f>24*60*SUM($M49:$M49)</f>
        <v>34.300000002840534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-22T07:09:22-0600',mode:absolute,to:'2017-10-22T09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4.6899999999999997E-2</v>
      </c>
      <c r="Z49" s="204">
        <f>RIGHT(H49,LEN(H49)-4)/10000</f>
        <v>23.3324</v>
      </c>
      <c r="AA49" s="204">
        <f>ABS(Z49-Y49)</f>
        <v>23.285499999999999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/stypes="app*4002*20171022*"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137-22 --locoid 4002 --swversion DE.1.0.9.0 --startMP 204:469 --initTime 2017-10-22T08:09:22 --startdatetime 2017-10-22T08:15:15 --delay 92 --endMP 204:233324 --enddatetime 2017-10-22T08:49:33 --enforcementcount 0 &gt;&gt;%USERPROFILE%\Documents\GitHub\eaglep3-reporting\EC\2017-10-22-refined-times.txt</v>
      </c>
      <c r="AI49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{"issue":{"subject":"","project_id":79,"tracker_id":40,"status_id":1,"priority_id":2,"assigned_to_id":338,"start_date":"2017-10-22","description":"","custom_fields":[{"id":1,"name":"Subdivision","value":"EC"},{"id":4,"name":"Milepost","value":"23.3324"},{"id":17,"name":"Train ID","value":"137-22"},{"id":16,"name":"Locomotive ID","value":"4002"},{"id":130,"name":"Impact","value":""},{"id":150,"name":"Time of Event (Mountain Time)","value":"08:49:33"},{"id":151,"name":"Denver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4002 --day 2017-10-22</v>
      </c>
      <c r="AN49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-22T07:09:22-0600',mode:absolute,to:'2017-10-22T09:49:33-0600'))&amp;_a=(columns:!('Message%20ID',Summary),filters:!(),index:'emp_*',interval:auto,query:(query_string:(analyze_wildcard:!t,query:'%22rtdc.l.rtdc.4002%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748</v>
      </c>
      <c r="B50" s="7">
        <v>4001</v>
      </c>
      <c r="C50" s="21" t="s">
        <v>194</v>
      </c>
      <c r="D50" s="21" t="s">
        <v>897</v>
      </c>
      <c r="E50" s="13">
        <v>43030.368958333333</v>
      </c>
      <c r="F50" s="13">
        <v>43030.383506944447</v>
      </c>
      <c r="G50" s="7">
        <v>54</v>
      </c>
      <c r="H50" s="21" t="s">
        <v>898</v>
      </c>
      <c r="I50" s="13">
        <v>43030.409467592595</v>
      </c>
      <c r="J50" s="7">
        <v>0</v>
      </c>
      <c r="K50" s="89" t="str">
        <f>IF(ISEVEN(B50),(B50-1)&amp;"/"&amp;B50,B50&amp;"/"&amp;(B50+1))</f>
        <v>4001/4002</v>
      </c>
      <c r="L50" s="185" t="str">
        <f>VLOOKUP(A50,'Trips&amp;Operators'!$C$1:$G$99911,5,FALSE)</f>
        <v>GEBRETEKLE DAGNEW</v>
      </c>
      <c r="M50" s="6">
        <f>I50-F50</f>
        <v>2.5960648148611654E-2</v>
      </c>
      <c r="N50" s="7">
        <f>24*60*SUM($M50:$M50)</f>
        <v>37.383333334000781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-22T07:51:18-0600',mode:absolute,to:'2017-10-22T10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23.3003</v>
      </c>
      <c r="Z50" s="204">
        <f>RIGHT(H50,LEN(H50)-4)/10000</f>
        <v>1.6899999999999998E-2</v>
      </c>
      <c r="AA50" s="204">
        <f>ABS(Z50-Y50)</f>
        <v>23.2834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/stypes="app*4001*20171022*"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138-22 --locoid 4001 --swversion DE.1.0.9.0 --startMP 204:233003 --initTime 2017-10-22T08:51:18 --startdatetime 2017-10-22T09:12:15 --delay 54 --endMP 204:169 --enddatetime 2017-10-22T09:49:38 --enforcementcount 0 &gt;&gt;%USERPROFILE%\Documents\GitHub\eaglep3-reporting\EC\2017-10-22-refined-times.txt</v>
      </c>
      <c r="AI50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{"issue":{"subject":"","project_id":79,"tracker_id":40,"status_id":1,"priority_id":2,"assigned_to_id":338,"start_date":"2017-10-22","description":"","custom_fields":[{"id":1,"name":"Subdivision","value":"EC"},{"id":4,"name":"Milepost","value":"0.0169"},{"id":17,"name":"Train ID","value":"138-22"},{"id":16,"name":"Locomotive ID","value":"4001"},{"id":130,"name":"Impact","value":""},{"id":150,"name":"Time of Event (Mountain Time)","value":"09:49:38"},{"id":151,"name":"Denver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4001 --day 2017-10-22</v>
      </c>
      <c r="AN50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-22T07:51:18-0600',mode:absolute,to:'2017-10-22T10:49:38-0600'))&amp;_a=(columns:!('Message%20ID',Summary),filters:!(),index:'emp_*',interval:auto,query:(query_string:(analyze_wildcard:!t,query:'%22rtdc.l.rtdc.4001%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646</v>
      </c>
      <c r="B51" s="7">
        <v>4036</v>
      </c>
      <c r="C51" s="21" t="s">
        <v>194</v>
      </c>
      <c r="D51" s="21" t="s">
        <v>899</v>
      </c>
      <c r="E51" s="13">
        <v>43030.36613425926</v>
      </c>
      <c r="F51" s="13">
        <v>43030.354351851849</v>
      </c>
      <c r="G51" s="7">
        <v>41</v>
      </c>
      <c r="H51" s="21" t="s">
        <v>440</v>
      </c>
      <c r="I51" s="13">
        <v>43030.38077546296</v>
      </c>
      <c r="J51" s="7">
        <v>0</v>
      </c>
      <c r="K51" s="89" t="str">
        <f>IF(ISEVEN(B51),(B51-1)&amp;"/"&amp;B51,B51&amp;"/"&amp;(B51+1))</f>
        <v>4035/4036</v>
      </c>
      <c r="L51" s="185" t="str">
        <f>VLOOKUP(A51,'Trips&amp;Operators'!$C$1:$G$99911,5,FALSE)</f>
        <v>DELGADO DIANAH</v>
      </c>
      <c r="M51" s="6">
        <f>I51-F51</f>
        <v>2.6423611110658385E-2</v>
      </c>
      <c r="N51" s="7">
        <f>24*60*SUM($M51:$M51)</f>
        <v>38.049999999348074</v>
      </c>
      <c r="O51" s="7"/>
      <c r="P51" s="7"/>
      <c r="Q51" s="22"/>
      <c r="R51" s="174" t="s">
        <v>422</v>
      </c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-22T07:47:14-0600',mode:absolute,to:'2017-10-22T10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v>6.6799999999999998E-2</v>
      </c>
      <c r="Z51" s="204">
        <f>RIGHT(H51,LEN(H51)-4)/10000</f>
        <v>23.332699999999999</v>
      </c>
      <c r="AA51" s="204">
        <f>ABS(Z51-Y51)</f>
        <v>23.265899999999998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/stypes="app*4036*20171022*"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139-22 --locoid 4036 --swversion DE.1.0.9.0 --startMP 204:88173 --initTime 2017-10-22T08:47:14 --startdatetime 2017-10-22T08:30:16 --delay 41 --endMP 204:233327 --enddatetime 2017-10-22T09:08:19 --enforcementcount 0 &gt;&gt;%USERPROFILE%\Documents\GitHub\eaglep3-reporting\EC\2017-10-22-refined-times.txt</v>
      </c>
      <c r="AI51" s="96" t="str">
        <f t="shared" si="6"/>
        <v>echo {"issue":{"subject":"Wi-MAX data drop","project_id":79,"tracker_id":40,"status_id":1,"priority_id":2,"assigned_to_id":338,"start_date":"2017-10-22","description":"","custom_fields":[{"id":1,"name":"Subdivision","value":"EC"},{"id":4,"name":"Milepost","value":"23.3327"},{"id":17,"name":"Train ID","value":"139-22"},{"id":16,"name":"Locomotive ID","value":"4036"},{"id":130,"name":"Impact","value":""},{"id":150,"name":"Time of Event (Mountain Time)","value":"09:08:19"},{"id":151,"name":"Denver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4036 --day 2017-10-22</v>
      </c>
      <c r="AN51" s="151" t="str">
        <f t="shared" si="8"/>
        <v>echo {"issue":{"subject":"Wi-MAX data drop","project_id":30,"tracker_id":4,"status_id":1,"priority_id":1,"assigned_to_id":10,"start_date":"2017-10-22","description":"","custom_fields":[{"id":30,"name":"Category","value":"Issue"},{"id":3,"name":"Functional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-22T07:47:14-0600',mode:absolute,to:'2017-10-22T10:08:19-0600'))&amp;_a=(columns:!('Message%20ID',Summary),filters:!(),index:'emp_*',interval:auto,query:(query_string:(analyze_wildcard:!t,query:'%22rtdc.l.rtdc.4036%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752</v>
      </c>
      <c r="B52" s="7">
        <v>4035</v>
      </c>
      <c r="C52" s="21" t="s">
        <v>194</v>
      </c>
      <c r="D52" s="21" t="s">
        <v>900</v>
      </c>
      <c r="E52" s="13">
        <v>43030.382465277777</v>
      </c>
      <c r="F52" s="13">
        <v>43030.394074074073</v>
      </c>
      <c r="G52" s="7">
        <v>80</v>
      </c>
      <c r="H52" s="21" t="s">
        <v>612</v>
      </c>
      <c r="I52" s="13">
        <v>43030.419270833336</v>
      </c>
      <c r="J52" s="7">
        <v>0</v>
      </c>
      <c r="K52" s="89" t="str">
        <f>IF(ISEVEN(B52),(B52-1)&amp;"/"&amp;B52,B52&amp;"/"&amp;(B52+1))</f>
        <v>4035/4036</v>
      </c>
      <c r="L52" s="185" t="str">
        <f>VLOOKUP(A52,'Trips&amp;Operators'!$C$1:$G$99911,5,FALSE)</f>
        <v>DELGADO DIANAH</v>
      </c>
      <c r="M52" s="6">
        <f>I52-F52</f>
        <v>2.5196759263053536E-2</v>
      </c>
      <c r="N52" s="7">
        <f>24*60*SUM($M52:$M52)</f>
        <v>36.283333338797092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-22T08:10:45-0600',mode:absolute,to:'2017-10-22T11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23.301500000000001</v>
      </c>
      <c r="Z52" s="204">
        <f>RIGHT(H52,LEN(H52)-4)/10000</f>
        <v>1.6500000000000001E-2</v>
      </c>
      <c r="AA52" s="204">
        <f>ABS(Z52-Y52)</f>
        <v>23.285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/stypes="app*4035*20171022*"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140-22 --locoid 4035 --swversion DE.1.0.9.0 --startMP 204:233015 --initTime 2017-10-22T09:10:45 --startdatetime 2017-10-22T09:27:28 --delay 80 --endMP 204:165 --enddatetime 2017-10-22T10:03:45 --enforcementcount 0 &gt;&gt;%USERPROFILE%\Documents\GitHub\eaglep3-reporting\EC\2017-10-22-refined-times.txt</v>
      </c>
      <c r="AI52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{"issue":{"subject":"","project_id":79,"tracker_id":40,"status_id":1,"priority_id":2,"assigned_to_id":338,"start_date":"2017-10-22","description":"","custom_fields":[{"id":1,"name":"Subdivision","value":"EC"},{"id":4,"name":"Milepost","value":"0.0165"},{"id":17,"name":"Train ID","value":"140-22"},{"id":16,"name":"Locomotive ID","value":"4035"},{"id":130,"name":"Impact","value":""},{"id":150,"name":"Time of Event (Mountain Time)","value":"10:03:45"},{"id":151,"name":"Denver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4035 --day 2017-10-22</v>
      </c>
      <c r="AN52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-22T08:10:45-0600',mode:absolute,to:'2017-10-22T11:03:45-0600'))&amp;_a=(columns:!('Message%20ID',Summary),filters:!(),index:'emp_*',interval:auto,query:(query_string:(analyze_wildcard:!t,query:'%22rtdc.l.rtdc.4035%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747</v>
      </c>
      <c r="B53" s="7">
        <v>4020</v>
      </c>
      <c r="C53" s="21" t="s">
        <v>194</v>
      </c>
      <c r="D53" s="21" t="s">
        <v>495</v>
      </c>
      <c r="E53" s="13">
        <v>43030.360335648147</v>
      </c>
      <c r="F53" s="13">
        <v>43030.364895833336</v>
      </c>
      <c r="G53" s="7">
        <v>83</v>
      </c>
      <c r="H53" s="21" t="s">
        <v>437</v>
      </c>
      <c r="I53" s="13">
        <v>43030.389641203707</v>
      </c>
      <c r="J53" s="7">
        <v>0</v>
      </c>
      <c r="K53" s="89" t="str">
        <f>IF(ISEVEN(B53),(B53-1)&amp;"/"&amp;B53,B53&amp;"/"&amp;(B53+1))</f>
        <v>4019/4020</v>
      </c>
      <c r="L53" s="185" t="str">
        <f>VLOOKUP(A53,'Trips&amp;Operators'!$C$1:$G$99911,5,FALSE)</f>
        <v>WILLIAMS DONTE</v>
      </c>
      <c r="M53" s="6">
        <f>I53-F53</f>
        <v>2.47453703705105E-2</v>
      </c>
      <c r="N53" s="7">
        <f>24*60*SUM($M53:$M53)</f>
        <v>35.63333333353512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-22T07:38:53-0600',mode:absolute,to:'2017-10-22T10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4.6600000000000003E-2</v>
      </c>
      <c r="Z53" s="204">
        <f>RIGHT(H53,LEN(H53)-4)/10000</f>
        <v>23.3293</v>
      </c>
      <c r="AA53" s="204">
        <f>ABS(Z53-Y53)</f>
        <v>23.282699999999998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/stypes="app*4020*20171022*"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141-22 --locoid 4020 --swversion DE.1.0.9.0 --startMP 204:466 --initTime 2017-10-22T08:38:53 --startdatetime 2017-10-22T08:45:27 --delay 83 --endMP 204:233293 --enddatetime 2017-10-22T09:21:05 --enforcementcount 0 &gt;&gt;%USERPROFILE%\Documents\GitHub\eaglep3-reporting\EC\2017-10-22-refined-times.txt</v>
      </c>
      <c r="AI53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{"issue":{"subject":"","project_id":79,"tracker_id":40,"status_id":1,"priority_id":2,"assigned_to_id":338,"start_date":"2017-10-22","description":"","custom_fields":[{"id":1,"name":"Subdivision","value":"EC"},{"id":4,"name":"Milepost","value":"23.3293"},{"id":17,"name":"Train ID","value":"141-22"},{"id":16,"name":"Locomotive ID","value":"4020"},{"id":130,"name":"Impact","value":""},{"id":150,"name":"Time of Event (Mountain Time)","value":"09:21:05"},{"id":151,"name":"Denver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4020 --day 2017-10-22</v>
      </c>
      <c r="AN53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-22T07:38:53-0600',mode:absolute,to:'2017-10-22T10:21:05-0600'))&amp;_a=(columns:!('Message%20ID',Summary),filters:!(),index:'emp_*',interval:auto,query:(query_string:(analyze_wildcard:!t,query:'%22rtdc.l.rtdc.4020%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755</v>
      </c>
      <c r="B54" s="7">
        <v>4019</v>
      </c>
      <c r="C54" s="21" t="s">
        <v>194</v>
      </c>
      <c r="D54" s="21" t="s">
        <v>901</v>
      </c>
      <c r="E54" s="13">
        <v>43030.398402777777</v>
      </c>
      <c r="F54" s="13">
        <v>43030.404374999998</v>
      </c>
      <c r="G54" s="7">
        <v>86</v>
      </c>
      <c r="H54" s="21" t="s">
        <v>612</v>
      </c>
      <c r="I54" s="13">
        <v>43030.431979166664</v>
      </c>
      <c r="J54" s="7">
        <v>0</v>
      </c>
      <c r="K54" s="89" t="str">
        <f>IF(ISEVEN(B54),(B54-1)&amp;"/"&amp;B54,B54&amp;"/"&amp;(B54+1))</f>
        <v>4019/4020</v>
      </c>
      <c r="L54" s="185" t="str">
        <f>VLOOKUP(A54,'Trips&amp;Operators'!$C$1:$G$99911,5,FALSE)</f>
        <v>WILLIAMS DONTE</v>
      </c>
      <c r="M54" s="6">
        <f>I54-F54</f>
        <v>2.7604166665696539E-2</v>
      </c>
      <c r="N54" s="7">
        <f>24*60*SUM($M54:$M54)</f>
        <v>39.749999998603016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-22T08:33:42-0600',mode:absolute,to:'2017-10-22T11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23.295300000000001</v>
      </c>
      <c r="Z54" s="204">
        <f>RIGHT(H54,LEN(H54)-4)/10000</f>
        <v>1.6500000000000001E-2</v>
      </c>
      <c r="AA54" s="204">
        <f>ABS(Z54-Y54)</f>
        <v>23.2788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/stypes="app*4019*20171022*"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142-22 --locoid 4019 --swversion DE.1.0.9.0 --startMP 204:232953 --initTime 2017-10-22T09:33:42 --startdatetime 2017-10-22T09:42:18 --delay 86 --endMP 204:165 --enddatetime 2017-10-22T10:22:03 --enforcementcount 0 &gt;&gt;%USERPROFILE%\Documents\GitHub\eaglep3-reporting\EC\2017-10-22-refined-times.txt</v>
      </c>
      <c r="AI54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{"issue":{"subject":"","project_id":79,"tracker_id":40,"status_id":1,"priority_id":2,"assigned_to_id":338,"start_date":"2017-10-22","description":"","custom_fields":[{"id":1,"name":"Subdivision","value":"EC"},{"id":4,"name":"Milepost","value":"0.0165"},{"id":17,"name":"Train ID","value":"142-22"},{"id":16,"name":"Locomotive ID","value":"4019"},{"id":130,"name":"Impact","value":""},{"id":150,"name":"Time of Event (Mountain Time)","value":"10:22:03"},{"id":151,"name":"Denver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4019 --day 2017-10-22</v>
      </c>
      <c r="AN54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-22T08:33:42-0600',mode:absolute,to:'2017-10-22T11:22:03-0600'))&amp;_a=(columns:!('Message%20ID',Summary),filters:!(),index:'emp_*',interval:auto,query:(query_string:(analyze_wildcard:!t,query:'%22rtdc.l.rtdc.4019%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749</v>
      </c>
      <c r="B55" s="7">
        <v>4032</v>
      </c>
      <c r="C55" s="21" t="s">
        <v>194</v>
      </c>
      <c r="D55" s="21" t="s">
        <v>616</v>
      </c>
      <c r="E55" s="13">
        <v>43030.371828703705</v>
      </c>
      <c r="F55" s="13">
        <v>43030.375173611108</v>
      </c>
      <c r="G55" s="7">
        <v>57</v>
      </c>
      <c r="H55" s="21" t="s">
        <v>486</v>
      </c>
      <c r="I55" s="13">
        <v>43030.400254629632</v>
      </c>
      <c r="J55" s="7">
        <v>0</v>
      </c>
      <c r="K55" s="89" t="str">
        <f>IF(ISEVEN(B55),(B55-1)&amp;"/"&amp;B55,B55&amp;"/"&amp;(B55+1))</f>
        <v>4031/4032</v>
      </c>
      <c r="L55" s="185" t="str">
        <f>VLOOKUP(A55,'Trips&amp;Operators'!$C$1:$G$99911,5,FALSE)</f>
        <v>MAELZER KURT</v>
      </c>
      <c r="M55" s="6">
        <f>I55-F55</f>
        <v>2.5081018524360843E-2</v>
      </c>
      <c r="N55" s="7">
        <f>24*60*SUM($M55:$M55)</f>
        <v>36.116666675079614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-22T07:55:26-0600',mode:absolute,to:'2017-10-22T10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4.3499999999999997E-2</v>
      </c>
      <c r="Z55" s="204">
        <f>RIGHT(H55,LEN(H55)-4)/10000</f>
        <v>23.333400000000001</v>
      </c>
      <c r="AA55" s="204">
        <f>ABS(Z55-Y55)</f>
        <v>23.289899999999999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/stypes="app*4032*20171022*"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143-22 --locoid 4032 --swversion DE.1.0.9.0 --startMP 204:435 --initTime 2017-10-22T08:55:26 --startdatetime 2017-10-22T09:00:15 --delay 57 --endMP 204:233334 --enddatetime 2017-10-22T09:36:22 --enforcementcount 0 &gt;&gt;%USERPROFILE%\Documents\GitHub\eaglep3-reporting\EC\2017-10-22-refined-times.txt</v>
      </c>
      <c r="AI55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{"issue":{"subject":"","project_id":79,"tracker_id":40,"status_id":1,"priority_id":2,"assigned_to_id":338,"start_date":"2017-10-22","description":"","custom_fields":[{"id":1,"name":"Subdivision","value":"EC"},{"id":4,"name":"Milepost","value":"23.3334"},{"id":17,"name":"Train ID","value":"143-22"},{"id":16,"name":"Locomotive ID","value":"4032"},{"id":130,"name":"Impact","value":""},{"id":150,"name":"Time of Event (Mountain Time)","value":"09:36:22"},{"id":151,"name":"Denver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4032 --day 2017-10-22</v>
      </c>
      <c r="AN55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-22T07:55:26-0600',mode:absolute,to:'2017-10-22T10:36:22-0600'))&amp;_a=(columns:!('Message%20ID',Summary),filters:!(),index:'emp_*',interval:auto,query:(query_string:(analyze_wildcard:!t,query:'%22rtdc.l.rtdc.4032%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648</v>
      </c>
      <c r="B56" s="7">
        <v>4031</v>
      </c>
      <c r="C56" s="21" t="s">
        <v>194</v>
      </c>
      <c r="D56" s="21" t="s">
        <v>886</v>
      </c>
      <c r="E56" s="13">
        <v>43030.407152777778</v>
      </c>
      <c r="F56" s="13">
        <v>43030.414803240739</v>
      </c>
      <c r="G56" s="7">
        <v>45</v>
      </c>
      <c r="H56" s="21" t="s">
        <v>371</v>
      </c>
      <c r="I56" s="13">
        <v>43030.441122685188</v>
      </c>
      <c r="J56" s="7">
        <v>0</v>
      </c>
      <c r="K56" s="89" t="str">
        <f>IF(ISEVEN(B56),(B56-1)&amp;"/"&amp;B56,B56&amp;"/"&amp;(B56+1))</f>
        <v>4031/4032</v>
      </c>
      <c r="L56" s="185" t="str">
        <f>VLOOKUP(A56,'Trips&amp;Operators'!$C$1:$G$99911,5,FALSE)</f>
        <v>MAELZER KURT</v>
      </c>
      <c r="M56" s="6">
        <f>I56-F56</f>
        <v>2.6319444448745344E-2</v>
      </c>
      <c r="N56" s="7">
        <f>24*60*SUM($M56:$M56)</f>
        <v>37.900000006193295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-22T08:46:18-0600',mode:absolute,to:'2017-10-22T11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23.301100000000002</v>
      </c>
      <c r="Z56" s="204">
        <f>RIGHT(H56,LEN(H56)-4)/10000</f>
        <v>1.54E-2</v>
      </c>
      <c r="AA56" s="204">
        <f>ABS(Z56-Y56)</f>
        <v>23.285700000000002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/stypes="app*4031*20171022*"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144-22 --locoid 4031 --swversion DE.1.0.9.0 --startMP 204:233011 --initTime 2017-10-22T09:46:18 --startdatetime 2017-10-22T09:57:19 --delay 45 --endMP 204:154 --enddatetime 2017-10-22T10:35:13 --enforcementcount 0 &gt;&gt;%USERPROFILE%\Documents\GitHub\eaglep3-reporting\EC\2017-10-22-refined-times.txt</v>
      </c>
      <c r="AI56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{"issue":{"subject":"","project_id":79,"tracker_id":40,"status_id":1,"priority_id":2,"assigned_to_id":338,"start_date":"2017-10-22","description":"","custom_fields":[{"id":1,"name":"Subdivision","value":"EC"},{"id":4,"name":"Milepost","value":"0.0154"},{"id":17,"name":"Train ID","value":"144-22"},{"id":16,"name":"Locomotive ID","value":"4031"},{"id":130,"name":"Impact","value":""},{"id":150,"name":"Time of Event (Mountain Time)","value":"10:35:13"},{"id":151,"name":"Denver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4031 --day 2017-10-22</v>
      </c>
      <c r="AN56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-22T08:46:18-0600',mode:absolute,to:'2017-10-22T11:35:13-0600'))&amp;_a=(columns:!('Message%20ID',Summary),filters:!(),index:'emp_*',interval:auto,query:(query_string:(analyze_wildcard:!t,query:'%22rtdc.l.rtdc.4031%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751</v>
      </c>
      <c r="B57" s="7">
        <v>4066</v>
      </c>
      <c r="C57" s="21" t="s">
        <v>194</v>
      </c>
      <c r="D57" s="21" t="s">
        <v>616</v>
      </c>
      <c r="E57" s="13">
        <v>43030.380208333336</v>
      </c>
      <c r="F57" s="13">
        <v>43030.385648148149</v>
      </c>
      <c r="G57" s="7">
        <v>85</v>
      </c>
      <c r="H57" s="21" t="s">
        <v>487</v>
      </c>
      <c r="I57" s="13">
        <v>43030.409571759257</v>
      </c>
      <c r="J57" s="7">
        <v>0</v>
      </c>
      <c r="K57" s="89" t="str">
        <f>IF(ISEVEN(B57),(B57-1)&amp;"/"&amp;B57,B57&amp;"/"&amp;(B57+1))</f>
        <v>4065/4066</v>
      </c>
      <c r="L57" s="185" t="str">
        <f>VLOOKUP(A57,'Trips&amp;Operators'!$C$1:$G$99911,5,FALSE)</f>
        <v>LAMAR NEKESHA</v>
      </c>
      <c r="M57" s="6">
        <f>I57-F57</f>
        <v>2.3923611108330078E-2</v>
      </c>
      <c r="N57" s="7">
        <f>24*60*SUM($M57:$M57)</f>
        <v>34.449999995995313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-22T08:07:30-0600',mode:absolute,to:'2017-10-22T10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4.3499999999999997E-2</v>
      </c>
      <c r="Z57" s="204">
        <f>RIGHT(H57,LEN(H57)-4)/10000</f>
        <v>23.331800000000001</v>
      </c>
      <c r="AA57" s="204">
        <f>ABS(Z57-Y57)</f>
        <v>23.2883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/stypes="app*4066*20171022*"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145-22 --locoid 4066 --swversion DE.1.0.9.0 --startMP 204:435 --initTime 2017-10-22T09:07:30 --startdatetime 2017-10-22T09:15:20 --delay 85 --endMP 204:233318 --enddatetime 2017-10-22T09:49:47 --enforcementcount 0 &gt;&gt;%USERPROFILE%\Documents\GitHub\eaglep3-reporting\EC\2017-10-22-refined-times.txt</v>
      </c>
      <c r="AI57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{"issue":{"subject":"","project_id":79,"tracker_id":40,"status_id":1,"priority_id":2,"assigned_to_id":338,"start_date":"2017-10-22","description":"","custom_fields":[{"id":1,"name":"Subdivision","value":"EC"},{"id":4,"name":"Milepost","value":"23.3318"},{"id":17,"name":"Train ID","value":"145-22"},{"id":16,"name":"Locomotive ID","value":"4066"},{"id":130,"name":"Impact","value":""},{"id":150,"name":"Time of Event (Mountain Time)","value":"09:49:47"},{"id":151,"name":"Denver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4066 --day 2017-10-22</v>
      </c>
      <c r="AN57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-22T08:07:30-0600',mode:absolute,to:'2017-10-22T10:49:47-0600'))&amp;_a=(columns:!('Message%20ID',Summary),filters:!(),index:'emp_*',interval:auto,query:(query_string:(analyze_wildcard:!t,query:'%22rtdc.l.rtdc.4066%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759</v>
      </c>
      <c r="B58" s="7">
        <v>4065</v>
      </c>
      <c r="C58" s="21" t="s">
        <v>194</v>
      </c>
      <c r="D58" s="21" t="s">
        <v>402</v>
      </c>
      <c r="E58" s="13">
        <v>43030.422789351855</v>
      </c>
      <c r="F58" s="13">
        <v>43030.425185185188</v>
      </c>
      <c r="G58" s="7">
        <v>76</v>
      </c>
      <c r="H58" s="21" t="s">
        <v>421</v>
      </c>
      <c r="I58" s="13">
        <v>43030.451388888891</v>
      </c>
      <c r="J58" s="7">
        <v>0</v>
      </c>
      <c r="K58" s="89" t="str">
        <f>IF(ISEVEN(B58),(B58-1)&amp;"/"&amp;B58,B58&amp;"/"&amp;(B58+1))</f>
        <v>4065/4066</v>
      </c>
      <c r="L58" s="185" t="str">
        <f>VLOOKUP(A58,'Trips&amp;Operators'!$C$1:$G$99911,5,FALSE)</f>
        <v>LAMAR NEKESHA</v>
      </c>
      <c r="M58" s="6">
        <f>I58-F58</f>
        <v>2.6203703702776693E-2</v>
      </c>
      <c r="N58" s="7">
        <f>24*60*SUM($M58:$M58)</f>
        <v>37.733333331998438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-22T09:08:49-0600',mode:absolute,to:'2017-10-22T11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23.299399999999999</v>
      </c>
      <c r="Z58" s="204">
        <f>RIGHT(H58,LEN(H58)-4)/10000</f>
        <v>1.41E-2</v>
      </c>
      <c r="AA58" s="204">
        <f>ABS(Z58-Y58)</f>
        <v>23.285299999999999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/stypes="app*4065*20171022*"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146-22 --locoid 4065 --swversion DE.1.0.9.0 --startMP 204:232994 --initTime 2017-10-22T10:08:49 --startdatetime 2017-10-22T10:12:16 --delay 76 --endMP 204:141 --enddatetime 2017-10-22T10:50:00 --enforcementcount 0 &gt;&gt;%USERPROFILE%\Documents\GitHub\eaglep3-reporting\EC\2017-10-22-refined-times.txt</v>
      </c>
      <c r="AI58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{"issue":{"subject":"","project_id":79,"tracker_id":40,"status_id":1,"priority_id":2,"assigned_to_id":338,"start_date":"2017-10-22","description":"","custom_fields":[{"id":1,"name":"Subdivision","value":"EC"},{"id":4,"name":"Milepost","value":"0.0141"},{"id":17,"name":"Train ID","value":"146-22"},{"id":16,"name":"Locomotive ID","value":"4065"},{"id":130,"name":"Impact","value":""},{"id":150,"name":"Time of Event (Mountain Time)","value":"10:50:00"},{"id":151,"name":"Denver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4065 --day 2017-10-22</v>
      </c>
      <c r="AN58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-22T09:08:49-0600',mode:absolute,to:'2017-10-22T11:50:00-0600'))&amp;_a=(columns:!('Message%20ID',Summary),filters:!(),index:'emp_*',interval:auto,query:(query_string:(analyze_wildcard:!t,query:'%22rtdc.l.rtdc.4065%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754</v>
      </c>
      <c r="B59" s="7">
        <v>4028</v>
      </c>
      <c r="C59" s="21" t="s">
        <v>194</v>
      </c>
      <c r="D59" s="21" t="s">
        <v>415</v>
      </c>
      <c r="E59" s="13">
        <v>43030.394131944442</v>
      </c>
      <c r="F59" s="13">
        <v>43030.396122685182</v>
      </c>
      <c r="G59" s="7">
        <v>101</v>
      </c>
      <c r="H59" s="21" t="s">
        <v>387</v>
      </c>
      <c r="I59" s="13">
        <v>43030.42255787037</v>
      </c>
      <c r="J59" s="7">
        <v>0</v>
      </c>
      <c r="K59" s="89" t="str">
        <f>IF(ISEVEN(B59),(B59-1)&amp;"/"&amp;B59,B59&amp;"/"&amp;(B59+1))</f>
        <v>4027/4028</v>
      </c>
      <c r="L59" s="185" t="str">
        <f>VLOOKUP(A59,'Trips&amp;Operators'!$C$1:$G$99911,5,FALSE)</f>
        <v>DAVIS WENDY</v>
      </c>
      <c r="M59" s="6">
        <f>I59-F59</f>
        <v>2.6435185187438037E-2</v>
      </c>
      <c r="N59" s="7">
        <f>24*60*SUM($M59:$M59)</f>
        <v>38.066666669910774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-22T08:27:33-0600',mode:absolute,to:'2017-10-22T11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4.3999999999999997E-2</v>
      </c>
      <c r="Z59" s="204">
        <f>RIGHT(H59,LEN(H59)-4)/10000</f>
        <v>23.330200000000001</v>
      </c>
      <c r="AA59" s="204">
        <f>ABS(Z59-Y59)</f>
        <v>23.286200000000001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/stypes="app*4028*20171022*"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147-22 --locoid 4028 --swversion DE.1.0.9.0 --startMP 204:440 --initTime 2017-10-22T09:27:33 --startdatetime 2017-10-22T09:30:25 --delay 101 --endMP 204:233302 --enddatetime 2017-10-22T10:08:29 --enforcementcount 0 &gt;&gt;%USERPROFILE%\Documents\GitHub\eaglep3-reporting\EC\2017-10-22-refined-times.txt</v>
      </c>
      <c r="AI59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{"issue":{"subject":"","project_id":79,"tracker_id":40,"status_id":1,"priority_id":2,"assigned_to_id":338,"start_date":"2017-10-22","description":"","custom_fields":[{"id":1,"name":"Subdivision","value":"EC"},{"id":4,"name":"Milepost","value":"23.3302"},{"id":17,"name":"Train ID","value":"147-22"},{"id":16,"name":"Locomotive ID","value":"4028"},{"id":130,"name":"Impact","value":""},{"id":150,"name":"Time of Event (Mountain Time)","value":"10:08:29"},{"id":151,"name":"Denver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4028 --day 2017-10-22</v>
      </c>
      <c r="AN59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-22T08:27:33-0600',mode:absolute,to:'2017-10-22T11:08:29-0600'))&amp;_a=(columns:!('Message%20ID',Summary),filters:!(),index:'emp_*',interval:auto,query:(query_string:(analyze_wildcard:!t,query:'%22rtdc.l.rtdc.4028%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760</v>
      </c>
      <c r="B60" s="7">
        <v>4027</v>
      </c>
      <c r="C60" s="21" t="s">
        <v>194</v>
      </c>
      <c r="D60" s="21" t="s">
        <v>902</v>
      </c>
      <c r="E60" s="13">
        <v>43030.426539351851</v>
      </c>
      <c r="F60" s="13">
        <v>43030.435659722221</v>
      </c>
      <c r="G60" s="7">
        <v>78</v>
      </c>
      <c r="H60" s="21" t="s">
        <v>357</v>
      </c>
      <c r="I60" s="13">
        <v>43030.462430555555</v>
      </c>
      <c r="J60" s="7">
        <v>0</v>
      </c>
      <c r="K60" s="89" t="str">
        <f>IF(ISEVEN(B60),(B60-1)&amp;"/"&amp;B60,B60&amp;"/"&amp;(B60+1))</f>
        <v>4027/4028</v>
      </c>
      <c r="L60" s="185" t="str">
        <f>VLOOKUP(A60,'Trips&amp;Operators'!$C$1:$G$99911,5,FALSE)</f>
        <v>DAVIS WENDY</v>
      </c>
      <c r="M60" s="6">
        <f>I60-F60</f>
        <v>2.6770833334012423E-2</v>
      </c>
      <c r="N60" s="7">
        <f>24*60*SUM($M60:$M60)</f>
        <v>38.550000000977889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-22T09:14:13-0600',mode:absolute,to:'2017-10-22T12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23.299299999999999</v>
      </c>
      <c r="Z60" s="204">
        <f>RIGHT(H60,LEN(H60)-4)/10000</f>
        <v>1.5599999999999999E-2</v>
      </c>
      <c r="AA60" s="204">
        <f>ABS(Z60-Y60)</f>
        <v>23.2837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/stypes="app*4027*20171022*"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148-22 --locoid 4027 --swversion DE.1.0.9.0 --startMP 204:232993 --initTime 2017-10-22T10:14:13 --startdatetime 2017-10-22T10:27:21 --delay 78 --endMP 204:156 --enddatetime 2017-10-22T11:05:54 --enforcementcount 0 &gt;&gt;%USERPROFILE%\Documents\GitHub\eaglep3-reporting\EC\2017-10-22-refined-times.txt</v>
      </c>
      <c r="AI60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{"issue":{"subject":"","project_id":79,"tracker_id":40,"status_id":1,"priority_id":2,"assigned_to_id":338,"start_date":"2017-10-22","description":"","custom_fields":[{"id":1,"name":"Subdivision","value":"EC"},{"id":4,"name":"Milepost","value":"0.0156"},{"id":17,"name":"Train ID","value":"148-22"},{"id":16,"name":"Locomotive ID","value":"4027"},{"id":130,"name":"Impact","value":""},{"id":150,"name":"Time of Event (Mountain Time)","value":"11:05:54"},{"id":151,"name":"Denver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4027 --day 2017-10-22</v>
      </c>
      <c r="AN60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-22T09:14:13-0600',mode:absolute,to:'2017-10-22T12:05:54-0600'))&amp;_a=(columns:!('Message%20ID',Summary),filters:!(),index:'emp_*',interval:auto,query:(query_string:(analyze_wildcard:!t,query:'%22rtdc.l.rtdc.4027%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756</v>
      </c>
      <c r="B61" s="7">
        <v>4026</v>
      </c>
      <c r="C61" s="21" t="s">
        <v>194</v>
      </c>
      <c r="D61" s="21" t="s">
        <v>396</v>
      </c>
      <c r="E61" s="13">
        <v>43030.402060185188</v>
      </c>
      <c r="F61" s="13">
        <v>43030.406423611108</v>
      </c>
      <c r="G61" s="7">
        <v>72</v>
      </c>
      <c r="H61" s="21" t="s">
        <v>482</v>
      </c>
      <c r="I61" s="13">
        <v>43030.430821759262</v>
      </c>
      <c r="J61" s="7">
        <v>0</v>
      </c>
      <c r="K61" s="89" t="str">
        <f>IF(ISEVEN(B61),(B61-1)&amp;"/"&amp;B61,B61&amp;"/"&amp;(B61+1))</f>
        <v>4025/4026</v>
      </c>
      <c r="L61" s="185" t="str">
        <f>VLOOKUP(A61,'Trips&amp;Operators'!$C$1:$G$99911,5,FALSE)</f>
        <v>BARRON PERLA</v>
      </c>
      <c r="M61" s="6">
        <f>I61-F61</f>
        <v>2.439814815443242E-2</v>
      </c>
      <c r="N61" s="7">
        <f>24*60*SUM($M61:$M61)</f>
        <v>35.133333342382684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-22T08:38:58-0600',mode:absolute,to:'2017-10-22T11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4.6399999999999997E-2</v>
      </c>
      <c r="Z61" s="204">
        <f>RIGHT(H61,LEN(H61)-4)/10000</f>
        <v>23.3309</v>
      </c>
      <c r="AA61" s="204">
        <f>ABS(Z61-Y61)</f>
        <v>23.284500000000001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/stypes="app*4026*20171022*"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149-22 --locoid 4026 --swversion DE.1.0.9.0 --startMP 204:464 --initTime 2017-10-22T09:38:58 --startdatetime 2017-10-22T09:45:15 --delay 72 --endMP 204:233309 --enddatetime 2017-10-22T10:20:23 --enforcementcount 0 &gt;&gt;%USERPROFILE%\Documents\GitHub\eaglep3-reporting\EC\2017-10-22-refined-times.txt</v>
      </c>
      <c r="AI61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{"issue":{"subject":"","project_id":79,"tracker_id":40,"status_id":1,"priority_id":2,"assigned_to_id":338,"start_date":"2017-10-22","description":"","custom_fields":[{"id":1,"name":"Subdivision","value":"EC"},{"id":4,"name":"Milepost","value":"23.3309"},{"id":17,"name":"Train ID","value":"149-22"},{"id":16,"name":"Locomotive ID","value":"4026"},{"id":130,"name":"Impact","value":""},{"id":150,"name":"Time of Event (Mountain Time)","value":"10:20:23"},{"id":151,"name":"Denver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4026 --day 2017-10-22</v>
      </c>
      <c r="AN61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-22T08:38:58-0600',mode:absolute,to:'2017-10-22T11:20:23-0600'))&amp;_a=(columns:!('Message%20ID',Summary),filters:!(),index:'emp_*',interval:auto,query:(query_string:(analyze_wildcard:!t,query:'%22rtdc.l.rtdc.4026%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762</v>
      </c>
      <c r="B62" s="7">
        <v>4025</v>
      </c>
      <c r="C62" s="21" t="s">
        <v>194</v>
      </c>
      <c r="D62" s="21" t="s">
        <v>488</v>
      </c>
      <c r="E62" s="13">
        <v>43030.436041666668</v>
      </c>
      <c r="F62" s="13">
        <v>43030.44630787037</v>
      </c>
      <c r="G62" s="7">
        <v>57</v>
      </c>
      <c r="H62" s="21" t="s">
        <v>354</v>
      </c>
      <c r="I62" s="13">
        <v>43030.472962962966</v>
      </c>
      <c r="J62" s="7">
        <v>0</v>
      </c>
      <c r="K62" s="89" t="str">
        <f>IF(ISEVEN(B62),(B62-1)&amp;"/"&amp;B62,B62&amp;"/"&amp;(B62+1))</f>
        <v>4025/4026</v>
      </c>
      <c r="L62" s="185" t="str">
        <f>VLOOKUP(A62,'Trips&amp;Operators'!$C$1:$G$99911,5,FALSE)</f>
        <v>BARRON PERLA</v>
      </c>
      <c r="M62" s="6">
        <f>I62-F62</f>
        <v>2.6655092595319729E-2</v>
      </c>
      <c r="N62" s="7">
        <f>24*60*SUM($M62:$M62)</f>
        <v>38.38333333726041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-22T09:27:54-0600',mode:absolute,to:'2017-10-22T12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23.298400000000001</v>
      </c>
      <c r="Z62" s="204">
        <f>RIGHT(H62,LEN(H62)-4)/10000</f>
        <v>1.52E-2</v>
      </c>
      <c r="AA62" s="204">
        <f>ABS(Z62-Y62)</f>
        <v>23.283200000000001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/stypes="app*4025*20171022*"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150-22 --locoid 4025 --swversion DE.1.0.9.0 --startMP 204:232984 --initTime 2017-10-22T10:27:54 --startdatetime 2017-10-22T10:42:41 --delay 57 --endMP 204:152 --enddatetime 2017-10-22T11:21:04 --enforcementcount 0 &gt;&gt;%USERPROFILE%\Documents\GitHub\eaglep3-reporting\EC\2017-10-22-refined-times.txt</v>
      </c>
      <c r="AI62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{"issue":{"subject":"","project_id":79,"tracker_id":40,"status_id":1,"priority_id":2,"assigned_to_id":338,"start_date":"2017-10-22","description":"","custom_fields":[{"id":1,"name":"Subdivision","value":"EC"},{"id":4,"name":"Milepost","value":"0.0152"},{"id":17,"name":"Train ID","value":"150-22"},{"id":16,"name":"Locomotive ID","value":"4025"},{"id":130,"name":"Impact","value":""},{"id":150,"name":"Time of Event (Mountain Time)","value":"11:21:04"},{"id":151,"name":"Denver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4025 --day 2017-10-22</v>
      </c>
      <c r="AN62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-22T09:27:54-0600',mode:absolute,to:'2017-10-22T12:21:04-0600'))&amp;_a=(columns:!('Message%20ID',Summary),filters:!(),index:'emp_*',interval:auto,query:(query_string:(analyze_wildcard:!t,query:'%22rtdc.l.rtdc.4025%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757</v>
      </c>
      <c r="B63" s="7">
        <v>4002</v>
      </c>
      <c r="C63" s="21" t="s">
        <v>194</v>
      </c>
      <c r="D63" s="21" t="s">
        <v>905</v>
      </c>
      <c r="E63" s="13">
        <v>43030.412048611113</v>
      </c>
      <c r="F63" s="13">
        <v>43030.416828703703</v>
      </c>
      <c r="G63" s="7">
        <v>51</v>
      </c>
      <c r="H63" s="21" t="s">
        <v>906</v>
      </c>
      <c r="I63" s="13">
        <v>43030.44127314815</v>
      </c>
      <c r="J63" s="7">
        <v>0</v>
      </c>
      <c r="K63" s="89" t="str">
        <f>IF(ISEVEN(B63),(B63-1)&amp;"/"&amp;B63,B63&amp;"/"&amp;(B63+1))</f>
        <v>4001/4002</v>
      </c>
      <c r="L63" s="185" t="str">
        <f>VLOOKUP(A63,'Trips&amp;Operators'!$C$1:$G$99911,5,FALSE)</f>
        <v>GEBRETEKLE DAGNEW</v>
      </c>
      <c r="M63" s="6">
        <f>I63-F63</f>
        <v>2.4444444446999114E-2</v>
      </c>
      <c r="N63" s="7">
        <f>24*60*SUM($M63:$M63)</f>
        <v>35.200000003678724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-22T08:53:21-0600',mode:absolute,to:'2017-10-22T11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4.7500000000000001E-2</v>
      </c>
      <c r="Z63" s="204">
        <f>RIGHT(H63,LEN(H63)-4)/10000</f>
        <v>23.3323</v>
      </c>
      <c r="AA63" s="204">
        <f>ABS(Z63-Y63)</f>
        <v>23.284800000000001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/stypes="app*4002*20171022*"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151-22 --locoid 4002 --swversion DE.1.0.9.0 --startMP 204:475 --initTime 2017-10-22T09:53:21 --startdatetime 2017-10-22T10:00:14 --delay 51 --endMP 204:233323 --enddatetime 2017-10-22T10:35:26 --enforcementcount 0 &gt;&gt;%USERPROFILE%\Documents\GitHub\eaglep3-reporting\EC\2017-10-22-refined-times.txt</v>
      </c>
      <c r="AI63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{"issue":{"subject":"","project_id":79,"tracker_id":40,"status_id":1,"priority_id":2,"assigned_to_id":338,"start_date":"2017-10-22","description":"","custom_fields":[{"id":1,"name":"Subdivision","value":"EC"},{"id":4,"name":"Milepost","value":"23.3323"},{"id":17,"name":"Train ID","value":"151-22"},{"id":16,"name":"Locomotive ID","value":"4002"},{"id":130,"name":"Impact","value":""},{"id":150,"name":"Time of Event (Mountain Time)","value":"10:35:26"},{"id":151,"name":"Denver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4002 --day 2017-10-22</v>
      </c>
      <c r="AN63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-22T08:53:21-0600',mode:absolute,to:'2017-10-22T11:35:26-0600'))&amp;_a=(columns:!('Message%20ID',Summary),filters:!(),index:'emp_*',interval:auto,query:(query_string:(analyze_wildcard:!t,query:'%22rtdc.l.rtdc.4002%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652</v>
      </c>
      <c r="B64" s="7">
        <v>4001</v>
      </c>
      <c r="C64" s="21" t="s">
        <v>194</v>
      </c>
      <c r="D64" s="21" t="s">
        <v>402</v>
      </c>
      <c r="E64" s="13">
        <v>43030.442928240744</v>
      </c>
      <c r="F64" s="13">
        <v>43030.456423611111</v>
      </c>
      <c r="G64" s="7">
        <v>54</v>
      </c>
      <c r="H64" s="21" t="s">
        <v>339</v>
      </c>
      <c r="I64" s="13">
        <v>43030.482986111114</v>
      </c>
      <c r="J64" s="7">
        <v>0</v>
      </c>
      <c r="K64" s="89" t="str">
        <f>IF(ISEVEN(B64),(B64-1)&amp;"/"&amp;B64,B64&amp;"/"&amp;(B64+1))</f>
        <v>4001/4002</v>
      </c>
      <c r="L64" s="185" t="str">
        <f>VLOOKUP(A64,'Trips&amp;Operators'!$C$1:$G$99911,5,FALSE)</f>
        <v>GEBRETEKLE DAGNEW</v>
      </c>
      <c r="M64" s="6">
        <f>I64-F64</f>
        <v>2.6562500002910383E-2</v>
      </c>
      <c r="N64" s="7">
        <f>24*60*SUM($M64:$M64)</f>
        <v>38.250000004190952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-22T09:37:49-0600',mode:absolute,to:'2017-10-22T12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23.299399999999999</v>
      </c>
      <c r="Z64" s="204">
        <f>RIGHT(H64,LEN(H64)-4)/10000</f>
        <v>1.47E-2</v>
      </c>
      <c r="AA64" s="204">
        <f>ABS(Z64-Y64)</f>
        <v>23.284699999999997</v>
      </c>
      <c r="AB64" s="54" t="str">
        <f>VLOOKUP(A64,Enforcements!$C$7:$K$11,8,0)</f>
        <v>Bulletin (2)</v>
      </c>
      <c r="AC64" s="51" t="str">
        <f>VLOOKUP(A64,Enforcements!$C$7:$E$11,3,0)</f>
        <v>GRADE CROSSING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/stypes="app*4001*20171022*"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152-22 --locoid 4001 --swversion DE.1.0.9.0 --startMP 204:232994 --initTime 2017-10-22T10:37:49 --startdatetime 2017-10-22T10:57:15 --delay 54 --endMP 204:147 --enddatetime 2017-10-22T11:35:30 --enforcementcount 0 &gt;&gt;%USERPROFILE%\Documents\GitHub\eaglep3-reporting\EC\2017-10-22-refined-times.txt</v>
      </c>
      <c r="AI64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ID","value":"152-22"},{"id":16,"name":"Locomotive ID","value":"4001"},{"id":130,"name":"Impact","value":""},{"id":150,"name":"Time of Event (Mountain Time)","value":"11:35:30"},{"id":151,"name":"Denver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4001 --day 2017-10-22</v>
      </c>
      <c r="AN64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-22T09:37:49-0600',mode:absolute,to:'2017-10-22T12:35:30-0600'))&amp;_a=(columns:!('Message%20ID',Summary),filters:!(),index:'emp_*',interval:auto,query:(query_string:(analyze_wildcard:!t,query:'%22rtdc.l.rtdc.4001%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758</v>
      </c>
      <c r="B65" s="7">
        <v>4036</v>
      </c>
      <c r="C65" s="21" t="s">
        <v>194</v>
      </c>
      <c r="D65" s="21" t="s">
        <v>907</v>
      </c>
      <c r="E65" s="13">
        <v>43030.421655092592</v>
      </c>
      <c r="F65" s="13">
        <v>43030.427372685182</v>
      </c>
      <c r="G65" s="7">
        <v>74</v>
      </c>
      <c r="H65" s="21" t="s">
        <v>908</v>
      </c>
      <c r="I65" s="13">
        <v>43030.452048611114</v>
      </c>
      <c r="J65" s="7">
        <v>0</v>
      </c>
      <c r="K65" s="89" t="str">
        <f>IF(ISEVEN(B65),(B65-1)&amp;"/"&amp;B65,B65&amp;"/"&amp;(B65+1))</f>
        <v>4035/4036</v>
      </c>
      <c r="L65" s="185" t="str">
        <f>VLOOKUP(A65,'Trips&amp;Operators'!$C$1:$G$99911,5,FALSE)</f>
        <v>BADERTSCHER DIANE</v>
      </c>
      <c r="M65" s="6">
        <f>I65-F65</f>
        <v>2.4675925931660458E-2</v>
      </c>
      <c r="N65" s="7">
        <f>24*60*SUM($M65:$M65)</f>
        <v>35.53333334159106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-22T09:07:11-0600',mode:absolute,to:'2017-10-22T11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4.8599999999999997E-2</v>
      </c>
      <c r="Z65" s="204">
        <f>RIGHT(H65,LEN(H65)-4)/10000</f>
        <v>23.3276</v>
      </c>
      <c r="AA65" s="204">
        <f>ABS(Z65-Y65)</f>
        <v>23.279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/stypes="app*4036*20171022*"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153-22 --locoid 4036 --swversion DE.1.0.9.0 --startMP 204:486 --initTime 2017-10-22T10:07:11 --startdatetime 2017-10-22T10:15:25 --delay 74 --endMP 204:233276 --enddatetime 2017-10-22T10:50:57 --enforcementcount 0 &gt;&gt;%USERPROFILE%\Documents\GitHub\eaglep3-reporting\EC\2017-10-22-refined-times.txt</v>
      </c>
      <c r="AI65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{"issue":{"subject":"","project_id":79,"tracker_id":40,"status_id":1,"priority_id":2,"assigned_to_id":338,"start_date":"2017-10-22","description":"","custom_fields":[{"id":1,"name":"Subdivision","value":"EC"},{"id":4,"name":"Milepost","value":"23.3276"},{"id":17,"name":"Train ID","value":"153-22"},{"id":16,"name":"Locomotive ID","value":"4036"},{"id":130,"name":"Impact","value":""},{"id":150,"name":"Time of Event (Mountain Time)","value":"10:50:57"},{"id":151,"name":"Denver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4036 --day 2017-10-22</v>
      </c>
      <c r="AN65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-22T09:07:11-0600',mode:absolute,to:'2017-10-22T11:50:57-0600'))&amp;_a=(columns:!('Message%20ID',Summary),filters:!(),index:'emp_*',interval:auto,query:(query_string:(analyze_wildcard:!t,query:'%22rtdc.l.rtdc.4036%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765</v>
      </c>
      <c r="B66" s="7">
        <v>4035</v>
      </c>
      <c r="C66" s="21" t="s">
        <v>194</v>
      </c>
      <c r="D66" s="21" t="s">
        <v>896</v>
      </c>
      <c r="E66" s="13">
        <v>43030.461226851854</v>
      </c>
      <c r="F66" s="13">
        <v>43030.466828703706</v>
      </c>
      <c r="G66" s="7">
        <v>84</v>
      </c>
      <c r="H66" s="21" t="s">
        <v>357</v>
      </c>
      <c r="I66" s="13">
        <v>43030.494618055556</v>
      </c>
      <c r="J66" s="7">
        <v>0</v>
      </c>
      <c r="K66" s="89" t="str">
        <f>IF(ISEVEN(B66),(B66-1)&amp;"/"&amp;B66,B66&amp;"/"&amp;(B66+1))</f>
        <v>4035/4036</v>
      </c>
      <c r="L66" s="185" t="str">
        <f>VLOOKUP(A66,'Trips&amp;Operators'!$C$1:$G$99911,5,FALSE)</f>
        <v>BADERTSCHER DIANE</v>
      </c>
      <c r="M66" s="6">
        <f>I66-F66</f>
        <v>2.7789351850515231E-2</v>
      </c>
      <c r="N66" s="7">
        <f>24*60*SUM($M66:$M66)</f>
        <v>40.016666664741933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-22T10:04:10-0600',mode:absolute,to:'2017-10-22T12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23.3005</v>
      </c>
      <c r="Z66" s="204">
        <f>RIGHT(H66,LEN(H66)-4)/10000</f>
        <v>1.5599999999999999E-2</v>
      </c>
      <c r="AA66" s="204">
        <f>ABS(Z66-Y66)</f>
        <v>23.2849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/stypes="app*4035*20171022*"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154-22 --locoid 4035 --swversion DE.1.0.9.0 --startMP 204:233005 --initTime 2017-10-22T11:04:10 --startdatetime 2017-10-22T11:12:14 --delay 84 --endMP 204:156 --enddatetime 2017-10-22T11:52:15 --enforcementcount 0 &gt;&gt;%USERPROFILE%\Documents\GitHub\eaglep3-reporting\EC\2017-10-22-refined-times.txt</v>
      </c>
      <c r="AI66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{"issue":{"subject":"","project_id":79,"tracker_id":40,"status_id":1,"priority_id":2,"assigned_to_id":338,"start_date":"2017-10-22","description":"","custom_fields":[{"id":1,"name":"Subdivision","value":"EC"},{"id":4,"name":"Milepost","value":"0.0156"},{"id":17,"name":"Train ID","value":"154-22"},{"id":16,"name":"Locomotive ID","value":"4035"},{"id":130,"name":"Impact","value":""},{"id":150,"name":"Time of Event (Mountain Time)","value":"11:52:15"},{"id":151,"name":"Denver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4035 --day 2017-10-22</v>
      </c>
      <c r="AN66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-22T10:04:10-0600',mode:absolute,to:'2017-10-22T12:52:15-0600'))&amp;_a=(columns:!('Message%20ID',Summary),filters:!(),index:'emp_*',interval:auto,query:(query_string:(analyze_wildcard:!t,query:'%22rtdc.l.rtdc.4035%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761</v>
      </c>
      <c r="B67" s="7">
        <v>4020</v>
      </c>
      <c r="C67" s="21" t="s">
        <v>194</v>
      </c>
      <c r="D67" s="21" t="s">
        <v>611</v>
      </c>
      <c r="E67" s="13">
        <v>43030.433946759258</v>
      </c>
      <c r="F67" s="13">
        <v>43030.437696759262</v>
      </c>
      <c r="G67" s="7">
        <v>55</v>
      </c>
      <c r="H67" s="21" t="s">
        <v>628</v>
      </c>
      <c r="I67" s="13">
        <v>43030.462824074071</v>
      </c>
      <c r="J67" s="7">
        <v>0</v>
      </c>
      <c r="K67" s="89" t="str">
        <f>IF(ISEVEN(B67),(B67-1)&amp;"/"&amp;B67,B67&amp;"/"&amp;(B67+1))</f>
        <v>4019/4020</v>
      </c>
      <c r="L67" s="185" t="str">
        <f>VLOOKUP(A67,'Trips&amp;Operators'!$C$1:$G$99911,5,FALSE)</f>
        <v>WILLIAMS DONTE</v>
      </c>
      <c r="M67" s="6">
        <f>I67-F67</f>
        <v>2.512731480965158E-2</v>
      </c>
      <c r="N67" s="7">
        <f>24*60*SUM($M67:$M67)</f>
        <v>36.183333325898275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-22T09:24:53-0600',mode:absolute,to:'2017-10-22T12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4.4900000000000002E-2</v>
      </c>
      <c r="Z67" s="204">
        <f>RIGHT(H67,LEN(H67)-4)/10000</f>
        <v>23.333600000000001</v>
      </c>
      <c r="AA67" s="204">
        <f>ABS(Z67-Y67)</f>
        <v>23.288700000000002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/stypes="app*4020*20171022*"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155-22 --locoid 4020 --swversion DE.1.0.9.0 --startMP 204:449 --initTime 2017-10-22T10:24:53 --startdatetime 2017-10-22T10:30:17 --delay 55 --endMP 204:233336 --enddatetime 2017-10-22T11:06:28 --enforcementcount 0 &gt;&gt;%USERPROFILE%\Documents\GitHub\eaglep3-reporting\EC\2017-10-22-refined-times.txt</v>
      </c>
      <c r="AI67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{"issue":{"subject":"","project_id":79,"tracker_id":40,"status_id":1,"priority_id":2,"assigned_to_id":338,"start_date":"2017-10-22","description":"","custom_fields":[{"id":1,"name":"Subdivision","value":"EC"},{"id":4,"name":"Milepost","value":"23.3336"},{"id":17,"name":"Train ID","value":"155-22"},{"id":16,"name":"Locomotive ID","value":"4020"},{"id":130,"name":"Impact","value":""},{"id":150,"name":"Time of Event (Mountain Time)","value":"11:06:28"},{"id":151,"name":"Denver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4020 --day 2017-10-22</v>
      </c>
      <c r="AN67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-22T09:24:53-0600',mode:absolute,to:'2017-10-22T12:06:28-0600'))&amp;_a=(columns:!('Message%20ID',Summary),filters:!(),index:'emp_*',interval:auto,query:(query_string:(analyze_wildcard:!t,query:'%22rtdc.l.rtdc.4020%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768</v>
      </c>
      <c r="B68" s="7">
        <v>4019</v>
      </c>
      <c r="C68" s="21" t="s">
        <v>194</v>
      </c>
      <c r="D68" s="21" t="s">
        <v>452</v>
      </c>
      <c r="E68" s="13">
        <v>43030.472071759257</v>
      </c>
      <c r="F68" s="13">
        <v>43030.477349537039</v>
      </c>
      <c r="G68" s="7">
        <v>75</v>
      </c>
      <c r="H68" s="21" t="s">
        <v>355</v>
      </c>
      <c r="I68" s="13">
        <v>43030.504351851851</v>
      </c>
      <c r="J68" s="7">
        <v>0</v>
      </c>
      <c r="K68" s="89" t="str">
        <f>IF(ISEVEN(B68),(B68-1)&amp;"/"&amp;B68,B68&amp;"/"&amp;(B68+1))</f>
        <v>4019/4020</v>
      </c>
      <c r="L68" s="185" t="str">
        <f>VLOOKUP(A68,'Trips&amp;Operators'!$C$1:$G$99911,5,FALSE)</f>
        <v>WILLIAMS DONTE</v>
      </c>
      <c r="M68" s="6">
        <f>I68-F68</f>
        <v>2.700231481139781E-2</v>
      </c>
      <c r="N68" s="7">
        <f>24*60*SUM($M68:$M68)</f>
        <v>38.883333328412846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-22T10:19:47-0600',mode:absolute,to:'2017-10-22T13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23.3002</v>
      </c>
      <c r="Z68" s="204">
        <f>RIGHT(H68,LEN(H68)-4)/10000</f>
        <v>1.4500000000000001E-2</v>
      </c>
      <c r="AA68" s="204">
        <f>ABS(Z68-Y68)</f>
        <v>23.285699999999999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/stypes="app*4019*20171022*"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156-22 --locoid 4019 --swversion DE.1.0.9.0 --startMP 204:233002 --initTime 2017-10-22T11:19:47 --startdatetime 2017-10-22T11:27:23 --delay 75 --endMP 204:145 --enddatetime 2017-10-22T12:06:16 --enforcementcount 0 &gt;&gt;%USERPROFILE%\Documents\GitHub\eaglep3-reporting\EC\2017-10-22-refined-times.txt</v>
      </c>
      <c r="AI68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{"issue":{"subject":"","project_id":79,"tracker_id":40,"status_id":1,"priority_id":2,"assigned_to_id":338,"start_date":"2017-10-22","description":"","custom_fields":[{"id":1,"name":"Subdivision","value":"EC"},{"id":4,"name":"Milepost","value":"0.0145"},{"id":17,"name":"Train ID","value":"156-22"},{"id":16,"name":"Locomotive ID","value":"4019"},{"id":130,"name":"Impact","value":""},{"id":150,"name":"Time of Event (Mountain Time)","value":"12:06:16"},{"id":151,"name":"Denver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4019 --day 2017-10-22</v>
      </c>
      <c r="AN68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-22T10:19:47-0600',mode:absolute,to:'2017-10-22T13:06:16-0600'))&amp;_a=(columns:!('Message%20ID',Summary),filters:!(),index:'emp_*',interval:auto,query:(query_string:(analyze_wildcard:!t,query:'%22rtdc.l.rtdc.4019%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763</v>
      </c>
      <c r="B69" s="7">
        <v>4032</v>
      </c>
      <c r="C69" s="21" t="s">
        <v>194</v>
      </c>
      <c r="D69" s="21" t="s">
        <v>406</v>
      </c>
      <c r="E69" s="13">
        <v>43030.442858796298</v>
      </c>
      <c r="F69" s="13">
        <v>43030.448206018518</v>
      </c>
      <c r="G69" s="7">
        <v>91</v>
      </c>
      <c r="H69" s="21" t="s">
        <v>909</v>
      </c>
      <c r="I69" s="13">
        <v>43030.472615740742</v>
      </c>
      <c r="J69" s="7">
        <v>0</v>
      </c>
      <c r="K69" s="89" t="str">
        <f>IF(ISEVEN(B69),(B69-1)&amp;"/"&amp;B69,B69&amp;"/"&amp;(B69+1))</f>
        <v>4031/4032</v>
      </c>
      <c r="L69" s="185" t="str">
        <f>VLOOKUP(A69,'Trips&amp;Operators'!$C$1:$G$99911,5,FALSE)</f>
        <v>STEWART MICHAEL</v>
      </c>
      <c r="M69" s="6">
        <f>I69-F69</f>
        <v>2.4409722223936114E-2</v>
      </c>
      <c r="N69" s="7">
        <f>24*60*SUM($M69:$M69)</f>
        <v>35.150000002468005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-22T09:37:43-0600',mode:absolute,to:'2017-10-22T12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4.6199999999999998E-2</v>
      </c>
      <c r="Z69" s="204">
        <f>RIGHT(H69,LEN(H69)-4)/10000</f>
        <v>23.327200000000001</v>
      </c>
      <c r="AA69" s="204">
        <f>ABS(Z69-Y69)</f>
        <v>23.281000000000002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/stypes="app*4032*20171022*"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157-22 --locoid 4032 --swversion DE.1.0.9.0 --startMP 204:462 --initTime 2017-10-22T10:37:43 --startdatetime 2017-10-22T10:45:25 --delay 91 --endMP 204:233272 --enddatetime 2017-10-22T11:20:34 --enforcementcount 0 &gt;&gt;%USERPROFILE%\Documents\GitHub\eaglep3-reporting\EC\2017-10-22-refined-times.txt</v>
      </c>
      <c r="AI69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{"issue":{"subject":"","project_id":79,"tracker_id":40,"status_id":1,"priority_id":2,"assigned_to_id":338,"start_date":"2017-10-22","description":"","custom_fields":[{"id":1,"name":"Subdivision","value":"EC"},{"id":4,"name":"Milepost","value":"23.3272"},{"id":17,"name":"Train ID","value":"157-22"},{"id":16,"name":"Locomotive ID","value":"4032"},{"id":130,"name":"Impact","value":""},{"id":150,"name":"Time of Event (Mountain Time)","value":"11:20:34"},{"id":151,"name":"Denver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4032 --day 2017-10-22</v>
      </c>
      <c r="AN69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-22T09:37:43-0600',mode:absolute,to:'2017-10-22T12:20:34-0600'))&amp;_a=(columns:!('Message%20ID',Summary),filters:!(),index:'emp_*',interval:auto,query:(query_string:(analyze_wildcard:!t,query:'%22rtdc.l.rtdc.4032%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773</v>
      </c>
      <c r="B70" s="7">
        <v>4031</v>
      </c>
      <c r="C70" s="21" t="s">
        <v>194</v>
      </c>
      <c r="D70" s="21" t="s">
        <v>617</v>
      </c>
      <c r="E70" s="13">
        <v>43030.483761574076</v>
      </c>
      <c r="F70" s="13">
        <v>43030.487719907411</v>
      </c>
      <c r="G70" s="7">
        <v>59</v>
      </c>
      <c r="H70" s="21" t="s">
        <v>354</v>
      </c>
      <c r="I70" s="13">
        <v>43030.514641203707</v>
      </c>
      <c r="J70" s="7">
        <v>0</v>
      </c>
      <c r="K70" s="89" t="str">
        <f>IF(ISEVEN(B70),(B70-1)&amp;"/"&amp;B70,B70&amp;"/"&amp;(B70+1))</f>
        <v>4031/4032</v>
      </c>
      <c r="L70" s="185" t="str">
        <f>VLOOKUP(A70,'Trips&amp;Operators'!$C$1:$G$99911,5,FALSE)</f>
        <v>STEWART MICHAEL</v>
      </c>
      <c r="M70" s="6">
        <f>I70-F70</f>
        <v>2.6921296295768116E-2</v>
      </c>
      <c r="N70" s="7">
        <f>24*60*SUM($M70:$M70)</f>
        <v>38.766666665906087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-22T10:36:37-0600',mode:absolute,to:'2017-10-22T13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23.296900000000001</v>
      </c>
      <c r="Z70" s="204">
        <f>RIGHT(H70,LEN(H70)-4)/10000</f>
        <v>1.52E-2</v>
      </c>
      <c r="AA70" s="204">
        <f>ABS(Z70-Y70)</f>
        <v>23.281700000000001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/stypes="app*4031*20171022*"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158-22 --locoid 4031 --swversion DE.1.0.9.0 --startMP 204:232969 --initTime 2017-10-22T11:36:37 --startdatetime 2017-10-22T11:42:19 --delay 59 --endMP 204:152 --enddatetime 2017-10-22T12:21:05 --enforcementcount 0 &gt;&gt;%USERPROFILE%\Documents\GitHub\eaglep3-reporting\EC\2017-10-22-refined-times.txt</v>
      </c>
      <c r="AI70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{"issue":{"subject":"","project_id":79,"tracker_id":40,"status_id":1,"priority_id":2,"assigned_to_id":338,"start_date":"2017-10-22","description":"","custom_fields":[{"id":1,"name":"Subdivision","value":"EC"},{"id":4,"name":"Milepost","value":"0.0152"},{"id":17,"name":"Train ID","value":"158-22"},{"id":16,"name":"Locomotive ID","value":"4031"},{"id":130,"name":"Impact","value":""},{"id":150,"name":"Time of Event (Mountain Time)","value":"12:21:05"},{"id":151,"name":"Denver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4031 --day 2017-10-22</v>
      </c>
      <c r="AN70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-22T10:36:37-0600',mode:absolute,to:'2017-10-22T13:21:05-0600'))&amp;_a=(columns:!('Message%20ID',Summary),filters:!(),index:'emp_*',interval:auto,query:(query_string:(analyze_wildcard:!t,query:'%22rtdc.l.rtdc.4031%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764</v>
      </c>
      <c r="B71" s="7">
        <v>4066</v>
      </c>
      <c r="C71" s="21" t="s">
        <v>194</v>
      </c>
      <c r="D71" s="21" t="s">
        <v>890</v>
      </c>
      <c r="E71" s="13">
        <v>43030.455520833333</v>
      </c>
      <c r="F71" s="13">
        <v>43030.458622685182</v>
      </c>
      <c r="G71" s="7">
        <v>67</v>
      </c>
      <c r="H71" s="21" t="s">
        <v>496</v>
      </c>
      <c r="I71" s="13">
        <v>43030.483136574076</v>
      </c>
      <c r="J71" s="7">
        <v>0</v>
      </c>
      <c r="K71" s="89" t="str">
        <f>IF(ISEVEN(B71),(B71-1)&amp;"/"&amp;B71,B71&amp;"/"&amp;(B71+1))</f>
        <v>4065/4066</v>
      </c>
      <c r="L71" s="185" t="str">
        <f>VLOOKUP(A71,'Trips&amp;Operators'!$C$1:$G$99911,5,FALSE)</f>
        <v>LAMAR NEKESHA</v>
      </c>
      <c r="M71" s="6">
        <f>I71-F71</f>
        <v>2.4513888893125113E-2</v>
      </c>
      <c r="N71" s="7">
        <f>24*60*SUM($M71:$M71)</f>
        <v>35.300000006100163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-22T09:55:57-0600',mode:absolute,to:'2017-10-22T12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4.7800000000000002E-2</v>
      </c>
      <c r="Z71" s="204">
        <f>RIGHT(H71,LEN(H71)-4)/10000</f>
        <v>23.331700000000001</v>
      </c>
      <c r="AA71" s="204">
        <f>ABS(Z71-Y71)</f>
        <v>23.283900000000003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/stypes="app*4066*20171022*"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159-22 --locoid 4066 --swversion DE.1.0.9.0 --startMP 204:478 --initTime 2017-10-22T10:55:57 --startdatetime 2017-10-22T11:00:25 --delay 67 --endMP 204:233317 --enddatetime 2017-10-22T11:35:43 --enforcementcount 0 &gt;&gt;%USERPROFILE%\Documents\GitHub\eaglep3-reporting\EC\2017-10-22-refined-times.txt</v>
      </c>
      <c r="AI71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{"issue":{"subject":"","project_id":79,"tracker_id":40,"status_id":1,"priority_id":2,"assigned_to_id":338,"start_date":"2017-10-22","description":"","custom_fields":[{"id":1,"name":"Subdivision","value":"EC"},{"id":4,"name":"Milepost","value":"23.3317"},{"id":17,"name":"Train ID","value":"159-22"},{"id":16,"name":"Locomotive ID","value":"4066"},{"id":130,"name":"Impact","value":""},{"id":150,"name":"Time of Event (Mountain Time)","value":"11:35:43"},{"id":151,"name":"Denver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4066 --day 2017-10-22</v>
      </c>
      <c r="AN71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-22T09:55:57-0600',mode:absolute,to:'2017-10-22T12:35:43-0600'))&amp;_a=(columns:!('Message%20ID',Summary),filters:!(),index:'emp_*',interval:auto,query:(query_string:(analyze_wildcard:!t,query:'%22rtdc.l.rtdc.4066%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777</v>
      </c>
      <c r="B72" s="7">
        <v>4065</v>
      </c>
      <c r="C72" s="21" t="s">
        <v>194</v>
      </c>
      <c r="D72" s="21" t="s">
        <v>402</v>
      </c>
      <c r="E72" s="13">
        <v>43030.485381944447</v>
      </c>
      <c r="F72" s="13">
        <v>43030.498090277775</v>
      </c>
      <c r="G72" s="7">
        <v>51</v>
      </c>
      <c r="H72" s="21" t="s">
        <v>894</v>
      </c>
      <c r="I72" s="13">
        <v>43030.524212962962</v>
      </c>
      <c r="J72" s="7">
        <v>0</v>
      </c>
      <c r="K72" s="89" t="str">
        <f>IF(ISEVEN(B72),(B72-1)&amp;"/"&amp;B72,B72&amp;"/"&amp;(B72+1))</f>
        <v>4065/4066</v>
      </c>
      <c r="L72" s="185" t="str">
        <f>VLOOKUP(A72,'Trips&amp;Operators'!$C$1:$G$99911,5,FALSE)</f>
        <v>LAMAR NEKESHA</v>
      </c>
      <c r="M72" s="6">
        <f>I72-F72</f>
        <v>2.6122685187146999E-2</v>
      </c>
      <c r="N72" s="7">
        <f>24*60*SUM($M72:$M72)</f>
        <v>37.616666669491678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-22T10:38:57-0600',mode:absolute,to:'2017-10-22T13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23.299399999999999</v>
      </c>
      <c r="Z72" s="204">
        <f>RIGHT(H72,LEN(H72)-4)/10000</f>
        <v>1.7000000000000001E-2</v>
      </c>
      <c r="AA72" s="204">
        <f>ABS(Z72-Y72)</f>
        <v>23.282399999999999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/stypes="app*4065*20171022*"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160-22 --locoid 4065 --swversion DE.1.0.9.0 --startMP 204:232994 --initTime 2017-10-22T11:38:57 --startdatetime 2017-10-22T11:57:15 --delay 51 --endMP 204:170 --enddatetime 2017-10-22T12:34:52 --enforcementcount 0 &gt;&gt;%USERPROFILE%\Documents\GitHub\eaglep3-reporting\EC\2017-10-22-refined-times.txt</v>
      </c>
      <c r="AI72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{"issue":{"subject":"","project_id":79,"tracker_id":40,"status_id":1,"priority_id":2,"assigned_to_id":338,"start_date":"2017-10-22","description":"","custom_fields":[{"id":1,"name":"Subdivision","value":"EC"},{"id":4,"name":"Milepost","value":"0.017"},{"id":17,"name":"Train ID","value":"160-22"},{"id":16,"name":"Locomotive ID","value":"4065"},{"id":130,"name":"Impact","value":""},{"id":150,"name":"Time of Event (Mountain Time)","value":"12:34:52"},{"id":151,"name":"Denver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4065 --day 2017-10-22</v>
      </c>
      <c r="AN72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-22T10:38:57-0600',mode:absolute,to:'2017-10-22T13:34:52-0600'))&amp;_a=(columns:!('Message%20ID',Summary),filters:!(),index:'emp_*',interval:auto,query:(query_string:(analyze_wildcard:!t,query:'%22rtdc.l.rtdc.4065%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767</v>
      </c>
      <c r="B73" s="7">
        <v>4028</v>
      </c>
      <c r="C73" s="21" t="s">
        <v>194</v>
      </c>
      <c r="D73" s="21" t="s">
        <v>611</v>
      </c>
      <c r="E73" s="13">
        <v>43030.465150462966</v>
      </c>
      <c r="F73" s="13">
        <v>43030.468923611108</v>
      </c>
      <c r="G73" s="7">
        <v>106</v>
      </c>
      <c r="H73" s="21" t="s">
        <v>382</v>
      </c>
      <c r="I73" s="13">
        <v>43030.493298611109</v>
      </c>
      <c r="J73" s="7">
        <v>0</v>
      </c>
      <c r="K73" s="89" t="str">
        <f>IF(ISEVEN(B73),(B73-1)&amp;"/"&amp;B73,B73&amp;"/"&amp;(B73+1))</f>
        <v>4027/4028</v>
      </c>
      <c r="L73" s="185" t="str">
        <f>VLOOKUP(A73,'Trips&amp;Operators'!$C$1:$G$99911,5,FALSE)</f>
        <v>KILLION DAVID</v>
      </c>
      <c r="M73" s="6">
        <f>I73-F73</f>
        <v>2.4375000000873115E-2</v>
      </c>
      <c r="N73" s="7">
        <f>24*60*SUM($M73:$M73)</f>
        <v>35.100000001257285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-22T10:09:49-0600',mode:absolute,to:'2017-10-22T12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4.4900000000000002E-2</v>
      </c>
      <c r="Z73" s="204">
        <f>RIGHT(H73,LEN(H73)-4)/10000</f>
        <v>23.3291</v>
      </c>
      <c r="AA73" s="204">
        <f>ABS(Z73-Y73)</f>
        <v>23.284200000000002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/stypes="app*4028*20171022*"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161-22 --locoid 4028 --swversion DE.1.0.9.0 --startMP 204:449 --initTime 2017-10-22T11:09:49 --startdatetime 2017-10-22T11:15:15 --delay 106 --endMP 204:233291 --enddatetime 2017-10-22T11:50:21 --enforcementcount 0 &gt;&gt;%USERPROFILE%\Documents\GitHub\eaglep3-reporting\EC\2017-10-22-refined-times.txt</v>
      </c>
      <c r="AI73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{"issue":{"subject":"","project_id":79,"tracker_id":40,"status_id":1,"priority_id":2,"assigned_to_id":338,"start_date":"2017-10-22","description":"","custom_fields":[{"id":1,"name":"Subdivision","value":"EC"},{"id":4,"name":"Milepost","value":"23.3291"},{"id":17,"name":"Train ID","value":"161-22"},{"id":16,"name":"Locomotive ID","value":"4028"},{"id":130,"name":"Impact","value":""},{"id":150,"name":"Time of Event (Mountain Time)","value":"11:50:21"},{"id":151,"name":"Denver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4028 --day 2017-10-22</v>
      </c>
      <c r="AN73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-22T10:09:49-0600',mode:absolute,to:'2017-10-22T12:50:21-0600'))&amp;_a=(columns:!('Message%20ID',Summary),filters:!(),index:'emp_*',interval:auto,query:(query_string:(analyze_wildcard:!t,query:'%22rtdc.l.rtdc.4028%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781</v>
      </c>
      <c r="B74" s="7">
        <v>4027</v>
      </c>
      <c r="C74" s="21" t="s">
        <v>194</v>
      </c>
      <c r="D74" s="21" t="s">
        <v>613</v>
      </c>
      <c r="E74" s="13">
        <v>43030.499409722222</v>
      </c>
      <c r="F74" s="13">
        <v>43030.508518518516</v>
      </c>
      <c r="G74" s="7">
        <v>80</v>
      </c>
      <c r="H74" s="21" t="s">
        <v>489</v>
      </c>
      <c r="I74" s="13">
        <v>43030.534780092596</v>
      </c>
      <c r="J74" s="7">
        <v>0</v>
      </c>
      <c r="K74" s="89" t="str">
        <f>IF(ISEVEN(B74),(B74-1)&amp;"/"&amp;B74,B74&amp;"/"&amp;(B74+1))</f>
        <v>4027/4028</v>
      </c>
      <c r="L74" s="185" t="str">
        <f>VLOOKUP(A74,'Trips&amp;Operators'!$C$1:$G$99911,5,FALSE)</f>
        <v>KILLION DAVID</v>
      </c>
      <c r="M74" s="6">
        <f>I74-F74</f>
        <v>2.6261574079398997E-2</v>
      </c>
      <c r="N74" s="7">
        <f>24*60*SUM($M74:$M74)</f>
        <v>37.816666674334556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-22T10:59:09-0600',mode:absolute,to:'2017-10-22T13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23.297799999999999</v>
      </c>
      <c r="Z74" s="204">
        <f>RIGHT(H74,LEN(H74)-4)/10000</f>
        <v>1.6299999999999999E-2</v>
      </c>
      <c r="AA74" s="204">
        <f>ABS(Z74-Y74)</f>
        <v>23.281499999999998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/stypes="app*4027*20171022*"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162-22 --locoid 4027 --swversion DE.1.0.9.0 --startMP 204:232978 --initTime 2017-10-22T11:59:09 --startdatetime 2017-10-22T12:12:16 --delay 80 --endMP 204:163 --enddatetime 2017-10-22T12:50:05 --enforcementcount 0 &gt;&gt;%USERPROFILE%\Documents\GitHub\eaglep3-reporting\EC\2017-10-22-refined-times.txt</v>
      </c>
      <c r="AI74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{"issue":{"subject":"","project_id":79,"tracker_id":40,"status_id":1,"priority_id":2,"assigned_to_id":338,"start_date":"2017-10-22","description":"","custom_fields":[{"id":1,"name":"Subdivision","value":"EC"},{"id":4,"name":"Milepost","value":"0.0163"},{"id":17,"name":"Train ID","value":"162-22"},{"id":16,"name":"Locomotive ID","value":"4027"},{"id":130,"name":"Impact","value":""},{"id":150,"name":"Time of Event (Mountain Time)","value":"12:50:05"},{"id":151,"name":"Denver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4027 --day 2017-10-22</v>
      </c>
      <c r="AN74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-22T10:59:09-0600',mode:absolute,to:'2017-10-22T13:50:05-0600'))&amp;_a=(columns:!('Message%20ID',Summary),filters:!(),index:'emp_*',interval:auto,query:(query_string:(analyze_wildcard:!t,query:'%22rtdc.l.rtdc.4027%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769</v>
      </c>
      <c r="B75" s="7">
        <v>4026</v>
      </c>
      <c r="C75" s="21" t="s">
        <v>194</v>
      </c>
      <c r="D75" s="21" t="s">
        <v>344</v>
      </c>
      <c r="E75" s="13">
        <v>43030.47556712963</v>
      </c>
      <c r="F75" s="13">
        <v>43030.479351851849</v>
      </c>
      <c r="G75" s="7">
        <v>129</v>
      </c>
      <c r="H75" s="21" t="s">
        <v>910</v>
      </c>
      <c r="I75" s="13">
        <v>43030.503831018519</v>
      </c>
      <c r="J75" s="7">
        <v>0</v>
      </c>
      <c r="K75" s="89" t="str">
        <f>IF(ISEVEN(B75),(B75-1)&amp;"/"&amp;B75,B75&amp;"/"&amp;(B75+1))</f>
        <v>4025/4026</v>
      </c>
      <c r="L75" s="185" t="str">
        <f>VLOOKUP(A75,'Trips&amp;Operators'!$C$1:$G$99911,5,FALSE)</f>
        <v>SAFIEF AEIMEN</v>
      </c>
      <c r="M75" s="6">
        <f>I75-F75</f>
        <v>2.4479166670062114E-2</v>
      </c>
      <c r="N75" s="7">
        <f>24*60*SUM($M75:$M75)</f>
        <v>35.250000004889444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-22T10:24:49-0600',mode:absolute,to:'2017-10-22T13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4.5499999999999999E-2</v>
      </c>
      <c r="Z75" s="204">
        <f>RIGHT(H75,LEN(H75)-4)/10000</f>
        <v>23.3325</v>
      </c>
      <c r="AA75" s="204">
        <f>ABS(Z75-Y75)</f>
        <v>23.286999999999999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/stypes="app*4026*20171022*"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163-22 --locoid 4026 --swversion DE.1.0.9.0 --startMP 204:455 --initTime 2017-10-22T11:24:49 --startdatetime 2017-10-22T11:30:16 --delay 129 --endMP 204:233325 --enddatetime 2017-10-22T12:05:31 --enforcementcount 0 &gt;&gt;%USERPROFILE%\Documents\GitHub\eaglep3-reporting\EC\2017-10-22-refined-times.txt</v>
      </c>
      <c r="AI75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{"issue":{"subject":"","project_id":79,"tracker_id":40,"status_id":1,"priority_id":2,"assigned_to_id":338,"start_date":"2017-10-22","description":"","custom_fields":[{"id":1,"name":"Subdivision","value":"EC"},{"id":4,"name":"Milepost","value":"23.3325"},{"id":17,"name":"Train ID","value":"163-22"},{"id":16,"name":"Locomotive ID","value":"4026"},{"id":130,"name":"Impact","value":""},{"id":150,"name":"Time of Event (Mountain Time)","value":"12:05:31"},{"id":151,"name":"Denver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4026 --day 2017-10-22</v>
      </c>
      <c r="AN75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-22T10:24:49-0600',mode:absolute,to:'2017-10-22T13:05:31-0600'))&amp;_a=(columns:!('Message%20ID',Summary),filters:!(),index:'emp_*',interval:auto,query:(query_string:(analyze_wildcard:!t,query:'%22rtdc.l.rtdc.4026%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783</v>
      </c>
      <c r="B76" s="7">
        <v>4025</v>
      </c>
      <c r="C76" s="21" t="s">
        <v>194</v>
      </c>
      <c r="D76" s="21" t="s">
        <v>911</v>
      </c>
      <c r="E76" s="13">
        <v>43030.506111111114</v>
      </c>
      <c r="F76" s="13">
        <v>43030.519178240742</v>
      </c>
      <c r="G76" s="7">
        <v>83</v>
      </c>
      <c r="H76" s="21" t="s">
        <v>335</v>
      </c>
      <c r="I76" s="13">
        <v>43030.544988425929</v>
      </c>
      <c r="J76" s="7">
        <v>0</v>
      </c>
      <c r="K76" s="89" t="str">
        <f>IF(ISEVEN(B76),(B76-1)&amp;"/"&amp;B76,B76&amp;"/"&amp;(B76+1))</f>
        <v>4025/4026</v>
      </c>
      <c r="L76" s="185" t="str">
        <f>VLOOKUP(A76,'Trips&amp;Operators'!$C$1:$G$99911,5,FALSE)</f>
        <v>SAFIEF AEIMEN</v>
      </c>
      <c r="M76" s="6">
        <f>I76-F76</f>
        <v>2.5810185186855961E-2</v>
      </c>
      <c r="N76" s="7">
        <f>24*60*SUM($M76:$M76)</f>
        <v>37.166666669072583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-22T11:08:48-0600',mode:absolute,to:'2017-10-22T14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23.300999999999998</v>
      </c>
      <c r="Z76" s="204">
        <f>RIGHT(H76,LEN(H76)-4)/10000</f>
        <v>1.4999999999999999E-2</v>
      </c>
      <c r="AA76" s="204">
        <f>ABS(Z76-Y76)</f>
        <v>23.285999999999998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/stypes="app*4025*20171022*"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164-22 --locoid 4025 --swversion DE.1.0.9.0 --startMP 204:233010 --initTime 2017-10-22T12:08:48 --startdatetime 2017-10-22T12:27:37 --delay 83 --endMP 204:150 --enddatetime 2017-10-22T13:04:47 --enforcementcount 0 &gt;&gt;%USERPROFILE%\Documents\GitHub\eaglep3-reporting\EC\2017-10-22-refined-times.txt</v>
      </c>
      <c r="AI76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{"issue":{"subject":"","project_id":79,"tracker_id":40,"status_id":1,"priority_id":2,"assigned_to_id":338,"start_date":"2017-10-22","description":"","custom_fields":[{"id":1,"name":"Subdivision","value":"EC"},{"id":4,"name":"Milepost","value":"0.015"},{"id":17,"name":"Train ID","value":"164-22"},{"id":16,"name":"Locomotive ID","value":"4025"},{"id":130,"name":"Impact","value":""},{"id":150,"name":"Time of Event (Mountain Time)","value":"13:04:47"},{"id":151,"name":"Denver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4025 --day 2017-10-22</v>
      </c>
      <c r="AN76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-22T11:08:48-0600',mode:absolute,to:'2017-10-22T14:04:47-0600'))&amp;_a=(columns:!('Message%20ID',Summary),filters:!(),index:'emp_*',interval:auto,query:(query_string:(analyze_wildcard:!t,query:'%22rtdc.l.rtdc.4025%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774</v>
      </c>
      <c r="B77" s="7">
        <v>4002</v>
      </c>
      <c r="C77" s="21" t="s">
        <v>194</v>
      </c>
      <c r="D77" s="21" t="s">
        <v>406</v>
      </c>
      <c r="E77" s="13">
        <v>43030.48505787037</v>
      </c>
      <c r="F77" s="13">
        <v>43030.489745370367</v>
      </c>
      <c r="G77" s="7">
        <v>64</v>
      </c>
      <c r="H77" s="21" t="s">
        <v>424</v>
      </c>
      <c r="I77" s="13">
        <v>43030.513599537036</v>
      </c>
      <c r="J77" s="7">
        <v>0</v>
      </c>
      <c r="K77" s="89" t="str">
        <f>IF(ISEVEN(B77),(B77-1)&amp;"/"&amp;B77,B77&amp;"/"&amp;(B77+1))</f>
        <v>4001/4002</v>
      </c>
      <c r="L77" s="185" t="str">
        <f>VLOOKUP(A77,'Trips&amp;Operators'!$C$1:$G$99911,5,FALSE)</f>
        <v>GUZMAN DANNY</v>
      </c>
      <c r="M77" s="6">
        <f>I77-F77</f>
        <v>2.3854166669480037E-2</v>
      </c>
      <c r="N77" s="7">
        <f>24*60*SUM($M77:$M77)</f>
        <v>34.350000004051253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-22T10:38:29-0600',mode:absolute,to:'2017-10-22T13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4.6199999999999998E-2</v>
      </c>
      <c r="Z77" s="204">
        <f>RIGHT(H77,LEN(H77)-4)/10000</f>
        <v>23.329699999999999</v>
      </c>
      <c r="AA77" s="204">
        <f>ABS(Z77-Y77)</f>
        <v>23.2835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/stypes="app*4002*20171022*"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165-22 --locoid 4002 --swversion DE.1.0.9.0 --startMP 204:462 --initTime 2017-10-22T11:38:29 --startdatetime 2017-10-22T11:45:14 --delay 64 --endMP 204:233297 --enddatetime 2017-10-22T12:19:35 --enforcementcount 0 &gt;&gt;%USERPROFILE%\Documents\GitHub\eaglep3-reporting\EC\2017-10-22-refined-times.txt</v>
      </c>
      <c r="AI77" s="96" t="str">
        <f t="shared" si="6"/>
        <v>echo {"issue":{"subject":"","project_id":79,"tracker_id":40,"status_id":1,"priority_id":2,"assigned_to_id":338,"start_date":"2017-10-22","description":"","custom_fields":[{"id":1,"name":"Subdivision","value":"EC"},{"id":4,"name":"Milepost","value":"23.3297"},{"id":17,"name":"Train ID","value":"165-22"},{"id":16,"name":"Locomotive ID","value":"4002"},{"id":130,"name":"Impact","value":""},{"id":150,"name":"Time of Event (Mountain Time)","value":"12:19:35"},{"id":151,"name":"Denver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4002 --day 2017-10-22</v>
      </c>
      <c r="AN77" s="151" t="str">
        <f t="shared" si="8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-22T10:38:29-0600',mode:absolute,to:'2017-10-22T13:19:35-0600'))&amp;_a=(columns:!('Message%20ID',Summary),filters:!(),index:'emp_*',interval:auto,query:(query_string:(analyze_wildcard:!t,query:'%22rtdc.l.rtdc.4002%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785</v>
      </c>
      <c r="B78" s="7">
        <v>4001</v>
      </c>
      <c r="C78" s="21" t="s">
        <v>194</v>
      </c>
      <c r="D78" s="21" t="s">
        <v>488</v>
      </c>
      <c r="E78" s="13">
        <v>43030.514675925922</v>
      </c>
      <c r="F78" s="13">
        <v>43030.529317129629</v>
      </c>
      <c r="G78" s="7">
        <v>65</v>
      </c>
      <c r="H78" s="21" t="s">
        <v>357</v>
      </c>
      <c r="I78" s="13">
        <v>43030.555775462963</v>
      </c>
      <c r="J78" s="7">
        <v>0</v>
      </c>
      <c r="K78" s="89" t="str">
        <f>IF(ISEVEN(B78),(B78-1)&amp;"/"&amp;B78,B78&amp;"/"&amp;(B78+1))</f>
        <v>4001/4002</v>
      </c>
      <c r="L78" s="185" t="str">
        <f>VLOOKUP(A78,'Trips&amp;Operators'!$C$1:$G$99911,5,FALSE)</f>
        <v>GUZMAN DANNY</v>
      </c>
      <c r="M78" s="6">
        <f>I78-F78</f>
        <v>2.6458333333721384E-2</v>
      </c>
      <c r="N78" s="7">
        <f>24*60*SUM($M78:$M78)</f>
        <v>38.100000000558794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-22T11:21:08-0600',mode:absolute,to:'2017-10-22T14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23.298400000000001</v>
      </c>
      <c r="Z78" s="204">
        <f>RIGHT(H78,LEN(H78)-4)/10000</f>
        <v>1.5599999999999999E-2</v>
      </c>
      <c r="AA78" s="204">
        <f>ABS(Z78-Y78)</f>
        <v>23.282800000000002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/stypes="app*4001*20171022*"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3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166-22 --locoid 4001 --swversion DE.1.0.9.0 --startMP 204:232984 --initTime 2017-10-22T12:21:08 --startdatetime 2017-10-22T12:42:13 --delay 65 --endMP 204:156 --enddatetime 2017-10-22T13:20:19 --enforcementcount 0 &gt;&gt;%USERPROFILE%\Documents\GitHub\eaglep3-reporting\EC\2017-10-22-refined-times.txt</v>
      </c>
      <c r="AI78" s="96" t="str">
        <f t="shared" ref="AI78:AI143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{"issue":{"subject":"","project_id":79,"tracker_id":40,"status_id":1,"priority_id":2,"assigned_to_id":338,"start_date":"2017-10-22","description":"","custom_fields":[{"id":1,"name":"Subdivision","value":"EC"},{"id":4,"name":"Milepost","value":"0.0156"},{"id":17,"name":"Train ID","value":"166-22"},{"id":16,"name":"Locomotive ID","value":"4001"},{"id":130,"name":"Impact","value":""},{"id":150,"name":"Time of Event (Mountain Time)","value":"13:20:19"},{"id":151,"name":"Denver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3" si="12">"start /low /b "&amp;dls3logs&amp;" --loco "&amp;B78&amp;" --day "&amp;TEXT(F78,"YYYY-MM-DD")</f>
        <v>start /low /b %USERPROFILE%\Documents\GitHub\eaglep3\Utilities\DownloadLogsFromS3.py --loco 4001 --day 2017-10-22</v>
      </c>
      <c r="AN78" s="151" t="str">
        <f t="shared" ref="AN78:AN143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-22T11:21:08-0600',mode:absolute,to:'2017-10-22T14:20:19-0600'))&amp;_a=(columns:!('Message%20ID',Summary),filters:!(),index:'emp_*',interval:auto,query:(query_string:(analyze_wildcard:!t,query:'%22rtdc.l.rtdc.4001%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780</v>
      </c>
      <c r="B79" s="7">
        <v>4036</v>
      </c>
      <c r="C79" s="21" t="s">
        <v>194</v>
      </c>
      <c r="D79" s="21" t="s">
        <v>376</v>
      </c>
      <c r="E79" s="13">
        <v>43030.496921296297</v>
      </c>
      <c r="F79" s="13">
        <v>43030.500173611108</v>
      </c>
      <c r="G79" s="7">
        <v>62</v>
      </c>
      <c r="H79" s="21" t="s">
        <v>394</v>
      </c>
      <c r="I79" s="13">
        <v>43030.525509259256</v>
      </c>
      <c r="J79" s="7">
        <v>0</v>
      </c>
      <c r="K79" s="89" t="str">
        <f>IF(ISEVEN(B79),(B79-1)&amp;"/"&amp;B79,B79&amp;"/"&amp;(B79+1))</f>
        <v>4035/4036</v>
      </c>
      <c r="L79" s="185" t="str">
        <f>VLOOKUP(A79,'Trips&amp;Operators'!$C$1:$G$99911,5,FALSE)</f>
        <v>BADERTSCHER DIANE</v>
      </c>
      <c r="M79" s="6">
        <f>I79-F79</f>
        <v>2.5335648148029577E-2</v>
      </c>
      <c r="N79" s="7">
        <f>24*60*SUM($M79:$M79)</f>
        <v>36.483333333162591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-22T10:55:34-0600',mode:absolute,to:'2017-10-22T13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4.5699999999999998E-2</v>
      </c>
      <c r="Z79" s="204">
        <f>RIGHT(H79,LEN(H79)-4)/10000</f>
        <v>23.331399999999999</v>
      </c>
      <c r="AA79" s="204">
        <f>ABS(Z79-Y79)</f>
        <v>23.285699999999999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/stypes="app*4036*20171022*"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167-22 --locoid 4036 --swversion DE.1.0.9.0 --startMP 204:457 --initTime 2017-10-22T11:55:34 --startdatetime 2017-10-22T12:00:15 --delay 62 --endMP 204:233314 --enddatetime 2017-10-22T12:36:44 --enforcementcount 0 &gt;&gt;%USERPROFILE%\Documents\GitHub\eaglep3-reporting\EC\2017-10-22-refined-times.txt</v>
      </c>
      <c r="AI79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{"issue":{"subject":"","project_id":79,"tracker_id":40,"status_id":1,"priority_id":2,"assigned_to_id":338,"start_date":"2017-10-22","description":"","custom_fields":[{"id":1,"name":"Subdivision","value":"EC"},{"id":4,"name":"Milepost","value":"23.3314"},{"id":17,"name":"Train ID","value":"167-22"},{"id":16,"name":"Locomotive ID","value":"4036"},{"id":130,"name":"Impact","value":""},{"id":150,"name":"Time of Event (Mountain Time)","value":"12:36:44"},{"id":151,"name":"Denver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4036 --day 2017-10-22</v>
      </c>
      <c r="AN79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-22T10:55:34-0600',mode:absolute,to:'2017-10-22T13:36:44-0600'))&amp;_a=(columns:!('Message%20ID',Summary),filters:!(),index:'emp_*',interval:auto,query:(query_string:(analyze_wildcard:!t,query:'%22rtdc.l.rtdc.4036%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790</v>
      </c>
      <c r="B80" s="7">
        <v>4035</v>
      </c>
      <c r="C80" s="21" t="s">
        <v>194</v>
      </c>
      <c r="D80" s="21" t="s">
        <v>408</v>
      </c>
      <c r="E80" s="13">
        <v>43030.534791666665</v>
      </c>
      <c r="F80" s="13">
        <v>43030.54</v>
      </c>
      <c r="G80" s="7">
        <v>72</v>
      </c>
      <c r="H80" s="21" t="s">
        <v>627</v>
      </c>
      <c r="I80" s="13">
        <v>43030.56722222222</v>
      </c>
      <c r="J80" s="7">
        <v>0</v>
      </c>
      <c r="K80" s="89" t="str">
        <f>IF(ISEVEN(B80),(B80-1)&amp;"/"&amp;B80,B80&amp;"/"&amp;(B80+1))</f>
        <v>4035/4036</v>
      </c>
      <c r="L80" s="185" t="str">
        <f>VLOOKUP(A80,'Trips&amp;Operators'!$C$1:$G$99911,5,FALSE)</f>
        <v>BADERTSCHER DIANE</v>
      </c>
      <c r="M80" s="6">
        <f>I80-F80</f>
        <v>2.7222222219279502E-2</v>
      </c>
      <c r="N80" s="7">
        <f>24*60*SUM($M80:$M80)</f>
        <v>39.199999995762482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-22T11:50:06-0600',mode:absolute,to:'2017-10-22T14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23.2987</v>
      </c>
      <c r="Z80" s="204">
        <f>RIGHT(H80,LEN(H80)-4)/10000</f>
        <v>1.29E-2</v>
      </c>
      <c r="AA80" s="204">
        <f>ABS(Z80-Y80)</f>
        <v>23.285800000000002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/stypes="app*4035*20171022*"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168-22 --locoid 4035 --swversion DE.1.0.9.0 --startMP 204:232987 --initTime 2017-10-22T12:50:06 --startdatetime 2017-10-22T12:57:36 --delay 72 --endMP 204:129 --enddatetime 2017-10-22T13:36:48 --enforcementcount 0 &gt;&gt;%USERPROFILE%\Documents\GitHub\eaglep3-reporting\EC\2017-10-22-refined-times.txt</v>
      </c>
      <c r="AI80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{"issue":{"subject":"","project_id":79,"tracker_id":40,"status_id":1,"priority_id":2,"assigned_to_id":338,"start_date":"2017-10-22","description":"","custom_fields":[{"id":1,"name":"Subdivision","value":"EC"},{"id":4,"name":"Milepost","value":"0.0129"},{"id":17,"name":"Train ID","value":"168-22"},{"id":16,"name":"Locomotive ID","value":"4035"},{"id":130,"name":"Impact","value":""},{"id":150,"name":"Time of Event (Mountain Time)","value":"13:36:48"},{"id":151,"name":"Denver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4035 --day 2017-10-22</v>
      </c>
      <c r="AN80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-22T11:50:06-0600',mode:absolute,to:'2017-10-22T14:36:48-0600'))&amp;_a=(columns:!('Message%20ID',Summary),filters:!(),index:'emp_*',interval:auto,query:(query_string:(analyze_wildcard:!t,query:'%22rtdc.l.rtdc.4035%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784</v>
      </c>
      <c r="B81" s="7">
        <v>4020</v>
      </c>
      <c r="C81" s="21" t="s">
        <v>194</v>
      </c>
      <c r="D81" s="21" t="s">
        <v>406</v>
      </c>
      <c r="E81" s="13">
        <v>43030.506516203706</v>
      </c>
      <c r="F81" s="13">
        <v>43030.51059027778</v>
      </c>
      <c r="G81" s="7">
        <v>80</v>
      </c>
      <c r="H81" s="21" t="s">
        <v>418</v>
      </c>
      <c r="I81" s="13">
        <v>43030.535543981481</v>
      </c>
      <c r="J81" s="7">
        <v>0</v>
      </c>
      <c r="K81" s="89" t="str">
        <f>IF(ISEVEN(B81),(B81-1)&amp;"/"&amp;B81,B81&amp;"/"&amp;(B81+1))</f>
        <v>4019/4020</v>
      </c>
      <c r="L81" s="185" t="str">
        <f>VLOOKUP(A81,'Trips&amp;Operators'!$C$1:$G$99911,5,FALSE)</f>
        <v>BERLING GARY</v>
      </c>
      <c r="M81" s="6">
        <f>I81-F81</f>
        <v>2.495370370161254E-2</v>
      </c>
      <c r="N81" s="7">
        <f>24*60*SUM($M81:$M81)</f>
        <v>35.933333330322057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-22T11:09:23-0600',mode:absolute,to:'2017-10-22T13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4.6199999999999998E-2</v>
      </c>
      <c r="Z81" s="204">
        <f>RIGHT(H81,LEN(H81)-4)/10000</f>
        <v>23.329899999999999</v>
      </c>
      <c r="AA81" s="204">
        <f>ABS(Z81-Y81)</f>
        <v>23.2837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/stypes="app*4020*20171022*"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169-22 --locoid 4020 --swversion DE.1.0.9.0 --startMP 204:462 --initTime 2017-10-22T12:09:23 --startdatetime 2017-10-22T12:15:15 --delay 80 --endMP 204:233299 --enddatetime 2017-10-22T12:51:11 --enforcementcount 0 &gt;&gt;%USERPROFILE%\Documents\GitHub\eaglep3-reporting\EC\2017-10-22-refined-times.txt</v>
      </c>
      <c r="AI81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{"issue":{"subject":"","project_id":79,"tracker_id":40,"status_id":1,"priority_id":2,"assigned_to_id":338,"start_date":"2017-10-22","description":"","custom_fields":[{"id":1,"name":"Subdivision","value":"EC"},{"id":4,"name":"Milepost","value":"23.3299"},{"id":17,"name":"Train ID","value":"169-22"},{"id":16,"name":"Locomotive ID","value":"4020"},{"id":130,"name":"Impact","value":""},{"id":150,"name":"Time of Event (Mountain Time)","value":"12:51:11"},{"id":151,"name":"Denver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4020 --day 2017-10-22</v>
      </c>
      <c r="AN81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-22T11:09:23-0600',mode:absolute,to:'2017-10-22T13:51:11-0600'))&amp;_a=(columns:!('Message%20ID',Summary),filters:!(),index:'emp_*',interval:auto,query:(query_string:(analyze_wildcard:!t,query:'%22rtdc.l.rtdc.4020%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791</v>
      </c>
      <c r="B82" s="7">
        <v>4019</v>
      </c>
      <c r="C82" s="21" t="s">
        <v>194</v>
      </c>
      <c r="D82" s="21" t="s">
        <v>483</v>
      </c>
      <c r="E82" s="13">
        <v>43030.545983796299</v>
      </c>
      <c r="F82" s="13">
        <v>43030.550185185188</v>
      </c>
      <c r="G82" s="7">
        <v>99</v>
      </c>
      <c r="H82" s="21" t="s">
        <v>912</v>
      </c>
      <c r="I82" s="13">
        <v>43030.577523148146</v>
      </c>
      <c r="J82" s="7">
        <v>0</v>
      </c>
      <c r="K82" s="89" t="str">
        <f>IF(ISEVEN(B82),(B82-1)&amp;"/"&amp;B82,B82&amp;"/"&amp;(B82+1))</f>
        <v>4019/4020</v>
      </c>
      <c r="L82" s="185" t="str">
        <f>VLOOKUP(A82,'Trips&amp;Operators'!$C$1:$G$99911,5,FALSE)</f>
        <v>BERLING GARY</v>
      </c>
      <c r="M82" s="6">
        <f>I82-F82</f>
        <v>2.7337962957972195E-2</v>
      </c>
      <c r="N82" s="7">
        <f>24*60*SUM($M82:$M82)</f>
        <v>39.366666659479961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-22T12:06:13-0600',mode:absolute,to:'2017-10-22T14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23.298200000000001</v>
      </c>
      <c r="Z82" s="204">
        <f>RIGHT(H82,LEN(H82)-4)/10000</f>
        <v>1.2999999999999999E-2</v>
      </c>
      <c r="AA82" s="204">
        <f>ABS(Z82-Y82)</f>
        <v>23.2852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/stypes="app*4019*20171022*"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170-22 --locoid 4019 --swversion DE.1.0.9.0 --startMP 204:232982 --initTime 2017-10-22T13:06:13 --startdatetime 2017-10-22T13:12:16 --delay 99 --endMP 204:130 --enddatetime 2017-10-22T13:51:38 --enforcementcount 0 &gt;&gt;%USERPROFILE%\Documents\GitHub\eaglep3-reporting\EC\2017-10-22-refined-times.txt</v>
      </c>
      <c r="AI82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{"issue":{"subject":"","project_id":79,"tracker_id":40,"status_id":1,"priority_id":2,"assigned_to_id":338,"start_date":"2017-10-22","description":"","custom_fields":[{"id":1,"name":"Subdivision","value":"EC"},{"id":4,"name":"Milepost","value":"0.013"},{"id":17,"name":"Train ID","value":"170-22"},{"id":16,"name":"Locomotive ID","value":"4019"},{"id":130,"name":"Impact","value":""},{"id":150,"name":"Time of Event (Mountain Time)","value":"13:51:38"},{"id":151,"name":"Denver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4019 --day 2017-10-22</v>
      </c>
      <c r="AN82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-22T12:06:13-0600',mode:absolute,to:'2017-10-22T14:51:38-0600'))&amp;_a=(columns:!('Message%20ID',Summary),filters:!(),index:'emp_*',interval:auto,query:(query_string:(analyze_wildcard:!t,query:'%22rtdc.l.rtdc.4019%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786</v>
      </c>
      <c r="B83" s="7">
        <v>4032</v>
      </c>
      <c r="C83" s="21" t="s">
        <v>194</v>
      </c>
      <c r="D83" s="21" t="s">
        <v>623</v>
      </c>
      <c r="E83" s="13">
        <v>43030.515659722223</v>
      </c>
      <c r="F83" s="13">
        <v>43030.52103009259</v>
      </c>
      <c r="G83" s="7">
        <v>108</v>
      </c>
      <c r="H83" s="21" t="s">
        <v>382</v>
      </c>
      <c r="I83" s="13">
        <v>43030.546597222223</v>
      </c>
      <c r="J83" s="7">
        <v>0</v>
      </c>
      <c r="K83" s="89" t="str">
        <f>IF(ISEVEN(B83),(B83-1)&amp;"/"&amp;B83,B83&amp;"/"&amp;(B83+1))</f>
        <v>4031/4032</v>
      </c>
      <c r="L83" s="185" t="str">
        <f>VLOOKUP(A83,'Trips&amp;Operators'!$C$1:$G$99911,5,FALSE)</f>
        <v>DAVIDSON DAVID</v>
      </c>
      <c r="M83" s="6">
        <f>I83-F83</f>
        <v>2.5567129632690921E-2</v>
      </c>
      <c r="N83" s="7">
        <f>24*60*SUM($M83:$M83)</f>
        <v>36.816666671074927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-22T11:22:33-0600',mode:absolute,to:'2017-10-22T14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4.2900000000000001E-2</v>
      </c>
      <c r="Z83" s="204">
        <f>RIGHT(H83,LEN(H83)-4)/10000</f>
        <v>23.3291</v>
      </c>
      <c r="AA83" s="204">
        <f>ABS(Z83-Y83)</f>
        <v>23.286200000000001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/stypes="app*4032*20171022*"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171-22 --locoid 4032 --swversion DE.1.0.9.0 --startMP 204:429 --initTime 2017-10-22T12:22:33 --startdatetime 2017-10-22T12:30:17 --delay 108 --endMP 204:233291 --enddatetime 2017-10-22T13:07:06 --enforcementcount 0 &gt;&gt;%USERPROFILE%\Documents\GitHub\eaglep3-reporting\EC\2017-10-22-refined-times.txt</v>
      </c>
      <c r="AI83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{"issue":{"subject":"","project_id":79,"tracker_id":40,"status_id":1,"priority_id":2,"assigned_to_id":338,"start_date":"2017-10-22","description":"","custom_fields":[{"id":1,"name":"Subdivision","value":"EC"},{"id":4,"name":"Milepost","value":"23.3291"},{"id":17,"name":"Train ID","value":"171-22"},{"id":16,"name":"Locomotive ID","value":"4032"},{"id":130,"name":"Impact","value":""},{"id":150,"name":"Time of Event (Mountain Time)","value":"13:07:06"},{"id":151,"name":"Denver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4032 --day 2017-10-22</v>
      </c>
      <c r="AN83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-22T11:22:33-0600',mode:absolute,to:'2017-10-22T14:07:06-0600'))&amp;_a=(columns:!('Message%20ID',Summary),filters:!(),index:'emp_*',interval:auto,query:(query_string:(analyze_wildcard:!t,query:'%22rtdc.l.rtdc.4032%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794</v>
      </c>
      <c r="B84" s="7">
        <v>4031</v>
      </c>
      <c r="C84" s="21" t="s">
        <v>194</v>
      </c>
      <c r="D84" s="21" t="s">
        <v>913</v>
      </c>
      <c r="E84" s="13">
        <v>43030.548437500001</v>
      </c>
      <c r="F84" s="13">
        <v>43030.56077546296</v>
      </c>
      <c r="G84" s="7">
        <v>71</v>
      </c>
      <c r="H84" s="21" t="s">
        <v>335</v>
      </c>
      <c r="I84" s="13">
        <v>43030.587766203702</v>
      </c>
      <c r="J84" s="7">
        <v>0</v>
      </c>
      <c r="K84" s="89" t="str">
        <f>IF(ISEVEN(B84),(B84-1)&amp;"/"&amp;B84,B84&amp;"/"&amp;(B84+1))</f>
        <v>4031/4032</v>
      </c>
      <c r="L84" s="185" t="str">
        <f>VLOOKUP(A84,'Trips&amp;Operators'!$C$1:$G$99911,5,FALSE)</f>
        <v>DAVIDSON DAVID</v>
      </c>
      <c r="M84" s="6">
        <f>I84-F84</f>
        <v>2.6990740741894115E-2</v>
      </c>
      <c r="N84" s="7">
        <f>24*60*SUM($M84:$M84)</f>
        <v>38.866666668327525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-22T12:09:45-0600',mode:absolute,to:'2017-10-22T15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23.296399999999998</v>
      </c>
      <c r="Z84" s="204">
        <f>RIGHT(H84,LEN(H84)-4)/10000</f>
        <v>1.4999999999999999E-2</v>
      </c>
      <c r="AA84" s="204">
        <f>ABS(Z84-Y84)</f>
        <v>23.281399999999998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/stypes="app*4031*20171022*"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172-22 --locoid 4031 --swversion DE.1.0.9.0 --startMP 204:232964 --initTime 2017-10-22T13:09:45 --startdatetime 2017-10-22T13:27:31 --delay 71 --endMP 204:150 --enddatetime 2017-10-22T14:06:23 --enforcementcount 0 &gt;&gt;%USERPROFILE%\Documents\GitHub\eaglep3-reporting\EC\2017-10-22-refined-times.txt</v>
      </c>
      <c r="AI84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{"issue":{"subject":"","project_id":79,"tracker_id":40,"status_id":1,"priority_id":2,"assigned_to_id":338,"start_date":"2017-10-22","description":"","custom_fields":[{"id":1,"name":"Subdivision","value":"EC"},{"id":4,"name":"Milepost","value":"0.015"},{"id":17,"name":"Train ID","value":"172-22"},{"id":16,"name":"Locomotive ID","value":"4031"},{"id":130,"name":"Impact","value":""},{"id":150,"name":"Time of Event (Mountain Time)","value":"14:06:23"},{"id":151,"name":"Denver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4031 --day 2017-10-22</v>
      </c>
      <c r="AN84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-22T12:09:45-0600',mode:absolute,to:'2017-10-22T15:06:23-0600'))&amp;_a=(columns:!('Message%20ID',Summary),filters:!(),index:'emp_*',interval:auto,query:(query_string:(analyze_wildcard:!t,query:'%22rtdc.l.rtdc.4031%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788</v>
      </c>
      <c r="B85" s="7">
        <v>4066</v>
      </c>
      <c r="C85" s="21" t="s">
        <v>194</v>
      </c>
      <c r="D85" s="21" t="s">
        <v>369</v>
      </c>
      <c r="E85" s="13">
        <v>43030.527453703704</v>
      </c>
      <c r="F85" s="13">
        <v>43030.531469907408</v>
      </c>
      <c r="G85" s="7">
        <v>66</v>
      </c>
      <c r="H85" s="21" t="s">
        <v>914</v>
      </c>
      <c r="I85" s="13">
        <v>43030.556122685186</v>
      </c>
      <c r="J85" s="7">
        <v>0</v>
      </c>
      <c r="K85" s="89" t="str">
        <f>IF(ISEVEN(B85),(B85-1)&amp;"/"&amp;B85,B85&amp;"/"&amp;(B85+1))</f>
        <v>4065/4066</v>
      </c>
      <c r="L85" s="185" t="str">
        <f>VLOOKUP(A85,'Trips&amp;Operators'!$C$1:$G$99911,5,FALSE)</f>
        <v>SMITH MICHAEL</v>
      </c>
      <c r="M85" s="6">
        <f>I85-F85</f>
        <v>2.4652777778101154E-2</v>
      </c>
      <c r="N85" s="7">
        <f>24*60*SUM($M85:$M85)</f>
        <v>35.500000000465661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-22T11:39:32-0600',mode:absolute,to:'2017-10-22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4.7100000000000003E-2</v>
      </c>
      <c r="Z85" s="204">
        <f>RIGHT(H85,LEN(H85)-4)/10000</f>
        <v>23.328900000000001</v>
      </c>
      <c r="AA85" s="204">
        <f>ABS(Z85-Y85)</f>
        <v>23.2818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/stypes="app*4066*20171022*"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173-22 --locoid 4066 --swversion DE.1.0.9.0 --startMP 204:471 --initTime 2017-10-22T12:39:32 --startdatetime 2017-10-22T12:45:19 --delay 66 --endMP 204:233289 --enddatetime 2017-10-22T13:20:49 --enforcementcount 0 &gt;&gt;%USERPROFILE%\Documents\GitHub\eaglep3-reporting\EC\2017-10-22-refined-times.txt</v>
      </c>
      <c r="AI85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{"issue":{"subject":"","project_id":79,"tracker_id":40,"status_id":1,"priority_id":2,"assigned_to_id":338,"start_date":"2017-10-22","description":"","custom_fields":[{"id":1,"name":"Subdivision","value":"EC"},{"id":4,"name":"Milepost","value":"23.3289"},{"id":17,"name":"Train ID","value":"173-22"},{"id":16,"name":"Locomotive ID","value":"4066"},{"id":130,"name":"Impact","value":""},{"id":150,"name":"Time of Event (Mountain Time)","value":"13:20:49"},{"id":151,"name":"Denver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4066 --day 2017-10-22</v>
      </c>
      <c r="AN85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-22T11:39:32-0600',mode:absolute,to:'2017-10-22T14:20:49-0600'))&amp;_a=(columns:!('Message%20ID',Summary),filters:!(),index:'emp_*',interval:auto,query:(query_string:(analyze_wildcard:!t,query:'%22rtdc.l.rtdc.4066%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797</v>
      </c>
      <c r="B86" s="7">
        <v>4065</v>
      </c>
      <c r="C86" s="21" t="s">
        <v>194</v>
      </c>
      <c r="D86" s="21" t="s">
        <v>613</v>
      </c>
      <c r="E86" s="13">
        <v>43030.560567129629</v>
      </c>
      <c r="F86" s="13">
        <v>43030.571053240739</v>
      </c>
      <c r="G86" s="7">
        <v>103</v>
      </c>
      <c r="H86" s="21" t="s">
        <v>366</v>
      </c>
      <c r="I86" s="13">
        <v>43030.597534722219</v>
      </c>
      <c r="J86" s="7">
        <v>0</v>
      </c>
      <c r="K86" s="89" t="str">
        <f>IF(ISEVEN(B86),(B86-1)&amp;"/"&amp;B86,B86&amp;"/"&amp;(B86+1))</f>
        <v>4065/4066</v>
      </c>
      <c r="L86" s="185" t="str">
        <f>VLOOKUP(A86,'Trips&amp;Operators'!$C$1:$G$99911,5,FALSE)</f>
        <v>SMITH MICHAEL</v>
      </c>
      <c r="M86" s="6">
        <f>I86-F86</f>
        <v>2.6481481480004732E-2</v>
      </c>
      <c r="N86" s="7">
        <f>24*60*SUM($M86:$M86)</f>
        <v>38.133333331206813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-22T12:27:13-0600',mode:absolute,to:'2017-10-22T15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23.297799999999999</v>
      </c>
      <c r="Z86" s="204">
        <f>RIGHT(H86,LEN(H86)-4)/10000</f>
        <v>1.3899999999999999E-2</v>
      </c>
      <c r="AA86" s="204">
        <f>ABS(Z86-Y86)</f>
        <v>23.283899999999999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/stypes="app*4065*20171022*"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174-22 --locoid 4065 --swversion DE.1.0.9.0 --startMP 204:232978 --initTime 2017-10-22T13:27:13 --startdatetime 2017-10-22T13:42:19 --delay 103 --endMP 204:139 --enddatetime 2017-10-22T14:20:27 --enforcementcount 0 &gt;&gt;%USERPROFILE%\Documents\GitHub\eaglep3-reporting\EC\2017-10-22-refined-times.txt</v>
      </c>
      <c r="AI86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{"issue":{"subject":"","project_id":79,"tracker_id":40,"status_id":1,"priority_id":2,"assigned_to_id":338,"start_date":"2017-10-22","description":"","custom_fields":[{"id":1,"name":"Subdivision","value":"EC"},{"id":4,"name":"Milepost","value":"0.0139"},{"id":17,"name":"Train ID","value":"174-22"},{"id":16,"name":"Locomotive ID","value":"4065"},{"id":130,"name":"Impact","value":""},{"id":150,"name":"Time of Event (Mountain Time)","value":"14:20:27"},{"id":151,"name":"Denver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4065 --day 2017-10-22</v>
      </c>
      <c r="AN86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-22T12:27:13-0600',mode:absolute,to:'2017-10-22T15:20:27-0600'))&amp;_a=(columns:!('Message%20ID',Summary),filters:!(),index:'emp_*',interval:auto,query:(query_string:(analyze_wildcard:!t,query:'%22rtdc.l.rtdc.4065%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653</v>
      </c>
      <c r="B87" s="7">
        <v>4028</v>
      </c>
      <c r="C87" s="21" t="s">
        <v>194</v>
      </c>
      <c r="D87" s="21" t="s">
        <v>338</v>
      </c>
      <c r="E87" s="13">
        <v>43030.53638888889</v>
      </c>
      <c r="F87" s="13">
        <v>43030.54184027778</v>
      </c>
      <c r="G87" s="7">
        <v>70</v>
      </c>
      <c r="H87" s="21" t="s">
        <v>491</v>
      </c>
      <c r="I87" s="13">
        <v>43030.567314814813</v>
      </c>
      <c r="J87" s="7">
        <v>0</v>
      </c>
      <c r="K87" s="89" t="str">
        <f>IF(ISEVEN(B87),(B87-1)&amp;"/"&amp;B87,B87&amp;"/"&amp;(B87+1))</f>
        <v>4027/4028</v>
      </c>
      <c r="L87" s="185" t="str">
        <f>VLOOKUP(A87,'Trips&amp;Operators'!$C$1:$G$99911,5,FALSE)</f>
        <v>KILLION DAVID</v>
      </c>
      <c r="M87" s="6">
        <f>I87-F87</f>
        <v>2.5474537033005618E-2</v>
      </c>
      <c r="N87" s="7">
        <f>24*60*SUM($M87:$M87)</f>
        <v>36.683333327528089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-22T11:52:24-0600',mode:absolute,to:'2017-10-22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4.53E-2</v>
      </c>
      <c r="Z87" s="204">
        <f>RIGHT(H87,LEN(H87)-4)/10000</f>
        <v>23.3308</v>
      </c>
      <c r="AA87" s="204">
        <f>ABS(Z87-Y87)</f>
        <v>23.285499999999999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/stypes="app*4028*20171022*"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175-22 --locoid 4028 --swversion DE.1.0.9.0 --startMP 204:453 --initTime 2017-10-22T12:52:24 --startdatetime 2017-10-22T13:00:15 --delay 70 --endMP 204:233308 --enddatetime 2017-10-22T13:36:56 --enforcementcount 0 &gt;&gt;%USERPROFILE%\Documents\GitHub\eaglep3-reporting\EC\2017-10-22-refined-times.txt</v>
      </c>
      <c r="AI87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{"issue":{"subject":"","project_id":79,"tracker_id":40,"status_id":1,"priority_id":2,"assigned_to_id":338,"start_date":"2017-10-22","description":"","custom_fields":[{"id":1,"name":"Subdivision","value":"EC"},{"id":4,"name":"Milepost","value":"23.3308"},{"id":17,"name":"Train ID","value":"175-22"},{"id":16,"name":"Locomotive ID","value":"4028"},{"id":130,"name":"Impact","value":""},{"id":150,"name":"Time of Event (Mountain Time)","value":"13:36:56"},{"id":151,"name":"Denver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4028 --day 2017-10-22</v>
      </c>
      <c r="AN87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-22T11:52:24-0600',mode:absolute,to:'2017-10-22T14:36:56-0600'))&amp;_a=(columns:!('Message%20ID',Summary),filters:!(),index:'emp_*',interval:auto,query:(query_string:(analyze_wildcard:!t,query:'%22rtdc.l.rtdc.4028%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799</v>
      </c>
      <c r="B88" s="7">
        <v>4027</v>
      </c>
      <c r="C88" s="21" t="s">
        <v>194</v>
      </c>
      <c r="D88" s="21" t="s">
        <v>401</v>
      </c>
      <c r="E88" s="13">
        <v>43030.573217592595</v>
      </c>
      <c r="F88" s="13">
        <v>43030.58148148148</v>
      </c>
      <c r="G88" s="7">
        <v>57</v>
      </c>
      <c r="H88" s="21" t="s">
        <v>336</v>
      </c>
      <c r="I88" s="13">
        <v>43030.607083333336</v>
      </c>
      <c r="J88" s="7">
        <v>0</v>
      </c>
      <c r="K88" s="89" t="str">
        <f>IF(ISEVEN(B88),(B88-1)&amp;"/"&amp;B88,B88&amp;"/"&amp;(B88+1))</f>
        <v>4027/4028</v>
      </c>
      <c r="L88" s="185" t="str">
        <f>VLOOKUP(A88,'Trips&amp;Operators'!$C$1:$G$99911,5,FALSE)</f>
        <v>KILLION DAVID</v>
      </c>
      <c r="M88" s="6">
        <f>I88-F88</f>
        <v>2.5601851855753921E-2</v>
      </c>
      <c r="N88" s="7">
        <f>24*60*SUM($M88:$M88)</f>
        <v>36.866666672285646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-22T12:45:26-0600',mode:absolute,to:'2017-10-22T15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23.298500000000001</v>
      </c>
      <c r="Z88" s="204">
        <f>RIGHT(H88,LEN(H88)-4)/10000</f>
        <v>1.49E-2</v>
      </c>
      <c r="AA88" s="204">
        <f>ABS(Z88-Y88)</f>
        <v>23.2836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/stypes="app*4027*20171022*"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176-22 --locoid 4027 --swversion DE.1.0.9.0 --startMP 204:232985 --initTime 2017-10-22T13:45:26 --startdatetime 2017-10-22T13:57:20 --delay 57 --endMP 204:149 --enddatetime 2017-10-22T14:34:12 --enforcementcount 0 &gt;&gt;%USERPROFILE%\Documents\GitHub\eaglep3-reporting\EC\2017-10-22-refined-times.txt</v>
      </c>
      <c r="AI88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{"issue":{"subject":"","project_id":79,"tracker_id":40,"status_id":1,"priority_id":2,"assigned_to_id":338,"start_date":"2017-10-22","description":"","custom_fields":[{"id":1,"name":"Subdivision","value":"EC"},{"id":4,"name":"Milepost","value":"0.0149"},{"id":17,"name":"Train ID","value":"176-22"},{"id":16,"name":"Locomotive ID","value":"4027"},{"id":130,"name":"Impact","value":""},{"id":150,"name":"Time of Event (Mountain Time)","value":"14:34:12"},{"id":151,"name":"Denver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4027 --day 2017-10-22</v>
      </c>
      <c r="AN88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-22T12:45:26-0600',mode:absolute,to:'2017-10-22T15:34:12-0600'))&amp;_a=(columns:!('Message%20ID',Summary),filters:!(),index:'emp_*',interval:auto,query:(query_string:(analyze_wildcard:!t,query:'%22rtdc.l.rtdc.4027%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792</v>
      </c>
      <c r="B89" s="7">
        <v>4026</v>
      </c>
      <c r="C89" s="21" t="s">
        <v>194</v>
      </c>
      <c r="D89" s="21" t="s">
        <v>353</v>
      </c>
      <c r="E89" s="13">
        <v>43030.546620370369</v>
      </c>
      <c r="F89" s="13">
        <v>43030.552303240744</v>
      </c>
      <c r="G89" s="7">
        <v>70</v>
      </c>
      <c r="H89" s="21" t="s">
        <v>883</v>
      </c>
      <c r="I89" s="13">
        <v>43030.576412037037</v>
      </c>
      <c r="J89" s="7">
        <v>0</v>
      </c>
      <c r="K89" s="89" t="str">
        <f>IF(ISEVEN(B89),(B89-1)&amp;"/"&amp;B89,B89&amp;"/"&amp;(B89+1))</f>
        <v>4025/4026</v>
      </c>
      <c r="L89" s="185" t="str">
        <f>VLOOKUP(A89,'Trips&amp;Operators'!$C$1:$G$99911,5,FALSE)</f>
        <v>SAFIEF AEIMEN</v>
      </c>
      <c r="M89" s="6">
        <f>I89-F89</f>
        <v>2.4108796293148771E-2</v>
      </c>
      <c r="N89" s="7">
        <f>24*60*SUM($M89:$M89)</f>
        <v>34.71666666213423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-22T12:07:08-0600',mode:absolute,to:'2017-10-22T14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4.58E-2</v>
      </c>
      <c r="Z89" s="204">
        <f>RIGHT(H89,LEN(H89)-4)/10000</f>
        <v>23.3324</v>
      </c>
      <c r="AA89" s="204">
        <f>ABS(Z89-Y89)</f>
        <v>23.2866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/stypes="app*4026*20171022*"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177-22 --locoid 4026 --swversion DE.1.0.9.0 --startMP 204:458 --initTime 2017-10-22T13:07:08 --startdatetime 2017-10-22T13:15:19 --delay 70 --endMP 204:233324 --enddatetime 2017-10-22T13:50:02 --enforcementcount 0 &gt;&gt;%USERPROFILE%\Documents\GitHub\eaglep3-reporting\EC\2017-10-22-refined-times.txt</v>
      </c>
      <c r="AI89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{"issue":{"subject":"","project_id":79,"tracker_id":40,"status_id":1,"priority_id":2,"assigned_to_id":338,"start_date":"2017-10-22","description":"","custom_fields":[{"id":1,"name":"Subdivision","value":"EC"},{"id":4,"name":"Milepost","value":"23.3324"},{"id":17,"name":"Train ID","value":"177-22"},{"id":16,"name":"Locomotive ID","value":"4026"},{"id":130,"name":"Impact","value":""},{"id":150,"name":"Time of Event (Mountain Time)","value":"13:50:02"},{"id":151,"name":"Denver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4026 --day 2017-10-22</v>
      </c>
      <c r="AN89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-22T12:07:08-0600',mode:absolute,to:'2017-10-22T14:50:02-0600'))&amp;_a=(columns:!('Message%20ID',Summary),filters:!(),index:'emp_*',interval:auto,query:(query_string:(analyze_wildcard:!t,query:'%22rtdc.l.rtdc.4026%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800</v>
      </c>
      <c r="B90" s="7">
        <v>4025</v>
      </c>
      <c r="C90" s="21" t="s">
        <v>194</v>
      </c>
      <c r="D90" s="21" t="s">
        <v>485</v>
      </c>
      <c r="E90" s="13">
        <v>43030.577951388892</v>
      </c>
      <c r="F90" s="13">
        <v>43030.591967592591</v>
      </c>
      <c r="G90" s="7">
        <v>67</v>
      </c>
      <c r="H90" s="21" t="s">
        <v>337</v>
      </c>
      <c r="I90" s="13">
        <v>43030.617881944447</v>
      </c>
      <c r="J90" s="7">
        <v>0</v>
      </c>
      <c r="K90" s="89" t="str">
        <f>IF(ISEVEN(B90),(B90-1)&amp;"/"&amp;B90,B90&amp;"/"&amp;(B90+1))</f>
        <v>4025/4026</v>
      </c>
      <c r="L90" s="185" t="str">
        <f>VLOOKUP(A90,'Trips&amp;Operators'!$C$1:$G$99911,5,FALSE)</f>
        <v>SAFIEF AEIMEN</v>
      </c>
      <c r="M90" s="6">
        <f>I90-F90</f>
        <v>2.5914351856044959E-2</v>
      </c>
      <c r="N90" s="7">
        <f>24*60*SUM($M90:$M90)</f>
        <v>37.316666672704741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-22T12:52:15-0600',mode:absolute,to:'2017-10-22T15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23.2986</v>
      </c>
      <c r="Z90" s="204">
        <f>RIGHT(H90,LEN(H90)-4)/10000</f>
        <v>1.43E-2</v>
      </c>
      <c r="AA90" s="204">
        <f>ABS(Z90-Y90)</f>
        <v>23.284300000000002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/stypes="app*4025*20171022*"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178-22 --locoid 4025 --swversion DE.1.0.9.0 --startMP 204:232986 --initTime 2017-10-22T13:52:15 --startdatetime 2017-10-22T14:12:26 --delay 67 --endMP 204:143 --enddatetime 2017-10-22T14:49:45 --enforcementcount 0 &gt;&gt;%USERPROFILE%\Documents\GitHub\eaglep3-reporting\EC\2017-10-22-refined-times.txt</v>
      </c>
      <c r="AI90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{"issue":{"subject":"","project_id":79,"tracker_id":40,"status_id":1,"priority_id":2,"assigned_to_id":338,"start_date":"2017-10-22","description":"","custom_fields":[{"id":1,"name":"Subdivision","value":"EC"},{"id":4,"name":"Milepost","value":"0.0143"},{"id":17,"name":"Train ID","value":"178-22"},{"id":16,"name":"Locomotive ID","value":"4025"},{"id":130,"name":"Impact","value":""},{"id":150,"name":"Time of Event (Mountain Time)","value":"14:49:45"},{"id":151,"name":"Denver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4025 --day 2017-10-22</v>
      </c>
      <c r="AN90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-22T12:52:15-0600',mode:absolute,to:'2017-10-22T15:49:45-0600'))&amp;_a=(columns:!('Message%20ID',Summary),filters:!(),index:'emp_*',interval:auto,query:(query_string:(analyze_wildcard:!t,query:'%22rtdc.l.rtdc.4025%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795</v>
      </c>
      <c r="B91" s="7">
        <v>4002</v>
      </c>
      <c r="C91" s="21" t="s">
        <v>194</v>
      </c>
      <c r="D91" s="21" t="s">
        <v>611</v>
      </c>
      <c r="E91" s="13">
        <v>43030.557743055557</v>
      </c>
      <c r="F91" s="13">
        <v>43030.562650462962</v>
      </c>
      <c r="G91" s="7">
        <v>49</v>
      </c>
      <c r="H91" s="21" t="s">
        <v>440</v>
      </c>
      <c r="I91" s="13">
        <v>43030.587268518517</v>
      </c>
      <c r="J91" s="7">
        <v>0</v>
      </c>
      <c r="K91" s="89" t="str">
        <f>IF(ISEVEN(B91),(B91-1)&amp;"/"&amp;B91,B91&amp;"/"&amp;(B91+1))</f>
        <v>4001/4002</v>
      </c>
      <c r="L91" s="185" t="str">
        <f>VLOOKUP(A91,'Trips&amp;Operators'!$C$1:$G$99911,5,FALSE)</f>
        <v>GUZMAN DANNY</v>
      </c>
      <c r="M91" s="6">
        <f>I91-F91</f>
        <v>2.4618055555038154E-2</v>
      </c>
      <c r="N91" s="7">
        <f>24*60*SUM($M91:$M91)</f>
        <v>35.449999999254942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-22T12:23:09-0600',mode:absolute,to:'2017-10-22T15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4.4900000000000002E-2</v>
      </c>
      <c r="Z91" s="204">
        <f>RIGHT(H91,LEN(H91)-4)/10000</f>
        <v>23.332699999999999</v>
      </c>
      <c r="AA91" s="204">
        <f>ABS(Z91-Y91)</f>
        <v>23.287800000000001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/stypes="app*4002*20171022*"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179-22 --locoid 4002 --swversion DE.1.0.9.0 --startMP 204:449 --initTime 2017-10-22T13:23:09 --startdatetime 2017-10-22T13:30:13 --delay 49 --endMP 204:233327 --enddatetime 2017-10-22T14:05:40 --enforcementcount 0 &gt;&gt;%USERPROFILE%\Documents\GitHub\eaglep3-reporting\EC\2017-10-22-refined-times.txt</v>
      </c>
      <c r="AI91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{"issue":{"subject":"","project_id":79,"tracker_id":40,"status_id":1,"priority_id":2,"assigned_to_id":338,"start_date":"2017-10-22","description":"","custom_fields":[{"id":1,"name":"Subdivision","value":"EC"},{"id":4,"name":"Milepost","value":"23.3327"},{"id":17,"name":"Train ID","value":"179-22"},{"id":16,"name":"Locomotive ID","value":"4002"},{"id":130,"name":"Impact","value":""},{"id":150,"name":"Time of Event (Mountain Time)","value":"14:05:40"},{"id":151,"name":"Denver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4002 --day 2017-10-22</v>
      </c>
      <c r="AN91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-22T12:23:09-0600',mode:absolute,to:'2017-10-22T15:05:40-0600'))&amp;_a=(columns:!('Message%20ID',Summary),filters:!(),index:'emp_*',interval:auto,query:(query_string:(analyze_wildcard:!t,query:'%22rtdc.l.rtdc.4002%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803</v>
      </c>
      <c r="B92" s="7">
        <v>4001</v>
      </c>
      <c r="C92" s="21" t="s">
        <v>194</v>
      </c>
      <c r="D92" s="21" t="s">
        <v>886</v>
      </c>
      <c r="E92" s="13">
        <v>43030.598796296297</v>
      </c>
      <c r="F92" s="13">
        <v>43030.602256944447</v>
      </c>
      <c r="G92" s="7">
        <v>50</v>
      </c>
      <c r="H92" s="21" t="s">
        <v>335</v>
      </c>
      <c r="I92" s="13">
        <v>43030.628275462965</v>
      </c>
      <c r="J92" s="7">
        <v>0</v>
      </c>
      <c r="K92" s="89" t="str">
        <f>IF(ISEVEN(B92),(B92-1)&amp;"/"&amp;B92,B92&amp;"/"&amp;(B92+1))</f>
        <v>4001/4002</v>
      </c>
      <c r="L92" s="185" t="str">
        <f>VLOOKUP(A92,'Trips&amp;Operators'!$C$1:$G$99911,5,FALSE)</f>
        <v>GUZMAN DANNY</v>
      </c>
      <c r="M92" s="6">
        <f>I92-F92</f>
        <v>2.6018518517958E-2</v>
      </c>
      <c r="N92" s="7">
        <f>24*60*SUM($M92:$M92)</f>
        <v>37.46666666585952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-22T13:22:16-0600',mode:absolute,to:'2017-10-22T16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23.301100000000002</v>
      </c>
      <c r="Z92" s="204">
        <f>RIGHT(H92,LEN(H92)-4)/10000</f>
        <v>1.4999999999999999E-2</v>
      </c>
      <c r="AA92" s="204">
        <f>ABS(Z92-Y92)</f>
        <v>23.286100000000001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/stypes="app*4001*20171022*"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180-22 --locoid 4001 --swversion DE.1.0.9.0 --startMP 204:233011 --initTime 2017-10-22T14:22:16 --startdatetime 2017-10-22T14:27:15 --delay 50 --endMP 204:150 --enddatetime 2017-10-22T15:04:43 --enforcementcount 0 &gt;&gt;%USERPROFILE%\Documents\GitHub\eaglep3-reporting\EC\2017-10-22-refined-times.txt</v>
      </c>
      <c r="AI92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{"issue":{"subject":"","project_id":79,"tracker_id":40,"status_id":1,"priority_id":2,"assigned_to_id":338,"start_date":"2017-10-22","description":"","custom_fields":[{"id":1,"name":"Subdivision","value":"EC"},{"id":4,"name":"Milepost","value":"0.015"},{"id":17,"name":"Train ID","value":"180-22"},{"id":16,"name":"Locomotive ID","value":"4001"},{"id":130,"name":"Impact","value":""},{"id":150,"name":"Time of Event (Mountain Time)","value":"15:04:43"},{"id":151,"name":"Denver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4001 --day 2017-10-22</v>
      </c>
      <c r="AN92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-22T13:22:16-0600',mode:absolute,to:'2017-10-22T16:04:43-0600'))&amp;_a=(columns:!('Message%20ID',Summary),filters:!(),index:'emp_*',interval:auto,query:(query_string:(analyze_wildcard:!t,query:'%22rtdc.l.rtdc.4001%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798</v>
      </c>
      <c r="B93" s="7">
        <v>4036</v>
      </c>
      <c r="C93" s="21" t="s">
        <v>194</v>
      </c>
      <c r="D93" s="21" t="s">
        <v>611</v>
      </c>
      <c r="E93" s="13">
        <v>43030.569143518522</v>
      </c>
      <c r="F93" s="13">
        <v>43030.57309027778</v>
      </c>
      <c r="G93" s="7">
        <v>72</v>
      </c>
      <c r="H93" s="21" t="s">
        <v>438</v>
      </c>
      <c r="I93" s="13">
        <v>43030.59884259259</v>
      </c>
      <c r="J93" s="7">
        <v>0</v>
      </c>
      <c r="K93" s="89" t="str">
        <f>IF(ISEVEN(B93),(B93-1)&amp;"/"&amp;B93,B93&amp;"/"&amp;(B93+1))</f>
        <v>4035/4036</v>
      </c>
      <c r="L93" s="185" t="str">
        <f>VLOOKUP(A93,'Trips&amp;Operators'!$C$1:$G$99911,5,FALSE)</f>
        <v>BADERTSCHER DIANE</v>
      </c>
      <c r="M93" s="6">
        <f>I93-F93</f>
        <v>2.5752314810233656E-2</v>
      </c>
      <c r="N93" s="7">
        <f>24*60*SUM($M93:$M93)</f>
        <v>37.083333326736465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-22T12:39:34-0600',mode:absolute,to:'2017-10-22T15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4.4900000000000002E-2</v>
      </c>
      <c r="Z93" s="204">
        <f>RIGHT(H93,LEN(H93)-4)/10000</f>
        <v>23.331099999999999</v>
      </c>
      <c r="AA93" s="204">
        <f>ABS(Z93-Y93)</f>
        <v>23.286200000000001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/stypes="app*4036*20171022*"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181-22 --locoid 4036 --swversion DE.1.0.9.0 --startMP 204:449 --initTime 2017-10-22T13:39:34 --startdatetime 2017-10-22T13:45:15 --delay 72 --endMP 204:233311 --enddatetime 2017-10-22T14:22:20 --enforcementcount 0 &gt;&gt;%USERPROFILE%\Documents\GitHub\eaglep3-reporting\EC\2017-10-22-refined-times.txt</v>
      </c>
      <c r="AI93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{"issue":{"subject":"","project_id":79,"tracker_id":40,"status_id":1,"priority_id":2,"assigned_to_id":338,"start_date":"2017-10-22","description":"","custom_fields":[{"id":1,"name":"Subdivision","value":"EC"},{"id":4,"name":"Milepost","value":"23.3311"},{"id":17,"name":"Train ID","value":"181-22"},{"id":16,"name":"Locomotive ID","value":"4036"},{"id":130,"name":"Impact","value":""},{"id":150,"name":"Time of Event (Mountain Time)","value":"14:22:20"},{"id":151,"name":"Denver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4036 --day 2017-10-22</v>
      </c>
      <c r="AN93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-22T12:39:34-0600',mode:absolute,to:'2017-10-22T15:22:20-0600'))&amp;_a=(columns:!('Message%20ID',Summary),filters:!(),index:'emp_*',interval:auto,query:(query_string:(analyze_wildcard:!t,query:'%22rtdc.l.rtdc.4036%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807</v>
      </c>
      <c r="B94" s="7">
        <v>4035</v>
      </c>
      <c r="C94" s="21" t="s">
        <v>194</v>
      </c>
      <c r="D94" s="21" t="s">
        <v>485</v>
      </c>
      <c r="E94" s="13">
        <v>43030.608530092592</v>
      </c>
      <c r="F94" s="13">
        <v>43030.612650462965</v>
      </c>
      <c r="G94" s="7">
        <v>62</v>
      </c>
      <c r="H94" s="21" t="s">
        <v>339</v>
      </c>
      <c r="I94" s="13">
        <v>43030.64025462963</v>
      </c>
      <c r="J94" s="7">
        <v>0</v>
      </c>
      <c r="K94" s="89" t="str">
        <f>IF(ISEVEN(B94),(B94-1)&amp;"/"&amp;B94,B94&amp;"/"&amp;(B94+1))</f>
        <v>4035/4036</v>
      </c>
      <c r="L94" s="185" t="str">
        <f>VLOOKUP(A94,'Trips&amp;Operators'!$C$1:$G$99911,5,FALSE)</f>
        <v>BADERTSCHER DIANE</v>
      </c>
      <c r="M94" s="6">
        <f>I94-F94</f>
        <v>2.7604166665696539E-2</v>
      </c>
      <c r="N94" s="7">
        <f>24*60*SUM($M94:$M94)</f>
        <v>39.749999998603016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-22T13:36:17-0600',mode:absolute,to:'2017-10-22T16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23.2986</v>
      </c>
      <c r="Z94" s="204">
        <f>RIGHT(H94,LEN(H94)-4)/10000</f>
        <v>1.47E-2</v>
      </c>
      <c r="AA94" s="204">
        <f>ABS(Z94-Y94)</f>
        <v>23.283899999999999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/stypes="app*4035*20171022*"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182-22 --locoid 4035 --swversion DE.1.0.9.0 --startMP 204:232986 --initTime 2017-10-22T14:36:17 --startdatetime 2017-10-22T14:42:13 --delay 62 --endMP 204:147 --enddatetime 2017-10-22T15:21:58 --enforcementcount 0 &gt;&gt;%USERPROFILE%\Documents\GitHub\eaglep3-reporting\EC\2017-10-22-refined-times.txt</v>
      </c>
      <c r="AI94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ID","value":"182-22"},{"id":16,"name":"Locomotive ID","value":"4035"},{"id":130,"name":"Impact","value":""},{"id":150,"name":"Time of Event (Mountain Time)","value":"15:21:58"},{"id":151,"name":"Denver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4035 --day 2017-10-22</v>
      </c>
      <c r="AN94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-22T13:36:17-0600',mode:absolute,to:'2017-10-22T16:21:58-0600'))&amp;_a=(columns:!('Message%20ID',Summary),filters:!(),index:'emp_*',interval:auto,query:(query_string:(analyze_wildcard:!t,query:'%22rtdc.l.rtdc.4035%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801</v>
      </c>
      <c r="B95" s="7">
        <v>4020</v>
      </c>
      <c r="C95" s="21" t="s">
        <v>194</v>
      </c>
      <c r="D95" s="21" t="s">
        <v>372</v>
      </c>
      <c r="E95" s="13">
        <v>43030.581412037034</v>
      </c>
      <c r="F95" s="13">
        <v>43030.583541666667</v>
      </c>
      <c r="G95" s="7">
        <v>70</v>
      </c>
      <c r="H95" s="21" t="s">
        <v>618</v>
      </c>
      <c r="I95" s="13">
        <v>43030.608229166668</v>
      </c>
      <c r="J95" s="7">
        <v>0</v>
      </c>
      <c r="K95" s="89" t="str">
        <f>IF(ISEVEN(B95),(B95-1)&amp;"/"&amp;B95,B95&amp;"/"&amp;(B95+1))</f>
        <v>4019/4020</v>
      </c>
      <c r="L95" s="185" t="str">
        <f>VLOOKUP(A95,'Trips&amp;Operators'!$C$1:$G$99911,5,FALSE)</f>
        <v>BERLING GARY</v>
      </c>
      <c r="M95" s="6">
        <f>I95-F95</f>
        <v>2.4687500001164153E-2</v>
      </c>
      <c r="N95" s="7">
        <f>24*60*SUM($M95:$M95)</f>
        <v>35.550000001676381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-22T12:57:14-0600',mode:absolute,to:'2017-10-22T15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4.4699999999999997E-2</v>
      </c>
      <c r="Z95" s="204">
        <f>RIGHT(H95,LEN(H95)-4)/10000</f>
        <v>23.330400000000001</v>
      </c>
      <c r="AA95" s="204">
        <f>ABS(Z95-Y95)</f>
        <v>23.285700000000002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/stypes="app*4020*20171022*"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183-22 --locoid 4020 --swversion DE.1.0.9.0 --startMP 204:447 --initTime 2017-10-22T13:57:14 --startdatetime 2017-10-22T14:00:18 --delay 70 --endMP 204:233304 --enddatetime 2017-10-22T14:35:51 --enforcementcount 0 &gt;&gt;%USERPROFILE%\Documents\GitHub\eaglep3-reporting\EC\2017-10-22-refined-times.txt</v>
      </c>
      <c r="AI95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{"issue":{"subject":"","project_id":79,"tracker_id":40,"status_id":1,"priority_id":2,"assigned_to_id":338,"start_date":"2017-10-22","description":"","custom_fields":[{"id":1,"name":"Subdivision","value":"EC"},{"id":4,"name":"Milepost","value":"23.3304"},{"id":17,"name":"Train ID","value":"183-22"},{"id":16,"name":"Locomotive ID","value":"4020"},{"id":130,"name":"Impact","value":""},{"id":150,"name":"Time of Event (Mountain Time)","value":"14:35:51"},{"id":151,"name":"Denver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4020 --day 2017-10-22</v>
      </c>
      <c r="AN95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-22T12:57:14-0600',mode:absolute,to:'2017-10-22T15:35:51-0600'))&amp;_a=(columns:!('Message%20ID',Summary),filters:!(),index:'emp_*',interval:auto,query:(query_string:(analyze_wildcard:!t,query:'%22rtdc.l.rtdc.4020%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808</v>
      </c>
      <c r="B96" s="7">
        <v>4019</v>
      </c>
      <c r="C96" s="21" t="s">
        <v>194</v>
      </c>
      <c r="D96" s="21" t="s">
        <v>902</v>
      </c>
      <c r="E96" s="13">
        <v>43030.618530092594</v>
      </c>
      <c r="F96" s="13">
        <v>43030.623067129629</v>
      </c>
      <c r="G96" s="7">
        <v>68</v>
      </c>
      <c r="H96" s="21" t="s">
        <v>414</v>
      </c>
      <c r="I96" s="13">
        <v>43030.649560185186</v>
      </c>
      <c r="J96" s="7">
        <v>0</v>
      </c>
      <c r="K96" s="89" t="str">
        <f>IF(ISEVEN(B96),(B96-1)&amp;"/"&amp;B96,B96&amp;"/"&amp;(B96+1))</f>
        <v>4019/4020</v>
      </c>
      <c r="L96" s="185" t="str">
        <f>VLOOKUP(A96,'Trips&amp;Operators'!$C$1:$G$99911,5,FALSE)</f>
        <v>BERLING GARY</v>
      </c>
      <c r="M96" s="6">
        <f>I96-F96</f>
        <v>2.6493055556784384E-2</v>
      </c>
      <c r="N96" s="7">
        <f>24*60*SUM($M96:$M96)</f>
        <v>38.150000001769513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-22T13:50:41-0600',mode:absolute,to:'2017-10-22T16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23.299299999999999</v>
      </c>
      <c r="Z96" s="204">
        <f>RIGHT(H96,LEN(H96)-4)/10000</f>
        <v>1.38E-2</v>
      </c>
      <c r="AA96" s="204">
        <f>ABS(Z96-Y96)</f>
        <v>23.285499999999999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/stypes="app*4019*20171022*"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184-22 --locoid 4019 --swversion DE.1.0.9.0 --startMP 204:232993 --initTime 2017-10-22T14:50:41 --startdatetime 2017-10-22T14:57:13 --delay 68 --endMP 204:138 --enddatetime 2017-10-22T15:35:22 --enforcementcount 0 &gt;&gt;%USERPROFILE%\Documents\GitHub\eaglep3-reporting\EC\2017-10-22-refined-times.txt</v>
      </c>
      <c r="AI96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{"issue":{"subject":"","project_id":79,"tracker_id":40,"status_id":1,"priority_id":2,"assigned_to_id":338,"start_date":"2017-10-22","description":"","custom_fields":[{"id":1,"name":"Subdivision","value":"EC"},{"id":4,"name":"Milepost","value":"0.0138"},{"id":17,"name":"Train ID","value":"184-22"},{"id":16,"name":"Locomotive ID","value":"4019"},{"id":130,"name":"Impact","value":""},{"id":150,"name":"Time of Event (Mountain Time)","value":"15:35:22"},{"id":151,"name":"Denver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4019 --day 2017-10-22</v>
      </c>
      <c r="AN96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-22T13:50:41-0600',mode:absolute,to:'2017-10-22T16:35:22-0600'))&amp;_a=(columns:!('Message%20ID',Summary),filters:!(),index:'emp_*',interval:auto,query:(query_string:(analyze_wildcard:!t,query:'%22rtdc.l.rtdc.4019%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802</v>
      </c>
      <c r="B97" s="7">
        <v>4032</v>
      </c>
      <c r="C97" s="21" t="s">
        <v>194</v>
      </c>
      <c r="D97" s="21" t="s">
        <v>396</v>
      </c>
      <c r="E97" s="13">
        <v>43030.589502314811</v>
      </c>
      <c r="F97" s="13">
        <v>43030.593958333331</v>
      </c>
      <c r="G97" s="7">
        <v>69</v>
      </c>
      <c r="H97" s="21" t="s">
        <v>626</v>
      </c>
      <c r="I97" s="13">
        <v>43030.619120370371</v>
      </c>
      <c r="J97" s="7">
        <v>0</v>
      </c>
      <c r="K97" s="89" t="str">
        <f>IF(ISEVEN(B97),(B97-1)&amp;"/"&amp;B97,B97&amp;"/"&amp;(B97+1))</f>
        <v>4031/4032</v>
      </c>
      <c r="L97" s="185" t="str">
        <f>VLOOKUP(A97,'Trips&amp;Operators'!$C$1:$G$99911,5,FALSE)</f>
        <v>STEWART MICHAEL</v>
      </c>
      <c r="M97" s="6">
        <f>I97-F97</f>
        <v>2.5162037039990537E-2</v>
      </c>
      <c r="N97" s="7">
        <f>24*60*SUM($M97:$M97)</f>
        <v>36.233333337586373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-22T13:08:53-0600',mode:absolute,to:'2017-10-22T15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4.6399999999999997E-2</v>
      </c>
      <c r="Z97" s="204">
        <f>RIGHT(H97,LEN(H97)-4)/10000</f>
        <v>23.3264</v>
      </c>
      <c r="AA97" s="204">
        <f>ABS(Z97-Y97)</f>
        <v>23.28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/stypes="app*4032*20171022*"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185-22 --locoid 4032 --swversion DE.1.0.9.0 --startMP 204:464 --initTime 2017-10-22T14:08:53 --startdatetime 2017-10-22T14:15:18 --delay 69 --endMP 204:233264 --enddatetime 2017-10-22T14:51:32 --enforcementcount 0 &gt;&gt;%USERPROFILE%\Documents\GitHub\eaglep3-reporting\EC\2017-10-22-refined-times.txt</v>
      </c>
      <c r="AI97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{"issue":{"subject":"","project_id":79,"tracker_id":40,"status_id":1,"priority_id":2,"assigned_to_id":338,"start_date":"2017-10-22","description":"","custom_fields":[{"id":1,"name":"Subdivision","value":"EC"},{"id":4,"name":"Milepost","value":"23.3264"},{"id":17,"name":"Train ID","value":"185-22"},{"id":16,"name":"Locomotive ID","value":"4032"},{"id":130,"name":"Impact","value":""},{"id":150,"name":"Time of Event (Mountain Time)","value":"14:51:32"},{"id":151,"name":"Denver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4032 --day 2017-10-22</v>
      </c>
      <c r="AN97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-22T13:08:53-0600',mode:absolute,to:'2017-10-22T15:51:32-0600'))&amp;_a=(columns:!('Message%20ID',Summary),filters:!(),index:'emp_*',interval:auto,query:(query_string:(analyze_wildcard:!t,query:'%22rtdc.l.rtdc.4032%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811</v>
      </c>
      <c r="B98" s="7">
        <v>4031</v>
      </c>
      <c r="C98" s="21" t="s">
        <v>194</v>
      </c>
      <c r="D98" s="21" t="s">
        <v>405</v>
      </c>
      <c r="E98" s="13">
        <v>43030.630729166667</v>
      </c>
      <c r="F98" s="13">
        <v>43030.633530092593</v>
      </c>
      <c r="G98" s="7">
        <v>130</v>
      </c>
      <c r="H98" s="21" t="s">
        <v>336</v>
      </c>
      <c r="I98" s="13">
        <v>43030.659942129627</v>
      </c>
      <c r="J98" s="7">
        <v>0</v>
      </c>
      <c r="K98" s="89" t="str">
        <f>IF(ISEVEN(B98),(B98-1)&amp;"/"&amp;B98,B98&amp;"/"&amp;(B98+1))</f>
        <v>4031/4032</v>
      </c>
      <c r="L98" s="185" t="str">
        <f>VLOOKUP(A98,'Trips&amp;Operators'!$C$1:$G$99911,5,FALSE)</f>
        <v>STEWART MICHAEL</v>
      </c>
      <c r="M98" s="6">
        <f>I98-F98</f>
        <v>2.6412037033878732E-2</v>
      </c>
      <c r="N98" s="7">
        <f>24*60*SUM($M98:$M98)</f>
        <v>38.033333328785375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-22T14:08:15-0600',mode:absolute,to:'2017-10-22T16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23.296500000000002</v>
      </c>
      <c r="Z98" s="204">
        <f>RIGHT(H98,LEN(H98)-4)/10000</f>
        <v>1.49E-2</v>
      </c>
      <c r="AA98" s="204">
        <f>ABS(Z98-Y98)</f>
        <v>23.281600000000001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/stypes="app*4031*20171022*"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186-22 --locoid 4031 --swversion DE.1.0.9.0 --startMP 204:232965 --initTime 2017-10-22T15:08:15 --startdatetime 2017-10-22T15:12:17 --delay 130 --endMP 204:149 --enddatetime 2017-10-22T15:50:19 --enforcementcount 0 &gt;&gt;%USERPROFILE%\Documents\GitHub\eaglep3-reporting\EC\2017-10-22-refined-times.txt</v>
      </c>
      <c r="AI98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{"issue":{"subject":"","project_id":79,"tracker_id":40,"status_id":1,"priority_id":2,"assigned_to_id":338,"start_date":"2017-10-22","description":"","custom_fields":[{"id":1,"name":"Subdivision","value":"EC"},{"id":4,"name":"Milepost","value":"0.0149"},{"id":17,"name":"Train ID","value":"186-22"},{"id":16,"name":"Locomotive ID","value":"4031"},{"id":130,"name":"Impact","value":""},{"id":150,"name":"Time of Event (Mountain Time)","value":"15:50:19"},{"id":151,"name":"Denver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4031 --day 2017-10-22</v>
      </c>
      <c r="AN98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-22T14:08:15-0600',mode:absolute,to:'2017-10-22T16:50:19-0600'))&amp;_a=(columns:!('Message%20ID',Summary),filters:!(),index:'emp_*',interval:auto,query:(query_string:(analyze_wildcard:!t,query:'%22rtdc.l.rtdc.4031%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804</v>
      </c>
      <c r="B99" s="7">
        <v>4066</v>
      </c>
      <c r="C99" s="21" t="s">
        <v>194</v>
      </c>
      <c r="D99" s="21" t="s">
        <v>338</v>
      </c>
      <c r="E99" s="13">
        <v>43030.599050925928</v>
      </c>
      <c r="F99" s="13">
        <v>43030.604375000003</v>
      </c>
      <c r="G99" s="7">
        <v>60</v>
      </c>
      <c r="H99" s="21" t="s">
        <v>496</v>
      </c>
      <c r="I99" s="13">
        <v>43030.628923611112</v>
      </c>
      <c r="J99" s="7">
        <v>0</v>
      </c>
      <c r="K99" s="89" t="str">
        <f>IF(ISEVEN(B99),(B99-1)&amp;"/"&amp;B99,B99&amp;"/"&amp;(B99+1))</f>
        <v>4065/4066</v>
      </c>
      <c r="L99" s="185" t="str">
        <f>VLOOKUP(A99,'Trips&amp;Operators'!$C$1:$G$99911,5,FALSE)</f>
        <v>SMITH MICHAEL</v>
      </c>
      <c r="M99" s="6">
        <f>I99-F99</f>
        <v>2.4548611108912155E-2</v>
      </c>
      <c r="N99" s="7">
        <f>24*60*SUM($M99:$M99)</f>
        <v>35.349999996833503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-22T13:22:38-0600',mode:absolute,to:'2017-10-22T16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4.53E-2</v>
      </c>
      <c r="Z99" s="204">
        <f>RIGHT(H99,LEN(H99)-4)/10000</f>
        <v>23.331700000000001</v>
      </c>
      <c r="AA99" s="204">
        <f>ABS(Z99-Y99)</f>
        <v>23.2864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/stypes="app*4066*20171022*"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187-22 --locoid 4066 --swversion DE.1.0.9.0 --startMP 204:453 --initTime 2017-10-22T14:22:38 --startdatetime 2017-10-22T14:30:18 --delay 60 --endMP 204:233317 --enddatetime 2017-10-22T15:05:39 --enforcementcount 0 &gt;&gt;%USERPROFILE%\Documents\GitHub\eaglep3-reporting\EC\2017-10-22-refined-times.txt</v>
      </c>
      <c r="AI99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{"issue":{"subject":"","project_id":79,"tracker_id":40,"status_id":1,"priority_id":2,"assigned_to_id":338,"start_date":"2017-10-22","description":"","custom_fields":[{"id":1,"name":"Subdivision","value":"EC"},{"id":4,"name":"Milepost","value":"23.3317"},{"id":17,"name":"Train ID","value":"187-22"},{"id":16,"name":"Locomotive ID","value":"4066"},{"id":130,"name":"Impact","value":""},{"id":150,"name":"Time of Event (Mountain Time)","value":"15:05:39"},{"id":151,"name":"Denver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4066 --day 2017-10-22</v>
      </c>
      <c r="AN99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-22T13:22:38-0600',mode:absolute,to:'2017-10-22T16:05:39-0600'))&amp;_a=(columns:!('Message%20ID',Summary),filters:!(),index:'emp_*',interval:auto,query:(query_string:(analyze_wildcard:!t,query:'%22rtdc.l.rtdc.4066%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813</v>
      </c>
      <c r="B100" s="7">
        <v>4065</v>
      </c>
      <c r="C100" s="21" t="s">
        <v>194</v>
      </c>
      <c r="D100" s="21" t="s">
        <v>434</v>
      </c>
      <c r="E100" s="13">
        <v>43030.636666666665</v>
      </c>
      <c r="F100" s="13">
        <v>43030.644085648149</v>
      </c>
      <c r="G100" s="7">
        <v>62</v>
      </c>
      <c r="H100" s="21" t="s">
        <v>339</v>
      </c>
      <c r="I100" s="13">
        <v>43030.670104166667</v>
      </c>
      <c r="J100" s="7">
        <v>0</v>
      </c>
      <c r="K100" s="89" t="str">
        <f>IF(ISEVEN(B100),(B100-1)&amp;"/"&amp;B100,B100&amp;"/"&amp;(B100+1))</f>
        <v>4065/4066</v>
      </c>
      <c r="L100" s="185" t="str">
        <f>VLOOKUP(A100,'Trips&amp;Operators'!$C$1:$G$99911,5,FALSE)</f>
        <v>SMITH MICHAEL</v>
      </c>
      <c r="M100" s="6">
        <f>I100-F100</f>
        <v>2.6018518517958E-2</v>
      </c>
      <c r="N100" s="7">
        <f>24*60*SUM($M100:$M100)</f>
        <v>37.46666666585952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-22T14:16:48-0600',mode:absolute,to:'2017-10-22T17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23.299600000000002</v>
      </c>
      <c r="Z100" s="204">
        <f>RIGHT(H100,LEN(H100)-4)/10000</f>
        <v>1.47E-2</v>
      </c>
      <c r="AA100" s="204">
        <f>ABS(Z100-Y100)</f>
        <v>23.2849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/stypes="app*4065*20171022*"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188-22 --locoid 4065 --swversion DE.1.0.9.0 --startMP 204:232996 --initTime 2017-10-22T15:16:48 --startdatetime 2017-10-22T15:27:29 --delay 62 --endMP 204:147 --enddatetime 2017-10-22T16:04:57 --enforcementcount 0 &gt;&gt;%USERPROFILE%\Documents\GitHub\eaglep3-reporting\EC\2017-10-22-refined-times.txt</v>
      </c>
      <c r="AI100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ID","value":"188-22"},{"id":16,"name":"Locomotive ID","value":"4065"},{"id":130,"name":"Impact","value":""},{"id":150,"name":"Time of Event (Mountain Time)","value":"16:04:57"},{"id":151,"name":"Denver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2"/>
        <v>start /low /b %USERPROFILE%\Documents\GitHub\eaglep3\Utilities\DownloadLogsFromS3.py --loco 4065 --day 2017-10-22</v>
      </c>
      <c r="AN100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-22T14:16:48-0600',mode:absolute,to:'2017-10-22T17:04:57-0600'))&amp;_a=(columns:!('Message%20ID',Summary),filters:!(),index:'emp_*',interval:auto,query:(query_string:(analyze_wildcard:!t,query:'%22rtdc.l.rtdc.4065%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806</v>
      </c>
      <c r="B101" s="7">
        <v>4028</v>
      </c>
      <c r="C101" s="21" t="s">
        <v>194</v>
      </c>
      <c r="D101" s="21" t="s">
        <v>362</v>
      </c>
      <c r="E101" s="13">
        <v>43030.608553240738</v>
      </c>
      <c r="F101" s="13">
        <v>43030.654629629629</v>
      </c>
      <c r="G101" s="7">
        <v>56</v>
      </c>
      <c r="H101" s="21" t="s">
        <v>964</v>
      </c>
      <c r="I101" s="13">
        <v>43030.680381944447</v>
      </c>
      <c r="J101" s="7">
        <v>0</v>
      </c>
      <c r="K101" s="89" t="str">
        <f>IF(ISEVEN(B101),(B101-1)&amp;"/"&amp;B101,B101&amp;"/"&amp;(B101+1))</f>
        <v>4027/4028</v>
      </c>
      <c r="L101" s="185" t="str">
        <f>VLOOKUP(A101,'Trips&amp;Operators'!$C$1:$G$99911,5,FALSE)</f>
        <v>KILLION DAVID</v>
      </c>
      <c r="M101" s="6">
        <f>I101-F101</f>
        <v>2.5752314817509614E-2</v>
      </c>
      <c r="N101" s="7">
        <f>24*60*SUM($M101:$M101)</f>
        <v>37.083333337213844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-22T13:36:19-0600',mode:absolute,to:'2017-10-22T17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4.5999999999999999E-2</v>
      </c>
      <c r="Z101" s="204">
        <f>RIGHT(H101,LEN(H101)-4)/10000</f>
        <v>23.334299999999999</v>
      </c>
      <c r="AA101" s="204">
        <f>ABS(Z101-Y101)</f>
        <v>23.2883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/stypes="app*4028*20171022*"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189-22 --locoid 4028 --swversion DE.1.0.9.0 --startMP 204:460 --initTime 2017-10-22T14:36:19 --startdatetime 2017-10-22T15:42:40 --delay 56 --endMP 204:233343 --enddatetime 2017-10-22T16:19:45 --enforcementcount 0 &gt;&gt;%USERPROFILE%\Documents\GitHub\eaglep3-reporting\EC\2017-10-22-refined-times.txt</v>
      </c>
      <c r="AI101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{"issue":{"subject":"","project_id":79,"tracker_id":40,"status_id":1,"priority_id":2,"assigned_to_id":338,"start_date":"2017-10-22","description":"","custom_fields":[{"id":1,"name":"Subdivision","value":"EC"},{"id":4,"name":"Milepost","value":"23.3343"},{"id":17,"name":"Train ID","value":"189-22"},{"id":16,"name":"Locomotive ID","value":"4028"},{"id":130,"name":"Impact","value":""},{"id":150,"name":"Time of Event (Mountain Time)","value":"16:19:45"},{"id":151,"name":"Denver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2"/>
        <v>start /low /b %USERPROFILE%\Documents\GitHub\eaglep3\Utilities\DownloadLogsFromS3.py --loco 4028 --day 2017-10-22</v>
      </c>
      <c r="AN101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-22T13:36:19-0600',mode:absolute,to:'2017-10-22T17:19:45-0600'))&amp;_a=(columns:!('Message%20ID',Summary),filters:!(),index:'emp_*',interval:auto,query:(query_string:(analyze_wildcard:!t,query:'%22rtdc.l.rtdc.4028%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3">
      <c r="A102" s="32" t="s">
        <v>816</v>
      </c>
      <c r="B102" s="7">
        <v>4027</v>
      </c>
      <c r="C102" s="21" t="s">
        <v>194</v>
      </c>
      <c r="D102" s="21" t="s">
        <v>483</v>
      </c>
      <c r="E102" s="13">
        <v>43030.64603009259</v>
      </c>
      <c r="F102" s="13">
        <v>43030.654629629629</v>
      </c>
      <c r="G102" s="7">
        <v>58</v>
      </c>
      <c r="H102" s="21" t="s">
        <v>339</v>
      </c>
      <c r="I102" s="13">
        <v>43030.680381944447</v>
      </c>
      <c r="J102" s="7">
        <v>0</v>
      </c>
      <c r="K102" s="89" t="str">
        <f>IF(ISEVEN(B102),(B102-1)&amp;"/"&amp;B102,B102&amp;"/"&amp;(B102+1))</f>
        <v>4027/4028</v>
      </c>
      <c r="L102" s="185" t="str">
        <f>VLOOKUP(A102,'Trips&amp;Operators'!$C$1:$G$99911,5,FALSE)</f>
        <v>KILLION DAVID</v>
      </c>
      <c r="M102" s="6">
        <f>I102-F102</f>
        <v>2.5752314817509614E-2</v>
      </c>
      <c r="N102" s="7">
        <f>24*60*SUM($M102:$M102)</f>
        <v>37.083333337213844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-22T14:30:17-0600',mode:absolute,to:'2017-10-22T17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23.298200000000001</v>
      </c>
      <c r="Z102" s="204">
        <f>RIGHT(H102,LEN(H102)-4)/10000</f>
        <v>1.47E-2</v>
      </c>
      <c r="AA102" s="204">
        <f>ABS(Z102-Y102)</f>
        <v>23.2835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/stypes="app*4027*20171022*"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190-22 --locoid 4027 --swversion DE.1.0.9.0 --startMP 204:232982 --initTime 2017-10-22T15:30:17 --startdatetime 2017-10-22T15:42:40 --delay 58 --endMP 204:147 --enddatetime 2017-10-22T16:19:45 --enforcementcount 0 &gt;&gt;%USERPROFILE%\Documents\GitHub\eaglep3-reporting\EC\2017-10-22-refined-times.txt</v>
      </c>
      <c r="AI102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ID","value":"190-22"},{"id":16,"name":"Locomotive ID","value":"4027"},{"id":130,"name":"Impact","value":""},{"id":150,"name":"Time of Event (Mountain Time)","value":"16:19:45"},{"id":151,"name":"Denver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2"/>
        <v>start /low /b %USERPROFILE%\Documents\GitHub\eaglep3\Utilities\DownloadLogsFromS3.py --loco 4027 --day 2017-10-22</v>
      </c>
      <c r="AN102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-22T14:30:17-0600',mode:absolute,to:'2017-10-22T17:19:45-0600'))&amp;_a=(columns:!('Message%20ID',Summary),filters:!(),index:'emp_*',interval:auto,query:(query_string:(analyze_wildcard:!t,query:'%22rtdc.l.rtdc.4027%22')),sort:!(Time.ISO8601,asc))</v>
      </c>
    </row>
    <row r="103" spans="1:91" s="20" customFormat="1" x14ac:dyDescent="0.3">
      <c r="A103" s="32" t="s">
        <v>809</v>
      </c>
      <c r="B103" s="7">
        <v>4026</v>
      </c>
      <c r="C103" s="21" t="s">
        <v>194</v>
      </c>
      <c r="D103" s="21" t="s">
        <v>334</v>
      </c>
      <c r="E103" s="13">
        <v>43030.620983796296</v>
      </c>
      <c r="F103" s="13">
        <v>43030.625185185185</v>
      </c>
      <c r="G103" s="7">
        <v>118</v>
      </c>
      <c r="H103" s="21" t="s">
        <v>628</v>
      </c>
      <c r="I103" s="13">
        <v>43030.649456018517</v>
      </c>
      <c r="J103" s="7">
        <v>0</v>
      </c>
      <c r="K103" s="89" t="str">
        <f>IF(ISEVEN(B103),(B103-1)&amp;"/"&amp;B103,B103&amp;"/"&amp;(B103+1))</f>
        <v>4025/4026</v>
      </c>
      <c r="L103" s="185" t="str">
        <f>VLOOKUP(A103,'Trips&amp;Operators'!$C$1:$G$99911,5,FALSE)</f>
        <v>SAFIEF AEIMEN</v>
      </c>
      <c r="M103" s="6">
        <f>I103-F103</f>
        <v>2.4270833331684116E-2</v>
      </c>
      <c r="N103" s="7">
        <f>24*60*SUM($M103:$M103)</f>
        <v>34.949999997625127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-22T13:54:13-0600',mode:absolute,to:'2017-10-22T16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4.4600000000000001E-2</v>
      </c>
      <c r="Z103" s="204">
        <f>RIGHT(H103,LEN(H103)-4)/10000</f>
        <v>23.333600000000001</v>
      </c>
      <c r="AA103" s="204">
        <f>ABS(Z103-Y103)</f>
        <v>23.289000000000001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/stypes="app*4026*20171022*"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191-22 --locoid 4026 --swversion DE.1.0.9.0 --startMP 204:446 --initTime 2017-10-22T14:54:13 --startdatetime 2017-10-22T15:00:16 --delay 118 --endMP 204:233336 --enddatetime 2017-10-22T15:35:13 --enforcementcount 0 &gt;&gt;%USERPROFILE%\Documents\GitHub\eaglep3-reporting\EC\2017-10-22-refined-times.txt</v>
      </c>
      <c r="AI103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{"issue":{"subject":"","project_id":79,"tracker_id":40,"status_id":1,"priority_id":2,"assigned_to_id":338,"start_date":"2017-10-22","description":"","custom_fields":[{"id":1,"name":"Subdivision","value":"EC"},{"id":4,"name":"Milepost","value":"23.3336"},{"id":17,"name":"Train ID","value":"191-22"},{"id":16,"name":"Locomotive ID","value":"4026"},{"id":130,"name":"Impact","value":""},{"id":150,"name":"Time of Event (Mountain Time)","value":"15:35:13"},{"id":151,"name":"Denver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4026 --day 2017-10-22</v>
      </c>
      <c r="AN103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-22T13:54:13-0600',mode:absolute,to:'2017-10-22T16:35:13-0600'))&amp;_a=(columns:!('Message%20ID',Summary),filters:!(),index:'emp_*',interval:auto,query:(query_string:(analyze_wildcard:!t,query:'%22rtdc.l.rtdc.4026%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818</v>
      </c>
      <c r="B104" s="7">
        <v>4025</v>
      </c>
      <c r="C104" s="21" t="s">
        <v>194</v>
      </c>
      <c r="D104" s="21" t="s">
        <v>967</v>
      </c>
      <c r="E104" s="13">
        <v>43030.654467592591</v>
      </c>
      <c r="F104" s="13">
        <v>43030.664803240739</v>
      </c>
      <c r="G104" s="7">
        <v>61</v>
      </c>
      <c r="H104" s="21" t="s">
        <v>339</v>
      </c>
      <c r="I104" s="13">
        <v>43030.69059027778</v>
      </c>
      <c r="J104" s="7">
        <v>0</v>
      </c>
      <c r="K104" s="89" t="str">
        <f>IF(ISEVEN(B104),(B104-1)&amp;"/"&amp;B104,B104&amp;"/"&amp;(B104+1))</f>
        <v>4025/4026</v>
      </c>
      <c r="L104" s="185" t="str">
        <f>VLOOKUP(A104,'Trips&amp;Operators'!$C$1:$G$99911,5,FALSE)</f>
        <v>SAFIEF AEIMEN</v>
      </c>
      <c r="M104" s="6">
        <f>I104-F104</f>
        <v>2.5787037040572613E-2</v>
      </c>
      <c r="N104" s="7">
        <f>24*60*SUM($M104:$M104)</f>
        <v>37.133333338424563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-22T14:42:26-0600',mode:absolute,to:'2017-10-22T17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23.3004</v>
      </c>
      <c r="Z104" s="204">
        <f>RIGHT(H104,LEN(H104)-4)/10000</f>
        <v>1.47E-2</v>
      </c>
      <c r="AA104" s="204">
        <f>ABS(Z104-Y104)</f>
        <v>23.285699999999999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/stypes="app*4025*20171022*"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192-22 --locoid 4025 --swversion DE.1.0.9.0 --startMP 204:233004 --initTime 2017-10-22T15:42:26 --startdatetime 2017-10-22T15:57:19 --delay 61 --endMP 204:147 --enddatetime 2017-10-22T16:34:27 --enforcementcount 0 &gt;&gt;%USERPROFILE%\Documents\GitHub\eaglep3-reporting\EC\2017-10-22-refined-times.txt</v>
      </c>
      <c r="AI104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ID","value":"192-22"},{"id":16,"name":"Locomotive ID","value":"4025"},{"id":130,"name":"Impact","value":""},{"id":150,"name":"Time of Event (Mountain Time)","value":"16:34:27"},{"id":151,"name":"Denver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4025 --day 2017-10-22</v>
      </c>
      <c r="AN104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-22T14:42:26-0600',mode:absolute,to:'2017-10-22T17:34:27-0600'))&amp;_a=(columns:!('Message%20ID',Summary),filters:!(),index:'emp_*',interval:auto,query:(query_string:(analyze_wildcard:!t,query:'%22rtdc.l.rtdc.4025%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812</v>
      </c>
      <c r="B105" s="7">
        <v>4002</v>
      </c>
      <c r="C105" s="21" t="s">
        <v>194</v>
      </c>
      <c r="D105" s="21" t="s">
        <v>353</v>
      </c>
      <c r="E105" s="13">
        <v>43030.632835648146</v>
      </c>
      <c r="F105" s="13">
        <v>43030.635578703703</v>
      </c>
      <c r="G105" s="7">
        <v>61</v>
      </c>
      <c r="H105" s="21" t="s">
        <v>968</v>
      </c>
      <c r="I105" s="13">
        <v>43030.660856481481</v>
      </c>
      <c r="J105" s="7">
        <v>0</v>
      </c>
      <c r="K105" s="89" t="str">
        <f>IF(ISEVEN(B105),(B105-1)&amp;"/"&amp;B105,B105&amp;"/"&amp;(B105+1))</f>
        <v>4001/4002</v>
      </c>
      <c r="L105" s="185" t="str">
        <f>VLOOKUP(A105,'Trips&amp;Operators'!$C$1:$G$99911,5,FALSE)</f>
        <v>GUZMAN DANNY</v>
      </c>
      <c r="M105" s="6">
        <f>I105-F105</f>
        <v>2.527777777868323E-2</v>
      </c>
      <c r="N105" s="7">
        <f>24*60*SUM($M105:$M105)</f>
        <v>36.400000001303852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-22T14:11:17-0600',mode:absolute,to:'2017-10-22T16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4.58E-2</v>
      </c>
      <c r="Z105" s="204">
        <f>RIGHT(H105,LEN(H105)-4)/10000</f>
        <v>23.332000000000001</v>
      </c>
      <c r="AA105" s="204">
        <f>ABS(Z105-Y105)</f>
        <v>23.286200000000001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/stypes="app*4002*20171022*"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193-22 --locoid 4002 --swversion DE.1.0.9.0 --startMP 204:458 --initTime 2017-10-22T15:11:17 --startdatetime 2017-10-22T15:15:14 --delay 61 --endMP 204:233320 --enddatetime 2017-10-22T15:51:38 --enforcementcount 0 &gt;&gt;%USERPROFILE%\Documents\GitHub\eaglep3-reporting\EC\2017-10-22-refined-times.txt</v>
      </c>
      <c r="AI105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{"issue":{"subject":"","project_id":79,"tracker_id":40,"status_id":1,"priority_id":2,"assigned_to_id":338,"start_date":"2017-10-22","description":"","custom_fields":[{"id":1,"name":"Subdivision","value":"EC"},{"id":4,"name":"Milepost","value":"23.332"},{"id":17,"name":"Train ID","value":"193-22"},{"id":16,"name":"Locomotive ID","value":"4002"},{"id":130,"name":"Impact","value":""},{"id":150,"name":"Time of Event (Mountain Time)","value":"15:51:38"},{"id":151,"name":"Denver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4002 --day 2017-10-22</v>
      </c>
      <c r="AN105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-22T14:11:17-0600',mode:absolute,to:'2017-10-22T16:51:38-0600'))&amp;_a=(columns:!('Message%20ID',Summary),filters:!(),index:'emp_*',interval:auto,query:(query_string:(analyze_wildcard:!t,query:'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819</v>
      </c>
      <c r="B106" s="7">
        <v>4001</v>
      </c>
      <c r="C106" s="21" t="s">
        <v>194</v>
      </c>
      <c r="D106" s="21" t="s">
        <v>614</v>
      </c>
      <c r="E106" s="13">
        <v>43030.661956018521</v>
      </c>
      <c r="F106" s="13">
        <v>43030.675162037034</v>
      </c>
      <c r="G106" s="7">
        <v>48</v>
      </c>
      <c r="H106" s="21" t="s">
        <v>363</v>
      </c>
      <c r="I106" s="13">
        <v>43030.700983796298</v>
      </c>
      <c r="J106" s="7">
        <v>0</v>
      </c>
      <c r="K106" s="89" t="str">
        <f>IF(ISEVEN(B106),(B106-1)&amp;"/"&amp;B106,B106&amp;"/"&amp;(B106+1))</f>
        <v>4001/4002</v>
      </c>
      <c r="L106" s="185" t="str">
        <f>VLOOKUP(A106,'Trips&amp;Operators'!$C$1:$G$99911,5,FALSE)</f>
        <v>GUZMAN DANNY</v>
      </c>
      <c r="M106" s="6">
        <f>I106-F106</f>
        <v>2.5821759263635613E-2</v>
      </c>
      <c r="N106" s="7">
        <f>24*60*SUM($M106:$M106)</f>
        <v>37.183333339635283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-22T14:53:13-0600',mode:absolute,to:'2017-10-22T17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23.2973</v>
      </c>
      <c r="Z106" s="204">
        <f>RIGHT(H106,LEN(H106)-4)/10000</f>
        <v>1.5800000000000002E-2</v>
      </c>
      <c r="AA106" s="204">
        <f>ABS(Z106-Y106)</f>
        <v>23.281500000000001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/stypes="app*4001*20171022*"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194-22 --locoid 4001 --swversion DE.1.0.9.0 --startMP 204:232973 --initTime 2017-10-22T15:53:13 --startdatetime 2017-10-22T16:12:14 --delay 48 --endMP 204:158 --enddatetime 2017-10-22T16:49:25 --enforcementcount 0 &gt;&gt;%USERPROFILE%\Documents\GitHub\eaglep3-reporting\EC\2017-10-22-refined-times.txt</v>
      </c>
      <c r="AI106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{"issue":{"subject":"","project_id":79,"tracker_id":40,"status_id":1,"priority_id":2,"assigned_to_id":338,"start_date":"2017-10-22","description":"","custom_fields":[{"id":1,"name":"Subdivision","value":"EC"},{"id":4,"name":"Milepost","value":"0.0158"},{"id":17,"name":"Train ID","value":"194-22"},{"id":16,"name":"Locomotive ID","value":"4001"},{"id":130,"name":"Impact","value":""},{"id":150,"name":"Time of Event (Mountain Time)","value":"16:49:25"},{"id":151,"name":"Denver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4001 --day 2017-10-22</v>
      </c>
      <c r="AN106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-22T14:53:13-0600',mode:absolute,to:'2017-10-22T17:49:25-0600'))&amp;_a=(columns:!('Message%20ID',Summary),filters:!(),index:'emp_*',interval:auto,query:(query_string:(analyze_wildcard:!t,query:'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814</v>
      </c>
      <c r="B107" s="7">
        <v>4036</v>
      </c>
      <c r="C107" s="21" t="s">
        <v>194</v>
      </c>
      <c r="D107" s="21" t="s">
        <v>415</v>
      </c>
      <c r="E107" s="13">
        <v>43030.642129629632</v>
      </c>
      <c r="F107" s="13">
        <v>43030.646006944444</v>
      </c>
      <c r="G107" s="7">
        <v>55</v>
      </c>
      <c r="H107" s="21" t="s">
        <v>394</v>
      </c>
      <c r="I107" s="13">
        <v>43030.671377314815</v>
      </c>
      <c r="J107" s="7">
        <v>0</v>
      </c>
      <c r="K107" s="89" t="str">
        <f>IF(ISEVEN(B107),(B107-1)&amp;"/"&amp;B107,B107&amp;"/"&amp;(B107+1))</f>
        <v>4035/4036</v>
      </c>
      <c r="L107" s="185" t="str">
        <f>VLOOKUP(A107,'Trips&amp;Operators'!$C$1:$G$99911,5,FALSE)</f>
        <v>BADERTSCHER DIANE</v>
      </c>
      <c r="M107" s="6">
        <f>I107-F107</f>
        <v>2.5370370371092577E-2</v>
      </c>
      <c r="N107" s="7">
        <f>24*60*SUM($M107:$M107)</f>
        <v>36.53333333437331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-22T14:24:40-0600',mode:absolute,to:'2017-10-22T17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4.3999999999999997E-2</v>
      </c>
      <c r="Z107" s="204">
        <f>RIGHT(H107,LEN(H107)-4)/10000</f>
        <v>23.331399999999999</v>
      </c>
      <c r="AA107" s="204">
        <f>ABS(Z107-Y107)</f>
        <v>23.287399999999998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/stypes="app*4036*20171022*"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195-22 --locoid 4036 --swversion DE.1.0.9.0 --startMP 204:440 --initTime 2017-10-22T15:24:40 --startdatetime 2017-10-22T15:30:15 --delay 55 --endMP 204:233314 --enddatetime 2017-10-22T16:06:47 --enforcementcount 0 &gt;&gt;%USERPROFILE%\Documents\GitHub\eaglep3-reporting\EC\2017-10-22-refined-times.txt</v>
      </c>
      <c r="AI107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{"issue":{"subject":"","project_id":79,"tracker_id":40,"status_id":1,"priority_id":2,"assigned_to_id":338,"start_date":"2017-10-22","description":"","custom_fields":[{"id":1,"name":"Subdivision","value":"EC"},{"id":4,"name":"Milepost","value":"23.3314"},{"id":17,"name":"Train ID","value":"195-22"},{"id":16,"name":"Locomotive ID","value":"4036"},{"id":130,"name":"Impact","value":""},{"id":150,"name":"Time of Event (Mountain Time)","value":"16:06:47"},{"id":151,"name":"Denver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4036 --day 2017-10-22</v>
      </c>
      <c r="AN107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-22T14:24:40-0600',mode:absolute,to:'2017-10-22T17:06:47-0600'))&amp;_a=(columns:!('Message%20ID',Summary),filters:!(),index:'emp_*',interval:auto,query:(query_string:(analyze_wildcard:!t,query:'%22rtdc.l.rtdc.4036%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657</v>
      </c>
      <c r="B108" s="7">
        <v>4035</v>
      </c>
      <c r="C108" s="21" t="s">
        <v>194</v>
      </c>
      <c r="D108" s="21" t="s">
        <v>969</v>
      </c>
      <c r="E108" s="13">
        <v>43030.680312500001</v>
      </c>
      <c r="F108" s="13">
        <v>43030.685578703706</v>
      </c>
      <c r="G108" s="7">
        <v>100</v>
      </c>
      <c r="H108" s="21" t="s">
        <v>337</v>
      </c>
      <c r="I108" s="13">
        <v>43030.713645833333</v>
      </c>
      <c r="J108" s="7">
        <v>0</v>
      </c>
      <c r="K108" s="89" t="str">
        <f>IF(ISEVEN(B108),(B108-1)&amp;"/"&amp;B108,B108&amp;"/"&amp;(B108+1))</f>
        <v>4035/4036</v>
      </c>
      <c r="L108" s="185" t="str">
        <f>VLOOKUP(A108,'Trips&amp;Operators'!$C$1:$G$99911,5,FALSE)</f>
        <v>BADERTSCHER DIANE</v>
      </c>
      <c r="M108" s="6">
        <f>I108-F108</f>
        <v>2.806712962774327E-2</v>
      </c>
      <c r="N108" s="7">
        <f>24*60*SUM($M108:$M108)</f>
        <v>40.416666663950309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-22T15:19:39-0600',mode:absolute,to:'2017-10-22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23.3019</v>
      </c>
      <c r="Z108" s="204">
        <f>RIGHT(H108,LEN(H108)-4)/10000</f>
        <v>1.43E-2</v>
      </c>
      <c r="AA108" s="204">
        <f>ABS(Z108-Y108)</f>
        <v>23.287600000000001</v>
      </c>
      <c r="AB108" s="54" t="str">
        <f>VLOOKUP(A108,Enforcements!$C$7:$K$11,8,0)</f>
        <v>Bulletin (2)</v>
      </c>
      <c r="AC108" s="51" t="str">
        <f>VLOOKUP(A108,Enforcements!$C$7:$E$11,3,0)</f>
        <v>GRADE CROSSING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/stypes="app*4035*20171022*"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196-22 --locoid 4035 --swversion DE.1.0.9.0 --startMP 204:233019 --initTime 2017-10-22T16:19:39 --startdatetime 2017-10-22T16:27:14 --delay 100 --endMP 204:143 --enddatetime 2017-10-22T17:07:39 --enforcementcount 0 &gt;&gt;%USERPROFILE%\Documents\GitHub\eaglep3-reporting\EC\2017-10-22-refined-times.txt</v>
      </c>
      <c r="AI108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{"issue":{"subject":"","project_id":79,"tracker_id":40,"status_id":1,"priority_id":2,"assigned_to_id":338,"start_date":"2017-10-22","description":"","custom_fields":[{"id":1,"name":"Subdivision","value":"EC"},{"id":4,"name":"Milepost","value":"0.0143"},{"id":17,"name":"Train ID","value":"196-22"},{"id":16,"name":"Locomotive ID","value":"4035"},{"id":130,"name":"Impact","value":""},{"id":150,"name":"Time of Event (Mountain Time)","value":"17:07:39"},{"id":151,"name":"Denver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4035 --day 2017-10-22</v>
      </c>
      <c r="AN108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-22T15:19:39-0600',mode:absolute,to:'2017-10-22T18:07:39-0600'))&amp;_a=(columns:!('Message%20ID',Summary),filters:!(),index:'emp_*',interval:auto,query:(query_string:(analyze_wildcard:!t,query:'%22rtdc.l.rtdc.4035%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817</v>
      </c>
      <c r="B109" s="7">
        <v>4020</v>
      </c>
      <c r="C109" s="21" t="s">
        <v>194</v>
      </c>
      <c r="D109" s="21" t="s">
        <v>396</v>
      </c>
      <c r="E109" s="13">
        <v>43030.653692129628</v>
      </c>
      <c r="F109" s="13">
        <v>43030.656423611108</v>
      </c>
      <c r="G109" s="7">
        <v>108</v>
      </c>
      <c r="H109" s="21" t="s">
        <v>883</v>
      </c>
      <c r="I109" s="13">
        <v>43030.681597222225</v>
      </c>
      <c r="J109" s="7">
        <v>0</v>
      </c>
      <c r="K109" s="89" t="str">
        <f>IF(ISEVEN(B109),(B109-1)&amp;"/"&amp;B109,B109&amp;"/"&amp;(B109+1))</f>
        <v>4019/4020</v>
      </c>
      <c r="L109" s="185" t="str">
        <f>VLOOKUP(A109,'Trips&amp;Operators'!$C$1:$G$99911,5,FALSE)</f>
        <v>BERLING GARY</v>
      </c>
      <c r="M109" s="6">
        <f>I109-F109</f>
        <v>2.5173611116770189E-2</v>
      </c>
      <c r="N109" s="7">
        <f>24*60*SUM($M109:$M109)</f>
        <v>36.250000008149073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-22T14:41:19-0600',mode:absolute,to:'2017-10-22T17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4.6399999999999997E-2</v>
      </c>
      <c r="Z109" s="204">
        <f>RIGHT(H109,LEN(H109)-4)/10000</f>
        <v>23.3324</v>
      </c>
      <c r="AA109" s="204">
        <f>ABS(Z109-Y109)</f>
        <v>23.286000000000001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/stypes="app*4020*20171022*"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197-22 --locoid 4020 --swversion DE.1.0.9.0 --startMP 204:464 --initTime 2017-10-22T15:41:19 --startdatetime 2017-10-22T15:45:15 --delay 108 --endMP 204:233324 --enddatetime 2017-10-22T16:21:30 --enforcementcount 0 &gt;&gt;%USERPROFILE%\Documents\GitHub\eaglep3-reporting\EC\2017-10-22-refined-times.txt</v>
      </c>
      <c r="AI109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{"issue":{"subject":"","project_id":79,"tracker_id":40,"status_id":1,"priority_id":2,"assigned_to_id":338,"start_date":"2017-10-22","description":"","custom_fields":[{"id":1,"name":"Subdivision","value":"EC"},{"id":4,"name":"Milepost","value":"23.3324"},{"id":17,"name":"Train ID","value":"197-22"},{"id":16,"name":"Locomotive ID","value":"4020"},{"id":130,"name":"Impact","value":""},{"id":150,"name":"Time of Event (Mountain Time)","value":"16:21:30"},{"id":151,"name":"Denver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4020 --day 2017-10-22</v>
      </c>
      <c r="AN109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-22T14:41:19-0600',mode:absolute,to:'2017-10-22T17:21:30-0600'))&amp;_a=(columns:!('Message%20ID',Summary),filters:!(),index:'emp_*',interval:auto,query:(query_string:(analyze_wildcard:!t,query:'%22rtdc.l.rtdc.4020%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660</v>
      </c>
      <c r="B110" s="7">
        <v>4019</v>
      </c>
      <c r="C110" s="21" t="s">
        <v>194</v>
      </c>
      <c r="D110" s="21" t="s">
        <v>970</v>
      </c>
      <c r="E110" s="13">
        <v>43030.714270833334</v>
      </c>
      <c r="F110" s="13">
        <v>43030.715300925927</v>
      </c>
      <c r="G110" s="7">
        <v>39</v>
      </c>
      <c r="H110" s="21" t="s">
        <v>971</v>
      </c>
      <c r="I110" s="13">
        <v>43030.726944444446</v>
      </c>
      <c r="J110" s="7">
        <v>0</v>
      </c>
      <c r="K110" s="89" t="str">
        <f>IF(ISEVEN(B110),(B110-1)&amp;"/"&amp;B110,B110&amp;"/"&amp;(B110+1))</f>
        <v>4019/4020</v>
      </c>
      <c r="L110" s="185" t="str">
        <f>VLOOKUP(A110,'Trips&amp;Operators'!$C$1:$G$99911,5,FALSE)</f>
        <v>BERLING GARY</v>
      </c>
      <c r="M110" s="6">
        <f>I110-F110</f>
        <v>1.1643518519122154E-2</v>
      </c>
      <c r="N110" s="7"/>
      <c r="O110" s="7"/>
      <c r="P110" s="7">
        <f>24*60*SUM($M110:$M110)</f>
        <v>16.766666667535901</v>
      </c>
      <c r="Q110" s="22"/>
      <c r="R110" s="174" t="s">
        <v>422</v>
      </c>
      <c r="S110" s="221">
        <f>1/IF(AG110="EC",12,1)*SUM(U110:U111)</f>
        <v>0.83333333333333326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9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-22T16:08:33-0600',mode:absolute,to:'2017-10-22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204" t="str">
        <f>IF(AA110&lt;VLOOKUP(AG110,Variables!$AC$3:$AD$8,2,FALSE),"Y","N")</f>
        <v>Y</v>
      </c>
      <c r="X110" s="204">
        <f>VALUE(LEFT(AD110,4))-VALUE(LEFT(AD109,4))</f>
        <v>1</v>
      </c>
      <c r="Y110" s="204">
        <f>RIGHT(D110,LEN(D110)-4)/10000</f>
        <v>6.4172000000000002</v>
      </c>
      <c r="Z110" s="204">
        <f>RIGHT(H110,LEN(H110)-4)/10000</f>
        <v>1.8100000000000002E-2</v>
      </c>
      <c r="AA110" s="204">
        <f>ABS(Z110-Y110)</f>
        <v>6.3991000000000007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/stypes="app*4019*20171022*"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198-22 --locoid 4019 --swversion DE.1.0.9.0 --startMP 204:64172 --initTime 2017-10-22T17:08:33 --startdatetime 2017-10-22T17:10:02 --delay 39 --endMP 204:181 --enddatetime 2017-10-22T17:26:48 --enforcementcount 0 &gt;&gt;%USERPROFILE%\Documents\GitHub\eaglep3-reporting\EC\2017-10-22-refined-times.txt</v>
      </c>
      <c r="AI110" s="96" t="str">
        <f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drop","project_id":79,"tracker_id":40,"status_id":1,"priority_id":2,"assigned_to_id":338,"start_date":"2017-10-22","description":"","custom_fields":[{"id":1,"name":"Subdivision","value":"EC"},{"id":4,"name":"Milepost","value":"0.0181"},{"id":17,"name":"Train ID","value":"198-22"},{"id":16,"name":"Locomotive ID","value":"4019"},{"id":130,"name":"Impact","value":""},{"id":150,"name":"Time of Event (Mountain Time)","value":"17:26:48"},{"id":151,"name":"Denver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4019 --day 2017-10-22</v>
      </c>
      <c r="AN110" s="151" t="str">
        <f>"echo {""issue"":{""subject"":"""&amp;R110&amp;""",""project_id"":30,""tracker_id"":4,""status_id"":"&amp;redmine_status_wcr&amp;",""priority_id"":"&amp;redmine_priority_wcr&amp;",""assigned_to_id"":"&amp;redmine_assignee_wcr&amp;",""start_date"":"""&amp;TEXT(I110-utc_offset/24,"YYYY-mm-dd")&amp;""",""description"":"""&amp;AJ110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-22T16:08:33-0600',mode:absolute,to:'2017-10-22T18:26:48-0600'))&amp;_a=(columns:!('Message%20ID',Summary),filters:!(),index:'emp_*',interval:auto,query:(query_string:(analyze_wildcard:!t,query:'%22rtdc.l.rtdc.4019%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660</v>
      </c>
      <c r="B111" s="7">
        <v>4019</v>
      </c>
      <c r="C111" s="21" t="s">
        <v>194</v>
      </c>
      <c r="D111" s="21" t="s">
        <v>441</v>
      </c>
      <c r="E111" s="13">
        <v>43030.68953703704</v>
      </c>
      <c r="F111" s="13">
        <v>43030.715300925927</v>
      </c>
      <c r="G111" s="7">
        <v>85</v>
      </c>
      <c r="H111" s="21" t="s">
        <v>972</v>
      </c>
      <c r="I111" s="13">
        <v>43030.726944444446</v>
      </c>
      <c r="J111" s="7">
        <v>0</v>
      </c>
      <c r="K111" s="89" t="str">
        <f>IF(ISEVEN(B111),(B111-1)&amp;"/"&amp;B111,B111&amp;"/"&amp;(B111+1))</f>
        <v>4019/4020</v>
      </c>
      <c r="L111" s="185" t="str">
        <f>VLOOKUP(A111,'Trips&amp;Operators'!$C$1:$G$99911,5,FALSE)</f>
        <v>BERLING GARY</v>
      </c>
      <c r="M111" s="6">
        <f>I111-F111</f>
        <v>1.1643518519122154E-2</v>
      </c>
      <c r="N111" s="7"/>
      <c r="O111" s="7"/>
      <c r="P111" s="7"/>
      <c r="Q111" s="22"/>
      <c r="R111" s="174"/>
      <c r="S111" s="221"/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-22T15:32:56-0600',mode:absolute,to:'2017-10-22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1" s="204" t="str">
        <f>IF(AA111&lt;VLOOKUP(AG111,Variables!$AC$3:$AD$8,2,FALSE),"Y","N")</f>
        <v>Y</v>
      </c>
      <c r="X111" s="204">
        <f>VALUE(LEFT(AD111,4))-VALUE(LEFT(AD110,4))</f>
        <v>0</v>
      </c>
      <c r="Y111" s="204">
        <f>RIGHT(D111,LEN(D111)-4)/10000</f>
        <v>23.297999999999998</v>
      </c>
      <c r="Z111" s="204">
        <f>RIGHT(H111,LEN(H111)-4)/10000</f>
        <v>10.4543</v>
      </c>
      <c r="AA111" s="204">
        <f>ABS(Z111-Y111)</f>
        <v>12.843699999999998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/stypes="app*4019*20171022*"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198-22 --locoid 4019 --swversion DE.1.0.9.0 --startMP 204:232980 --initTime 2017-10-22T16:32:56 --startdatetime 2017-10-22T17:10:02 --delay 85 --endMP 204:104543 --enddatetime 2017-10-22T17:26:48 --enforcementcount 0 &gt;&gt;%USERPROFILE%\Documents\GitHub\eaglep3-reporting\EC\2017-10-22-refined-times.txt</v>
      </c>
      <c r="AI111" s="96" t="str">
        <f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{"issue":{"subject":"","project_id":79,"tracker_id":40,"status_id":1,"priority_id":2,"assigned_to_id":338,"start_date":"2017-10-22","description":"","custom_fields":[{"id":1,"name":"Subdivision","value":"EC"},{"id":4,"name":"Milepost","value":"10.4543"},{"id":17,"name":"Train ID","value":"198-22"},{"id":16,"name":"Locomotive ID","value":"4019"},{"id":130,"name":"Impact","value":""},{"id":150,"name":"Time of Event (Mountain Time)","value":"17:26:48"},{"id":151,"name":"Denver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4019 --day 2017-10-22</v>
      </c>
      <c r="AN111" s="151" t="str">
        <f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-22T15:32:56-0600',mode:absolute,to:'2017-10-22T18:26:48-0600'))&amp;_a=(columns:!('Message%20ID',Summary),filters:!(),index:'emp_*',interval:auto,query:(query_string:(analyze_wildcard:!t,query:'%22rtdc.l.rtdc.4019%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820</v>
      </c>
      <c r="B112" s="7">
        <v>4032</v>
      </c>
      <c r="C112" s="21" t="s">
        <v>194</v>
      </c>
      <c r="D112" s="21" t="s">
        <v>376</v>
      </c>
      <c r="E112" s="13">
        <v>43030.662083333336</v>
      </c>
      <c r="F112" s="13">
        <v>43030.666875000003</v>
      </c>
      <c r="G112" s="7">
        <v>54</v>
      </c>
      <c r="H112" s="21" t="s">
        <v>424</v>
      </c>
      <c r="I112" s="13">
        <v>43030.691678240742</v>
      </c>
      <c r="J112" s="7">
        <v>0</v>
      </c>
      <c r="K112" s="89" t="str">
        <f>IF(ISEVEN(B112),(B112-1)&amp;"/"&amp;B112,B112&amp;"/"&amp;(B112+1))</f>
        <v>4031/4032</v>
      </c>
      <c r="L112" s="185" t="str">
        <f>VLOOKUP(A112,'Trips&amp;Operators'!$C$1:$G$99911,5,FALSE)</f>
        <v>STEWART MICHAEL</v>
      </c>
      <c r="M112" s="6">
        <f>I112-F112</f>
        <v>2.4803240739856847E-2</v>
      </c>
      <c r="N112" s="7">
        <f>24*60*SUM($M112:$M112)</f>
        <v>35.716666665393859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-22T14:53:24-0600',mode:absolute,to:'2017-10-22T17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4.5699999999999998E-2</v>
      </c>
      <c r="Z112" s="204">
        <f>RIGHT(H112,LEN(H112)-4)/10000</f>
        <v>23.329699999999999</v>
      </c>
      <c r="AA112" s="204">
        <f>ABS(Z112-Y112)</f>
        <v>23.283999999999999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/stypes="app*4032*20171022*"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199-22 --locoid 4032 --swversion DE.1.0.9.0 --startMP 204:457 --initTime 2017-10-22T15:53:24 --startdatetime 2017-10-22T16:00:18 --delay 54 --endMP 204:233297 --enddatetime 2017-10-22T16:36:01 --enforcementcount 0 &gt;&gt;%USERPROFILE%\Documents\GitHub\eaglep3-reporting\EC\2017-10-22-refined-times.txt</v>
      </c>
      <c r="AI112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{"issue":{"subject":"","project_id":79,"tracker_id":40,"status_id":1,"priority_id":2,"assigned_to_id":338,"start_date":"2017-10-22","description":"","custom_fields":[{"id":1,"name":"Subdivision","value":"EC"},{"id":4,"name":"Milepost","value":"23.3297"},{"id":17,"name":"Train ID","value":"199-22"},{"id":16,"name":"Locomotive ID","value":"4032"},{"id":130,"name":"Impact","value":""},{"id":150,"name":"Time of Event (Mountain Time)","value":"16:36:01"},{"id":151,"name":"Denver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4032 --day 2017-10-22</v>
      </c>
      <c r="AN112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-22T14:53:24-0600',mode:absolute,to:'2017-10-22T17:36:01-0600'))&amp;_a=(columns:!('Message%20ID',Summary),filters:!(),index:'emp_*',interval:auto,query:(query_string:(analyze_wildcard:!t,query:'%22rtdc.l.rtdc.4032%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824</v>
      </c>
      <c r="B113" s="7">
        <v>4031</v>
      </c>
      <c r="C113" s="21" t="s">
        <v>194</v>
      </c>
      <c r="D113" s="21" t="s">
        <v>493</v>
      </c>
      <c r="E113" s="13">
        <v>43030.701284722221</v>
      </c>
      <c r="F113" s="13">
        <v>43030.705833333333</v>
      </c>
      <c r="G113" s="7">
        <v>54</v>
      </c>
      <c r="H113" s="21" t="s">
        <v>371</v>
      </c>
      <c r="I113" s="13">
        <v>43030.73265046296</v>
      </c>
      <c r="J113" s="7">
        <v>0</v>
      </c>
      <c r="K113" s="89" t="str">
        <f>IF(ISEVEN(B113),(B113-1)&amp;"/"&amp;B113,B113&amp;"/"&amp;(B113+1))</f>
        <v>4031/4032</v>
      </c>
      <c r="L113" s="185" t="str">
        <f>VLOOKUP(A113,'Trips&amp;Operators'!$C$1:$G$99911,5,FALSE)</f>
        <v>STEWART MICHAEL</v>
      </c>
      <c r="M113" s="6">
        <f>I113-F113</f>
        <v>2.6817129626579117E-2</v>
      </c>
      <c r="N113" s="7">
        <f>24*60*SUM($M113:$M113)</f>
        <v>38.616666662273929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-22T15:49:51-0600',mode:absolute,to:'2017-10-22T18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23.3</v>
      </c>
      <c r="Z113" s="204">
        <f>RIGHT(H113,LEN(H113)-4)/10000</f>
        <v>1.54E-2</v>
      </c>
      <c r="AA113" s="204">
        <f>ABS(Z113-Y113)</f>
        <v>23.284600000000001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/stypes="app*4031*20171022*"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200-22 --locoid 4031 --swversion DE.1.0.9.0 --startMP 204:233000 --initTime 2017-10-22T16:49:51 --startdatetime 2017-10-22T16:56:24 --delay 54 --endMP 204:154 --enddatetime 2017-10-22T17:35:01 --enforcementcount 0 &gt;&gt;%USERPROFILE%\Documents\GitHub\eaglep3-reporting\EC\2017-10-22-refined-times.txt</v>
      </c>
      <c r="AI113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{"issue":{"subject":"","project_id":79,"tracker_id":40,"status_id":1,"priority_id":2,"assigned_to_id":338,"start_date":"2017-10-22","description":"","custom_fields":[{"id":1,"name":"Subdivision","value":"EC"},{"id":4,"name":"Milepost","value":"0.0154"},{"id":17,"name":"Train ID","value":"200-22"},{"id":16,"name":"Locomotive ID","value":"4031"},{"id":130,"name":"Impact","value":""},{"id":150,"name":"Time of Event (Mountain Time)","value":"17:35:01"},{"id":151,"name":"Denver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4031 --day 2017-10-22</v>
      </c>
      <c r="AN113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-22T15:49:51-0600',mode:absolute,to:'2017-10-22T18:35:01-0600'))&amp;_a=(columns:!('Message%20ID',Summary),filters:!(),index:'emp_*',interval:auto,query:(query_string:(analyze_wildcard:!t,query:'%22rtdc.l.rtdc.4031%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821</v>
      </c>
      <c r="B114" s="7">
        <v>4066</v>
      </c>
      <c r="C114" s="21" t="s">
        <v>194</v>
      </c>
      <c r="D114" s="21" t="s">
        <v>406</v>
      </c>
      <c r="E114" s="13">
        <v>43030.672013888892</v>
      </c>
      <c r="F114" s="13">
        <v>43030.677291666667</v>
      </c>
      <c r="G114" s="7">
        <v>61</v>
      </c>
      <c r="H114" s="21" t="s">
        <v>973</v>
      </c>
      <c r="I114" s="13">
        <v>43030.702384259261</v>
      </c>
      <c r="J114" s="7">
        <v>0</v>
      </c>
      <c r="K114" s="89" t="str">
        <f>IF(ISEVEN(B114),(B114-1)&amp;"/"&amp;B114,B114&amp;"/"&amp;(B114+1))</f>
        <v>4065/4066</v>
      </c>
      <c r="L114" s="185" t="str">
        <f>VLOOKUP(A114,'Trips&amp;Operators'!$C$1:$G$99911,5,FALSE)</f>
        <v>SMITH MICHAEL</v>
      </c>
      <c r="M114" s="6">
        <f>I114-F114</f>
        <v>2.5092592593864538E-2</v>
      </c>
      <c r="N114" s="7">
        <f>24*60*SUM($M114:$M114)</f>
        <v>36.133333335164934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-22T15:07:42-0600',mode:absolute,to:'2017-10-22T17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4.6199999999999998E-2</v>
      </c>
      <c r="Z114" s="204">
        <f>RIGHT(H114,LEN(H114)-4)/10000</f>
        <v>23.332599999999999</v>
      </c>
      <c r="AA114" s="204">
        <f>ABS(Z114-Y114)</f>
        <v>23.2864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/stypes="app*4066*20171022*"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201-22 --locoid 4066 --swversion DE.1.0.9.0 --startMP 204:462 --initTime 2017-10-22T16:07:42 --startdatetime 2017-10-22T16:15:18 --delay 61 --endMP 204:233326 --enddatetime 2017-10-22T16:51:26 --enforcementcount 0 &gt;&gt;%USERPROFILE%\Documents\GitHub\eaglep3-reporting\EC\2017-10-22-refined-times.txt</v>
      </c>
      <c r="AI114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{"issue":{"subject":"","project_id":79,"tracker_id":40,"status_id":1,"priority_id":2,"assigned_to_id":338,"start_date":"2017-10-22","description":"","custom_fields":[{"id":1,"name":"Subdivision","value":"EC"},{"id":4,"name":"Milepost","value":"23.3326"},{"id":17,"name":"Train ID","value":"201-22"},{"id":16,"name":"Locomotive ID","value":"4066"},{"id":130,"name":"Impact","value":""},{"id":150,"name":"Time of Event (Mountain Time)","value":"16:51:26"},{"id":151,"name":"Denver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4066 --day 2017-10-22</v>
      </c>
      <c r="AN114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-22T15:07:42-0600',mode:absolute,to:'2017-10-22T17:51:26-0600'))&amp;_a=(columns:!('Message%20ID',Summary),filters:!(),index:'emp_*',interval:auto,query:(query_string:(analyze_wildcard:!t,query:'%22rtdc.l.rtdc.4066%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826</v>
      </c>
      <c r="B115" s="7">
        <v>4065</v>
      </c>
      <c r="C115" s="21" t="s">
        <v>194</v>
      </c>
      <c r="D115" s="21" t="s">
        <v>439</v>
      </c>
      <c r="E115" s="13">
        <v>43030.709618055553</v>
      </c>
      <c r="F115" s="13">
        <v>43030.716886574075</v>
      </c>
      <c r="G115" s="7">
        <v>73</v>
      </c>
      <c r="H115" s="21" t="s">
        <v>371</v>
      </c>
      <c r="I115" s="13">
        <v>43030.742939814816</v>
      </c>
      <c r="J115" s="7">
        <v>0</v>
      </c>
      <c r="K115" s="89" t="str">
        <f>IF(ISEVEN(B115),(B115-1)&amp;"/"&amp;B115,B115&amp;"/"&amp;(B115+1))</f>
        <v>4065/4066</v>
      </c>
      <c r="L115" s="185" t="str">
        <f>VLOOKUP(A115,'Trips&amp;Operators'!$C$1:$G$99911,5,FALSE)</f>
        <v>SMITH MICHAEL</v>
      </c>
      <c r="M115" s="6">
        <f>I115-F115</f>
        <v>2.6053240741021E-2</v>
      </c>
      <c r="N115" s="7">
        <f>24*60*SUM($M115:$M115)</f>
        <v>37.51666666707024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-22T16:01:51-0600',mode:absolute,to:'2017-10-22T18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23.299800000000001</v>
      </c>
      <c r="Z115" s="204">
        <f>RIGHT(H115,LEN(H115)-4)/10000</f>
        <v>1.54E-2</v>
      </c>
      <c r="AA115" s="204">
        <f>ABS(Z115-Y115)</f>
        <v>23.284400000000002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/stypes="app*4065*20171022*"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202-22 --locoid 4065 --swversion DE.1.0.9.0 --startMP 204:232998 --initTime 2017-10-22T17:01:51 --startdatetime 2017-10-22T17:12:19 --delay 73 --endMP 204:154 --enddatetime 2017-10-22T17:49:50 --enforcementcount 0 &gt;&gt;%USERPROFILE%\Documents\GitHub\eaglep3-reporting\EC\2017-10-22-refined-times.txt</v>
      </c>
      <c r="AI115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{"issue":{"subject":"","project_id":79,"tracker_id":40,"status_id":1,"priority_id":2,"assigned_to_id":338,"start_date":"2017-10-22","description":"","custom_fields":[{"id":1,"name":"Subdivision","value":"EC"},{"id":4,"name":"Milepost","value":"0.0154"},{"id":17,"name":"Train ID","value":"202-22"},{"id":16,"name":"Locomotive ID","value":"4065"},{"id":130,"name":"Impact","value":""},{"id":150,"name":"Time of Event (Mountain Time)","value":"17:49:50"},{"id":151,"name":"Denver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4065 --day 2017-10-22</v>
      </c>
      <c r="AN115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-22T16:01:51-0600',mode:absolute,to:'2017-10-22T18:49:50-0600'))&amp;_a=(columns:!('Message%20ID',Summary),filters:!(),index:'emp_*',interval:auto,query:(query_string:(analyze_wildcard:!t,query:'%22rtdc.l.rtdc.4065%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661</v>
      </c>
      <c r="B116" s="7">
        <v>4028</v>
      </c>
      <c r="C116" s="21" t="s">
        <v>194</v>
      </c>
      <c r="D116" s="21" t="s">
        <v>396</v>
      </c>
      <c r="E116" s="13">
        <v>43030.681574074071</v>
      </c>
      <c r="F116" s="13">
        <v>43030.687685185185</v>
      </c>
      <c r="G116" s="7">
        <v>56</v>
      </c>
      <c r="H116" s="21" t="s">
        <v>974</v>
      </c>
      <c r="I116" s="13">
        <v>43030.712581018517</v>
      </c>
      <c r="J116" s="7">
        <v>0</v>
      </c>
      <c r="K116" s="89" t="str">
        <f>IF(ISEVEN(B116),(B116-1)&amp;"/"&amp;B116,B116&amp;"/"&amp;(B116+1))</f>
        <v>4027/4028</v>
      </c>
      <c r="L116" s="185" t="str">
        <f>VLOOKUP(A116,'Trips&amp;Operators'!$C$1:$G$99911,5,FALSE)</f>
        <v>KILLION DAVID</v>
      </c>
      <c r="M116" s="6">
        <f>I116-F116</f>
        <v>2.4895833332266193E-2</v>
      </c>
      <c r="N116" s="7">
        <f>24*60*SUM($M116:$M116)</f>
        <v>35.849999998463318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-22T15:21:28-0600',mode:absolute,to:'2017-10-22T18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4.6399999999999997E-2</v>
      </c>
      <c r="Z116" s="204">
        <f>RIGHT(H116,LEN(H116)-4)/10000</f>
        <v>23.3306</v>
      </c>
      <c r="AA116" s="204">
        <f>ABS(Z116-Y116)</f>
        <v>23.284200000000002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/stypes="app*4028*20171022*"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203-22 --locoid 4028 --swversion DE.1.0.9.0 --startMP 204:464 --initTime 2017-10-22T16:21:28 --startdatetime 2017-10-22T16:30:16 --delay 56 --endMP 204:233306 --enddatetime 2017-10-22T17:06:07 --enforcementcount 0 &gt;&gt;%USERPROFILE%\Documents\GitHub\eaglep3-reporting\EC\2017-10-22-refined-times.txt</v>
      </c>
      <c r="AI116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{"issue":{"subject":"","project_id":79,"tracker_id":40,"status_id":1,"priority_id":2,"assigned_to_id":338,"start_date":"2017-10-22","description":"","custom_fields":[{"id":1,"name":"Subdivision","value":"EC"},{"id":4,"name":"Milepost","value":"23.3306"},{"id":17,"name":"Train ID","value":"203-22"},{"id":16,"name":"Locomotive ID","value":"4028"},{"id":130,"name":"Impact","value":""},{"id":150,"name":"Time of Event (Mountain Time)","value":"17:06:07"},{"id":151,"name":"Denver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4028 --day 2017-10-22</v>
      </c>
      <c r="AN116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-22T15:21:28-0600',mode:absolute,to:'2017-10-22T18:06:07-0600'))&amp;_a=(columns:!('Message%20ID',Summary),filters:!(),index:'emp_*',interval:auto,query:(query_string:(analyze_wildcard:!t,query:'%22rtdc.l.rtdc.4028%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827</v>
      </c>
      <c r="B117" s="7">
        <v>4027</v>
      </c>
      <c r="C117" s="21" t="s">
        <v>194</v>
      </c>
      <c r="D117" s="21" t="s">
        <v>396</v>
      </c>
      <c r="E117" s="13">
        <v>43030.681574074071</v>
      </c>
      <c r="F117" s="13">
        <v>43030.727314814816</v>
      </c>
      <c r="G117" s="7">
        <v>56</v>
      </c>
      <c r="H117" s="21" t="s">
        <v>974</v>
      </c>
      <c r="I117" s="13">
        <v>43030.753865740742</v>
      </c>
      <c r="J117" s="7">
        <v>0</v>
      </c>
      <c r="K117" s="89" t="str">
        <f>IF(ISEVEN(B117),(B117-1)&amp;"/"&amp;B117,B117&amp;"/"&amp;(B117+1))</f>
        <v>4027/4028</v>
      </c>
      <c r="L117" s="185" t="str">
        <f>VLOOKUP(A117,'Trips&amp;Operators'!$C$1:$G$99911,5,FALSE)</f>
        <v>KILLION DAVID</v>
      </c>
      <c r="M117" s="6">
        <f>I117-F117</f>
        <v>2.6550925926130731E-2</v>
      </c>
      <c r="N117" s="7">
        <f>24*60*SUM($M117:$M117)</f>
        <v>38.233333333628252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-22T15:21:28-0600',mode:absolute,to:'2017-10-22T19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v>23.299800000000001</v>
      </c>
      <c r="Z117" s="204">
        <v>1.54E-2</v>
      </c>
      <c r="AA117" s="204">
        <f>ABS(Z117-Y117)</f>
        <v>23.284400000000002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/stypes="app*4027*20171023*"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ref="AH117" si="15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204-22 --locoid 4027 --swversion DE.1.0.9.0 --startMP 204:464 --initTime 2017-10-22T16:21:28 --startdatetime 2017-10-22T17:27:20 --delay 56 --endMP 204:233306 --enddatetime 2017-10-22T18:05:34 --enforcementcount 0 &gt;&gt;%USERPROFILE%\Documents\GitHub\eaglep3-reporting\EC\2017-10-22-refined-times.txt</v>
      </c>
      <c r="AI117" s="96" t="str">
        <f t="shared" ref="AI117" si="16"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{"issue":{"subject":"","project_id":79,"tracker_id":40,"status_id":1,"priority_id":2,"assigned_to_id":338,"start_date":"2017-10-22","description":"","custom_fields":[{"id":1,"name":"Subdivision","value":"EC"},{"id":4,"name":"Milepost","value":"0.0154"},{"id":17,"name":"Train ID","value":"204-22"},{"id":16,"name":"Locomotive ID","value":"4027"},{"id":130,"name":"Impact","value":""},{"id":150,"name":"Time of Event (Mountain Time)","value":"18:05:34"},{"id":151,"name":"Denver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ref="AM117" si="17">"start /low /b "&amp;dls3logs&amp;" --loco "&amp;B117&amp;" --day "&amp;TEXT(F117,"YYYY-MM-DD")</f>
        <v>start /low /b %USERPROFILE%\Documents\GitHub\eaglep3\Utilities\DownloadLogsFromS3.py --loco 4027 --day 2017-10-22</v>
      </c>
      <c r="AN117" s="151" t="str">
        <f t="shared" ref="AN117" si="18"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ref="AO117" si="19"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-22T15:21:28-0600',mode:absolute,to:'2017-10-22T19:05:34-0600'))&amp;_a=(columns:!('Message%20ID',Summary),filters:!(),index:'emp_*',interval:auto,query:(query_string:(analyze_wildcard:!t,query:'%22rtdc.l.rtdc.4027%22')),sort:!(Time.ISO8601,asc))</v>
      </c>
    </row>
    <row r="118" spans="1:91" s="20" customFormat="1" x14ac:dyDescent="0.3">
      <c r="A118" s="32" t="s">
        <v>823</v>
      </c>
      <c r="B118" s="7">
        <v>4026</v>
      </c>
      <c r="C118" s="21" t="s">
        <v>194</v>
      </c>
      <c r="D118" s="21" t="s">
        <v>415</v>
      </c>
      <c r="E118" s="13">
        <v>43030.693148148152</v>
      </c>
      <c r="F118" s="13">
        <v>43030.698206018518</v>
      </c>
      <c r="G118" s="7">
        <v>60</v>
      </c>
      <c r="H118" s="21" t="s">
        <v>490</v>
      </c>
      <c r="I118" s="13">
        <v>43030.72314814815</v>
      </c>
      <c r="J118" s="7">
        <v>0</v>
      </c>
      <c r="K118" s="89" t="str">
        <f>IF(ISEVEN(B118),(B118-1)&amp;"/"&amp;B118,B118&amp;"/"&amp;(B118+1))</f>
        <v>4025/4026</v>
      </c>
      <c r="L118" s="185" t="str">
        <f>VLOOKUP(A118,'Trips&amp;Operators'!$C$1:$G$99911,5,FALSE)</f>
        <v>SAFIEF AEIMEN</v>
      </c>
      <c r="M118" s="6">
        <f>I118-F118</f>
        <v>2.4942129632108845E-2</v>
      </c>
      <c r="N118" s="7">
        <f>24*60*SUM($M118:$M118)</f>
        <v>35.916666670236737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-22T15:38:08-0600',mode:absolute,to:'2017-10-22T18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4.3999999999999997E-2</v>
      </c>
      <c r="Z118" s="204">
        <f>RIGHT(H118,LEN(H118)-4)/10000</f>
        <v>23.3307</v>
      </c>
      <c r="AA118" s="204">
        <f>ABS(Z118-Y118)</f>
        <v>23.2867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/stypes="app*4026*20171022*"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205-22 --locoid 4026 --swversion DE.1.0.9.0 --startMP 204:440 --initTime 2017-10-22T16:38:08 --startdatetime 2017-10-22T16:45:25 --delay 60 --endMP 204:233307 --enddatetime 2017-10-22T17:21:20 --enforcementcount 0 &gt;&gt;%USERPROFILE%\Documents\GitHub\eaglep3-reporting\EC\2017-10-22-refined-times.txt</v>
      </c>
      <c r="AI118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{"issue":{"subject":"","project_id":79,"tracker_id":40,"status_id":1,"priority_id":2,"assigned_to_id":338,"start_date":"2017-10-22","description":"","custom_fields":[{"id":1,"name":"Subdivision","value":"EC"},{"id":4,"name":"Milepost","value":"23.3307"},{"id":17,"name":"Train ID","value":"205-22"},{"id":16,"name":"Locomotive ID","value":"4026"},{"id":130,"name":"Impact","value":""},{"id":150,"name":"Time of Event (Mountain Time)","value":"17:21:20"},{"id":151,"name":"Denver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4026 --day 2017-10-22</v>
      </c>
      <c r="AN118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-22T15:38:08-0600',mode:absolute,to:'2017-10-22T18:21:20-0600'))&amp;_a=(columns:!('Message%20ID',Summary),filters:!(),index:'emp_*',interval:auto,query:(query_string:(analyze_wildcard:!t,query:'%22rtdc.l.rtdc.4026%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830</v>
      </c>
      <c r="B119" s="7">
        <v>4025</v>
      </c>
      <c r="C119" s="21" t="s">
        <v>194</v>
      </c>
      <c r="D119" s="21" t="s">
        <v>441</v>
      </c>
      <c r="E119" s="13">
        <v>43030.734050925923</v>
      </c>
      <c r="F119" s="13">
        <v>43030.737824074073</v>
      </c>
      <c r="G119" s="7">
        <v>105</v>
      </c>
      <c r="H119" s="21" t="s">
        <v>363</v>
      </c>
      <c r="I119" s="13">
        <v>43030.763738425929</v>
      </c>
      <c r="J119" s="7">
        <v>0</v>
      </c>
      <c r="K119" s="89" t="str">
        <f>IF(ISEVEN(B119),(B119-1)&amp;"/"&amp;B119,B119&amp;"/"&amp;(B119+1))</f>
        <v>4025/4026</v>
      </c>
      <c r="L119" s="185" t="str">
        <f>VLOOKUP(A119,'Trips&amp;Operators'!$C$1:$G$99911,5,FALSE)</f>
        <v>SAFIEF AEIMEN</v>
      </c>
      <c r="M119" s="6">
        <f>I119-F119</f>
        <v>2.5914351856044959E-2</v>
      </c>
      <c r="N119" s="7">
        <f>24*60*SUM($M119:$M119)</f>
        <v>37.316666672704741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-22T16:37:02-0600',mode:absolute,to:'2017-10-22T19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23.297999999999998</v>
      </c>
      <c r="Z119" s="204">
        <f>RIGHT(H119,LEN(H119)-4)/10000</f>
        <v>1.5800000000000002E-2</v>
      </c>
      <c r="AA119" s="204">
        <f>ABS(Z119-Y119)</f>
        <v>23.2822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/stypes="app*4025*20171023*"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206-22 --locoid 4025 --swversion DE.1.0.9.0 --startMP 204:232980 --initTime 2017-10-22T17:37:02 --startdatetime 2017-10-22T17:42:28 --delay 105 --endMP 204:158 --enddatetime 2017-10-22T18:19:47 --enforcementcount 0 &gt;&gt;%USERPROFILE%\Documents\GitHub\eaglep3-reporting\EC\2017-10-22-refined-times.txt</v>
      </c>
      <c r="AI119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{"issue":{"subject":"","project_id":79,"tracker_id":40,"status_id":1,"priority_id":2,"assigned_to_id":338,"start_date":"2017-10-22","description":"","custom_fields":[{"id":1,"name":"Subdivision","value":"EC"},{"id":4,"name":"Milepost","value":"0.0158"},{"id":17,"name":"Train ID","value":"206-22"},{"id":16,"name":"Locomotive ID","value":"4025"},{"id":130,"name":"Impact","value":""},{"id":150,"name":"Time of Event (Mountain Time)","value":"18:19:47"},{"id":151,"name":"Denver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4025 --day 2017-10-22</v>
      </c>
      <c r="AN119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-22T16:37:02-0600',mode:absolute,to:'2017-10-22T19:19:47-0600'))&amp;_a=(columns:!('Message%20ID',Summary),filters:!(),index:'emp_*',interval:auto,query:(query_string:(analyze_wildcard:!t,query:'%22rtdc.l.rtdc.4025%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825</v>
      </c>
      <c r="B120" s="7">
        <v>4002</v>
      </c>
      <c r="C120" s="21" t="s">
        <v>194</v>
      </c>
      <c r="D120" s="21" t="s">
        <v>435</v>
      </c>
      <c r="E120" s="13">
        <v>43030.70553240741</v>
      </c>
      <c r="F120" s="13">
        <v>43030.708483796298</v>
      </c>
      <c r="G120" s="7">
        <v>72</v>
      </c>
      <c r="H120" s="21" t="s">
        <v>622</v>
      </c>
      <c r="I120" s="13">
        <v>43030.732997685183</v>
      </c>
      <c r="J120" s="7">
        <v>0</v>
      </c>
      <c r="K120" s="89" t="str">
        <f>IF(ISEVEN(B120),(B120-1)&amp;"/"&amp;B120,B120&amp;"/"&amp;(B120+1))</f>
        <v>4001/4002</v>
      </c>
      <c r="L120" s="185" t="str">
        <f>VLOOKUP(A120,'Trips&amp;Operators'!$C$1:$G$99911,5,FALSE)</f>
        <v>GUZMAN DANNY</v>
      </c>
      <c r="M120" s="6">
        <f>I120-F120</f>
        <v>2.4513888885849155E-2</v>
      </c>
      <c r="N120" s="7">
        <f>24*60*SUM($M120:$M120)</f>
        <v>35.299999995622784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-22T15:55:58-0600',mode:absolute,to:'2017-10-22T18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4.6899999999999997E-2</v>
      </c>
      <c r="Z120" s="204">
        <f>RIGHT(H120,LEN(H120)-4)/10000</f>
        <v>23.327999999999999</v>
      </c>
      <c r="AA120" s="204">
        <f>ABS(Z120-Y120)</f>
        <v>23.281099999999999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/stypes="app*4002*20171022*"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207-22 --locoid 4002 --swversion DE.1.0.9.0 --startMP 204:469 --initTime 2017-10-22T16:55:58 --startdatetime 2017-10-22T17:00:13 --delay 72 --endMP 204:233280 --enddatetime 2017-10-22T17:35:31 --enforcementcount 0 &gt;&gt;%USERPROFILE%\Documents\GitHub\eaglep3-reporting\EC\2017-10-22-refined-times.txt</v>
      </c>
      <c r="AI120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{"issue":{"subject":"","project_id":79,"tracker_id":40,"status_id":1,"priority_id":2,"assigned_to_id":338,"start_date":"2017-10-22","description":"","custom_fields":[{"id":1,"name":"Subdivision","value":"EC"},{"id":4,"name":"Milepost","value":"23.328"},{"id":17,"name":"Train ID","value":"207-22"},{"id":16,"name":"Locomotive ID","value":"4002"},{"id":130,"name":"Impact","value":""},{"id":150,"name":"Time of Event (Mountain Time)","value":"17:35:31"},{"id":151,"name":"Denver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4002 --day 2017-10-22</v>
      </c>
      <c r="AN120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-22T15:55:58-0600',mode:absolute,to:'2017-10-22T18:35:31-0600'))&amp;_a=(columns:!('Message%20ID',Summary),filters:!(),index:'emp_*',interval:auto,query:(query_string:(analyze_wildcard:!t,query:'%22rtdc.l.rtdc.4002%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832</v>
      </c>
      <c r="B121" s="7">
        <v>4001</v>
      </c>
      <c r="C121" s="21" t="s">
        <v>194</v>
      </c>
      <c r="D121" s="21" t="s">
        <v>975</v>
      </c>
      <c r="E121" s="13">
        <v>43030.73814814815</v>
      </c>
      <c r="F121" s="13">
        <v>43030.748113425929</v>
      </c>
      <c r="G121" s="7">
        <v>54</v>
      </c>
      <c r="H121" s="21" t="s">
        <v>336</v>
      </c>
      <c r="I121" s="13">
        <v>43030.774282407408</v>
      </c>
      <c r="J121" s="7">
        <v>0</v>
      </c>
      <c r="K121" s="89" t="str">
        <f>IF(ISEVEN(B121),(B121-1)&amp;"/"&amp;B121,B121&amp;"/"&amp;(B121+1))</f>
        <v>4001/4002</v>
      </c>
      <c r="L121" s="185" t="str">
        <f>VLOOKUP(A121,'Trips&amp;Operators'!$C$1:$G$99911,5,FALSE)</f>
        <v>GUZMAN DANNY</v>
      </c>
      <c r="M121" s="6">
        <f>I121-F121</f>
        <v>2.6168981479713693E-2</v>
      </c>
      <c r="N121" s="7">
        <f>24*60*SUM($M121:$M121)</f>
        <v>37.683333330787718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-22T16:42:56-0600',mode:absolute,to:'2017-10-22T19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23.2959</v>
      </c>
      <c r="Z121" s="204">
        <f>RIGHT(H121,LEN(H121)-4)/10000</f>
        <v>1.49E-2</v>
      </c>
      <c r="AA121" s="204">
        <f>ABS(Z121-Y121)</f>
        <v>23.280999999999999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/stypes="app*4001*20171023*"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208-22 --locoid 4001 --swversion DE.1.0.9.0 --startMP 204:232959 --initTime 2017-10-22T17:42:56 --startdatetime 2017-10-22T17:57:17 --delay 54 --endMP 204:149 --enddatetime 2017-10-22T18:34:58 --enforcementcount 0 &gt;&gt;%USERPROFILE%\Documents\GitHub\eaglep3-reporting\EC\2017-10-22-refined-times.txt</v>
      </c>
      <c r="AI121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{"issue":{"subject":"","project_id":79,"tracker_id":40,"status_id":1,"priority_id":2,"assigned_to_id":338,"start_date":"2017-10-22","description":"","custom_fields":[{"id":1,"name":"Subdivision","value":"EC"},{"id":4,"name":"Milepost","value":"0.0149"},{"id":17,"name":"Train ID","value":"208-22"},{"id":16,"name":"Locomotive ID","value":"4001"},{"id":130,"name":"Impact","value":""},{"id":150,"name":"Time of Event (Mountain Time)","value":"18:34:58"},{"id":151,"name":"Denver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4001 --day 2017-10-22</v>
      </c>
      <c r="AN121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-22T16:42:56-0600',mode:absolute,to:'2017-10-22T19:34:58-0600'))&amp;_a=(columns:!('Message%20ID',Summary),filters:!(),index:'emp_*',interval:auto,query:(query_string:(analyze_wildcard:!t,query:'%22rtdc.l.rtdc.4001%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663</v>
      </c>
      <c r="B122" s="7">
        <v>4036</v>
      </c>
      <c r="C122" s="21" t="s">
        <v>194</v>
      </c>
      <c r="D122" s="21" t="s">
        <v>353</v>
      </c>
      <c r="E122" s="13">
        <v>43030.716469907406</v>
      </c>
      <c r="F122" s="13">
        <v>43030.719328703701</v>
      </c>
      <c r="G122" s="7">
        <v>59</v>
      </c>
      <c r="H122" s="21" t="s">
        <v>976</v>
      </c>
      <c r="I122" s="13">
        <v>43030.744513888887</v>
      </c>
      <c r="J122" s="7">
        <v>0</v>
      </c>
      <c r="K122" s="89" t="str">
        <f>IF(ISEVEN(B122),(B122-1)&amp;"/"&amp;B122,B122&amp;"/"&amp;(B122+1))</f>
        <v>4035/4036</v>
      </c>
      <c r="L122" s="185" t="str">
        <f>VLOOKUP(A122,'Trips&amp;Operators'!$C$1:$G$99911,5,FALSE)</f>
        <v>STAMBAUGH JAMES</v>
      </c>
      <c r="M122" s="6">
        <f>I122-F122</f>
        <v>2.5185185186273884E-2</v>
      </c>
      <c r="N122" s="7">
        <f>24*60*SUM($M122:$M122)</f>
        <v>36.266666668234393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-22T16:11:43-0600',mode:absolute,to:'2017-10-22T18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4.58E-2</v>
      </c>
      <c r="Z122" s="204">
        <f>RIGHT(H122,LEN(H122)-4)/10000</f>
        <v>23.344100000000001</v>
      </c>
      <c r="AA122" s="204">
        <f>ABS(Z122-Y122)</f>
        <v>23.298300000000001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/stypes="app*4036*20171022*"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209-22 --locoid 4036 --swversion DE.1.0.9.0 --startMP 204:458 --initTime 2017-10-22T17:11:43 --startdatetime 2017-10-22T17:15:50 --delay 59 --endMP 204:233441 --enddatetime 2017-10-22T17:52:06 --enforcementcount 0 &gt;&gt;%USERPROFILE%\Documents\GitHub\eaglep3-reporting\EC\2017-10-22-refined-times.txt</v>
      </c>
      <c r="AI122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{"issue":{"subject":"","project_id":79,"tracker_id":40,"status_id":1,"priority_id":2,"assigned_to_id":338,"start_date":"2017-10-22","description":"","custom_fields":[{"id":1,"name":"Subdivision","value":"EC"},{"id":4,"name":"Milepost","value":"23.3441"},{"id":17,"name":"Train ID","value":"209-22"},{"id":16,"name":"Locomotive ID","value":"4036"},{"id":130,"name":"Impact","value":""},{"id":150,"name":"Time of Event (Mountain Time)","value":"17:52:06"},{"id":151,"name":"Denver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4036 --day 2017-10-22</v>
      </c>
      <c r="AN122" s="151" t="str">
        <f t="shared" si="13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-22T16:11:43-0600',mode:absolute,to:'2017-10-22T18:52:06-0600'))&amp;_a=(columns:!('Message%20ID',Summary),filters:!(),index:'emp_*',interval:auto,query:(query_string:(analyze_wildcard:!t,query:'%22rtdc.l.rtdc.4036%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837</v>
      </c>
      <c r="B123" s="7">
        <v>4035</v>
      </c>
      <c r="C123" s="21" t="s">
        <v>194</v>
      </c>
      <c r="D123" s="21" t="s">
        <v>977</v>
      </c>
      <c r="E123" s="13">
        <v>43030.752893518518</v>
      </c>
      <c r="F123" s="13">
        <v>43030.758842592593</v>
      </c>
      <c r="G123" s="7">
        <v>70</v>
      </c>
      <c r="H123" s="21" t="s">
        <v>978</v>
      </c>
      <c r="I123" s="13">
        <v>43030.784189814818</v>
      </c>
      <c r="J123" s="7">
        <v>0</v>
      </c>
      <c r="K123" s="89" t="str">
        <f>IF(ISEVEN(B123),(B123-1)&amp;"/"&amp;B123,B123&amp;"/"&amp;(B123+1))</f>
        <v>4035/4036</v>
      </c>
      <c r="L123" s="185" t="str">
        <f>VLOOKUP(A123,'Trips&amp;Operators'!$C$1:$G$99911,5,FALSE)</f>
        <v>STAMBAUGH JAMES</v>
      </c>
      <c r="M123" s="6">
        <f>I123-F123</f>
        <v>2.5347222224809229E-2</v>
      </c>
      <c r="N123" s="7">
        <f>24*60*SUM($M123:$M123)</f>
        <v>36.50000000372529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-22T17:04:10-0600',mode:absolute,to:'2017-10-22T19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23.313800000000001</v>
      </c>
      <c r="Z123" s="204">
        <f>RIGHT(H123,LEN(H123)-4)/10000</f>
        <v>1.18E-2</v>
      </c>
      <c r="AA123" s="204">
        <f>ABS(Z123-Y123)</f>
        <v>23.302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/stypes="app*4035*20171023*"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210-22 --locoid 4035 --swversion DE.1.0.9.0 --startMP 204:233138 --initTime 2017-10-22T18:04:10 --startdatetime 2017-10-22T18:12:44 --delay 70 --endMP 204:118 --enddatetime 2017-10-22T18:49:14 --enforcementcount 0 &gt;&gt;%USERPROFILE%\Documents\GitHub\eaglep3-reporting\EC\2017-10-22-refined-times.txt</v>
      </c>
      <c r="AI123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{"issue":{"subject":"","project_id":79,"tracker_id":40,"status_id":1,"priority_id":2,"assigned_to_id":338,"start_date":"2017-10-22","description":"","custom_fields":[{"id":1,"name":"Subdivision","value":"EC"},{"id":4,"name":"Milepost","value":"0.0118"},{"id":17,"name":"Train ID","value":"210-22"},{"id":16,"name":"Locomotive ID","value":"4035"},{"id":130,"name":"Impact","value":""},{"id":150,"name":"Time of Event (Mountain Time)","value":"18:49:14"},{"id":151,"name":"Denver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4035 --day 2017-10-22</v>
      </c>
      <c r="AN123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-22T17:04:10-0600',mode:absolute,to:'2017-10-22T19:49:14-0600'))&amp;_a=(columns:!('Message%20ID',Summary),filters:!(),index:'emp_*',interval:auto,query:(query_string:(analyze_wildcard:!t,query:'%22rtdc.l.rtdc.4035%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829</v>
      </c>
      <c r="B124" s="7">
        <v>4020</v>
      </c>
      <c r="C124" s="21" t="s">
        <v>194</v>
      </c>
      <c r="D124" s="21" t="s">
        <v>367</v>
      </c>
      <c r="E124" s="13">
        <v>43030.727337962962</v>
      </c>
      <c r="F124" s="13">
        <v>43030.729409722226</v>
      </c>
      <c r="G124" s="7">
        <v>78</v>
      </c>
      <c r="H124" s="21" t="s">
        <v>492</v>
      </c>
      <c r="I124" s="13">
        <v>43030.754189814812</v>
      </c>
      <c r="J124" s="7">
        <v>0</v>
      </c>
      <c r="K124" s="89" t="str">
        <f>IF(ISEVEN(B124),(B124-1)&amp;"/"&amp;B124,B124&amp;"/"&amp;(B124+1))</f>
        <v>4019/4020</v>
      </c>
      <c r="L124" s="185" t="str">
        <f>VLOOKUP(A124,'Trips&amp;Operators'!$C$1:$G$99911,5,FALSE)</f>
        <v>BERLING GARY</v>
      </c>
      <c r="M124" s="6">
        <f>I124-F124</f>
        <v>2.4780092586297542E-2</v>
      </c>
      <c r="N124" s="7">
        <f>24*60*SUM($M124:$M124)</f>
        <v>35.68333332426846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-22T16:27:22-0600',mode:absolute,to:'2017-10-22T19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4.5100000000000001E-2</v>
      </c>
      <c r="Z124" s="204">
        <f>RIGHT(H124,LEN(H124)-4)/10000</f>
        <v>23.332100000000001</v>
      </c>
      <c r="AA124" s="204">
        <f>ABS(Z124-Y124)</f>
        <v>23.286999999999999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/stypes="app*4020*20171023*"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211-22 --locoid 4020 --swversion DE.1.0.9.0 --startMP 204:451 --initTime 2017-10-22T17:27:22 --startdatetime 2017-10-22T17:30:21 --delay 78 --endMP 204:233321 --enddatetime 2017-10-22T18:06:02 --enforcementcount 0 &gt;&gt;%USERPROFILE%\Documents\GitHub\eaglep3-reporting\EC\2017-10-22-refined-times.txt</v>
      </c>
      <c r="AI124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{"issue":{"subject":"","project_id":79,"tracker_id":40,"status_id":1,"priority_id":2,"assigned_to_id":338,"start_date":"2017-10-22","description":"","custom_fields":[{"id":1,"name":"Subdivision","value":"EC"},{"id":4,"name":"Milepost","value":"23.3321"},{"id":17,"name":"Train ID","value":"211-22"},{"id":16,"name":"Locomotive ID","value":"4020"},{"id":130,"name":"Impact","value":""},{"id":150,"name":"Time of Event (Mountain Time)","value":"18:06:02"},{"id":151,"name":"Denver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4020 --day 2017-10-22</v>
      </c>
      <c r="AN124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-22T16:27:22-0600',mode:absolute,to:'2017-10-22T19:06:02-0600'))&amp;_a=(columns:!('Message%20ID',Summary),filters:!(),index:'emp_*',interval:auto,query:(query_string:(analyze_wildcard:!t,query:'%22rtdc.l.rtdc.4020%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838</v>
      </c>
      <c r="B125" s="7">
        <v>4019</v>
      </c>
      <c r="C125" s="21" t="s">
        <v>194</v>
      </c>
      <c r="D125" s="21" t="s">
        <v>902</v>
      </c>
      <c r="E125" s="13">
        <v>43030.763668981483</v>
      </c>
      <c r="F125" s="13">
        <v>43030.769178240742</v>
      </c>
      <c r="G125" s="7">
        <v>110</v>
      </c>
      <c r="H125" s="21" t="s">
        <v>612</v>
      </c>
      <c r="I125" s="13">
        <v>43030.796388888892</v>
      </c>
      <c r="J125" s="7">
        <v>0</v>
      </c>
      <c r="K125" s="89" t="str">
        <f>IF(ISEVEN(B125),(B125-1)&amp;"/"&amp;B125,B125&amp;"/"&amp;(B125+1))</f>
        <v>4019/4020</v>
      </c>
      <c r="L125" s="185" t="str">
        <f>VLOOKUP(A125,'Trips&amp;Operators'!$C$1:$G$99911,5,FALSE)</f>
        <v>BERLING GARY</v>
      </c>
      <c r="M125" s="6">
        <f>I125-F125</f>
        <v>2.7210648149775807E-2</v>
      </c>
      <c r="N125" s="7">
        <f>24*60*SUM($M125:$M125)</f>
        <v>39.183333335677162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-22T17:19:41-0600',mode:absolute,to:'2017-10-22T20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23.299299999999999</v>
      </c>
      <c r="Z125" s="204">
        <f>RIGHT(H125,LEN(H125)-4)/10000</f>
        <v>1.6500000000000001E-2</v>
      </c>
      <c r="AA125" s="204">
        <f>ABS(Z125-Y125)</f>
        <v>23.282799999999998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/stypes="app*4019*20171023*"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212-22 --locoid 4019 --swversion DE.1.0.9.0 --startMP 204:232993 --initTime 2017-10-22T18:19:41 --startdatetime 2017-10-22T18:27:37 --delay 110 --endMP 204:165 --enddatetime 2017-10-22T19:06:48 --enforcementcount 0 &gt;&gt;%USERPROFILE%\Documents\GitHub\eaglep3-reporting\EC\2017-10-22-refined-times.txt</v>
      </c>
      <c r="AI125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{"issue":{"subject":"","project_id":79,"tracker_id":40,"status_id":1,"priority_id":2,"assigned_to_id":338,"start_date":"2017-10-22","description":"","custom_fields":[{"id":1,"name":"Subdivision","value":"EC"},{"id":4,"name":"Milepost","value":"0.0165"},{"id":17,"name":"Train ID","value":"212-22"},{"id":16,"name":"Locomotive ID","value":"4019"},{"id":130,"name":"Impact","value":""},{"id":150,"name":"Time of Event (Mountain Time)","value":"19:06:48"},{"id":151,"name":"Denver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4019 --day 2017-10-22</v>
      </c>
      <c r="AN125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-22T17:19:41-0600',mode:absolute,to:'2017-10-22T20:06:48-0600'))&amp;_a=(columns:!('Message%20ID',Summary),filters:!(),index:'emp_*',interval:auto,query:(query_string:(analyze_wildcard:!t,query:'%22rtdc.l.rtdc.4019%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831</v>
      </c>
      <c r="B126" s="7">
        <v>4032</v>
      </c>
      <c r="C126" s="21" t="s">
        <v>194</v>
      </c>
      <c r="D126" s="21" t="s">
        <v>362</v>
      </c>
      <c r="E126" s="13">
        <v>43030.736354166664</v>
      </c>
      <c r="F126" s="13">
        <v>43030.739814814813</v>
      </c>
      <c r="G126" s="7">
        <v>107</v>
      </c>
      <c r="H126" s="21" t="s">
        <v>619</v>
      </c>
      <c r="I126" s="13">
        <v>43030.764479166668</v>
      </c>
      <c r="J126" s="7">
        <v>0</v>
      </c>
      <c r="K126" s="89" t="str">
        <f>IF(ISEVEN(B126),(B126-1)&amp;"/"&amp;B126,B126&amp;"/"&amp;(B126+1))</f>
        <v>4031/4032</v>
      </c>
      <c r="L126" s="185" t="str">
        <f>VLOOKUP(A126,'Trips&amp;Operators'!$C$1:$G$99911,5,FALSE)</f>
        <v>LOZA FIDEL</v>
      </c>
      <c r="M126" s="6">
        <f>I126-F126</f>
        <v>2.4664351854880806E-2</v>
      </c>
      <c r="N126" s="7">
        <f>24*60*SUM($M126:$M126)</f>
        <v>35.516666671028361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-22T16:40:21-0600',mode:absolute,to:'2017-10-22T19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4.5999999999999999E-2</v>
      </c>
      <c r="Z126" s="204">
        <f>RIGHT(H126,LEN(H126)-4)/10000</f>
        <v>23.330500000000001</v>
      </c>
      <c r="AA126" s="204">
        <f>ABS(Z126-Y126)</f>
        <v>23.284500000000001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/stypes="app*4032*20171023*"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213-22 --locoid 4032 --swversion DE.1.0.9.0 --startMP 204:460 --initTime 2017-10-22T17:40:21 --startdatetime 2017-10-22T17:45:20 --delay 107 --endMP 204:233305 --enddatetime 2017-10-22T18:20:51 --enforcementcount 0 &gt;&gt;%USERPROFILE%\Documents\GitHub\eaglep3-reporting\EC\2017-10-22-refined-times.txt</v>
      </c>
      <c r="AI126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{"issue":{"subject":"","project_id":79,"tracker_id":40,"status_id":1,"priority_id":2,"assigned_to_id":338,"start_date":"2017-10-22","description":"","custom_fields":[{"id":1,"name":"Subdivision","value":"EC"},{"id":4,"name":"Milepost","value":"23.3305"},{"id":17,"name":"Train ID","value":"213-22"},{"id":16,"name":"Locomotive ID","value":"4032"},{"id":130,"name":"Impact","value":""},{"id":150,"name":"Time of Event (Mountain Time)","value":"18:20:51"},{"id":151,"name":"Denver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4032 --day 2017-10-22</v>
      </c>
      <c r="AN126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-22T16:40:21-0600',mode:absolute,to:'2017-10-22T19:20:51-0600'))&amp;_a=(columns:!('Message%20ID',Summary),filters:!(),index:'emp_*',interval:auto,query:(query_string:(analyze_wildcard:!t,query:'%22rtdc.l.rtdc.4032%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841</v>
      </c>
      <c r="B127" s="7">
        <v>4031</v>
      </c>
      <c r="C127" s="21" t="s">
        <v>194</v>
      </c>
      <c r="D127" s="21" t="s">
        <v>893</v>
      </c>
      <c r="E127" s="13">
        <v>43030.777245370373</v>
      </c>
      <c r="F127" s="13">
        <v>43030.780150462961</v>
      </c>
      <c r="G127" s="7">
        <v>63</v>
      </c>
      <c r="H127" s="21" t="s">
        <v>337</v>
      </c>
      <c r="I127" s="13">
        <v>43030.805497685185</v>
      </c>
      <c r="J127" s="7">
        <v>0</v>
      </c>
      <c r="K127" s="89" t="str">
        <f>IF(ISEVEN(B127),(B127-1)&amp;"/"&amp;B127,B127&amp;"/"&amp;(B127+1))</f>
        <v>4031/4032</v>
      </c>
      <c r="L127" s="185" t="str">
        <f>VLOOKUP(A127,'Trips&amp;Operators'!$C$1:$G$99911,5,FALSE)</f>
        <v>LOZA FIDEL</v>
      </c>
      <c r="M127" s="6">
        <f>I127-F127</f>
        <v>2.5347222224809229E-2</v>
      </c>
      <c r="N127" s="7">
        <f>24*60*SUM($M127:$M127)</f>
        <v>36.50000000372529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-22T17:39:14-0600',mode:absolute,to:'2017-10-22T20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23.299199999999999</v>
      </c>
      <c r="Z127" s="204">
        <f>RIGHT(H127,LEN(H127)-4)/10000</f>
        <v>1.43E-2</v>
      </c>
      <c r="AA127" s="204">
        <f>ABS(Z127-Y127)</f>
        <v>23.2849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/stypes="app*4031*20171023*"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214-22 --locoid 4031 --swversion DE.1.0.9.0 --startMP 204:232992 --initTime 2017-10-22T18:39:14 --startdatetime 2017-10-22T18:43:25 --delay 63 --endMP 204:143 --enddatetime 2017-10-22T19:19:55 --enforcementcount 0 &gt;&gt;%USERPROFILE%\Documents\GitHub\eaglep3-reporting\EC\2017-10-22-refined-times.txt</v>
      </c>
      <c r="AI127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{"issue":{"subject":"","project_id":79,"tracker_id":40,"status_id":1,"priority_id":2,"assigned_to_id":338,"start_date":"2017-10-22","description":"","custom_fields":[{"id":1,"name":"Subdivision","value":"EC"},{"id":4,"name":"Milepost","value":"0.0143"},{"id":17,"name":"Train ID","value":"214-22"},{"id":16,"name":"Locomotive ID","value":"4031"},{"id":130,"name":"Impact","value":""},{"id":150,"name":"Time of Event (Mountain Time)","value":"19:19:55"},{"id":151,"name":"Denver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4031 --day 2017-10-22</v>
      </c>
      <c r="AN127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-22T17:39:14-0600',mode:absolute,to:'2017-10-22T20:19:55-0600'))&amp;_a=(columns:!('Message%20ID',Summary),filters:!(),index:'emp_*',interval:auto,query:(query_string:(analyze_wildcard:!t,query:'%22rtdc.l.rtdc.4031%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836</v>
      </c>
      <c r="B128" s="7">
        <v>4066</v>
      </c>
      <c r="C128" s="21" t="s">
        <v>194</v>
      </c>
      <c r="D128" s="21" t="s">
        <v>396</v>
      </c>
      <c r="E128" s="13">
        <v>43030.74490740741</v>
      </c>
      <c r="F128" s="13">
        <v>43030.750231481485</v>
      </c>
      <c r="G128" s="7">
        <v>70</v>
      </c>
      <c r="H128" s="21" t="s">
        <v>979</v>
      </c>
      <c r="I128" s="13">
        <v>43030.775057870371</v>
      </c>
      <c r="J128" s="7">
        <v>0</v>
      </c>
      <c r="K128" s="89" t="str">
        <f>IF(ISEVEN(B128),(B128-1)&amp;"/"&amp;B128,B128&amp;"/"&amp;(B128+1))</f>
        <v>4065/4066</v>
      </c>
      <c r="L128" s="185" t="str">
        <f>VLOOKUP(A128,'Trips&amp;Operators'!$C$1:$G$99911,5,FALSE)</f>
        <v>SMITH MICHAEL</v>
      </c>
      <c r="M128" s="6">
        <f>I128-F128</f>
        <v>2.4826388886140194E-2</v>
      </c>
      <c r="N128" s="7">
        <f>24*60*SUM($M128:$M128)</f>
        <v>35.749999996041879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-22T16:52:40-0600',mode:absolute,to:'2017-10-22T19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4.6399999999999997E-2</v>
      </c>
      <c r="Z128" s="204">
        <f>RIGHT(H128,LEN(H128)-4)/10000</f>
        <v>23.33</v>
      </c>
      <c r="AA128" s="204">
        <f>ABS(Z128-Y128)</f>
        <v>23.2836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/stypes="app*4066*20171023*"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215-22 --locoid 4066 --swversion DE.1.0.9.0 --startMP 204:464 --initTime 2017-10-22T17:52:40 --startdatetime 2017-10-22T18:00:20 --delay 70 --endMP 204:233300 --enddatetime 2017-10-22T18:36:05 --enforcementcount 0 &gt;&gt;%USERPROFILE%\Documents\GitHub\eaglep3-reporting\EC\2017-10-22-refined-times.txt</v>
      </c>
      <c r="AI128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{"issue":{"subject":"","project_id":79,"tracker_id":40,"status_id":1,"priority_id":2,"assigned_to_id":338,"start_date":"2017-10-22","description":"","custom_fields":[{"id":1,"name":"Subdivision","value":"EC"},{"id":4,"name":"Milepost","value":"23.33"},{"id":17,"name":"Train ID","value":"215-22"},{"id":16,"name":"Locomotive ID","value":"4066"},{"id":130,"name":"Impact","value":""},{"id":150,"name":"Time of Event (Mountain Time)","value":"18:36:05"},{"id":151,"name":"Denver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4066 --day 2017-10-22</v>
      </c>
      <c r="AN128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-22T16:52:40-0600',mode:absolute,to:'2017-10-22T19:36:05-0600'))&amp;_a=(columns:!('Message%20ID',Summary),filters:!(),index:'emp_*',interval:auto,query:(query_string:(analyze_wildcard:!t,query:'%22rtdc.l.rtdc.4066%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842</v>
      </c>
      <c r="B129" s="7">
        <v>4065</v>
      </c>
      <c r="C129" s="21" t="s">
        <v>194</v>
      </c>
      <c r="D129" s="21" t="s">
        <v>980</v>
      </c>
      <c r="E129" s="13">
        <v>43030.783622685187</v>
      </c>
      <c r="F129" s="13">
        <v>43030.789837962962</v>
      </c>
      <c r="G129" s="7">
        <v>56</v>
      </c>
      <c r="H129" s="21" t="s">
        <v>337</v>
      </c>
      <c r="I129" s="13">
        <v>43030.815740740742</v>
      </c>
      <c r="J129" s="7">
        <v>0</v>
      </c>
      <c r="K129" s="89" t="str">
        <f>IF(ISEVEN(B129),(B129-1)&amp;"/"&amp;B129,B129&amp;"/"&amp;(B129+1))</f>
        <v>4065/4066</v>
      </c>
      <c r="L129" s="185" t="str">
        <f>VLOOKUP(A129,'Trips&amp;Operators'!$C$1:$G$99911,5,FALSE)</f>
        <v>SMITH MICHAEL</v>
      </c>
      <c r="M129" s="6">
        <f>I129-F129</f>
        <v>2.5902777779265307E-2</v>
      </c>
      <c r="N129" s="7">
        <f>24*60*SUM($M129:$M129)</f>
        <v>37.300000002142042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-22T17:48:25-0600',mode:absolute,to:'2017-10-22T20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23.2972</v>
      </c>
      <c r="Z129" s="204">
        <f>RIGHT(H129,LEN(H129)-4)/10000</f>
        <v>1.43E-2</v>
      </c>
      <c r="AA129" s="204">
        <f>ABS(Z129-Y129)</f>
        <v>23.282900000000001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/stypes="app*4065*20171023*"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216-22 --locoid 4065 --swversion DE.1.0.9.0 --startMP 204:232972 --initTime 2017-10-22T18:48:25 --startdatetime 2017-10-22T18:57:22 --delay 56 --endMP 204:143 --enddatetime 2017-10-22T19:34:40 --enforcementcount 0 &gt;&gt;%USERPROFILE%\Documents\GitHub\eaglep3-reporting\EC\2017-10-22-refined-times.txt</v>
      </c>
      <c r="AI129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{"issue":{"subject":"","project_id":79,"tracker_id":40,"status_id":1,"priority_id":2,"assigned_to_id":338,"start_date":"2017-10-22","description":"","custom_fields":[{"id":1,"name":"Subdivision","value":"EC"},{"id":4,"name":"Milepost","value":"0.0143"},{"id":17,"name":"Train ID","value":"216-22"},{"id":16,"name":"Locomotive ID","value":"4065"},{"id":130,"name":"Impact","value":""},{"id":150,"name":"Time of Event (Mountain Time)","value":"19:34:40"},{"id":151,"name":"Denver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4065 --day 2017-10-22</v>
      </c>
      <c r="AN129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-22T17:48:25-0600',mode:absolute,to:'2017-10-22T20:34:40-0600'))&amp;_a=(columns:!('Message%20ID',Summary),filters:!(),index:'emp_*',interval:auto,query:(query_string:(analyze_wildcard:!t,query:'%22rtdc.l.rtdc.4065%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666</v>
      </c>
      <c r="B130" s="7">
        <v>4028</v>
      </c>
      <c r="C130" s="21" t="s">
        <v>194</v>
      </c>
      <c r="D130" s="21" t="s">
        <v>406</v>
      </c>
      <c r="E130" s="13">
        <v>43030.754861111112</v>
      </c>
      <c r="F130" s="13">
        <v>43030.760567129626</v>
      </c>
      <c r="G130" s="7">
        <v>84</v>
      </c>
      <c r="H130" s="21" t="s">
        <v>981</v>
      </c>
      <c r="I130" s="13">
        <v>43030.775300925925</v>
      </c>
      <c r="J130" s="7">
        <v>0</v>
      </c>
      <c r="K130" s="89" t="str">
        <f>IF(ISEVEN(B130),(B130-1)&amp;"/"&amp;B130,B130&amp;"/"&amp;(B130+1))</f>
        <v>4027/4028</v>
      </c>
      <c r="L130" s="185" t="str">
        <f>VLOOKUP(A130,'Trips&amp;Operators'!$C$1:$G$99911,5,FALSE)</f>
        <v>ELBAUM MIKE</v>
      </c>
      <c r="M130" s="6">
        <f>I130-F130</f>
        <v>1.4733796298969537E-2</v>
      </c>
      <c r="N130" s="7"/>
      <c r="O130" s="7"/>
      <c r="P130" s="7">
        <f>24*60*SUM($M130:$M130)</f>
        <v>21.216666670516133</v>
      </c>
      <c r="Q130" s="22"/>
      <c r="R130" s="174" t="s">
        <v>422</v>
      </c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-22T17:07:00-0600',mode:absolute,to:'2017-10-22T19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0" s="204" t="str">
        <f>IF(AA130&lt;VLOOKUP(AG130,Variables!$AC$3:$AD$8,2,FALSE),"Y","N")</f>
        <v>Y</v>
      </c>
      <c r="X130" s="204">
        <f>VALUE(LEFT(AD130,4))-VALUE(LEFT(AD129,4))</f>
        <v>1</v>
      </c>
      <c r="Y130" s="204">
        <f>RIGHT(D130,LEN(D130)-4)/10000</f>
        <v>4.6199999999999998E-2</v>
      </c>
      <c r="Z130" s="204">
        <f>RIGHT(H130,LEN(H130)-4)/10000</f>
        <v>12.9686</v>
      </c>
      <c r="AA130" s="204">
        <f>ABS(Z130-Y130)</f>
        <v>12.9224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/stypes="app*4028*20171023*"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217-22 --locoid 4028 --swversion DE.1.0.9.0 --startMP 204:462 --initTime 2017-10-22T18:07:00 --startdatetime 2017-10-22T18:15:13 --delay 84 --endMP 204:129686 --enddatetime 2017-10-22T18:36:26 --enforcementcount 0 &gt;&gt;%USERPROFILE%\Documents\GitHub\eaglep3-reporting\EC\2017-10-22-refined-times.txt</v>
      </c>
      <c r="AI130" s="96" t="str">
        <f t="shared" si="11"/>
        <v>echo {"issue":{"subject":"Wi-MAX data drop","project_id":79,"tracker_id":40,"status_id":1,"priority_id":2,"assigned_to_id":338,"start_date":"2017-10-22","description":"","custom_fields":[{"id":1,"name":"Subdivision","value":"EC"},{"id":4,"name":"Milepost","value":"12.9686"},{"id":17,"name":"Train ID","value":"217-22"},{"id":16,"name":"Locomotive ID","value":"4028"},{"id":130,"name":"Impact","value":""},{"id":150,"name":"Time of Event (Mountain Time)","value":"18:36:26"},{"id":151,"name":"Denver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4028 --day 2017-10-22</v>
      </c>
      <c r="AN130" s="151" t="str">
        <f t="shared" si="13"/>
        <v>echo {"issue":{"subject":"Wi-MAX data drop","project_id":30,"tracker_id":4,"status_id":1,"priority_id":1,"assigned_to_id":10,"start_date":"2017-10-23","description":"","custom_fields":[{"id":30,"name":"Category","value":"Issue"},{"id":3,"name":"Functional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-22T17:07:00-0600',mode:absolute,to:'2017-10-22T19:36:26-0600'))&amp;_a=(columns:!('Message%20ID',Summary),filters:!(),index:'emp_*',interval:auto,query:(query_string:(analyze_wildcard:!t,query:'%22rtdc.l.rtdc.4028%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843</v>
      </c>
      <c r="B131" s="7">
        <v>4027</v>
      </c>
      <c r="C131" s="21" t="s">
        <v>194</v>
      </c>
      <c r="D131" s="21" t="s">
        <v>900</v>
      </c>
      <c r="E131" s="13">
        <v>43030.788680555554</v>
      </c>
      <c r="F131" s="13">
        <v>43030.800219907411</v>
      </c>
      <c r="G131" s="7">
        <v>71</v>
      </c>
      <c r="H131" s="21" t="s">
        <v>336</v>
      </c>
      <c r="I131" s="13">
        <v>43030.825879629629</v>
      </c>
      <c r="J131" s="7">
        <v>0</v>
      </c>
      <c r="K131" s="89" t="str">
        <f>IF(ISEVEN(B131),(B131-1)&amp;"/"&amp;B131,B131&amp;"/"&amp;(B131+1))</f>
        <v>4027/4028</v>
      </c>
      <c r="L131" s="185" t="str">
        <f>VLOOKUP(A131,'Trips&amp;Operators'!$C$1:$G$99911,5,FALSE)</f>
        <v>ELBAUM MIKE</v>
      </c>
      <c r="M131" s="6">
        <f>I131-F131</f>
        <v>2.565972221782431E-2</v>
      </c>
      <c r="N131" s="7">
        <f>24*60*SUM($M131:$M131)</f>
        <v>36.949999993667006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-22T17:55:42-0600',mode:absolute,to:'2017-10-22T20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23.301500000000001</v>
      </c>
      <c r="Z131" s="204">
        <f>RIGHT(H131,LEN(H131)-4)/10000</f>
        <v>1.49E-2</v>
      </c>
      <c r="AA131" s="204">
        <f>ABS(Z131-Y131)</f>
        <v>23.2866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/stypes="app*4027*20171023*"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218-22 --locoid 4027 --swversion DE.1.0.9.0 --startMP 204:233015 --initTime 2017-10-22T18:55:42 --startdatetime 2017-10-22T19:12:19 --delay 71 --endMP 204:149 --enddatetime 2017-10-22T19:49:16 --enforcementcount 0 &gt;&gt;%USERPROFILE%\Documents\GitHub\eaglep3-reporting\EC\2017-10-22-refined-times.txt</v>
      </c>
      <c r="AI131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{"issue":{"subject":"","project_id":79,"tracker_id":40,"status_id":1,"priority_id":2,"assigned_to_id":338,"start_date":"2017-10-22","description":"","custom_fields":[{"id":1,"name":"Subdivision","value":"EC"},{"id":4,"name":"Milepost","value":"0.0149"},{"id":17,"name":"Train ID","value":"218-22"},{"id":16,"name":"Locomotive ID","value":"4027"},{"id":130,"name":"Impact","value":""},{"id":150,"name":"Time of Event (Mountain Time)","value":"19:49:16"},{"id":151,"name":"Denver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4027 --day 2017-10-22</v>
      </c>
      <c r="AN131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-22T17:55:42-0600',mode:absolute,to:'2017-10-22T20:49:16-0600'))&amp;_a=(columns:!('Message%20ID',Summary),filters:!(),index:'emp_*',interval:auto,query:(query_string:(analyze_wildcard:!t,query:'%22rtdc.l.rtdc.4027%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839</v>
      </c>
      <c r="B132" s="7">
        <v>4026</v>
      </c>
      <c r="C132" s="21" t="s">
        <v>194</v>
      </c>
      <c r="D132" s="21" t="s">
        <v>435</v>
      </c>
      <c r="E132" s="13">
        <v>43030.765729166669</v>
      </c>
      <c r="F132" s="13">
        <v>43030.771041666667</v>
      </c>
      <c r="G132" s="7">
        <v>91</v>
      </c>
      <c r="H132" s="21" t="s">
        <v>982</v>
      </c>
      <c r="I132" s="13">
        <v>43030.796006944445</v>
      </c>
      <c r="J132" s="7">
        <v>0</v>
      </c>
      <c r="K132" s="89" t="str">
        <f>IF(ISEVEN(B132),(B132-1)&amp;"/"&amp;B132,B132&amp;"/"&amp;(B132+1))</f>
        <v>4025/4026</v>
      </c>
      <c r="L132" s="185" t="str">
        <f>VLOOKUP(A132,'Trips&amp;Operators'!$C$1:$G$99911,5,FALSE)</f>
        <v>DUNCAN SHEILA</v>
      </c>
      <c r="M132" s="6">
        <f>I132-F132</f>
        <v>2.4965277778392192E-2</v>
      </c>
      <c r="N132" s="7">
        <f>24*60*SUM($M132:$M132)</f>
        <v>35.950000000884756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-22T17:22:39-0600',mode:absolute,to:'2017-10-22T20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4.6899999999999997E-2</v>
      </c>
      <c r="Z132" s="204">
        <f>RIGHT(H132,LEN(H132)-4)/10000</f>
        <v>23.336600000000001</v>
      </c>
      <c r="AA132" s="204">
        <f>ABS(Z132-Y132)</f>
        <v>23.2897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/stypes="app*4026*20171023*"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219-22 --locoid 4026 --swversion DE.1.0.9.0 --startMP 204:469 --initTime 2017-10-22T18:22:39 --startdatetime 2017-10-22T18:30:18 --delay 91 --endMP 204:233366 --enddatetime 2017-10-22T19:06:15 --enforcementcount 0 &gt;&gt;%USERPROFILE%\Documents\GitHub\eaglep3-reporting\EC\2017-10-22-refined-times.txt</v>
      </c>
      <c r="AI132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{"issue":{"subject":"","project_id":79,"tracker_id":40,"status_id":1,"priority_id":2,"assigned_to_id":338,"start_date":"2017-10-22","description":"","custom_fields":[{"id":1,"name":"Subdivision","value":"EC"},{"id":4,"name":"Milepost","value":"23.3366"},{"id":17,"name":"Train ID","value":"219-22"},{"id":16,"name":"Locomotive ID","value":"4026"},{"id":130,"name":"Impact","value":""},{"id":150,"name":"Time of Event (Mountain Time)","value":"19:06:15"},{"id":151,"name":"Denver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4026 --day 2017-10-22</v>
      </c>
      <c r="AN132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-22T17:22:39-0600',mode:absolute,to:'2017-10-22T20:06:15-0600'))&amp;_a=(columns:!('Message%20ID',Summary),filters:!(),index:'emp_*',interval:auto,query:(query_string:(analyze_wildcard:!t,query:'%22rtdc.l.rtdc.4026%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846</v>
      </c>
      <c r="B133" s="7">
        <v>4025</v>
      </c>
      <c r="C133" s="21" t="s">
        <v>194</v>
      </c>
      <c r="D133" s="21" t="s">
        <v>983</v>
      </c>
      <c r="E133" s="13">
        <v>43030.804178240738</v>
      </c>
      <c r="F133" s="13">
        <v>43030.810810185183</v>
      </c>
      <c r="G133" s="7">
        <v>69</v>
      </c>
      <c r="H133" s="21" t="s">
        <v>366</v>
      </c>
      <c r="I133" s="13">
        <v>43030.836481481485</v>
      </c>
      <c r="J133" s="7">
        <v>0</v>
      </c>
      <c r="K133" s="89" t="str">
        <f>IF(ISEVEN(B133),(B133-1)&amp;"/"&amp;B133,B133&amp;"/"&amp;(B133+1))</f>
        <v>4025/4026</v>
      </c>
      <c r="L133" s="185" t="str">
        <f>VLOOKUP(A133,'Trips&amp;Operators'!$C$1:$G$99911,5,FALSE)</f>
        <v>DUNCAN SHEILA</v>
      </c>
      <c r="M133" s="6">
        <f>I133-F133</f>
        <v>2.567129630187992E-2</v>
      </c>
      <c r="N133" s="7">
        <f>24*60*SUM($M133:$M133)</f>
        <v>36.966666674707085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-22T18:18:01-0600',mode:absolute,to:'2017-10-22T21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23.303999999999998</v>
      </c>
      <c r="Z133" s="204">
        <f>RIGHT(H133,LEN(H133)-4)/10000</f>
        <v>1.3899999999999999E-2</v>
      </c>
      <c r="AA133" s="204">
        <f>ABS(Z133-Y133)</f>
        <v>23.290099999999999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/stypes="app*4025*20171023*"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220-22 --locoid 4025 --swversion DE.1.0.9.0 --startMP 204:233040 --initTime 2017-10-22T19:18:01 --startdatetime 2017-10-22T19:27:34 --delay 69 --endMP 204:139 --enddatetime 2017-10-22T20:04:32 --enforcementcount 0 &gt;&gt;%USERPROFILE%\Documents\GitHub\eaglep3-reporting\EC\2017-10-22-refined-times.txt</v>
      </c>
      <c r="AI133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{"issue":{"subject":"","project_id":79,"tracker_id":40,"status_id":1,"priority_id":2,"assigned_to_id":338,"start_date":"2017-10-22","description":"","custom_fields":[{"id":1,"name":"Subdivision","value":"EC"},{"id":4,"name":"Milepost","value":"0.0139"},{"id":17,"name":"Train ID","value":"220-22"},{"id":16,"name":"Locomotive ID","value":"4025"},{"id":130,"name":"Impact","value":""},{"id":150,"name":"Time of Event (Mountain Time)","value":"20:04:32"},{"id":151,"name":"Denver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4025 --day 2017-10-22</v>
      </c>
      <c r="AN133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02:04:32"},{"id":29,"name":"Sharepoint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-22T18:18:01-0600',mode:absolute,to:'2017-10-22T21:04:32-0600'))&amp;_a=(columns:!('Message%20ID',Summary),filters:!(),index:'emp_*',interval:auto,query:(query_string:(analyze_wildcard:!t,query:'%22rtdc.l.rtdc.4025%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668</v>
      </c>
      <c r="B134" s="7">
        <v>4036</v>
      </c>
      <c r="C134" s="21" t="s">
        <v>194</v>
      </c>
      <c r="D134" s="21" t="s">
        <v>416</v>
      </c>
      <c r="E134" s="13">
        <v>43030.788553240738</v>
      </c>
      <c r="F134" s="13">
        <v>43030.791944444441</v>
      </c>
      <c r="G134" s="7">
        <v>48</v>
      </c>
      <c r="H134" s="21" t="s">
        <v>984</v>
      </c>
      <c r="I134" s="13">
        <v>43030.816481481481</v>
      </c>
      <c r="J134" s="7">
        <v>0</v>
      </c>
      <c r="K134" s="89" t="str">
        <f>IF(ISEVEN(B134),(B134-1)&amp;"/"&amp;B134,B134&amp;"/"&amp;(B134+1))</f>
        <v>4035/4036</v>
      </c>
      <c r="L134" s="185" t="str">
        <f>VLOOKUP(A134,'Trips&amp;Operators'!$C$1:$G$99911,5,FALSE)</f>
        <v>STAMBAUGH JAMES</v>
      </c>
      <c r="M134" s="6">
        <f>I134-F134</f>
        <v>2.453703703940846E-2</v>
      </c>
      <c r="N134" s="7">
        <f>24*60*SUM($M134:$M134)</f>
        <v>35.333333336748183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-22T17:55:31-0600',mode:absolute,to:'2017-10-22T20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4.4400000000000002E-2</v>
      </c>
      <c r="Z134" s="204">
        <f>RIGHT(H134,LEN(H134)-4)/10000</f>
        <v>23.343599999999999</v>
      </c>
      <c r="AA134" s="204">
        <f>ABS(Z134-Y134)</f>
        <v>23.299199999999999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/stypes="app*4036*20171023*"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221-22 --locoid 4036 --swversion DE.1.0.9.0 --startMP 204:444 --initTime 2017-10-22T18:55:31 --startdatetime 2017-10-22T19:00:24 --delay 48 --endMP 204:233436 --enddatetime 2017-10-22T19:35:44 --enforcementcount 0 &gt;&gt;%USERPROFILE%\Documents\GitHub\eaglep3-reporting\EC\2017-10-22-refined-times.txt</v>
      </c>
      <c r="AI134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{"issue":{"subject":"","project_id":79,"tracker_id":40,"status_id":1,"priority_id":2,"assigned_to_id":338,"start_date":"2017-10-22","description":"","custom_fields":[{"id":1,"name":"Subdivision","value":"EC"},{"id":4,"name":"Milepost","value":"23.3436"},{"id":17,"name":"Train ID","value":"221-22"},{"id":16,"name":"Locomotive ID","value":"4036"},{"id":130,"name":"Impact","value":""},{"id":150,"name":"Time of Event (Mountain Time)","value":"19:35:44"},{"id":151,"name":"Denver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4036 --day 2017-10-22</v>
      </c>
      <c r="AN134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-22T17:55:31-0600',mode:absolute,to:'2017-10-22T20:35:44-0600'))&amp;_a=(columns:!('Message%20ID',Summary),filters:!(),index:'emp_*',interval:auto,query:(query_string:(analyze_wildcard:!t,query:'%22rtdc.l.rtdc.4036%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850</v>
      </c>
      <c r="B135" s="7">
        <v>4035</v>
      </c>
      <c r="C135" s="21" t="s">
        <v>194</v>
      </c>
      <c r="D135" s="21" t="s">
        <v>985</v>
      </c>
      <c r="E135" s="13">
        <v>43030.826608796298</v>
      </c>
      <c r="F135" s="13">
        <v>43030.831805555557</v>
      </c>
      <c r="G135" s="7">
        <v>67</v>
      </c>
      <c r="H135" s="21" t="s">
        <v>339</v>
      </c>
      <c r="I135" s="13">
        <v>43030.85728009259</v>
      </c>
      <c r="J135" s="7">
        <v>0</v>
      </c>
      <c r="K135" s="89" t="str">
        <f>IF(ISEVEN(B135),(B135-1)&amp;"/"&amp;B135,B135&amp;"/"&amp;(B135+1))</f>
        <v>4035/4036</v>
      </c>
      <c r="L135" s="185" t="str">
        <f>VLOOKUP(A135,'Trips&amp;Operators'!$C$1:$G$99911,5,FALSE)</f>
        <v>STAMBAUGH JAMES</v>
      </c>
      <c r="M135" s="6">
        <f>I135-F135</f>
        <v>2.5474537033005618E-2</v>
      </c>
      <c r="N135" s="7">
        <f>24*60*SUM($M135:$M135)</f>
        <v>36.683333327528089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-22T18:50:19-0600',mode:absolute,to:'2017-10-22T21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23.3142</v>
      </c>
      <c r="Z135" s="204">
        <f>RIGHT(H135,LEN(H135)-4)/10000</f>
        <v>1.47E-2</v>
      </c>
      <c r="AA135" s="204">
        <f>ABS(Z135-Y135)</f>
        <v>23.299499999999998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/stypes="app*4035*20171023*"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222-22 --locoid 4035 --swversion DE.1.0.9.0 --startMP 204:233142 --initTime 2017-10-22T19:50:19 --startdatetime 2017-10-22T19:57:48 --delay 67 --endMP 204:147 --enddatetime 2017-10-22T20:34:29 --enforcementcount 0 &gt;&gt;%USERPROFILE%\Documents\GitHub\eaglep3-reporting\EC\2017-10-22-refined-times.txt</v>
      </c>
      <c r="AI135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ID","value":"222-22"},{"id":16,"name":"Locomotive ID","value":"4035"},{"id":130,"name":"Impact","value":""},{"id":150,"name":"Time of Event (Mountain Time)","value":"20:34:29"},{"id":151,"name":"Denver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4035 --day 2017-10-22</v>
      </c>
      <c r="AN135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02:34:29"},{"id":29,"name":"Sharepoint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-10-22T18:50:19-0600',mode:absolute,to:'2017-10-22T21:34:29-0600'))&amp;_a=(columns:!('Message%20ID',Summary),filters:!(),index:'emp_*',interval:auto,query:(query_string:(analyze_wildcard:!t,query:'%22rtdc.l.rtdc.4035%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848</v>
      </c>
      <c r="B136" s="7">
        <v>4032</v>
      </c>
      <c r="C136" s="21" t="s">
        <v>194</v>
      </c>
      <c r="D136" s="21" t="s">
        <v>396</v>
      </c>
      <c r="E136" s="13">
        <v>43030.810891203706</v>
      </c>
      <c r="F136" s="13">
        <v>43030.8128125</v>
      </c>
      <c r="G136" s="7">
        <v>61</v>
      </c>
      <c r="H136" s="21" t="s">
        <v>986</v>
      </c>
      <c r="I136" s="13">
        <v>43030.837384259263</v>
      </c>
      <c r="J136" s="7">
        <v>0</v>
      </c>
      <c r="K136" s="89" t="str">
        <f>IF(ISEVEN(B136),(B136-1)&amp;"/"&amp;B136,B136&amp;"/"&amp;(B136+1))</f>
        <v>4031/4032</v>
      </c>
      <c r="L136" s="185" t="str">
        <f>VLOOKUP(A136,'Trips&amp;Operators'!$C$1:$G$99911,5,FALSE)</f>
        <v>LOZA FIDEL</v>
      </c>
      <c r="M136" s="6">
        <f>I136-F136</f>
        <v>2.457175926247146E-2</v>
      </c>
      <c r="N136" s="7">
        <f>24*60*SUM($M136:$M136)</f>
        <v>35.383333337958902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-22T18:27:41-0600',mode:absolute,to:'2017-10-22T21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4.6399999999999997E-2</v>
      </c>
      <c r="Z136" s="204">
        <f>RIGHT(H136,LEN(H136)-4)/10000</f>
        <v>23.333100000000002</v>
      </c>
      <c r="AA136" s="204">
        <f>ABS(Z136-Y136)</f>
        <v>23.286700000000003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/stypes="app*4032*20171023*"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223-22 --locoid 4032 --swversion DE.1.0.9.0 --startMP 204:464 --initTime 2017-10-22T19:27:41 --startdatetime 2017-10-22T19:30:27 --delay 61 --endMP 204:233331 --enddatetime 2017-10-22T20:05:50 --enforcementcount 0 &gt;&gt;%USERPROFILE%\Documents\GitHub\eaglep3-reporting\EC\2017-10-22-refined-times.txt</v>
      </c>
      <c r="AI136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{"issue":{"subject":"","project_id":79,"tracker_id":40,"status_id":1,"priority_id":2,"assigned_to_id":338,"start_date":"2017-10-22","description":"","custom_fields":[{"id":1,"name":"Subdivision","value":"EC"},{"id":4,"name":"Milepost","value":"23.3331"},{"id":17,"name":"Train ID","value":"223-22"},{"id":16,"name":"Locomotive ID","value":"4032"},{"id":130,"name":"Impact","value":""},{"id":150,"name":"Time of Event (Mountain Time)","value":"20:05:50"},{"id":151,"name":"Denver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4032 --day 2017-10-22</v>
      </c>
      <c r="AN136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02:05:50"},{"id":29,"name":"Sharepoint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-22T18:27:41-0600',mode:absolute,to:'2017-10-22T21:05:50-0600'))&amp;_a=(columns:!('Message%20ID',Summary),filters:!(),index:'emp_*',interval:auto,query:(query_string:(analyze_wildcard:!t,query:'%22rtdc.l.rtdc.4032%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853</v>
      </c>
      <c r="B137" s="7">
        <v>4031</v>
      </c>
      <c r="C137" s="21" t="s">
        <v>194</v>
      </c>
      <c r="D137" s="21" t="s">
        <v>987</v>
      </c>
      <c r="E137" s="13">
        <v>43030.838842592595</v>
      </c>
      <c r="F137" s="13">
        <v>43030.852430555555</v>
      </c>
      <c r="G137" s="7">
        <v>54</v>
      </c>
      <c r="H137" s="21" t="s">
        <v>481</v>
      </c>
      <c r="I137" s="13">
        <v>43030.877812500003</v>
      </c>
      <c r="J137" s="7">
        <v>0</v>
      </c>
      <c r="K137" s="89" t="str">
        <f>IF(ISEVEN(B137),(B137-1)&amp;"/"&amp;B137,B137&amp;"/"&amp;(B137+1))</f>
        <v>4031/4032</v>
      </c>
      <c r="L137" s="185" t="str">
        <f>VLOOKUP(A137,'Trips&amp;Operators'!$C$1:$G$99911,5,FALSE)</f>
        <v>LOZA FIDEL</v>
      </c>
      <c r="M137" s="6">
        <f>I137-F137</f>
        <v>2.5381944447872229E-2</v>
      </c>
      <c r="N137" s="7">
        <f>24*60*SUM($M137:$M137)</f>
        <v>36.55000000493601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-22T19:07:56-0600',mode:absolute,to:'2017-10-22T22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23.300599999999999</v>
      </c>
      <c r="Z137" s="204">
        <f>RIGHT(H137,LEN(H137)-4)/10000</f>
        <v>1.34E-2</v>
      </c>
      <c r="AA137" s="204">
        <f>ABS(Z137-Y137)</f>
        <v>23.287199999999999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/stypes="app*4031*20171023*"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224-22 --locoid 4031 --swversion DE.1.0.9.0 --startMP 204:233006 --initTime 2017-10-22T20:07:56 --startdatetime 2017-10-22T20:27:30 --delay 54 --endMP 204:134 --enddatetime 2017-10-22T21:04:03 --enforcementcount 0 &gt;&gt;%USERPROFILE%\Documents\GitHub\eaglep3-reporting\EC\2017-10-22-refined-times.txt</v>
      </c>
      <c r="AI137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{"issue":{"subject":"","project_id":79,"tracker_id":40,"status_id":1,"priority_id":2,"assigned_to_id":338,"start_date":"2017-10-22","description":"","custom_fields":[{"id":1,"name":"Subdivision","value":"EC"},{"id":4,"name":"Milepost","value":"0.0134"},{"id":17,"name":"Train ID","value":"224-22"},{"id":16,"name":"Locomotive ID","value":"4031"},{"id":130,"name":"Impact","value":""},{"id":150,"name":"Time of Event (Mountain Time)","value":"21:04:03"},{"id":151,"name":"Denver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4031 --day 2017-10-22</v>
      </c>
      <c r="AN137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03:04:03"},{"id":29,"name":"Sharepoint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-22T19:07:56-0600',mode:absolute,to:'2017-10-22T22:04:03-0600'))&amp;_a=(columns:!('Message%20ID',Summary),filters:!(),index:'emp_*',interval:auto,query:(query_string:(analyze_wildcard:!t,query:'%22rtdc.l.rtdc.4031%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851</v>
      </c>
      <c r="B138" s="7">
        <v>4028</v>
      </c>
      <c r="C138" s="21" t="s">
        <v>194</v>
      </c>
      <c r="D138" s="21" t="s">
        <v>404</v>
      </c>
      <c r="E138" s="13">
        <v>43030.827048611114</v>
      </c>
      <c r="F138" s="13">
        <v>43030.833518518521</v>
      </c>
      <c r="G138" s="7">
        <v>58</v>
      </c>
      <c r="H138" s="21" t="s">
        <v>624</v>
      </c>
      <c r="I138" s="13">
        <v>43030.857928240737</v>
      </c>
      <c r="J138" s="7">
        <v>0</v>
      </c>
      <c r="K138" s="89" t="str">
        <f>IF(ISEVEN(B138),(B138-1)&amp;"/"&amp;B138,B138&amp;"/"&amp;(B138+1))</f>
        <v>4027/4028</v>
      </c>
      <c r="L138" s="185" t="str">
        <f>VLOOKUP(A138,'Trips&amp;Operators'!$C$1:$G$99911,5,FALSE)</f>
        <v>ELBAUM MIKE</v>
      </c>
      <c r="M138" s="6">
        <f>I138-F138</f>
        <v>2.4409722216660157E-2</v>
      </c>
      <c r="N138" s="7">
        <f>24*60*SUM($M138:$M138)</f>
        <v>35.149999991990626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-22T18:50:57-0600',mode:absolute,to:'2017-10-22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4.4200000000000003E-2</v>
      </c>
      <c r="Z138" s="204">
        <f>RIGHT(H138,LEN(H138)-4)/10000</f>
        <v>23.3355</v>
      </c>
      <c r="AA138" s="204">
        <f>ABS(Z138-Y138)</f>
        <v>23.2913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/stypes="app*4028*20171023*"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225-22 --locoid 4028 --swversion DE.1.0.9.0 --startMP 204:442 --initTime 2017-10-22T19:50:57 --startdatetime 2017-10-22T20:00:16 --delay 58 --endMP 204:233355 --enddatetime 2017-10-22T20:35:25 --enforcementcount 0 &gt;&gt;%USERPROFILE%\Documents\GitHub\eaglep3-reporting\EC\2017-10-22-refined-times.txt</v>
      </c>
      <c r="AI138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{"issue":{"subject":"","project_id":79,"tracker_id":40,"status_id":1,"priority_id":2,"assigned_to_id":338,"start_date":"2017-10-22","description":"","custom_fields":[{"id":1,"name":"Subdivision","value":"EC"},{"id":4,"name":"Milepost","value":"23.3355"},{"id":17,"name":"Train ID","value":"225-22"},{"id":16,"name":"Locomotive ID","value":"4028"},{"id":130,"name":"Impact","value":""},{"id":150,"name":"Time of Event (Mountain Time)","value":"20:35:25"},{"id":151,"name":"Denver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4028 --day 2017-10-22</v>
      </c>
      <c r="AN138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-22T18:50:57-0600',mode:absolute,to:'2017-10-22T21:35:25-0600'))&amp;_a=(columns:!('Message%20ID',Summary),filters:!(),index:'emp_*',interval:auto,query:(query_string:(analyze_wildcard:!t,query:'%22rtdc.l.rtdc.4028%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856</v>
      </c>
      <c r="B139" s="7">
        <v>4027</v>
      </c>
      <c r="C139" s="21" t="s">
        <v>194</v>
      </c>
      <c r="D139" s="21" t="s">
        <v>404</v>
      </c>
      <c r="E139" s="13">
        <v>43030.827048611114</v>
      </c>
      <c r="F139" s="13">
        <v>43030.873229166667</v>
      </c>
      <c r="G139" s="7">
        <v>58</v>
      </c>
      <c r="H139" s="21" t="s">
        <v>624</v>
      </c>
      <c r="I139" s="13">
        <v>43030.898946759262</v>
      </c>
      <c r="J139" s="7">
        <v>0</v>
      </c>
      <c r="K139" s="89" t="str">
        <f>IF(ISEVEN(B139),(B139-1)&amp;"/"&amp;B139,B139&amp;"/"&amp;(B139+1))</f>
        <v>4027/4028</v>
      </c>
      <c r="L139" s="185" t="str">
        <f>VLOOKUP(A139,'Trips&amp;Operators'!$C$1:$G$99911,5,FALSE)</f>
        <v>ELBAUM MIKE</v>
      </c>
      <c r="M139" s="6">
        <f>I139-F139</f>
        <v>2.5717592594446614E-2</v>
      </c>
      <c r="N139" s="7">
        <f>24*60*SUM($M139:$M139)</f>
        <v>37.033333336003125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-22T18:50:57-0600',mode:absolute,to:'2017-10-22T22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204" t="str">
        <f>IF(AA139&lt;VLOOKUP(AG139,Variables!$AC$3:$AD$8,2,FALSE),"Y","N")</f>
        <v>N</v>
      </c>
      <c r="X139" s="204">
        <f t="shared" ref="X139:X142" si="20">VALUE(LEFT(AD139,4))-VALUE(LEFT(AD138,4))</f>
        <v>1</v>
      </c>
      <c r="Y139" s="204">
        <v>23.300599999999999</v>
      </c>
      <c r="Z139" s="204">
        <v>1.34E-2</v>
      </c>
      <c r="AA139" s="204">
        <f>ABS(Z139-Y139)</f>
        <v>23.287199999999999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/stypes="app*4027*20171023*"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ref="AH139" si="21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226-22 --locoid 4027 --swversion DE.1.0.9.0 --startMP 204:442 --initTime 2017-10-22T19:50:57 --startdatetime 2017-10-22T20:57:27 --delay 58 --endMP 204:233355 --enddatetime 2017-10-22T21:34:29 --enforcementcount 0 &gt;&gt;%USERPROFILE%\Documents\GitHub\eaglep3-reporting\EC\2017-10-22-refined-times.txt</v>
      </c>
      <c r="AI139" s="96" t="str">
        <f t="shared" ref="AI139" si="22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{"issue":{"subject":"","project_id":79,"tracker_id":40,"status_id":1,"priority_id":2,"assigned_to_id":338,"start_date":"2017-10-22","description":"","custom_fields":[{"id":1,"name":"Subdivision","value":"EC"},{"id":4,"name":"Milepost","value":"0.0134"},{"id":17,"name":"Train ID","value":"226-22"},{"id":16,"name":"Locomotive ID","value":"4027"},{"id":130,"name":"Impact","value":""},{"id":150,"name":"Time of Event (Mountain Time)","value":"21:34:29"},{"id":151,"name":"Denver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ref="AM139" si="23">"start /low /b "&amp;dls3logs&amp;" --loco "&amp;B139&amp;" --day "&amp;TEXT(F139,"YYYY-MM-DD")</f>
        <v>start /low /b %USERPROFILE%\Documents\GitHub\eaglep3\Utilities\DownloadLogsFromS3.py --loco 4027 --day 2017-10-22</v>
      </c>
      <c r="AN139" s="151" t="str">
        <f t="shared" ref="AN139" si="24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03:34:29"},{"id":29,"name":"Sharepoint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ref="AO139" si="25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-22T18:50:57-0600',mode:absolute,to:'2017-10-22T22:34:29-0600'))&amp;_a=(columns:!('Message%20ID',Summary),filters:!(),index:'emp_*',interval:auto,query:(query_string:(analyze_wildcard:!t,query:'%22rtdc.l.rtdc.4027%22')),sort:!(Time.ISO8601,asc))</v>
      </c>
    </row>
    <row r="140" spans="1:91" s="20" customFormat="1" x14ac:dyDescent="0.3">
      <c r="A140" s="32" t="s">
        <v>854</v>
      </c>
      <c r="B140" s="7">
        <v>4026</v>
      </c>
      <c r="C140" s="21" t="s">
        <v>194</v>
      </c>
      <c r="D140" s="21" t="s">
        <v>435</v>
      </c>
      <c r="E140" s="13">
        <v>43030.839942129627</v>
      </c>
      <c r="F140" s="13">
        <v>43030.854375000003</v>
      </c>
      <c r="G140" s="7">
        <v>191</v>
      </c>
      <c r="H140" s="21" t="s">
        <v>974</v>
      </c>
      <c r="I140" s="13">
        <v>43030.879629629628</v>
      </c>
      <c r="J140" s="7">
        <v>0</v>
      </c>
      <c r="K140" s="89" t="str">
        <f>IF(ISEVEN(B140),(B140-1)&amp;"/"&amp;B140,B140&amp;"/"&amp;(B140+1))</f>
        <v>4025/4026</v>
      </c>
      <c r="L140" s="185" t="str">
        <f>VLOOKUP(A140,'Trips&amp;Operators'!$C$1:$G$99911,5,FALSE)</f>
        <v>NICHOLSON WESLEY</v>
      </c>
      <c r="M140" s="6">
        <f>I140-F140</f>
        <v>2.5254629625123926E-2</v>
      </c>
      <c r="N140" s="7">
        <f>24*60*SUM($M140:$M140)</f>
        <v>36.366666660178453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-22T19:09:31-0600',mode:absolute,to:'2017-10-22T22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0" s="204" t="str">
        <f>IF(AA140&lt;VLOOKUP(AG140,Variables!$AC$3:$AD$8,2,FALSE),"Y","N")</f>
        <v>N</v>
      </c>
      <c r="X140" s="204">
        <f t="shared" si="20"/>
        <v>1</v>
      </c>
      <c r="Y140" s="204">
        <f>RIGHT(D140,LEN(D140)-4)/10000</f>
        <v>4.6899999999999997E-2</v>
      </c>
      <c r="Z140" s="204">
        <f>RIGHT(H140,LEN(H140)-4)/10000</f>
        <v>23.3306</v>
      </c>
      <c r="AA140" s="204">
        <f>ABS(Z140-Y140)</f>
        <v>23.2837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/stypes="app*4026*20171023*"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227-22 --locoid 4026 --swversion DE.1.0.9.0 --startMP 204:469 --initTime 2017-10-22T20:09:31 --startdatetime 2017-10-22T20:30:18 --delay 191 --endMP 204:233306 --enddatetime 2017-10-22T21:06:40 --enforcementcount 0 &gt;&gt;%USERPROFILE%\Documents\GitHub\eaglep3-reporting\EC\2017-10-22-refined-times.txt</v>
      </c>
      <c r="AI140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{"issue":{"subject":"","project_id":79,"tracker_id":40,"status_id":1,"priority_id":2,"assigned_to_id":338,"start_date":"2017-10-22","description":"","custom_fields":[{"id":1,"name":"Subdivision","value":"EC"},{"id":4,"name":"Milepost","value":"23.3306"},{"id":17,"name":"Train ID","value":"227-22"},{"id":16,"name":"Locomotive ID","value":"4026"},{"id":130,"name":"Impact","value":""},{"id":150,"name":"Time of Event (Mountain Time)","value":"21:06:40"},{"id":151,"name":"Denver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4026 --day 2017-10-22</v>
      </c>
      <c r="AN140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-22T19:09:31-0600',mode:absolute,to:'2017-10-22T22:06:40-0600'))&amp;_a=(columns:!('Message%20ID',Summary),filters:!(),index:'emp_*',interval:auto,query:(query_string:(analyze_wildcard:!t,query:'%22rtdc.l.rtdc.4026%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858</v>
      </c>
      <c r="B141" s="7">
        <v>4025</v>
      </c>
      <c r="C141" s="21" t="s">
        <v>194</v>
      </c>
      <c r="D141" s="21" t="s">
        <v>967</v>
      </c>
      <c r="E141" s="13">
        <v>43030.882719907408</v>
      </c>
      <c r="F141" s="13">
        <v>43030.89403935185</v>
      </c>
      <c r="G141" s="7">
        <v>114</v>
      </c>
      <c r="H141" s="21" t="s">
        <v>898</v>
      </c>
      <c r="I141" s="13">
        <v>43030.921122685184</v>
      </c>
      <c r="J141" s="7">
        <v>0</v>
      </c>
      <c r="K141" s="89" t="str">
        <f>IF(ISEVEN(B141),(B141-1)&amp;"/"&amp;B141,B141&amp;"/"&amp;(B141+1))</f>
        <v>4025/4026</v>
      </c>
      <c r="L141" s="185" t="str">
        <f>VLOOKUP(A141,'Trips&amp;Operators'!$C$1:$G$99911,5,FALSE)</f>
        <v>NICHOLSON WESLEY</v>
      </c>
      <c r="M141" s="6">
        <f>I141-F141</f>
        <v>2.7083333334303461E-2</v>
      </c>
      <c r="N141" s="7">
        <f>24*60*SUM($M141:$M141)</f>
        <v>39.000000001396984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-22T20:11:07-0600',mode:absolute,to:'2017-10-22T23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204" t="str">
        <f>IF(AA141&lt;VLOOKUP(AG141,Variables!$AC$3:$AD$8,2,FALSE),"Y","N")</f>
        <v>N</v>
      </c>
      <c r="X141" s="204">
        <f t="shared" si="20"/>
        <v>1</v>
      </c>
      <c r="Y141" s="204">
        <f>RIGHT(D141,LEN(D141)-4)/10000</f>
        <v>23.3004</v>
      </c>
      <c r="Z141" s="204">
        <f>RIGHT(H141,LEN(H141)-4)/10000</f>
        <v>1.6899999999999998E-2</v>
      </c>
      <c r="AA141" s="204">
        <f>ABS(Z141-Y141)</f>
        <v>23.2835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/stypes="app*4025*20171023*"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228-22 --locoid 4025 --swversion DE.1.0.9.0 --startMP 204:233004 --initTime 2017-10-22T21:11:07 --startdatetime 2017-10-22T21:27:25 --delay 114 --endMP 204:169 --enddatetime 2017-10-22T22:06:25 --enforcementcount 0 &gt;&gt;%USERPROFILE%\Documents\GitHub\eaglep3-reporting\EC\2017-10-22-refined-times.txt</v>
      </c>
      <c r="AI141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{"issue":{"subject":"","project_id":79,"tracker_id":40,"status_id":1,"priority_id":2,"assigned_to_id":338,"start_date":"2017-10-22","description":"","custom_fields":[{"id":1,"name":"Subdivision","value":"EC"},{"id":4,"name":"Milepost","value":"0.0169"},{"id":17,"name":"Train ID","value":"228-22"},{"id":16,"name":"Locomotive ID","value":"4025"},{"id":130,"name":"Impact","value":""},{"id":150,"name":"Time of Event (Mountain Time)","value":"22:06:25"},{"id":151,"name":"Denver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4025 --day 2017-10-22</v>
      </c>
      <c r="AN141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04:06:25"},{"id":29,"name":"Sharepoint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-22T20:11:07-0600',mode:absolute,to:'2017-10-22T23:06:25-0600'))&amp;_a=(columns:!('Message%20ID',Summary),filters:!(),index:'emp_*',interval:auto,query:(query_string:(analyze_wildcard:!t,query:'%22rtdc.l.rtdc.4025%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669</v>
      </c>
      <c r="B142" s="7">
        <v>4036</v>
      </c>
      <c r="C142" s="21" t="s">
        <v>194</v>
      </c>
      <c r="D142" s="21" t="s">
        <v>415</v>
      </c>
      <c r="E142" s="13">
        <v>43030.858587962961</v>
      </c>
      <c r="F142" s="13">
        <v>43030.875254629631</v>
      </c>
      <c r="G142" s="7">
        <v>53</v>
      </c>
      <c r="H142" s="21" t="s">
        <v>988</v>
      </c>
      <c r="I142" s="13">
        <v>43030.899525462963</v>
      </c>
      <c r="J142" s="7">
        <v>0</v>
      </c>
      <c r="K142" s="89" t="str">
        <f>IF(ISEVEN(B142),(B142-1)&amp;"/"&amp;B142,B142&amp;"/"&amp;(B142+1))</f>
        <v>4035/4036</v>
      </c>
      <c r="L142" s="185" t="str">
        <f>VLOOKUP(A142,'Trips&amp;Operators'!$C$1:$G$99911,5,FALSE)</f>
        <v>STAMBAUGH JAMES</v>
      </c>
      <c r="M142" s="6">
        <f>I142-F142</f>
        <v>2.4270833331684116E-2</v>
      </c>
      <c r="N142" s="7">
        <f>24*60*SUM($M142:$M142)</f>
        <v>34.949999997625127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-22T19:36:22-0600',mode:absolute,to:'2017-10-22T22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2" s="204" t="str">
        <f>IF(AA142&lt;VLOOKUP(AG142,Variables!$AC$3:$AD$8,2,FALSE),"Y","N")</f>
        <v>N</v>
      </c>
      <c r="X142" s="204">
        <f t="shared" si="20"/>
        <v>1</v>
      </c>
      <c r="Y142" s="204">
        <f>RIGHT(D142,LEN(D142)-4)/10000</f>
        <v>4.3999999999999997E-2</v>
      </c>
      <c r="Z142" s="204">
        <f>RIGHT(H142,LEN(H142)-4)/10000</f>
        <v>23.3385</v>
      </c>
      <c r="AA142" s="204">
        <f>ABS(Z142-Y142)</f>
        <v>23.294499999999999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/stypes="app*4036*20171023*"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229-22 --locoid 4036 --swversion DE.1.0.9.0 --startMP 204:440 --initTime 2017-10-22T20:36:22 --startdatetime 2017-10-22T21:00:22 --delay 53 --endMP 204:233385 --enddatetime 2017-10-22T21:35:19 --enforcementcount 0 &gt;&gt;%USERPROFILE%\Documents\GitHub\eaglep3-reporting\EC\2017-10-22-refined-times.txt</v>
      </c>
      <c r="AI142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{"issue":{"subject":"","project_id":79,"tracker_id":40,"status_id":1,"priority_id":2,"assigned_to_id":338,"start_date":"2017-10-22","description":"","custom_fields":[{"id":1,"name":"Subdivision","value":"EC"},{"id":4,"name":"Milepost","value":"23.3385"},{"id":17,"name":"Train ID","value":"229-22"},{"id":16,"name":"Locomotive ID","value":"4036"},{"id":130,"name":"Impact","value":""},{"id":150,"name":"Time of Event (Mountain Time)","value":"21:35:19"},{"id":151,"name":"Denver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4036 --day 2017-10-22</v>
      </c>
      <c r="AN142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-10-22T19:36:22-0600',mode:absolute,to:'2017-10-22T22:35:19-0600'))&amp;_a=(columns:!('Message%20ID',Summary),filters:!(),index:'emp_*',interval:auto,query:(query_string:(analyze_wildcard:!t,query:'%22rtdc.l.rtdc.4036%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861</v>
      </c>
      <c r="B143" s="7">
        <v>4035</v>
      </c>
      <c r="C143" s="21" t="s">
        <v>194</v>
      </c>
      <c r="D143" s="21" t="s">
        <v>989</v>
      </c>
      <c r="E143" s="13">
        <v>43030.911840277775</v>
      </c>
      <c r="F143" s="13">
        <v>43030.914849537039</v>
      </c>
      <c r="G143" s="7">
        <v>52</v>
      </c>
      <c r="H143" s="21" t="s">
        <v>481</v>
      </c>
      <c r="I143" s="13">
        <v>43030.940497685187</v>
      </c>
      <c r="J143" s="7">
        <v>0</v>
      </c>
      <c r="K143" s="89" t="str">
        <f>IF(ISEVEN(B143),(B143-1)&amp;"/"&amp;B143,B143&amp;"/"&amp;(B143+1))</f>
        <v>4035/4036</v>
      </c>
      <c r="L143" s="185" t="str">
        <f>VLOOKUP(A143,'Trips&amp;Operators'!$C$1:$G$99911,5,FALSE)</f>
        <v>STAMBAUGH JAMES</v>
      </c>
      <c r="M143" s="6">
        <f>I143-F143</f>
        <v>2.5648148148320615E-2</v>
      </c>
      <c r="N143" s="7">
        <f>24*60*SUM($M143:$M143)</f>
        <v>36.933333333581686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-22T20:53:03-0600',mode:absolute,to:'2017-10-22T23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23.303799999999999</v>
      </c>
      <c r="Z143" s="204">
        <f>RIGHT(H143,LEN(H143)-4)/10000</f>
        <v>1.34E-2</v>
      </c>
      <c r="AA143" s="204">
        <f>ABS(Z143-Y143)</f>
        <v>23.290399999999998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/stypes="app*4035*20171023*"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0"/>
        <v>"%USERPROFILE%\Documents\GitHub\eaglep3\Utilities\RefineRTDCRunTimes.py" --tripid 230-22 --locoid 4035 --swversion DE.1.0.9.0 --startMP 204:233038 --initTime 2017-10-22T21:53:03 --startdatetime 2017-10-22T21:57:23 --delay 52 --endMP 204:134 --enddatetime 2017-10-22T22:34:19 --enforcementcount 0 &gt;&gt;%USERPROFILE%\Documents\GitHub\eaglep3-reporting\EC\2017-10-22-refined-times.txt</v>
      </c>
      <c r="AI143" s="96" t="str">
        <f t="shared" si="11"/>
        <v>echo {"issue":{"subject":"","project_id":79,"tracker_id":40,"status_id":1,"priority_id":2,"assigned_to_id":338,"start_date":"2017-10-22","description":"","custom_fields":[{"id":1,"name":"Subdivision","value":"EC"},{"id":4,"name":"Milepost","value":"0.0134"},{"id":17,"name":"Train ID","value":"230-22"},{"id":16,"name":"Locomotive ID","value":"4035"},{"id":130,"name":"Impact","value":""},{"id":150,"name":"Time of Event (Mountain Time)","value":"22:34:19"},{"id":151,"name":"Denver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2"/>
        <v>start /low /b %USERPROFILE%\Documents\GitHub\eaglep3\Utilities\DownloadLogsFromS3.py --loco 4035 --day 2017-10-22</v>
      </c>
      <c r="AN143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04:34:19"},{"id":29,"name":"Sharepoint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4"/>
        <v>https://d0f6bd738d7f1b3e5a7ca70fe4ff75f0.us-east-1.aws.found.io/app/kibana#/discover/Steve-Slow-Train-Analysis-(2080s-and-2083s)?_g=(refreshInterval:(display:Off,pause:!f,section:0,value:0),time:(from:'2017-10-22T20:53:03-0600',mode:absolute,to:'2017-10-22T23:34:19-0600'))&amp;_a=(columns:!('Message%20ID',Summary),filters:!(),index:'emp_*',interval:auto,query:(query_string:(analyze_wildcard:!t,query:'%22rtdc.l.rtdc.4035%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859</v>
      </c>
      <c r="B144" s="7">
        <v>4032</v>
      </c>
      <c r="C144" s="21" t="s">
        <v>194</v>
      </c>
      <c r="D144" s="21" t="s">
        <v>362</v>
      </c>
      <c r="E144" s="13">
        <v>43030.88386574074</v>
      </c>
      <c r="F144" s="13">
        <v>43030.896041666667</v>
      </c>
      <c r="G144" s="7">
        <v>76</v>
      </c>
      <c r="H144" s="21" t="s">
        <v>628</v>
      </c>
      <c r="I144" s="13">
        <v>43030.920312499999</v>
      </c>
      <c r="J144" s="7">
        <v>0</v>
      </c>
      <c r="K144" s="89" t="str">
        <f>IF(ISEVEN(B144),(B144-1)&amp;"/"&amp;B144,B144&amp;"/"&amp;(B144+1))</f>
        <v>4031/4032</v>
      </c>
      <c r="L144" s="185" t="str">
        <f>VLOOKUP(A144,'Trips&amp;Operators'!$C$1:$G$99911,5,FALSE)</f>
        <v>LOZA FIDEL</v>
      </c>
      <c r="M144" s="6">
        <f>I144-F144</f>
        <v>2.4270833331684116E-2</v>
      </c>
      <c r="N144" s="7">
        <f>24*60*SUM($M144:$M144)</f>
        <v>34.949999997625127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-22T20:12:46-0600',mode:absolute,to:'2017-10-22T23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4.5999999999999999E-2</v>
      </c>
      <c r="Z144" s="204">
        <f>RIGHT(H144,LEN(H144)-4)/10000</f>
        <v>23.333600000000001</v>
      </c>
      <c r="AA144" s="204">
        <f>ABS(Z144-Y144)</f>
        <v>23.287600000000001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/stypes="app*4032*20171023*"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ref="AH144:AH211" si="2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231-22 --locoid 4032 --swversion DE.1.0.9.0 --startMP 204:460 --initTime 2017-10-22T21:12:46 --startdatetime 2017-10-22T21:30:18 --delay 76 --endMP 204:233336 --enddatetime 2017-10-22T22:05:15 --enforcementcount 0 &gt;&gt;%USERPROFILE%\Documents\GitHub\eaglep3-reporting\EC\2017-10-22-refined-times.txt</v>
      </c>
      <c r="AI144" s="96" t="str">
        <f t="shared" ref="AI144:AI211" si="2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{"issue":{"subject":"","project_id":79,"tracker_id":40,"status_id":1,"priority_id":2,"assigned_to_id":338,"start_date":"2017-10-22","description":"","custom_fields":[{"id":1,"name":"Subdivision","value":"EC"},{"id":4,"name":"Milepost","value":"23.3336"},{"id":17,"name":"Train ID","value":"231-22"},{"id":16,"name":"Locomotive ID","value":"4032"},{"id":130,"name":"Impact","value":""},{"id":150,"name":"Time of Event (Mountain Time)","value":"22:05:15"},{"id":151,"name":"Denver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11" si="28">"start /low /b "&amp;dls3logs&amp;" --loco "&amp;B144&amp;" --day "&amp;TEXT(F144,"YYYY-MM-DD")</f>
        <v>start /low /b %USERPROFILE%\Documents\GitHub\eaglep3\Utilities\DownloadLogsFromS3.py --loco 4032 --day 2017-10-22</v>
      </c>
      <c r="AN144" s="151" t="str">
        <f t="shared" ref="AN144:AN211" si="2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04:05:15"},{"id":29,"name":"Sharepoint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1" si="30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-22T20:12:46-0600',mode:absolute,to:'2017-10-22T23:05:15-0600'))&amp;_a=(columns:!('Message%20ID',Summary),filters:!(),index:'emp_*',interval:auto,query:(query_string:(analyze_wildcard:!t,query:'%22rtdc.l.rtdc.4032%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864</v>
      </c>
      <c r="B145" s="7">
        <v>4031</v>
      </c>
      <c r="C145" s="21" t="s">
        <v>194</v>
      </c>
      <c r="D145" s="21" t="s">
        <v>990</v>
      </c>
      <c r="E145" s="13">
        <v>43030.934050925927</v>
      </c>
      <c r="F145" s="13">
        <v>43030.935729166667</v>
      </c>
      <c r="G145" s="7">
        <v>64</v>
      </c>
      <c r="H145" s="21" t="s">
        <v>419</v>
      </c>
      <c r="I145" s="13">
        <v>43030.961365740739</v>
      </c>
      <c r="J145" s="7">
        <v>0</v>
      </c>
      <c r="K145" s="89" t="str">
        <f>IF(ISEVEN(B145),(B145-1)&amp;"/"&amp;B145,B145&amp;"/"&amp;(B145+1))</f>
        <v>4031/4032</v>
      </c>
      <c r="L145" s="185" t="str">
        <f>VLOOKUP(A145,'Trips&amp;Operators'!$C$1:$G$99911,5,FALSE)</f>
        <v>LOZA FIDEL</v>
      </c>
      <c r="M145" s="6">
        <f>I145-F145</f>
        <v>2.5636574071540963E-2</v>
      </c>
      <c r="N145" s="7">
        <f>24*60*SUM($M145:$M145)</f>
        <v>36.916666663018987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-22T21:25:02-0600',mode:absolute,to:'2017-10-23T00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23.302700000000002</v>
      </c>
      <c r="Z145" s="204">
        <f>RIGHT(H145,LEN(H145)-4)/10000</f>
        <v>1.3599999999999999E-2</v>
      </c>
      <c r="AA145" s="204">
        <f>ABS(Z145-Y145)</f>
        <v>23.289100000000001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/stypes="app*4031*20171023*"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6"/>
        <v>"%USERPROFILE%\Documents\GitHub\eaglep3\Utilities\RefineRTDCRunTimes.py" --tripid 232-22 --locoid 4031 --swversion DE.1.0.9.0 --startMP 204:233027 --initTime 2017-10-22T22:25:02 --startdatetime 2017-10-22T22:27:27 --delay 64 --endMP 204:136 --enddatetime 2017-10-22T23:04:22 --enforcementcount 0 &gt;&gt;%USERPROFILE%\Documents\GitHub\eaglep3-reporting\EC\2017-10-22-refined-times.txt</v>
      </c>
      <c r="AI145" s="96" t="str">
        <f t="shared" si="27"/>
        <v>echo {"issue":{"subject":"","project_id":79,"tracker_id":40,"status_id":1,"priority_id":2,"assigned_to_id":338,"start_date":"2017-10-22","description":"","custom_fields":[{"id":1,"name":"Subdivision","value":"EC"},{"id":4,"name":"Milepost","value":"0.0136"},{"id":17,"name":"Train ID","value":"232-22"},{"id":16,"name":"Locomotive ID","value":"4031"},{"id":130,"name":"Impact","value":""},{"id":150,"name":"Time of Event (Mountain Time)","value":"23:04:22"},{"id":151,"name":"Denver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8"/>
        <v>start /low /b %USERPROFILE%\Documents\GitHub\eaglep3\Utilities\DownloadLogsFromS3.py --loco 4031 --day 2017-10-22</v>
      </c>
      <c r="AN145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05:04:22"},{"id":29,"name":"Sharepoint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30"/>
        <v>https://d0f6bd738d7f1b3e5a7ca70fe4ff75f0.us-east-1.aws.found.io/app/kibana#/discover/Steve-Slow-Train-Analysis-(2080s-and-2083s)?_g=(refreshInterval:(display:Off,pause:!f,section:0,value:0),time:(from:'2017-10-22T21:25:02-0600',mode:absolute,to:'2017-10-23T00:04:22-0600'))&amp;_a=(columns:!('Message%20ID',Summary),filters:!(),index:'emp_*',interval:auto,query:(query_string:(analyze_wildcard:!t,query:'%22rtdc.l.rtdc.4031%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860</v>
      </c>
      <c r="B146" s="7">
        <v>4028</v>
      </c>
      <c r="C146" s="21" t="s">
        <v>194</v>
      </c>
      <c r="D146" s="21" t="s">
        <v>396</v>
      </c>
      <c r="E146" s="13">
        <v>43030.9</v>
      </c>
      <c r="F146" s="13">
        <v>43030.916828703703</v>
      </c>
      <c r="G146" s="7">
        <v>56</v>
      </c>
      <c r="H146" s="21" t="s">
        <v>438</v>
      </c>
      <c r="I146" s="13">
        <v>43030.942650462966</v>
      </c>
      <c r="J146" s="7">
        <v>0</v>
      </c>
      <c r="K146" s="89" t="str">
        <f>IF(ISEVEN(B146),(B146-1)&amp;"/"&amp;B146,B146&amp;"/"&amp;(B146+1))</f>
        <v>4027/4028</v>
      </c>
      <c r="L146" s="185" t="str">
        <f>VLOOKUP(A146,'Trips&amp;Operators'!$C$1:$G$99911,5,FALSE)</f>
        <v>ELBAUM MIKE</v>
      </c>
      <c r="M146" s="6">
        <f>I146-F146</f>
        <v>2.5821759263635613E-2</v>
      </c>
      <c r="N146" s="7">
        <f>24*60*SUM($M146:$M146)</f>
        <v>37.183333339635283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-22T20:36:00-0600',mode:absolute,to:'2017-10-22T23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4.6399999999999997E-2</v>
      </c>
      <c r="Z146" s="204">
        <f>RIGHT(H146,LEN(H146)-4)/10000</f>
        <v>23.331099999999999</v>
      </c>
      <c r="AA146" s="204">
        <f>ABS(Z146-Y146)</f>
        <v>23.284700000000001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/stypes="app*4028*20171023*"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6"/>
        <v>"%USERPROFILE%\Documents\GitHub\eaglep3\Utilities\RefineRTDCRunTimes.py" --tripid 233-22 --locoid 4028 --swversion DE.1.0.9.0 --startMP 204:464 --initTime 2017-10-22T21:36:00 --startdatetime 2017-10-22T22:00:14 --delay 56 --endMP 204:233311 --enddatetime 2017-10-22T22:37:25 --enforcementcount 0 &gt;&gt;%USERPROFILE%\Documents\GitHub\eaglep3-reporting\EC\2017-10-22-refined-times.txt</v>
      </c>
      <c r="AI146" s="96" t="str">
        <f t="shared" si="27"/>
        <v>echo {"issue":{"subject":"","project_id":79,"tracker_id":40,"status_id":1,"priority_id":2,"assigned_to_id":338,"start_date":"2017-10-22","description":"","custom_fields":[{"id":1,"name":"Subdivision","value":"EC"},{"id":4,"name":"Milepost","value":"23.3311"},{"id":17,"name":"Train ID","value":"233-22"},{"id":16,"name":"Locomotive ID","value":"4028"},{"id":130,"name":"Impact","value":""},{"id":150,"name":"Time of Event (Mountain Time)","value":"22:37:25"},{"id":151,"name":"Denver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8"/>
        <v>start /low /b %USERPROFILE%\Documents\GitHub\eaglep3\Utilities\DownloadLogsFromS3.py --loco 4028 --day 2017-10-22</v>
      </c>
      <c r="AN14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04:37:25"},{"id":29,"name":"Sharepoint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30"/>
        <v>https://d0f6bd738d7f1b3e5a7ca70fe4ff75f0.us-east-1.aws.found.io/app/kibana#/discover/Steve-Slow-Train-Analysis-(2080s-and-2083s)?_g=(refreshInterval:(display:Off,pause:!f,section:0,value:0),time:(from:'2017-10-22T20:36:00-0600',mode:absolute,to:'2017-10-22T23:37:25-0600'))&amp;_a=(columns:!('Message%20ID',Summary),filters:!(),index:'emp_*',interval:auto,query:(query_string:(analyze_wildcard:!t,query:'%22rtdc.l.rtdc.4028%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865</v>
      </c>
      <c r="B147" s="7">
        <v>4027</v>
      </c>
      <c r="C147" s="21" t="s">
        <v>194</v>
      </c>
      <c r="D147" s="21" t="s">
        <v>488</v>
      </c>
      <c r="E147" s="13">
        <v>43030.947546296295</v>
      </c>
      <c r="F147" s="13">
        <v>43030.956400462965</v>
      </c>
      <c r="G147" s="7">
        <v>67</v>
      </c>
      <c r="H147" s="21" t="s">
        <v>339</v>
      </c>
      <c r="I147" s="13">
        <v>43030.982881944445</v>
      </c>
      <c r="J147" s="7">
        <v>0</v>
      </c>
      <c r="K147" s="89" t="str">
        <f>IF(ISEVEN(B147),(B147-1)&amp;"/"&amp;B147,B147&amp;"/"&amp;(B147+1))</f>
        <v>4027/4028</v>
      </c>
      <c r="L147" s="185" t="str">
        <f>VLOOKUP(A147,'Trips&amp;Operators'!$C$1:$G$99911,5,FALSE)</f>
        <v>ELBAUM MIKE</v>
      </c>
      <c r="M147" s="6">
        <f>I147-F147</f>
        <v>2.6481481480004732E-2</v>
      </c>
      <c r="N147" s="7">
        <f>24*60*SUM($M147:$M147)</f>
        <v>38.133333331206813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-22T21:44:28-0600',mode:absolute,to:'2017-10-23T00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23.298400000000001</v>
      </c>
      <c r="Z147" s="204">
        <f>RIGHT(H147,LEN(H147)-4)/10000</f>
        <v>1.47E-2</v>
      </c>
      <c r="AA147" s="204">
        <f>ABS(Z147-Y147)</f>
        <v>23.2837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/stypes="app*4027*20171023*"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6"/>
        <v>"%USERPROFILE%\Documents\GitHub\eaglep3\Utilities\RefineRTDCRunTimes.py" --tripid 234-22 --locoid 4027 --swversion DE.1.0.9.0 --startMP 204:232984 --initTime 2017-10-22T22:44:28 --startdatetime 2017-10-22T22:57:13 --delay 67 --endMP 204:147 --enddatetime 2017-10-22T23:35:21 --enforcementcount 0 &gt;&gt;%USERPROFILE%\Documents\GitHub\eaglep3-reporting\EC\2017-10-22-refined-times.txt</v>
      </c>
      <c r="AI147" s="96" t="str">
        <f t="shared" si="27"/>
        <v>echo {"issue":{"subject":"","project_id":79,"tracker_id":40,"status_id":1,"priority_id":2,"assigned_to_id":338,"start_date":"2017-10-22","description":"","custom_fields":[{"id":1,"name":"Subdivision","value":"EC"},{"id":4,"name":"Milepost","value":"0.0147"},{"id":17,"name":"Train ID","value":"234-22"},{"id":16,"name":"Locomotive ID","value":"4027"},{"id":130,"name":"Impact","value":""},{"id":150,"name":"Time of Event (Mountain Time)","value":"23:35:21"},{"id":151,"name":"Denver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8"/>
        <v>start /low /b %USERPROFILE%\Documents\GitHub\eaglep3\Utilities\DownloadLogsFromS3.py --loco 4027 --day 2017-10-22</v>
      </c>
      <c r="AN147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05:35:21"},{"id":29,"name":"Sharepoint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30"/>
        <v>https://d0f6bd738d7f1b3e5a7ca70fe4ff75f0.us-east-1.aws.found.io/app/kibana#/discover/Steve-Slow-Train-Analysis-(2080s-and-2083s)?_g=(refreshInterval:(display:Off,pause:!f,section:0,value:0),time:(from:'2017-10-22T21:44:28-0600',mode:absolute,to:'2017-10-23T00:35:21-0600'))&amp;_a=(columns:!('Message%20ID',Summary),filters:!(),index:'emp_*',interval:auto,query:(query_string:(analyze_wildcard:!t,query:'%22rtdc.l.rtdc.4027%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862</v>
      </c>
      <c r="B148" s="7">
        <v>4026</v>
      </c>
      <c r="C148" s="21" t="s">
        <v>194</v>
      </c>
      <c r="D148" s="21" t="s">
        <v>435</v>
      </c>
      <c r="E148" s="13">
        <v>43030.921863425923</v>
      </c>
      <c r="F148" s="13">
        <v>43030.937858796293</v>
      </c>
      <c r="G148" s="7">
        <v>105</v>
      </c>
      <c r="H148" s="21" t="s">
        <v>991</v>
      </c>
      <c r="I148" s="13">
        <v>43030.962847222225</v>
      </c>
      <c r="J148" s="7">
        <v>0</v>
      </c>
      <c r="K148" s="89" t="str">
        <f>IF(ISEVEN(B148),(B148-1)&amp;"/"&amp;B148,B148&amp;"/"&amp;(B148+1))</f>
        <v>4025/4026</v>
      </c>
      <c r="L148" s="185" t="str">
        <f>VLOOKUP(A148,'Trips&amp;Operators'!$C$1:$G$99911,5,FALSE)</f>
        <v>DUNCAN SHEILA</v>
      </c>
      <c r="M148" s="6">
        <f>I148-F148</f>
        <v>2.4988425931951497E-2</v>
      </c>
      <c r="N148" s="7">
        <f>24*60*SUM($M148:$M148)</f>
        <v>35.983333342010155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-22T21:07:29-0600',mode:absolute,to:'2017-10-23T00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4.6899999999999997E-2</v>
      </c>
      <c r="Z148" s="204">
        <f>RIGHT(H148,LEN(H148)-4)/10000</f>
        <v>23.336099999999998</v>
      </c>
      <c r="AA148" s="204">
        <f>ABS(Z148-Y148)</f>
        <v>23.289199999999997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/stypes="app*4026*20171023*"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6"/>
        <v>"%USERPROFILE%\Documents\GitHub\eaglep3\Utilities\RefineRTDCRunTimes.py" --tripid 235-22 --locoid 4026 --swversion DE.1.0.9.0 --startMP 204:469 --initTime 2017-10-22T22:07:29 --startdatetime 2017-10-22T22:30:31 --delay 105 --endMP 204:233361 --enddatetime 2017-10-22T23:06:30 --enforcementcount 0 &gt;&gt;%USERPROFILE%\Documents\GitHub\eaglep3-reporting\EC\2017-10-22-refined-times.txt</v>
      </c>
      <c r="AI148" s="96" t="str">
        <f t="shared" si="27"/>
        <v>echo {"issue":{"subject":"","project_id":79,"tracker_id":40,"status_id":1,"priority_id":2,"assigned_to_id":338,"start_date":"2017-10-22","description":"","custom_fields":[{"id":1,"name":"Subdivision","value":"EC"},{"id":4,"name":"Milepost","value":"23.3361"},{"id":17,"name":"Train ID","value":"235-22"},{"id":16,"name":"Locomotive ID","value":"4026"},{"id":130,"name":"Impact","value":""},{"id":150,"name":"Time of Event (Mountain Time)","value":"23:06:30"},{"id":151,"name":"Denver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28"/>
        <v>start /low /b %USERPROFILE%\Documents\GitHub\eaglep3\Utilities\DownloadLogsFromS3.py --loco 4026 --day 2017-10-22</v>
      </c>
      <c r="AN14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05:06:30"},{"id":29,"name":"Sharepoint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30"/>
        <v>https://d0f6bd738d7f1b3e5a7ca70fe4ff75f0.us-east-1.aws.found.io/app/kibana#/discover/Steve-Slow-Train-Analysis-(2080s-and-2083s)?_g=(refreshInterval:(display:Off,pause:!f,section:0,value:0),time:(from:'2017-10-22T21:07:29-0600',mode:absolute,to:'2017-10-23T00:06:30-0600'))&amp;_a=(columns:!('Message%20ID',Summary),filters:!(),index:'emp_*',interval:auto,query:(query_string:(analyze_wildcard:!t,query:'%22rtdc.l.rtdc.4026%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869</v>
      </c>
      <c r="B149" s="7">
        <v>4025</v>
      </c>
      <c r="C149" s="21" t="s">
        <v>194</v>
      </c>
      <c r="D149" s="21" t="s">
        <v>992</v>
      </c>
      <c r="E149" s="13">
        <v>43030.96429398148</v>
      </c>
      <c r="F149" s="13">
        <v>43030.977326388886</v>
      </c>
      <c r="G149" s="7">
        <v>84</v>
      </c>
      <c r="H149" s="21" t="s">
        <v>354</v>
      </c>
      <c r="I149" s="13">
        <v>43031.004965277774</v>
      </c>
      <c r="J149" s="7">
        <v>0</v>
      </c>
      <c r="K149" s="89" t="str">
        <f>IF(ISEVEN(B149),(B149-1)&amp;"/"&amp;B149,B149&amp;"/"&amp;(B149+1))</f>
        <v>4025/4026</v>
      </c>
      <c r="L149" s="185" t="str">
        <f>VLOOKUP(A149,'Trips&amp;Operators'!$C$1:$G$99911,5,FALSE)</f>
        <v>DUNCAN SHEILA</v>
      </c>
      <c r="M149" s="6">
        <f>I149-F149</f>
        <v>2.7638888888759539E-2</v>
      </c>
      <c r="N149" s="7">
        <f>24*60*SUM($M149:$M149)</f>
        <v>39.799999999813735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-22T22:08:35-0600',mode:absolute,to:'2017-10-23T01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23.304500000000001</v>
      </c>
      <c r="Z149" s="204">
        <f>RIGHT(H149,LEN(H149)-4)/10000</f>
        <v>1.52E-2</v>
      </c>
      <c r="AA149" s="204">
        <f>ABS(Z149-Y149)</f>
        <v>23.289300000000001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/stypes="app*4025*20171023*"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6"/>
        <v>"%USERPROFILE%\Documents\GitHub\eaglep3\Utilities\RefineRTDCRunTimes.py" --tripid 236-22 --locoid 4025 --swversion DE.1.0.9.0 --startMP 204:233045 --initTime 2017-10-22T23:08:35 --startdatetime 2017-10-22T23:27:21 --delay 84 --endMP 204:152 --enddatetime 2017-10-23T00:07:09 --enforcementcount 0 &gt;&gt;%USERPROFILE%\Documents\GitHub\eaglep3-reporting\EC\2017-10-22-refined-times.txt</v>
      </c>
      <c r="AI149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{"issue":{"subject":"","project_id":79,"tracker_id":40,"status_id":1,"priority_id":2,"assigned_to_id":338,"start_date":"2017-10-23","description":"","custom_fields":[{"id":1,"name":"Subdivision","value":"EC"},{"id":4,"name":"Milepost","value":"0.0152"},{"id":17,"name":"Train ID","value":"236-22"},{"id":16,"name":"Locomotive ID","value":"4025"},{"id":130,"name":"Impact","value":""},{"id":150,"name":"Time of Event (Mountain Time)","value":"00:07:09"},{"id":151,"name":"Denver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8"/>
        <v>start /low /b %USERPROFILE%\Documents\GitHub\eaglep3\Utilities\DownloadLogsFromS3.py --loco 4025 --day 2017-10-22</v>
      </c>
      <c r="AN149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06:07:09"},{"id":29,"name":"Sharepoint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30"/>
        <v>https://d0f6bd738d7f1b3e5a7ca70fe4ff75f0.us-east-1.aws.found.io/app/kibana#/discover/Steve-Slow-Train-Analysis-(2080s-and-2083s)?_g=(refreshInterval:(display:Off,pause:!f,section:0,value:0),time:(from:'2017-10-22T22:08:35-0600',mode:absolute,to:'2017-10-23T01:07:09-0600'))&amp;_a=(columns:!('Message%20ID',Summary),filters:!(),index:'emp_*',interval:auto,query:(query_string:(analyze_wildcard:!t,query:'%22rtdc.l.rtdc.4025%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672</v>
      </c>
      <c r="B150" s="7">
        <v>4036</v>
      </c>
      <c r="C150" s="21" t="s">
        <v>194</v>
      </c>
      <c r="D150" s="21" t="s">
        <v>993</v>
      </c>
      <c r="E150" s="13">
        <v>43030.941608796296</v>
      </c>
      <c r="F150" s="13">
        <v>43030.958668981482</v>
      </c>
      <c r="G150" s="7">
        <v>85</v>
      </c>
      <c r="H150" s="21" t="s">
        <v>994</v>
      </c>
      <c r="I150" s="13">
        <v>43030.985324074078</v>
      </c>
      <c r="J150" s="7">
        <v>0</v>
      </c>
      <c r="K150" s="89" t="str">
        <f>IF(ISEVEN(B150),(B150-1)&amp;"/"&amp;B150,B150&amp;"/"&amp;(B150+1))</f>
        <v>4035/4036</v>
      </c>
      <c r="L150" s="185" t="str">
        <f>VLOOKUP(A150,'Trips&amp;Operators'!$C$1:$G$99911,5,FALSE)</f>
        <v>STAMBAUGH JAMES</v>
      </c>
      <c r="M150" s="6">
        <f>I150-F150</f>
        <v>2.6655092595319729E-2</v>
      </c>
      <c r="N150" s="7"/>
      <c r="O150" s="7"/>
      <c r="P150" s="7"/>
      <c r="Q150" s="22"/>
      <c r="R150" s="174"/>
      <c r="S150" s="221"/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-22T21:35:55-0600',mode:absolute,to:'2017-10-23T00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0" s="204" t="str">
        <f>IF(AA150&lt;VLOOKUP(AG150,Variables!$AC$3:$AD$8,2,FALSE),"Y","N")</f>
        <v>Y</v>
      </c>
      <c r="X150" s="204">
        <f>VALUE(LEFT(AD150,4))-VALUE(LEFT(AD149,4))</f>
        <v>1</v>
      </c>
      <c r="Y150" s="204">
        <f>RIGHT(D150,LEN(D150)-4)/10000</f>
        <v>4.2000000000000003E-2</v>
      </c>
      <c r="Z150" s="204">
        <f>RIGHT(H150,LEN(H150)-4)/10000</f>
        <v>4.1500000000000002E-2</v>
      </c>
      <c r="AA150" s="204">
        <f>ABS(Z150-Y150)</f>
        <v>5.0000000000000044E-4</v>
      </c>
      <c r="AB150" s="54" t="str">
        <f>VLOOKUP(A150,Enforcements!$C$7:$K$11,8,0)</f>
        <v>Speed (6)</v>
      </c>
      <c r="AC150" s="51" t="str">
        <f>VLOOKUP(A150,Enforcements!$C$7:$E$11,3,0)</f>
        <v>PERMANENT SPEED RESTRICTION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/stypes="app*4036*20171023*"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6"/>
        <v>"%USERPROFILE%\Documents\GitHub\eaglep3\Utilities\RefineRTDCRunTimes.py" --tripid 237-22 --locoid 4036 --swversion DE.1.0.9.0 --startMP 204:420 --initTime 2017-10-22T22:35:55 --startdatetime 2017-10-22T23:00:29 --delay 85 --endMP 204:415 --enddatetime 2017-10-22T23:38:52 --enforcementcount 0 &gt;&gt;%USERPROFILE%\Documents\GitHub\eaglep3-reporting\EC\2017-10-22-refined-times.txt</v>
      </c>
      <c r="AI150" s="96" t="str">
        <f t="shared" si="27"/>
        <v>echo {"issue":{"subject":"","project_id":79,"tracker_id":40,"status_id":1,"priority_id":2,"assigned_to_id":338,"start_date":"2017-10-22","description":"","custom_fields":[{"id":1,"name":"Subdivision","value":"EC"},{"id":4,"name":"Milepost","value":"0.0415"},{"id":17,"name":"Train ID","value":"237-22"},{"id":16,"name":"Locomotive ID","value":"4036"},{"id":130,"name":"Impact","value":""},{"id":150,"name":"Time of Event (Mountain Time)","value":"23:38:52"},{"id":151,"name":"Denver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8"/>
        <v>start /low /b %USERPROFILE%\Documents\GitHub\eaglep3\Utilities\DownloadLogsFromS3.py --loco 4036 --day 2017-10-22</v>
      </c>
      <c r="AN150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05:38:52"},{"id":29,"name":"Sharepoint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30"/>
        <v>https://d0f6bd738d7f1b3e5a7ca70fe4ff75f0.us-east-1.aws.found.io/app/kibana#/discover/Steve-Slow-Train-Analysis-(2080s-and-2083s)?_g=(refreshInterval:(display:Off,pause:!f,section:0,value:0),time:(from:'2017-10-22T21:35:55-0600',mode:absolute,to:'2017-10-23T00:38:52-0600'))&amp;_a=(columns:!('Message%20ID',Summary),filters:!(),index:'emp_*',interval:auto,query:(query_string:(analyze_wildcard:!t,query:'%22rtdc.l.rtdc.4036%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672</v>
      </c>
      <c r="B151" s="7">
        <v>4036</v>
      </c>
      <c r="C151" s="21" t="s">
        <v>194</v>
      </c>
      <c r="D151" s="21" t="s">
        <v>995</v>
      </c>
      <c r="E151" s="13">
        <v>43030.950196759259</v>
      </c>
      <c r="F151" s="13">
        <v>43030.958668981482</v>
      </c>
      <c r="G151" s="7">
        <v>179</v>
      </c>
      <c r="H151" s="21" t="s">
        <v>394</v>
      </c>
      <c r="I151" s="13">
        <v>43030.985324074078</v>
      </c>
      <c r="J151" s="7">
        <v>0</v>
      </c>
      <c r="K151" s="89" t="str">
        <f>IF(ISEVEN(B151),(B151-1)&amp;"/"&amp;B151,B151&amp;"/"&amp;(B151+1))</f>
        <v>4035/4036</v>
      </c>
      <c r="L151" s="185" t="str">
        <f>VLOOKUP(A151,'Trips&amp;Operators'!$C$1:$G$99911,5,FALSE)</f>
        <v>STAMBAUGH JAMES</v>
      </c>
      <c r="M151" s="6">
        <f>I151-F151</f>
        <v>2.6655092595319729E-2</v>
      </c>
      <c r="N151" s="7">
        <f>24*60*SUM($M151:$M151)</f>
        <v>38.38333333726041</v>
      </c>
      <c r="O151" s="7"/>
      <c r="P151" s="7"/>
      <c r="Q151" s="22"/>
      <c r="R151" s="174" t="s">
        <v>1043</v>
      </c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-22T21:48:17-0600',mode:absolute,to:'2017-10-23T00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0</v>
      </c>
      <c r="Y151" s="204">
        <f>RIGHT(D151,LEN(D151)-4)/10000</f>
        <v>4.1300000000000003E-2</v>
      </c>
      <c r="Z151" s="204">
        <f>RIGHT(H151,LEN(H151)-4)/10000</f>
        <v>23.331399999999999</v>
      </c>
      <c r="AA151" s="204">
        <f>ABS(Z151-Y151)</f>
        <v>23.290099999999999</v>
      </c>
      <c r="AB151" s="54" t="str">
        <f>VLOOKUP(A151,Enforcements!$C$7:$K$11,8,0)</f>
        <v>Speed (6)</v>
      </c>
      <c r="AC151" s="51" t="str">
        <f>VLOOKUP(A151,Enforcements!$C$7:$E$11,3,0)</f>
        <v>PERMANENT SPEED RESTRICTION</v>
      </c>
      <c r="AD151" s="179">
        <f>VALUE(LEFT(A151,LEN(A151)-3))</f>
        <v>237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/stypes="app*4036*20171023*" /stext=" 05:.+((SYSTEM_STATE.+slice.+state.+changed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6"/>
        <v>"%USERPROFILE%\Documents\GitHub\eaglep3\Utilities\RefineRTDCRunTimes.py" --tripid 237-22 --locoid 4036 --swversion DE.1.0.9.0 --startMP 204:413 --initTime 2017-10-22T22:48:17 --startdatetime 2017-10-22T23:00:29 --delay 179 --endMP 204:233314 --enddatetime 2017-10-22T23:38:52 --enforcementcount 0 &gt;&gt;%USERPROFILE%\Documents\GitHub\eaglep3-reporting\EC\2017-10-22-refined-times.txt</v>
      </c>
      <c r="AI151" s="96" t="str">
        <f t="shared" si="27"/>
        <v>echo {"issue":{"subject":"Minor onboard en route failure required re-init prior to departure","project_id":79,"tracker_id":40,"status_id":1,"priority_id":2,"assigned_to_id":338,"start_date":"2017-10-22","description":"","custom_fields":[{"id":1,"name":"Subdivision","value":"EC"},{"id":4,"name":"Milepost","value":"23.3314"},{"id":17,"name":"Train ID","value":"237-22"},{"id":16,"name":"Locomotive ID","value":"4036"},{"id":130,"name":"Impact","value":""},{"id":150,"name":"Time of Event (Mountain Time)","value":"23:38:52"},{"id":151,"name":"Denver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28"/>
        <v>start /low /b %USERPROFILE%\Documents\GitHub\eaglep3\Utilities\DownloadLogsFromS3.py --loco 4036 --day 2017-10-22</v>
      </c>
      <c r="AN151" s="151" t="str">
        <f t="shared" si="29"/>
        <v>echo {"issue":{"subject":"Minor onboard en route failure required re-init prior to departure","project_id":30,"tracker_id":4,"status_id":1,"priority_id":1,"assigned_to_id":10,"start_date":"2017-10-23","description":"","custom_fields":[{"id":30,"name":"Category","value":"Issue"},{"id":3,"name":"Functional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05:38:52"},{"id":29,"name":"Sharepoint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30"/>
        <v>https://d0f6bd738d7f1b3e5a7ca70fe4ff75f0.us-east-1.aws.found.io/app/kibana#/discover/Steve-Slow-Train-Analysis-(2080s-and-2083s)?_g=(refreshInterval:(display:Off,pause:!f,section:0,value:0),time:(from:'2017-10-22T21:48:17-0600',mode:absolute,to:'2017-10-23T00:38:52-0600'))&amp;_a=(columns:!('Message%20ID',Summary),filters:!(),index:'emp_*',interval:auto,query:(query_string:(analyze_wildcard:!t,query:'%22rtdc.l.rtdc.4036%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872</v>
      </c>
      <c r="B152" s="7">
        <v>4035</v>
      </c>
      <c r="C152" s="21" t="s">
        <v>194</v>
      </c>
      <c r="D152" s="21" t="s">
        <v>441</v>
      </c>
      <c r="E152" s="13">
        <v>43030.989074074074</v>
      </c>
      <c r="F152" s="13">
        <v>43030.998182870368</v>
      </c>
      <c r="G152" s="7">
        <v>140</v>
      </c>
      <c r="H152" s="21" t="s">
        <v>357</v>
      </c>
      <c r="I152" s="13">
        <v>43031.025092592594</v>
      </c>
      <c r="J152" s="7">
        <v>0</v>
      </c>
      <c r="K152" s="89" t="str">
        <f>IF(ISEVEN(B152),(B152-1)&amp;"/"&amp;B152,B152&amp;"/"&amp;(B152+1))</f>
        <v>4035/4036</v>
      </c>
      <c r="L152" s="185" t="str">
        <f>VLOOKUP(A152,'Trips&amp;Operators'!$C$1:$G$99911,5,FALSE)</f>
        <v>NICHOLSON WESLEY</v>
      </c>
      <c r="M152" s="6">
        <f>I152-F152</f>
        <v>2.6909722226264421E-2</v>
      </c>
      <c r="N152" s="7">
        <f>24*60*SUM($M152:$M152)</f>
        <v>38.750000005820766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-22T22:44:16-0600',mode:absolute,to:'2017-10-23T01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23.297999999999998</v>
      </c>
      <c r="Z152" s="204">
        <f>RIGHT(H152,LEN(H152)-4)/10000</f>
        <v>1.5599999999999999E-2</v>
      </c>
      <c r="AA152" s="204">
        <f>ABS(Z152-Y152)</f>
        <v>23.282399999999999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238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/stypes="app*4035*20171023*"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6"/>
        <v>"%USERPROFILE%\Documents\GitHub\eaglep3\Utilities\RefineRTDCRunTimes.py" --tripid 238-22 --locoid 4035 --swversion DE.1.0.9.0 --startMP 204:232980 --initTime 2017-10-22T23:44:16 --startdatetime 2017-10-22T23:57:23 --delay 140 --endMP 204:156 --enddatetime 2017-10-23T00:36:08 --enforcementcount 0 &gt;&gt;%USERPROFILE%\Documents\GitHub\eaglep3-reporting\EC\2017-10-22-refined-times.txt</v>
      </c>
      <c r="AI152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{"issue":{"subject":"","project_id":79,"tracker_id":40,"status_id":1,"priority_id":2,"assigned_to_id":338,"start_date":"2017-10-23","description":"","custom_fields":[{"id":1,"name":"Subdivision","value":"EC"},{"id":4,"name":"Milepost","value":"0.0156"},{"id":17,"name":"Train ID","value":"238-22"},{"id":16,"name":"Locomotive ID","value":"4035"},{"id":130,"name":"Impact","value":""},{"id":150,"name":"Time of Event (Mountain Time)","value":"00:36:08"},{"id":151,"name":"Denver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28"/>
        <v>start /low /b %USERPROFILE%\Documents\GitHub\eaglep3\Utilities\DownloadLogsFromS3.py --loco 4035 --day 2017-10-22</v>
      </c>
      <c r="AN152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30"/>
        <v>https://d0f6bd738d7f1b3e5a7ca70fe4ff75f0.us-east-1.aws.found.io/app/kibana#/discover/Steve-Slow-Train-Analysis-(2080s-and-2083s)?_g=(refreshInterval:(display:Off,pause:!f,section:0,value:0),time:(from:'2017-10-22T22:44:16-0600',mode:absolute,to:'2017-10-23T01:36:08-0600'))&amp;_a=(columns:!('Message%20ID',Summary),filters:!(),index:'emp_*',interval:auto,query:(query_string:(analyze_wildcard:!t,query:'%22rtdc.l.rtdc.4035%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870</v>
      </c>
      <c r="B153" s="7">
        <v>4032</v>
      </c>
      <c r="C153" s="21" t="s">
        <v>194</v>
      </c>
      <c r="D153" s="21" t="s">
        <v>416</v>
      </c>
      <c r="E153" s="13">
        <v>43030.967349537037</v>
      </c>
      <c r="F153" s="13">
        <v>43030.979386574072</v>
      </c>
      <c r="G153" s="7">
        <v>71</v>
      </c>
      <c r="H153" s="21" t="s">
        <v>996</v>
      </c>
      <c r="I153" s="13">
        <v>43031.003472222219</v>
      </c>
      <c r="J153" s="7">
        <v>0</v>
      </c>
      <c r="K153" s="89" t="str">
        <f>IF(ISEVEN(B153),(B153-1)&amp;"/"&amp;B153,B153&amp;"/"&amp;(B153+1))</f>
        <v>4031/4032</v>
      </c>
      <c r="L153" s="185" t="str">
        <f>VLOOKUP(A153,'Trips&amp;Operators'!$C$1:$G$99911,5,FALSE)</f>
        <v>LOZA FIDEL</v>
      </c>
      <c r="M153" s="6">
        <f>I153-F153</f>
        <v>2.4085648146865424E-2</v>
      </c>
      <c r="N153" s="7">
        <f>24*60*SUM($M153:$M153)</f>
        <v>34.68333333148621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-22T22:12:59-0600',mode:absolute,to:'2017-10-23T01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4.4400000000000002E-2</v>
      </c>
      <c r="Z153" s="204">
        <f>RIGHT(H153,LEN(H153)-4)/10000</f>
        <v>23.332899999999999</v>
      </c>
      <c r="AA153" s="204">
        <f>ABS(Z153-Y153)</f>
        <v>23.288499999999999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239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s3://rtdc.mdm.uploadarchive.raw/RTDC4032/ "%USERPROFILE%\AppData\Local\Temp\OnboardLogs"\RTDC4032\2017-10-22 --exclude "*" --recursive --include "*20171022*" &amp; "%USERPROFILE%\Documents\GitHub\mrs-test-scripts\Headless Mode &amp; Sideloading\WalkAndUnGZ.bat" "%USERPROFILE%\AppData\Local\Temp\OnboardLogs"\RTDC4032\2017-10-22 &amp; 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/stypes="app*4032*20171023*"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26"/>
        <v>"%USERPROFILE%\Documents\GitHub\eaglep3\Utilities\RefineRTDCRunTimes.py" --tripid 239-22 --locoid 4032 --swversion DE.1.0.9.0 --startMP 204:444 --initTime 2017-10-22T23:12:59 --startdatetime 2017-10-22T23:30:19 --delay 71 --endMP 204:233329 --enddatetime 2017-10-23T00:05:00 --enforcementcount 0 &gt;&gt;%USERPROFILE%\Documents\GitHub\eaglep3-reporting\EC\2017-10-22-refined-times.txt</v>
      </c>
      <c r="AI153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{"issue":{"subject":"","project_id":79,"tracker_id":40,"status_id":1,"priority_id":2,"assigned_to_id":338,"start_date":"2017-10-23","description":"","custom_fields":[{"id":1,"name":"Subdivision","value":"EC"},{"id":4,"name":"Milepost","value":"23.3329"},{"id":17,"name":"Train ID","value":"239-22"},{"id":16,"name":"Locomotive ID","value":"4032"},{"id":130,"name":"Impact","value":""},{"id":150,"name":"Time of Event (Mountain Time)","value":"00:05:00"},{"id":151,"name":"Denver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28"/>
        <v>start /low /b %USERPROFILE%\Documents\GitHub\eaglep3\Utilities\DownloadLogsFromS3.py --loco 4032 --day 2017-10-22</v>
      </c>
      <c r="AN153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06:05:00"},{"id":29,"name":"Sharepoint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30"/>
        <v>https://d0f6bd738d7f1b3e5a7ca70fe4ff75f0.us-east-1.aws.found.io/app/kibana#/discover/Steve-Slow-Train-Analysis-(2080s-and-2083s)?_g=(refreshInterval:(display:Off,pause:!f,section:0,value:0),time:(from:'2017-10-22T22:12:59-0600',mode:absolute,to:'2017-10-23T01:05:00-0600'))&amp;_a=(columns:!('Message%20ID',Summary),filters:!(),index:'emp_*',interval:auto,query:(query_string:(analyze_wildcard:!t,query:'%22rtdc.l.rtdc.4032%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874</v>
      </c>
      <c r="B154" s="7">
        <v>4031</v>
      </c>
      <c r="C154" s="21" t="s">
        <v>194</v>
      </c>
      <c r="D154" s="21" t="s">
        <v>417</v>
      </c>
      <c r="E154" s="13">
        <v>43031.01630787037</v>
      </c>
      <c r="F154" s="13">
        <v>43031.018946759257</v>
      </c>
      <c r="G154" s="7">
        <v>90</v>
      </c>
      <c r="H154" s="21" t="s">
        <v>627</v>
      </c>
      <c r="I154" s="13">
        <v>43031.044293981482</v>
      </c>
      <c r="J154" s="7">
        <v>0</v>
      </c>
      <c r="K154" s="89" t="str">
        <f>IF(ISEVEN(B154),(B154-1)&amp;"/"&amp;B154,B154&amp;"/"&amp;(B154+1))</f>
        <v>4031/4032</v>
      </c>
      <c r="L154" s="185" t="str">
        <f>VLOOKUP(A154,'Trips&amp;Operators'!$C$1:$G$99911,5,FALSE)</f>
        <v>LOZA FIDEL</v>
      </c>
      <c r="M154" s="6">
        <f>I154-F154</f>
        <v>2.5347222224809229E-2</v>
      </c>
      <c r="N154" s="7">
        <f>24*60*SUM($M154:$M154)</f>
        <v>36.50000000372529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-22T23:23:29-0600',mode:absolute,to:'2017-10-23T02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23.302299999999999</v>
      </c>
      <c r="Z154" s="204">
        <f>RIGHT(H154,LEN(H154)-4)/10000</f>
        <v>1.29E-2</v>
      </c>
      <c r="AA154" s="204">
        <f>ABS(Z154-Y154)</f>
        <v>23.289400000000001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240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 &amp; aws s3 cp s3://rtdc.mdm.uploadarchive.raw/RTDC4031/ "%USERPROFILE%\AppData\Local\Temp\OnboardLogs"\RTDC4031\2017-10-24 --exclude "*" --recursive --include "*20171024*" &amp; "%USERPROFILE%\Documents\GitHub\mrs-test-scripts\Headless Mode &amp; Sideloading\WalkAndUnGZ.bat" "%USERPROFILE%\AppData\Local\Temp\OnboardLogs"\RTDC4031\2017-10-24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/stypes="app*4031*20171023*"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6"/>
        <v>"%USERPROFILE%\Documents\GitHub\eaglep3\Utilities\RefineRTDCRunTimes.py" --tripid 240-22 --locoid 4031 --swversion DE.1.0.9.0 --startMP 204:233023 --initTime 2017-10-23T00:23:29 --startdatetime 2017-10-23T00:27:17 --delay 90 --endMP 204:129 --enddatetime 2017-10-23T01:03:47 --enforcementcount 0 &gt;&gt;%USERPROFILE%\Documents\GitHub\eaglep3-reporting\EC\2017-10-22-refined-times.txt</v>
      </c>
      <c r="AI154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{"issue":{"subject":"","project_id":79,"tracker_id":40,"status_id":1,"priority_id":2,"assigned_to_id":338,"start_date":"2017-10-23","description":"","custom_fields":[{"id":1,"name":"Subdivision","value":"EC"},{"id":4,"name":"Milepost","value":"0.0129"},{"id":17,"name":"Train ID","value":"240-22"},{"id":16,"name":"Locomotive ID","value":"4031"},{"id":130,"name":"Impact","value":""},{"id":150,"name":"Time of Event (Mountain Time)","value":"01:03:47"},{"id":151,"name":"Denver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28"/>
        <v>start /low /b %USERPROFILE%\Documents\GitHub\eaglep3\Utilities\DownloadLogsFromS3.py --loco 4031 --day 2017-10-23</v>
      </c>
      <c r="AN154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07:03:47"},{"id":29,"name":"Sharepoint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30"/>
        <v>https://d0f6bd738d7f1b3e5a7ca70fe4ff75f0.us-east-1.aws.found.io/app/kibana#/discover/Steve-Slow-Train-Analysis-(2080s-and-2083s)?_g=(refreshInterval:(display:Off,pause:!f,section:0,value:0),time:(from:'2017-10-22T23:23:29-0600',mode:absolute,to:'2017-10-23T02:03:47-0600'))&amp;_a=(columns:!('Message%20ID',Summary),filters:!(),index:'emp_*',interval:auto,query:(query_string:(analyze_wildcard:!t,query:'%22rtdc.l.rtdc.4031%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871</v>
      </c>
      <c r="B155" s="7">
        <v>4028</v>
      </c>
      <c r="C155" s="21" t="s">
        <v>194</v>
      </c>
      <c r="D155" s="21" t="s">
        <v>623</v>
      </c>
      <c r="E155" s="13">
        <v>43030.98642361111</v>
      </c>
      <c r="F155" s="13">
        <v>43031.000150462962</v>
      </c>
      <c r="G155" s="7">
        <v>60</v>
      </c>
      <c r="H155" s="21" t="s">
        <v>628</v>
      </c>
      <c r="I155" s="13">
        <v>43031.023958333331</v>
      </c>
      <c r="J155" s="7">
        <v>0</v>
      </c>
      <c r="K155" s="89" t="str">
        <f>IF(ISEVEN(B155),(B155-1)&amp;"/"&amp;B155,B155&amp;"/"&amp;(B155+1))</f>
        <v>4027/4028</v>
      </c>
      <c r="L155" s="185" t="str">
        <f>VLOOKUP(A155,'Trips&amp;Operators'!$C$1:$G$99911,5,FALSE)</f>
        <v>ELBAUM MIKE</v>
      </c>
      <c r="M155" s="6">
        <f>I155-F155</f>
        <v>2.3807870369637385E-2</v>
      </c>
      <c r="N155" s="7">
        <f>24*60*SUM($M155:$M155)</f>
        <v>34.283333332277834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-22T22:40:27-0600',mode:absolute,to:'2017-10-23T01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4.2900000000000001E-2</v>
      </c>
      <c r="Z155" s="204">
        <f>RIGHT(H155,LEN(H155)-4)/10000</f>
        <v>23.333600000000001</v>
      </c>
      <c r="AA155" s="204">
        <f>ABS(Z155-Y155)</f>
        <v>23.290700000000001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241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 &amp; 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/stypes="app*4028*20171023*" /stext=" 06:.+((SYSTEM_STATE.+slice.+state.+changed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6"/>
        <v>"%USERPROFILE%\Documents\GitHub\eaglep3\Utilities\RefineRTDCRunTimes.py" --tripid 241-22 --locoid 4028 --swversion DE.1.0.9.0 --startMP 204:429 --initTime 2017-10-22T23:40:27 --startdatetime 2017-10-23T00:00:13 --delay 60 --endMP 204:233336 --enddatetime 2017-10-23T00:34:30 --enforcementcount 0 &gt;&gt;%USERPROFILE%\Documents\GitHub\eaglep3-reporting\EC\2017-10-22-refined-times.txt</v>
      </c>
      <c r="AI155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{"issue":{"subject":"","project_id":79,"tracker_id":40,"status_id":1,"priority_id":2,"assigned_to_id":338,"start_date":"2017-10-23","description":"","custom_fields":[{"id":1,"name":"Subdivision","value":"EC"},{"id":4,"name":"Milepost","value":"23.3336"},{"id":17,"name":"Train ID","value":"241-22"},{"id":16,"name":"Locomotive ID","value":"4028"},{"id":130,"name":"Impact","value":""},{"id":150,"name":"Time of Event (Mountain Time)","value":"00:34:30"},{"id":151,"name":"Denver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8"/>
        <v>start /low /b %USERPROFILE%\Documents\GitHub\eaglep3\Utilities\DownloadLogsFromS3.py --loco 4028 --day 2017-10-23</v>
      </c>
      <c r="AN155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06:34:30"},{"id":29,"name":"Sharepoint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30"/>
        <v>https://d0f6bd738d7f1b3e5a7ca70fe4ff75f0.us-east-1.aws.found.io/app/kibana#/discover/Steve-Slow-Train-Analysis-(2080s-and-2083s)?_g=(refreshInterval:(display:Off,pause:!f,section:0,value:0),time:(from:'2017-10-22T22:40:27-0600',mode:absolute,to:'2017-10-23T01:34:30-0600'))&amp;_a=(columns:!('Message%20ID',Summary),filters:!(),index:'emp_*',interval:auto,query:(query_string:(analyze_wildcard:!t,query:'%22rtdc.l.rtdc.4028%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875</v>
      </c>
      <c r="B156" s="7">
        <v>4027</v>
      </c>
      <c r="C156" s="21" t="s">
        <v>194</v>
      </c>
      <c r="D156" s="21" t="s">
        <v>623</v>
      </c>
      <c r="E156" s="13">
        <v>43030.98642361111</v>
      </c>
      <c r="F156" s="13">
        <v>43031.03974537037</v>
      </c>
      <c r="G156" s="7">
        <v>60</v>
      </c>
      <c r="H156" s="21" t="s">
        <v>628</v>
      </c>
      <c r="I156" s="13">
        <v>43031.065127314818</v>
      </c>
      <c r="J156" s="7">
        <v>0</v>
      </c>
      <c r="K156" s="89" t="str">
        <f>IF(ISEVEN(B156),(B156-1)&amp;"/"&amp;B156,B156&amp;"/"&amp;(B156+1))</f>
        <v>4027/4028</v>
      </c>
      <c r="L156" s="185" t="str">
        <f>VLOOKUP(A156,'Trips&amp;Operators'!$C$1:$G$99911,5,FALSE)</f>
        <v>ELBAUM MIKE</v>
      </c>
      <c r="M156" s="6">
        <f>I156-F156</f>
        <v>2.5381944447872229E-2</v>
      </c>
      <c r="N156" s="7">
        <f>24*60*SUM($M156:$M156)</f>
        <v>36.55000000493601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-22T22:40:27-0600',mode:absolute,to:'2017-10-23T02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v>23.302299999999999</v>
      </c>
      <c r="Z156" s="204">
        <v>1.29E-2</v>
      </c>
      <c r="AA156" s="204">
        <f>ABS(Z156-Y156)</f>
        <v>23.289400000000001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242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 &amp; 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/stypes="app*4027*20171023*"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ref="AH156" si="31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242-22 --locoid 4027 --swversion DE.1.0.9.0 --startMP 204:429 --initTime 2017-10-22T23:40:27 --startdatetime 2017-10-23T00:57:14 --delay 60 --endMP 204:233336 --enddatetime 2017-10-23T01:33:47 --enforcementcount 0 &gt;&gt;%USERPROFILE%\Documents\GitHub\eaglep3-reporting\EC\2017-10-22-refined-times.txt</v>
      </c>
      <c r="AI156" s="96" t="str">
        <f t="shared" ref="AI156" si="32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{"issue":{"subject":"","project_id":79,"tracker_id":40,"status_id":1,"priority_id":2,"assigned_to_id":338,"start_date":"2017-10-23","description":"","custom_fields":[{"id":1,"name":"Subdivision","value":"EC"},{"id":4,"name":"Milepost","value":"0.0129"},{"id":17,"name":"Train ID","value":"242-22"},{"id":16,"name":"Locomotive ID","value":"4027"},{"id":130,"name":"Impact","value":""},{"id":150,"name":"Time of Event (Mountain Time)","value":"01:33:47"},{"id":151,"name":"Denver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" si="33">"start /low /b "&amp;dls3logs&amp;" --loco "&amp;B156&amp;" --day "&amp;TEXT(F156,"YYYY-MM-DD")</f>
        <v>start /low /b %USERPROFILE%\Documents\GitHub\eaglep3\Utilities\DownloadLogsFromS3.py --loco 4027 --day 2017-10-23</v>
      </c>
      <c r="AN156" s="151" t="str">
        <f t="shared" ref="AN156" si="34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07:33:47"},{"id":29,"name":"Sharepoint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" si="35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-22T22:40:27-0600',mode:absolute,to:'2017-10-23T02:33:47-0600'))&amp;_a=(columns:!('Message%20ID',Summary),filters:!(),index:'emp_*',interval:auto,query:(query_string:(analyze_wildcard:!t,query:'%22rtdc.l.rtdc.4027%22')),sort:!(Time.ISO8601,asc))</v>
      </c>
    </row>
    <row r="157" spans="1:91" s="20" customFormat="1" x14ac:dyDescent="0.3">
      <c r="A157" s="32" t="s">
        <v>873</v>
      </c>
      <c r="B157" s="7">
        <v>4026</v>
      </c>
      <c r="C157" s="21" t="s">
        <v>194</v>
      </c>
      <c r="D157" s="21" t="s">
        <v>376</v>
      </c>
      <c r="E157" s="13">
        <v>43031.006053240744</v>
      </c>
      <c r="F157" s="13">
        <v>43031.021006944444</v>
      </c>
      <c r="G157" s="7">
        <v>81</v>
      </c>
      <c r="H157" s="21" t="s">
        <v>997</v>
      </c>
      <c r="I157" s="13">
        <v>43031.045601851853</v>
      </c>
      <c r="J157" s="7">
        <v>0</v>
      </c>
      <c r="K157" s="89" t="str">
        <f>IF(ISEVEN(B157),(B157-1)&amp;"/"&amp;B157,B157&amp;"/"&amp;(B157+1))</f>
        <v>4025/4026</v>
      </c>
      <c r="L157" s="185" t="str">
        <f>VLOOKUP(A157,'Trips&amp;Operators'!$C$1:$G$99911,5,FALSE)</f>
        <v>DUNCAN SHEILA</v>
      </c>
      <c r="M157" s="6">
        <f>I157-F157</f>
        <v>2.4594907408754807E-2</v>
      </c>
      <c r="N157" s="7">
        <f>24*60*SUM($M157:$M157)</f>
        <v>35.416666668606922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-22T23:08:43-0600',mode:absolute,to:'2017-10-23T02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4.5699999999999998E-2</v>
      </c>
      <c r="Z157" s="204">
        <f>RIGHT(H157,LEN(H157)-4)/10000</f>
        <v>23.334199999999999</v>
      </c>
      <c r="AA157" s="204">
        <f>ABS(Z157-Y157)</f>
        <v>23.288499999999999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243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 &amp; 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/stypes="app*4026*20171023*"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6"/>
        <v>"%USERPROFILE%\Documents\GitHub\eaglep3\Utilities\RefineRTDCRunTimes.py" --tripid 243-22 --locoid 4026 --swversion DE.1.0.9.0 --startMP 204:457 --initTime 2017-10-23T00:08:43 --startdatetime 2017-10-23T00:30:15 --delay 81 --endMP 204:233342 --enddatetime 2017-10-23T01:05:40 --enforcementcount 0 &gt;&gt;%USERPROFILE%\Documents\GitHub\eaglep3-reporting\EC\2017-10-22-refined-times.txt</v>
      </c>
      <c r="AI157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{"issue":{"subject":"","project_id":79,"tracker_id":40,"status_id":1,"priority_id":2,"assigned_to_id":338,"start_date":"2017-10-23","description":"","custom_fields":[{"id":1,"name":"Subdivision","value":"EC"},{"id":4,"name":"Milepost","value":"23.3342"},{"id":17,"name":"Train ID","value":"243-22"},{"id":16,"name":"Locomotive ID","value":"4026"},{"id":130,"name":"Impact","value":""},{"id":150,"name":"Time of Event (Mountain Time)","value":"01:05:40"},{"id":151,"name":"Denver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8"/>
        <v>start /low /b %USERPROFILE%\Documents\GitHub\eaglep3\Utilities\DownloadLogsFromS3.py --loco 4026 --day 2017-10-23</v>
      </c>
      <c r="AN157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07:05:40"},{"id":29,"name":"Sharepoint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30"/>
        <v>https://d0f6bd738d7f1b3e5a7ca70fe4ff75f0.us-east-1.aws.found.io/app/kibana#/discover/Steve-Slow-Train-Analysis-(2080s-and-2083s)?_g=(refreshInterval:(display:Off,pause:!f,section:0,value:0),time:(from:'2017-10-22T23:08:43-0600',mode:absolute,to:'2017-10-23T02:05:40-0600'))&amp;_a=(columns:!('Message%20ID',Summary),filters:!(),index:'emp_*',interval:auto,query:(query_string:(analyze_wildcard:!t,query:'%22rtdc.l.rtdc.4026%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877</v>
      </c>
      <c r="B158" s="7">
        <v>4025</v>
      </c>
      <c r="C158" s="21" t="s">
        <v>194</v>
      </c>
      <c r="D158" s="21" t="s">
        <v>998</v>
      </c>
      <c r="E158" s="13">
        <v>43031.046585648146</v>
      </c>
      <c r="F158" s="13">
        <v>43031.060706018521</v>
      </c>
      <c r="G158" s="7">
        <v>54</v>
      </c>
      <c r="H158" s="21" t="s">
        <v>355</v>
      </c>
      <c r="I158" s="13">
        <v>43031.086226851854</v>
      </c>
      <c r="J158" s="7">
        <v>0</v>
      </c>
      <c r="K158" s="89" t="str">
        <f>IF(ISEVEN(B158),(B158-1)&amp;"/"&amp;B158,B158&amp;"/"&amp;(B158+1))</f>
        <v>4025/4026</v>
      </c>
      <c r="L158" s="185" t="str">
        <f>VLOOKUP(A158,'Trips&amp;Operators'!$C$1:$G$99911,5,FALSE)</f>
        <v>DUNCAN SHEILA</v>
      </c>
      <c r="M158" s="6">
        <f>I158-F158</f>
        <v>2.5520833332848269E-2</v>
      </c>
      <c r="N158" s="7">
        <f>24*60*SUM($M158:$M158)</f>
        <v>36.749999999301508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-23T00:07:05-0600',mode:absolute,to:'2017-10-23T03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23.3062</v>
      </c>
      <c r="Z158" s="204">
        <f>RIGHT(H158,LEN(H158)-4)/10000</f>
        <v>1.4500000000000001E-2</v>
      </c>
      <c r="AA158" s="204">
        <f>ABS(Z158-Y158)</f>
        <v>23.291699999999999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 &amp; 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/stypes="app*4025*20171023*"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26"/>
        <v>"%USERPROFILE%\Documents\GitHub\eaglep3\Utilities\RefineRTDCRunTimes.py" --tripid 244-22 --locoid 4025 --swversion DE.1.0.9.0 --startMP 204:233062 --initTime 2017-10-23T01:07:05 --startdatetime 2017-10-23T01:27:25 --delay 54 --endMP 204:145 --enddatetime 2017-10-23T02:04:10 --enforcementcount 0 &gt;&gt;%USERPROFILE%\Documents\GitHub\eaglep3-reporting\EC\2017-10-22-refined-times.txt</v>
      </c>
      <c r="AI158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ID","value":"244-22"},{"id":16,"name":"Locomotive ID","value":"4025"},{"id":130,"name":"Impact","value":""},{"id":150,"name":"Time of Event (Mountain Time)","value":"02:04:10"},{"id":151,"name":"Denver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8"/>
        <v>start /low /b %USERPROFILE%\Documents\GitHub\eaglep3\Utilities\DownloadLogsFromS3.py --loco 4025 --day 2017-10-23</v>
      </c>
      <c r="AN15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08:04:10"},{"id":29,"name":"Sharepoint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30"/>
        <v>https://d0f6bd738d7f1b3e5a7ca70fe4ff75f0.us-east-1.aws.found.io/app/kibana#/discover/Steve-Slow-Train-Analysis-(2080s-and-2083s)?_g=(refreshInterval:(display:Off,pause:!f,section:0,value:0),time:(from:'2017-10-23T00:07:05-0600',mode:absolute,to:'2017-10-23T03:04:10-0600'))&amp;_a=(columns:!('Message%20ID',Summary),filters:!(),index:'emp_*',interval:auto,query:(query_string:(analyze_wildcard:!t,query:'%22rtdc.l.rtdc.4025%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712</v>
      </c>
      <c r="B159" s="7">
        <v>4051</v>
      </c>
      <c r="C159" s="21" t="s">
        <v>194</v>
      </c>
      <c r="D159" s="21" t="s">
        <v>915</v>
      </c>
      <c r="E159" s="13">
        <v>43030.231226851851</v>
      </c>
      <c r="F159" s="13">
        <v>43030.232546296298</v>
      </c>
      <c r="G159" s="7">
        <v>59</v>
      </c>
      <c r="H159" s="21" t="s">
        <v>916</v>
      </c>
      <c r="I159" s="13">
        <v>43030.240034722221</v>
      </c>
      <c r="J159" s="7">
        <v>0</v>
      </c>
      <c r="K159" s="89" t="str">
        <f>IF(ISEVEN(B159),(B159-1)&amp;"/"&amp;B159,B159&amp;"/"&amp;(B159+1))</f>
        <v>4051/4052</v>
      </c>
      <c r="L159" s="185" t="str">
        <f>VLOOKUP(A159,'Trips&amp;Operators'!$C$1:$G$99911,5,FALSE)</f>
        <v>MACDONALD THOMAS</v>
      </c>
      <c r="M159" s="6">
        <f>I159-F159</f>
        <v>7.4884259229293093E-3</v>
      </c>
      <c r="N159" s="7"/>
      <c r="O159" s="7"/>
      <c r="P159" s="7">
        <f>24*60*SUM($M159:$M159)</f>
        <v>10.783333329018205</v>
      </c>
      <c r="Q159" s="22"/>
      <c r="R159" s="174" t="s">
        <v>1044</v>
      </c>
      <c r="S159" s="221">
        <f>1/IF(AG159="EC",12,1)*SUM(U159:U159)</f>
        <v>0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-22T04:32:58-0600',mode:absolute,to:'2017-10-22T06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204" t="str">
        <f>IF(AA159&lt;VLOOKUP(AG159,Variables!$AC$3:$AD$8,2,FALSE),"Y","N")</f>
        <v>Y</v>
      </c>
      <c r="X159" s="204">
        <f>VALUE(LEFT(AD159,4))-VALUE(LEFT(AD158,4))</f>
        <v>1556</v>
      </c>
      <c r="Y159" s="204">
        <f>RIGHT(D159,LEN(D159)-4)/10000</f>
        <v>5.8597999999999999</v>
      </c>
      <c r="Z159" s="204">
        <f>RIGHT(H159,LEN(H159)-4)/10000</f>
        <v>5.0792999999999999</v>
      </c>
      <c r="AA159" s="204">
        <f>ABS(Z159-Y159)</f>
        <v>0.78049999999999997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1800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s3://rtdc.mdm.uploadarchive.raw/RTDC4051/ "%USERPROFILE%\AppData\Local\Temp\OnboardLogs"\RTDC4051\2017-10-22 --exclude "*" --recursive --include "*20171022*" &amp; "%USERPROFILE%\Documents\GitHub\mrs-test-scripts\Headless Mode &amp; Sideloading\WalkAndUnGZ.bat" "%USERPROFILE%\AppData\Local\Temp\OnboardLogs"\RTDC4051\2017-10-22 &amp; aws s3 cp s3://rtdc.mdm.uploadarchive.raw/RTDC4051/ "%USERPROFILE%\AppData\Local\Temp\OnboardLogs"\RTDC4051\2017-10-23 --exclude "*" --recursive --include "*20171023*" &amp; "%USERPROFILE%\Documents\GitHub\mrs-test-scripts\Headless Mode &amp; Sideloading\WalkAndUnGZ.bat" "%USERPROFILE%\AppData\Local\Temp\OnboardLogs"\RTDC4051\2017-10-23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/stypes="app*4051*20171022*"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6"/>
        <v>"%USERPROFILE%\Documents\GitHub\eaglep3\Utilities\RefineRTDCRunTimes.py" --tripid 1800-22 --locoid 4051 --swversion DE.1.0.9.0 --startMP 300:58598 --initTime 2017-10-22T05:32:58 --startdatetime 2017-10-22T05:34:52 --delay 59 --endMP 300:50793 --enddatetime 2017-10-22T05:45:39 --enforcementcount 0 &gt;&gt;%USERPROFILE%\Documents\GitHub\eaglep3-reporting\EC\2017-10-22-refined-times.txt</v>
      </c>
      <c r="AI159" s="96" t="str">
        <f t="shared" si="27"/>
        <v>echo {"issue":{"subject":"Banner without braking","project_id":79,"tracker_id":40,"status_id":1,"priority_id":2,"assigned_to_id":338,"start_date":"2017-10-22","description":"","custom_fields":[{"id":1,"name":"Subdivision","value":"NW"},{"id":4,"name":"Milepost","value":"5.0793"},{"id":17,"name":"Train ID","value":"1800-22"},{"id":16,"name":"Locomotive ID","value":"4051"},{"id":130,"name":"Impact","value":""},{"id":150,"name":"Time of Event (Mountain Time)","value":"05:45:39"},{"id":151,"name":"Denver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8"/>
        <v>start /low /b %USERPROFILE%\Documents\GitHub\eaglep3\Utilities\DownloadLogsFromS3.py --loco 4051 --day 2017-10-22</v>
      </c>
      <c r="AN159" s="151" t="str">
        <f t="shared" si="29"/>
        <v>echo {"issue":{"subject":"Banner without braking","project_id":30,"tracker_id":4,"status_id":1,"priority_id":1,"assigned_to_id":10,"start_date":"2017-10-22","description":"","custom_fields":[{"id":30,"name":"Category","value":"Issue"},{"id":3,"name":"Functional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11:45:39"},{"id":29,"name":"Sharepoint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30"/>
        <v>https://d0f6bd738d7f1b3e5a7ca70fe4ff75f0.us-east-1.aws.found.io/app/kibana#/discover/Steve-Slow-Train-Analysis-(2080s-and-2083s)?_g=(refreshInterval:(display:Off,pause:!f,section:0,value:0),time:(from:'2017-10-22T04:32:58-0600',mode:absolute,to:'2017-10-22T06:45:39-0600'))&amp;_a=(columns:!('Message%20ID',Summary),filters:!(),index:'emp_*',interval:auto,query:(query_string:(analyze_wildcard:!t,query:'%22rtdc.l.rtdc.4051%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719</v>
      </c>
      <c r="B160" s="7">
        <v>4016</v>
      </c>
      <c r="C160" s="21" t="s">
        <v>194</v>
      </c>
      <c r="D160" s="21" t="s">
        <v>917</v>
      </c>
      <c r="E160" s="13">
        <v>43030.254004629627</v>
      </c>
      <c r="F160" s="13">
        <v>43030.256701388891</v>
      </c>
      <c r="G160" s="7">
        <v>54</v>
      </c>
      <c r="H160" s="21" t="s">
        <v>918</v>
      </c>
      <c r="I160" s="13">
        <v>43030.266435185185</v>
      </c>
      <c r="J160" s="7">
        <v>0</v>
      </c>
      <c r="K160" s="89" t="str">
        <f>IF(ISEVEN(B160),(B160-1)&amp;"/"&amp;B160,B160&amp;"/"&amp;(B160+1))</f>
        <v>4015/4016</v>
      </c>
      <c r="L160" s="185" t="str">
        <f>VLOOKUP(A160,'Trips&amp;Operators'!$C$1:$G$99911,5,FALSE)</f>
        <v>MACDONALD THOMAS</v>
      </c>
      <c r="M160" s="6">
        <f>I160-F160</f>
        <v>9.7337962943129241E-3</v>
      </c>
      <c r="N160" s="7">
        <f>24*60*SUM($M160:$M160)</f>
        <v>14.016666663810611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-22T05:05:46-0600',mode:absolute,to:'2017-10-22T07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0.1007</v>
      </c>
      <c r="Z160" s="204">
        <f>RIGHT(H160,LEN(H160)-4)/10000</f>
        <v>5.8912000000000004</v>
      </c>
      <c r="AA160" s="204">
        <f>ABS(Z160-Y160)</f>
        <v>5.7905000000000006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1801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/stypes="app*4016*20171022*"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6"/>
        <v>"%USERPROFILE%\Documents\GitHub\eaglep3\Utilities\RefineRTDCRunTimes.py" --tripid 1801-22 --locoid 4016 --swversion DE.1.0.9.0 --startMP 204:1007 --initTime 2017-10-22T06:05:46 --startdatetime 2017-10-22T06:09:39 --delay 54 --endMP 300:58912 --enddatetime 2017-10-22T06:23:40 --enforcementcount 0 &gt;&gt;%USERPROFILE%\Documents\GitHub\eaglep3-reporting\EC\2017-10-22-refined-times.txt</v>
      </c>
      <c r="AI160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{"issue":{"subject":"","project_id":79,"tracker_id":40,"status_id":1,"priority_id":2,"assigned_to_id":338,"start_date":"2017-10-22","description":"","custom_fields":[{"id":1,"name":"Subdivision","value":"NW"},{"id":4,"name":"Milepost","value":"5.8912"},{"id":17,"name":"Train ID","value":"1801-22"},{"id":16,"name":"Locomotive ID","value":"4016"},{"id":130,"name":"Impact","value":""},{"id":150,"name":"Time of Event (Mountain Time)","value":"06:23:40"},{"id":151,"name":"Denver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8"/>
        <v>start /low /b %USERPROFILE%\Documents\GitHub\eaglep3\Utilities\DownloadLogsFromS3.py --loco 4016 --day 2017-10-22</v>
      </c>
      <c r="AN160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30"/>
        <v>https://d0f6bd738d7f1b3e5a7ca70fe4ff75f0.us-east-1.aws.found.io/app/kibana#/discover/Steve-Slow-Train-Analysis-(2080s-and-2083s)?_g=(refreshInterval:(display:Off,pause:!f,section:0,value:0),time:(from:'2017-10-22T05:05:46-0600',mode:absolute,to:'2017-10-22T07:23:40-0600'))&amp;_a=(columns:!('Message%20ID',Summary),filters:!(),index:'emp_*',interval:auto,query:(query_string:(analyze_wildcard:!t,query:'%22rtdc.l.rtdc.4016%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722</v>
      </c>
      <c r="B161" s="7">
        <v>4015</v>
      </c>
      <c r="C161" s="21" t="s">
        <v>194</v>
      </c>
      <c r="D161" s="21" t="s">
        <v>635</v>
      </c>
      <c r="E161" s="13">
        <v>43030.267696759256</v>
      </c>
      <c r="F161" s="13">
        <v>43030.28019675926</v>
      </c>
      <c r="G161" s="7">
        <v>55</v>
      </c>
      <c r="H161" s="21" t="s">
        <v>919</v>
      </c>
      <c r="I161" s="13">
        <v>43030.289155092592</v>
      </c>
      <c r="J161" s="7">
        <v>0</v>
      </c>
      <c r="K161" s="89" t="str">
        <f>IF(ISEVEN(B161),(B161-1)&amp;"/"&amp;B161,B161&amp;"/"&amp;(B161+1))</f>
        <v>4015/4016</v>
      </c>
      <c r="L161" s="185" t="str">
        <f>VLOOKUP(A161,'Trips&amp;Operators'!$C$1:$G$99911,5,FALSE)</f>
        <v>MACDONALD THOMAS</v>
      </c>
      <c r="M161" s="6">
        <f>I161-F161</f>
        <v>8.9583333319751546E-3</v>
      </c>
      <c r="N161" s="7">
        <f>24*60*SUM($M161:$M161)</f>
        <v>12.899999998044223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-22T05:25:29-0600',mode:absolute,to:'2017-10-22T07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</v>
      </c>
      <c r="Z161" s="204">
        <f>RIGHT(H161,LEN(H161)-4)/10000</f>
        <v>7.4099999999999999E-2</v>
      </c>
      <c r="AA161" s="204">
        <f>ABS(Z161-Y161)</f>
        <v>5.7859000000000007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1802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/stypes="app*4015*20171022*"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6"/>
        <v>"%USERPROFILE%\Documents\GitHub\eaglep3\Utilities\RefineRTDCRunTimes.py" --tripid 1802-22 --locoid 4015 --swversion DE.1.0.9.0 --startMP 300:58600 --initTime 2017-10-22T06:25:29 --startdatetime 2017-10-22T06:43:29 --delay 55 --endMP 204:741 --enddatetime 2017-10-22T06:56:23 --enforcementcount 0 &gt;&gt;%USERPROFILE%\Documents\GitHub\eaglep3-reporting\EC\2017-10-22-refined-times.txt</v>
      </c>
      <c r="AI161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{"issue":{"subject":"","project_id":79,"tracker_id":40,"status_id":1,"priority_id":2,"assigned_to_id":338,"start_date":"2017-10-22","description":"","custom_fields":[{"id":1,"name":"Subdivision","value":"NW"},{"id":4,"name":"Milepost","value":"0.0741"},{"id":17,"name":"Train ID","value":"1802-22"},{"id":16,"name":"Locomotive ID","value":"4015"},{"id":130,"name":"Impact","value":""},{"id":150,"name":"Time of Event (Mountain Time)","value":"06:56:23"},{"id":151,"name":"Denver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8"/>
        <v>start /low /b %USERPROFILE%\Documents\GitHub\eaglep3\Utilities\DownloadLogsFromS3.py --loco 4015 --day 2017-10-22</v>
      </c>
      <c r="AN161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30"/>
        <v>https://d0f6bd738d7f1b3e5a7ca70fe4ff75f0.us-east-1.aws.found.io/app/kibana#/discover/Steve-Slow-Train-Analysis-(2080s-and-2083s)?_g=(refreshInterval:(display:Off,pause:!f,section:0,value:0),time:(from:'2017-10-22T05:25:29-0600',mode:absolute,to:'2017-10-22T07:56:23-0600'))&amp;_a=(columns:!('Message%20ID',Summary),filters:!(),index:'emp_*',interval:auto,query:(query_string:(analyze_wildcard:!t,query:'%22rtdc.l.rtdc.4015%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729</v>
      </c>
      <c r="B162" s="7">
        <v>4016</v>
      </c>
      <c r="C162" s="21" t="s">
        <v>194</v>
      </c>
      <c r="D162" s="21" t="s">
        <v>920</v>
      </c>
      <c r="E162" s="13">
        <v>43030.295717592591</v>
      </c>
      <c r="F162" s="13">
        <v>43030.298564814817</v>
      </c>
      <c r="G162" s="7">
        <v>82</v>
      </c>
      <c r="H162" s="21" t="s">
        <v>921</v>
      </c>
      <c r="I162" s="13">
        <v>43030.30809027778</v>
      </c>
      <c r="J162" s="7">
        <v>0</v>
      </c>
      <c r="K162" s="89" t="str">
        <f>IF(ISEVEN(B162),(B162-1)&amp;"/"&amp;B162,B162&amp;"/"&amp;(B162+1))</f>
        <v>4015/4016</v>
      </c>
      <c r="L162" s="185" t="str">
        <f>VLOOKUP(A162,'Trips&amp;Operators'!$C$1:$G$99911,5,FALSE)</f>
        <v>MACDONALD THOMAS</v>
      </c>
      <c r="M162" s="6">
        <f>I162-F162</f>
        <v>9.5254629632108845E-3</v>
      </c>
      <c r="N162" s="7">
        <f>24*60*SUM($M162:$M162)</f>
        <v>13.716666667023674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-22T06:05:50-0600',mode:absolute,to:'2017-10-22T08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0.10299999999999999</v>
      </c>
      <c r="Z162" s="204">
        <f>RIGHT(H162,LEN(H162)-4)/10000</f>
        <v>5.8906999999999998</v>
      </c>
      <c r="AA162" s="204">
        <f>ABS(Z162-Y162)</f>
        <v>5.7877000000000001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1803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/stypes="app*4016*20171022*" /stext=" 13:.+((SYSTEM_STATE.+slice.+state.+changed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6"/>
        <v>"%USERPROFILE%\Documents\GitHub\eaglep3\Utilities\RefineRTDCRunTimes.py" --tripid 1803-22 --locoid 4016 --swversion DE.1.0.9.0 --startMP 204:1030 --initTime 2017-10-22T07:05:50 --startdatetime 2017-10-22T07:09:56 --delay 82 --endMP 300:58907 --enddatetime 2017-10-22T07:23:39 --enforcementcount 0 &gt;&gt;%USERPROFILE%\Documents\GitHub\eaglep3-reporting\EC\2017-10-22-refined-times.txt</v>
      </c>
      <c r="AI162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{"issue":{"subject":"","project_id":79,"tracker_id":40,"status_id":1,"priority_id":2,"assigned_to_id":338,"start_date":"2017-10-22","description":"","custom_fields":[{"id":1,"name":"Subdivision","value":"NW"},{"id":4,"name":"Milepost","value":"5.8907"},{"id":17,"name":"Train ID","value":"1803-22"},{"id":16,"name":"Locomotive ID","value":"4016"},{"id":130,"name":"Impact","value":""},{"id":150,"name":"Time of Event (Mountain Time)","value":"07:23:39"},{"id":151,"name":"Denver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8"/>
        <v>start /low /b %USERPROFILE%\Documents\GitHub\eaglep3\Utilities\DownloadLogsFromS3.py --loco 4016 --day 2017-10-22</v>
      </c>
      <c r="AN162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30"/>
        <v>https://d0f6bd738d7f1b3e5a7ca70fe4ff75f0.us-east-1.aws.found.io/app/kibana#/discover/Steve-Slow-Train-Analysis-(2080s-and-2083s)?_g=(refreshInterval:(display:Off,pause:!f,section:0,value:0),time:(from:'2017-10-22T06:05:50-0600',mode:absolute,to:'2017-10-22T08:23:39-0600'))&amp;_a=(columns:!('Message%20ID',Summary),filters:!(),index:'emp_*',interval:auto,query:(query_string:(analyze_wildcard:!t,query:'%22rtdc.l.rtdc.4016%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736</v>
      </c>
      <c r="B163" s="7">
        <v>4015</v>
      </c>
      <c r="C163" s="21" t="s">
        <v>194</v>
      </c>
      <c r="D163" s="21" t="s">
        <v>922</v>
      </c>
      <c r="E163" s="13">
        <v>43030.309247685182</v>
      </c>
      <c r="F163" s="13">
        <v>43030.322025462963</v>
      </c>
      <c r="G163" s="7">
        <v>158</v>
      </c>
      <c r="H163" s="21" t="s">
        <v>923</v>
      </c>
      <c r="I163" s="13">
        <v>43030.329884259256</v>
      </c>
      <c r="J163" s="7">
        <v>0</v>
      </c>
      <c r="K163" s="89" t="str">
        <f>IF(ISEVEN(B163),(B163-1)&amp;"/"&amp;B163,B163&amp;"/"&amp;(B163+1))</f>
        <v>4015/4016</v>
      </c>
      <c r="L163" s="185" t="str">
        <f>VLOOKUP(A163,'Trips&amp;Operators'!$C$1:$G$99911,5,FALSE)</f>
        <v>MACDONALD THOMAS</v>
      </c>
      <c r="M163" s="6">
        <f>I163-F163</f>
        <v>7.8587962925666943E-3</v>
      </c>
      <c r="N163" s="7">
        <f>24*60*SUM($M163:$M163)</f>
        <v>11.31666666129604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-22T06:25:19-0600',mode:absolute,to:'2017-10-22T08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5.8581000000000003</v>
      </c>
      <c r="Z163" s="204">
        <f>RIGHT(H163,LEN(H163)-4)/10000</f>
        <v>7.7100000000000002E-2</v>
      </c>
      <c r="AA163" s="204">
        <f>ABS(Z163-Y163)</f>
        <v>5.7810000000000006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1804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/stypes="app*4015*20171022*" /stext=" 13:.+((SYSTEM_STATE.+slice.+state.+changed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6"/>
        <v>"%USERPROFILE%\Documents\GitHub\eaglep3\Utilities\RefineRTDCRunTimes.py" --tripid 1804-22 --locoid 4015 --swversion DE.1.0.9.0 --startMP 300:58581 --initTime 2017-10-22T07:25:19 --startdatetime 2017-10-22T07:43:43 --delay 158 --endMP 204:771 --enddatetime 2017-10-22T07:55:02 --enforcementcount 0 &gt;&gt;%USERPROFILE%\Documents\GitHub\eaglep3-reporting\EC\2017-10-22-refined-times.txt</v>
      </c>
      <c r="AI163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{"issue":{"subject":"","project_id":79,"tracker_id":40,"status_id":1,"priority_id":2,"assigned_to_id":338,"start_date":"2017-10-22","description":"","custom_fields":[{"id":1,"name":"Subdivision","value":"NW"},{"id":4,"name":"Milepost","value":"0.0771"},{"id":17,"name":"Train ID","value":"1804-22"},{"id":16,"name":"Locomotive ID","value":"4015"},{"id":130,"name":"Impact","value":""},{"id":150,"name":"Time of Event (Mountain Time)","value":"07:55:02"},{"id":151,"name":"Denver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8"/>
        <v>start /low /b %USERPROFILE%\Documents\GitHub\eaglep3\Utilities\DownloadLogsFromS3.py --loco 4015 --day 2017-10-22</v>
      </c>
      <c r="AN163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30"/>
        <v>https://d0f6bd738d7f1b3e5a7ca70fe4ff75f0.us-east-1.aws.found.io/app/kibana#/discover/Steve-Slow-Train-Analysis-(2080s-and-2083s)?_g=(refreshInterval:(display:Off,pause:!f,section:0,value:0),time:(from:'2017-10-22T06:25:19-0600',mode:absolute,to:'2017-10-22T08:55:02-0600'))&amp;_a=(columns:!('Message%20ID',Summary),filters:!(),index:'emp_*',interval:auto,query:(query_string:(analyze_wildcard:!t,query:'%22rtdc.l.rtdc.4015%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741</v>
      </c>
      <c r="B164" s="7">
        <v>4016</v>
      </c>
      <c r="C164" s="21" t="s">
        <v>194</v>
      </c>
      <c r="D164" s="21" t="s">
        <v>924</v>
      </c>
      <c r="E164" s="13">
        <v>43030.339467592596</v>
      </c>
      <c r="F164" s="13">
        <v>43030.340462962966</v>
      </c>
      <c r="G164" s="7">
        <v>53</v>
      </c>
      <c r="H164" s="21" t="s">
        <v>925</v>
      </c>
      <c r="I164" s="13">
        <v>43030.350624999999</v>
      </c>
      <c r="J164" s="7">
        <v>0</v>
      </c>
      <c r="K164" s="89" t="str">
        <f>IF(ISEVEN(B164),(B164-1)&amp;"/"&amp;B164,B164&amp;"/"&amp;(B164+1))</f>
        <v>4015/4016</v>
      </c>
      <c r="L164" s="185" t="str">
        <f>VLOOKUP(A164,'Trips&amp;Operators'!$C$1:$G$99911,5,FALSE)</f>
        <v>MACDONALD THOMAS</v>
      </c>
      <c r="M164" s="6">
        <f>I164-F164</f>
        <v>1.0162037033296656E-2</v>
      </c>
      <c r="N164" s="7">
        <f>24*60*SUM($M164:$M164)</f>
        <v>14.633333327947184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-22T07:08:50-0600',mode:absolute,to:'2017-10-22T09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0.10630000000000001</v>
      </c>
      <c r="Z164" s="204">
        <f>RIGHT(H164,LEN(H164)-4)/10000</f>
        <v>5.8905000000000003</v>
      </c>
      <c r="AA164" s="204">
        <f>ABS(Z164-Y164)</f>
        <v>5.7842000000000002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1805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/stypes="app*4016*20171022*" /stext=" 14:.+((SYSTEM_STATE.+slice.+state.+changed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6"/>
        <v>"%USERPROFILE%\Documents\GitHub\eaglep3\Utilities\RefineRTDCRunTimes.py" --tripid 1805-22 --locoid 4016 --swversion DE.1.0.9.0 --startMP 204:1063 --initTime 2017-10-22T08:08:50 --startdatetime 2017-10-22T08:10:16 --delay 53 --endMP 300:58905 --enddatetime 2017-10-22T08:24:54 --enforcementcount 0 &gt;&gt;%USERPROFILE%\Documents\GitHub\eaglep3-reporting\EC\2017-10-22-refined-times.txt</v>
      </c>
      <c r="AI164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{"issue":{"subject":"","project_id":79,"tracker_id":40,"status_id":1,"priority_id":2,"assigned_to_id":338,"start_date":"2017-10-22","description":"","custom_fields":[{"id":1,"name":"Subdivision","value":"NW"},{"id":4,"name":"Milepost","value":"5.8905"},{"id":17,"name":"Train ID","value":"1805-22"},{"id":16,"name":"Locomotive ID","value":"4016"},{"id":130,"name":"Impact","value":""},{"id":150,"name":"Time of Event (Mountain Time)","value":"08:24:54"},{"id":151,"name":"Denver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8"/>
        <v>start /low /b %USERPROFILE%\Documents\GitHub\eaglep3\Utilities\DownloadLogsFromS3.py --loco 4016 --day 2017-10-22</v>
      </c>
      <c r="AN164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30"/>
        <v>https://d0f6bd738d7f1b3e5a7ca70fe4ff75f0.us-east-1.aws.found.io/app/kibana#/discover/Steve-Slow-Train-Analysis-(2080s-and-2083s)?_g=(refreshInterval:(display:Off,pause:!f,section:0,value:0),time:(from:'2017-10-22T07:08:50-0600',mode:absolute,to:'2017-10-22T09:24:54-0600'))&amp;_a=(columns:!('Message%20ID',Summary),filters:!(),index:'emp_*',interval:auto,query:(query_string:(analyze_wildcard:!t,query:'%22rtdc.l.rtdc.4016%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744</v>
      </c>
      <c r="B165" s="7">
        <v>4015</v>
      </c>
      <c r="C165" s="21" t="s">
        <v>194</v>
      </c>
      <c r="D165" s="21" t="s">
        <v>926</v>
      </c>
      <c r="E165" s="13">
        <v>43030.351319444446</v>
      </c>
      <c r="F165" s="13">
        <v>43030.363344907404</v>
      </c>
      <c r="G165" s="7">
        <v>44</v>
      </c>
      <c r="H165" s="21" t="s">
        <v>927</v>
      </c>
      <c r="I165" s="13">
        <v>43030.371793981481</v>
      </c>
      <c r="J165" s="7">
        <v>0</v>
      </c>
      <c r="K165" s="89" t="str">
        <f>IF(ISEVEN(B165),(B165-1)&amp;"/"&amp;B165,B165&amp;"/"&amp;(B165+1))</f>
        <v>4015/4016</v>
      </c>
      <c r="L165" s="185" t="str">
        <f>VLOOKUP(A165,'Trips&amp;Operators'!$C$1:$G$99911,5,FALSE)</f>
        <v>MACDONALD THOMAS</v>
      </c>
      <c r="M165" s="6">
        <f>I165-F165</f>
        <v>8.449074077361729E-3</v>
      </c>
      <c r="N165" s="7">
        <f>24*60*SUM($M165:$M165)</f>
        <v>12.16666667140089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-22T07:25:54-0600',mode:absolute,to:'2017-10-22T09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5.8585000000000003</v>
      </c>
      <c r="Z165" s="204">
        <f>RIGHT(H165,LEN(H165)-4)/10000</f>
        <v>7.6600000000000001E-2</v>
      </c>
      <c r="AA165" s="204">
        <f>ABS(Z165-Y165)</f>
        <v>5.7819000000000003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1806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/stypes="app*4015*20171022*" /stext=" 14:.+((SYSTEM_STATE.+slice.+state.+changed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6"/>
        <v>"%USERPROFILE%\Documents\GitHub\eaglep3\Utilities\RefineRTDCRunTimes.py" --tripid 1806-22 --locoid 4015 --swversion DE.1.0.9.0 --startMP 300:58585 --initTime 2017-10-22T08:25:54 --startdatetime 2017-10-22T08:43:13 --delay 44 --endMP 204:766 --enddatetime 2017-10-22T08:55:23 --enforcementcount 0 &gt;&gt;%USERPROFILE%\Documents\GitHub\eaglep3-reporting\EC\2017-10-22-refined-times.txt</v>
      </c>
      <c r="AI165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{"issue":{"subject":"","project_id":79,"tracker_id":40,"status_id":1,"priority_id":2,"assigned_to_id":338,"start_date":"2017-10-22","description":"","custom_fields":[{"id":1,"name":"Subdivision","value":"NW"},{"id":4,"name":"Milepost","value":"0.0766"},{"id":17,"name":"Train ID","value":"1806-22"},{"id":16,"name":"Locomotive ID","value":"4015"},{"id":130,"name":"Impact","value":""},{"id":150,"name":"Time of Event (Mountain Time)","value":"08:55:23"},{"id":151,"name":"Denver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8"/>
        <v>start /low /b %USERPROFILE%\Documents\GitHub\eaglep3\Utilities\DownloadLogsFromS3.py --loco 4015 --day 2017-10-22</v>
      </c>
      <c r="AN165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14:55:23"},{"id":29,"name":"Sharepoint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30"/>
        <v>https://d0f6bd738d7f1b3e5a7ca70fe4ff75f0.us-east-1.aws.found.io/app/kibana#/discover/Steve-Slow-Train-Analysis-(2080s-and-2083s)?_g=(refreshInterval:(display:Off,pause:!f,section:0,value:0),time:(from:'2017-10-22T07:25:54-0600',mode:absolute,to:'2017-10-22T09:55:23-0600'))&amp;_a=(columns:!('Message%20ID',Summary),filters:!(),index:'emp_*',interval:auto,query:(query_string:(analyze_wildcard:!t,query:'%22rtdc.l.rtdc.4015%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750</v>
      </c>
      <c r="B166" s="7">
        <v>4016</v>
      </c>
      <c r="C166" s="21" t="s">
        <v>194</v>
      </c>
      <c r="D166" s="21" t="s">
        <v>928</v>
      </c>
      <c r="E166" s="13">
        <v>43030.380462962959</v>
      </c>
      <c r="F166" s="13">
        <v>43030.381562499999</v>
      </c>
      <c r="G166" s="7">
        <v>54</v>
      </c>
      <c r="H166" s="21" t="s">
        <v>632</v>
      </c>
      <c r="I166" s="13">
        <v>43030.391018518516</v>
      </c>
      <c r="J166" s="7">
        <v>0</v>
      </c>
      <c r="K166" s="89" t="str">
        <f>IF(ISEVEN(B166),(B166-1)&amp;"/"&amp;B166,B166&amp;"/"&amp;(B166+1))</f>
        <v>4015/4016</v>
      </c>
      <c r="L166" s="185" t="str">
        <f>VLOOKUP(A166,'Trips&amp;Operators'!$C$1:$G$99911,5,FALSE)</f>
        <v>MACDONALD THOMAS</v>
      </c>
      <c r="M166" s="6">
        <f>I166-F166</f>
        <v>9.4560185170848854E-3</v>
      </c>
      <c r="N166" s="7">
        <f>24*60*SUM($M166:$M166)</f>
        <v>13.616666664602235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-22T08:07:52-0600',mode:absolute,to:'2017-10-22T10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0.10829999999999999</v>
      </c>
      <c r="Z166" s="204">
        <f>RIGHT(H166,LEN(H166)-4)/10000</f>
        <v>5.8935000000000004</v>
      </c>
      <c r="AA166" s="204">
        <f>ABS(Z166-Y166)</f>
        <v>5.7852000000000006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1807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/stypes="app*4016*20171022*" /stext=" 15:.+((SYSTEM_STATE.+slice.+state.+changed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6"/>
        <v>"%USERPROFILE%\Documents\GitHub\eaglep3\Utilities\RefineRTDCRunTimes.py" --tripid 1807-22 --locoid 4016 --swversion DE.1.0.9.0 --startMP 204:1083 --initTime 2017-10-22T09:07:52 --startdatetime 2017-10-22T09:09:27 --delay 54 --endMP 300:58935 --enddatetime 2017-10-22T09:23:04 --enforcementcount 0 &gt;&gt;%USERPROFILE%\Documents\GitHub\eaglep3-reporting\EC\2017-10-22-refined-times.txt</v>
      </c>
      <c r="AI166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{"issue":{"subject":"","project_id":79,"tracker_id":40,"status_id":1,"priority_id":2,"assigned_to_id":338,"start_date":"2017-10-22","description":"","custom_fields":[{"id":1,"name":"Subdivision","value":"NW"},{"id":4,"name":"Milepost","value":"5.8935"},{"id":17,"name":"Train ID","value":"1807-22"},{"id":16,"name":"Locomotive ID","value":"4016"},{"id":130,"name":"Impact","value":""},{"id":150,"name":"Time of Event (Mountain Time)","value":"09:23:04"},{"id":151,"name":"Denver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8"/>
        <v>start /low /b %USERPROFILE%\Documents\GitHub\eaglep3\Utilities\DownloadLogsFromS3.py --loco 4016 --day 2017-10-22</v>
      </c>
      <c r="AN166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30"/>
        <v>https://d0f6bd738d7f1b3e5a7ca70fe4ff75f0.us-east-1.aws.found.io/app/kibana#/discover/Steve-Slow-Train-Analysis-(2080s-and-2083s)?_g=(refreshInterval:(display:Off,pause:!f,section:0,value:0),time:(from:'2017-10-22T08:07:52-0600',mode:absolute,to:'2017-10-22T10:23:04-0600'))&amp;_a=(columns:!('Message%20ID',Summary),filters:!(),index:'emp_*',interval:auto,query:(query_string:(analyze_wildcard:!t,query:'%22rtdc.l.rtdc.4016%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753</v>
      </c>
      <c r="B167" s="7">
        <v>4015</v>
      </c>
      <c r="C167" s="21" t="s">
        <v>194</v>
      </c>
      <c r="D167" s="21" t="s">
        <v>501</v>
      </c>
      <c r="E167" s="13">
        <v>43030.391643518517</v>
      </c>
      <c r="F167" s="13">
        <v>43030.405347222222</v>
      </c>
      <c r="G167" s="7">
        <v>64</v>
      </c>
      <c r="H167" s="21" t="s">
        <v>633</v>
      </c>
      <c r="I167" s="13">
        <v>43030.413171296299</v>
      </c>
      <c r="J167" s="7">
        <v>0</v>
      </c>
      <c r="K167" s="89" t="str">
        <f>IF(ISEVEN(B167),(B167-1)&amp;"/"&amp;B167,B167&amp;"/"&amp;(B167+1))</f>
        <v>4015/4016</v>
      </c>
      <c r="L167" s="185" t="str">
        <f>VLOOKUP(A167,'Trips&amp;Operators'!$C$1:$G$99911,5,FALSE)</f>
        <v>MACDONALD THOMAS</v>
      </c>
      <c r="M167" s="6">
        <f>I167-F167</f>
        <v>7.8240740767796524E-3</v>
      </c>
      <c r="N167" s="7">
        <f>24*60*SUM($M167:$M167)</f>
        <v>11.266666670562699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-22T08:23:58-0600',mode:absolute,to:'2017-10-22T10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5.8615000000000004</v>
      </c>
      <c r="Z167" s="204">
        <f>RIGHT(H167,LEN(H167)-4)/10000</f>
        <v>7.1999999999999995E-2</v>
      </c>
      <c r="AA167" s="204">
        <f>ABS(Z167-Y167)</f>
        <v>5.7895000000000003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1808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/stypes="app*4015*20171022*" /stext=" 15:.+((SYSTEM_STATE.+slice.+state.+changed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6"/>
        <v>"%USERPROFILE%\Documents\GitHub\eaglep3\Utilities\RefineRTDCRunTimes.py" --tripid 1808-22 --locoid 4015 --swversion DE.1.0.9.0 --startMP 300:58615 --initTime 2017-10-22T09:23:58 --startdatetime 2017-10-22T09:43:42 --delay 64 --endMP 204:720 --enddatetime 2017-10-22T09:54:58 --enforcementcount 0 &gt;&gt;%USERPROFILE%\Documents\GitHub\eaglep3-reporting\EC\2017-10-22-refined-times.txt</v>
      </c>
      <c r="AI167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{"issue":{"subject":"","project_id":79,"tracker_id":40,"status_id":1,"priority_id":2,"assigned_to_id":338,"start_date":"2017-10-22","description":"","custom_fields":[{"id":1,"name":"Subdivision","value":"NW"},{"id":4,"name":"Milepost","value":"0.072"},{"id":17,"name":"Train ID","value":"1808-22"},{"id":16,"name":"Locomotive ID","value":"4015"},{"id":130,"name":"Impact","value":""},{"id":150,"name":"Time of Event (Mountain Time)","value":"09:54:58"},{"id":151,"name":"Denver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8"/>
        <v>start /low /b %USERPROFILE%\Documents\GitHub\eaglep3\Utilities\DownloadLogsFromS3.py --loco 4015 --day 2017-10-22</v>
      </c>
      <c r="AN167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15:54:58"},{"id":29,"name":"Sharepoint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30"/>
        <v>https://d0f6bd738d7f1b3e5a7ca70fe4ff75f0.us-east-1.aws.found.io/app/kibana#/discover/Steve-Slow-Train-Analysis-(2080s-and-2083s)?_g=(refreshInterval:(display:Off,pause:!f,section:0,value:0),time:(from:'2017-10-22T08:23:58-0600',mode:absolute,to:'2017-10-22T10:54:58-0600'))&amp;_a=(columns:!('Message%20ID',Summary),filters:!(),index:'emp_*',interval:auto,query:(query_string:(analyze_wildcard:!t,query:'%22rtdc.l.rtdc.4015%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647</v>
      </c>
      <c r="B168" s="7">
        <v>4016</v>
      </c>
      <c r="C168" s="21" t="s">
        <v>194</v>
      </c>
      <c r="D168" s="21" t="s">
        <v>929</v>
      </c>
      <c r="E168" s="13">
        <v>43030.422395833331</v>
      </c>
      <c r="F168" s="13">
        <v>43030.423634259256</v>
      </c>
      <c r="G168" s="7">
        <v>62</v>
      </c>
      <c r="H168" s="21" t="s">
        <v>930</v>
      </c>
      <c r="I168" s="13">
        <v>43030.433564814812</v>
      </c>
      <c r="J168" s="7">
        <v>0</v>
      </c>
      <c r="K168" s="89" t="str">
        <f>IF(ISEVEN(B168),(B168-1)&amp;"/"&amp;B168,B168&amp;"/"&amp;(B168+1))</f>
        <v>4015/4016</v>
      </c>
      <c r="L168" s="185" t="str">
        <f>VLOOKUP(A168,'Trips&amp;Operators'!$C$1:$G$99911,5,FALSE)</f>
        <v>MACDONALD THOMAS</v>
      </c>
      <c r="M168" s="6">
        <f>I168-F168</f>
        <v>9.930555555911269E-3</v>
      </c>
      <c r="N168" s="7">
        <f>24*60*SUM($M168:$M168)</f>
        <v>14.300000000512227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-22T09:08:15-0600',mode:absolute,to:'2017-10-22T11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9.9500000000000005E-2</v>
      </c>
      <c r="Z168" s="204">
        <f>RIGHT(H168,LEN(H168)-4)/10000</f>
        <v>5.8928000000000003</v>
      </c>
      <c r="AA168" s="204">
        <f>ABS(Z168-Y168)</f>
        <v>5.7933000000000003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1809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/stypes="app*4016*20171022*" /stext=" 16:.+((SYSTEM_STATE.+slice.+state.+changed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6"/>
        <v>"%USERPROFILE%\Documents\GitHub\eaglep3\Utilities\RefineRTDCRunTimes.py" --tripid 1809-22 --locoid 4016 --swversion DE.1.0.9.0 --startMP 204:995 --initTime 2017-10-22T10:08:15 --startdatetime 2017-10-22T10:10:02 --delay 62 --endMP 300:58928 --enddatetime 2017-10-22T10:24:20 --enforcementcount 0 &gt;&gt;%USERPROFILE%\Documents\GitHub\eaglep3-reporting\EC\2017-10-22-refined-times.txt</v>
      </c>
      <c r="AI168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{"issue":{"subject":"","project_id":79,"tracker_id":40,"status_id":1,"priority_id":2,"assigned_to_id":338,"start_date":"2017-10-22","description":"","custom_fields":[{"id":1,"name":"Subdivision","value":"NW"},{"id":4,"name":"Milepost","value":"5.8928"},{"id":17,"name":"Train ID","value":"1809-22"},{"id":16,"name":"Locomotive ID","value":"4016"},{"id":130,"name":"Impact","value":""},{"id":150,"name":"Time of Event (Mountain Time)","value":"10:24:20"},{"id":151,"name":"Denver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8"/>
        <v>start /low /b %USERPROFILE%\Documents\GitHub\eaglep3\Utilities\DownloadLogsFromS3.py --loco 4016 --day 2017-10-22</v>
      </c>
      <c r="AN168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30"/>
        <v>https://d0f6bd738d7f1b3e5a7ca70fe4ff75f0.us-east-1.aws.found.io/app/kibana#/discover/Steve-Slow-Train-Analysis-(2080s-and-2083s)?_g=(refreshInterval:(display:Off,pause:!f,section:0,value:0),time:(from:'2017-10-22T09:08:15-0600',mode:absolute,to:'2017-10-22T11:24:20-0600'))&amp;_a=(columns:!('Message%20ID',Summary),filters:!(),index:'emp_*',interval:auto,query:(query_string:(analyze_wildcard:!t,query:'%22rtdc.l.rtdc.4016%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649</v>
      </c>
      <c r="B169" s="7">
        <v>4015</v>
      </c>
      <c r="C169" s="21" t="s">
        <v>194</v>
      </c>
      <c r="D169" s="21" t="s">
        <v>636</v>
      </c>
      <c r="E169" s="13">
        <v>43030.434236111112</v>
      </c>
      <c r="F169" s="13">
        <v>43030.447002314817</v>
      </c>
      <c r="G169" s="7">
        <v>48</v>
      </c>
      <c r="H169" s="21" t="s">
        <v>931</v>
      </c>
      <c r="I169" s="13">
        <v>43030.455740740741</v>
      </c>
      <c r="J169" s="7">
        <v>0</v>
      </c>
      <c r="K169" s="89" t="str">
        <f>IF(ISEVEN(B169),(B169-1)&amp;"/"&amp;B169,B169&amp;"/"&amp;(B169+1))</f>
        <v>4015/4016</v>
      </c>
      <c r="L169" s="185" t="str">
        <f>VLOOKUP(A169,'Trips&amp;Operators'!$C$1:$G$99911,5,FALSE)</f>
        <v>MACDONALD THOMAS</v>
      </c>
      <c r="M169" s="6">
        <f>I169-F169</f>
        <v>8.7384259240934625E-3</v>
      </c>
      <c r="N169" s="7">
        <f>24*60*SUM($M169:$M169)</f>
        <v>12.583333330694586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-22T09:25:18-0600',mode:absolute,to:'2017-10-22T11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5.8624000000000001</v>
      </c>
      <c r="Z169" s="204">
        <f>RIGHT(H169,LEN(H169)-4)/10000</f>
        <v>7.5499999999999998E-2</v>
      </c>
      <c r="AA169" s="204">
        <f>ABS(Z169-Y169)</f>
        <v>5.7869000000000002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1810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/stypes="app*4015*20171022*" /stext=" 16:.+((SYSTEM_STATE.+slice.+state.+changed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6"/>
        <v>"%USERPROFILE%\Documents\GitHub\eaglep3\Utilities\RefineRTDCRunTimes.py" --tripid 1810-22 --locoid 4015 --swversion DE.1.0.9.0 --startMP 300:58624 --initTime 2017-10-22T10:25:18 --startdatetime 2017-10-22T10:43:41 --delay 48 --endMP 204:755 --enddatetime 2017-10-22T10:56:16 --enforcementcount 0 &gt;&gt;%USERPROFILE%\Documents\GitHub\eaglep3-reporting\EC\2017-10-22-refined-times.txt</v>
      </c>
      <c r="AI169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{"issue":{"subject":"","project_id":79,"tracker_id":40,"status_id":1,"priority_id":2,"assigned_to_id":338,"start_date":"2017-10-22","description":"","custom_fields":[{"id":1,"name":"Subdivision","value":"NW"},{"id":4,"name":"Milepost","value":"0.0755"},{"id":17,"name":"Train ID","value":"1810-22"},{"id":16,"name":"Locomotive ID","value":"4015"},{"id":130,"name":"Impact","value":""},{"id":150,"name":"Time of Event (Mountain Time)","value":"10:56:16"},{"id":151,"name":"Denver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8"/>
        <v>start /low /b %USERPROFILE%\Documents\GitHub\eaglep3\Utilities\DownloadLogsFromS3.py --loco 4015 --day 2017-10-22</v>
      </c>
      <c r="AN169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16:56:16"},{"id":29,"name":"Sharepoint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30"/>
        <v>https://d0f6bd738d7f1b3e5a7ca70fe4ff75f0.us-east-1.aws.found.io/app/kibana#/discover/Steve-Slow-Train-Analysis-(2080s-and-2083s)?_g=(refreshInterval:(display:Off,pause:!f,section:0,value:0),time:(from:'2017-10-22T09:25:18-0600',mode:absolute,to:'2017-10-22T11:56:16-0600'))&amp;_a=(columns:!('Message%20ID',Summary),filters:!(),index:'emp_*',interval:auto,query:(query_string:(analyze_wildcard:!t,query:'%22rtdc.l.rtdc.4015%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766</v>
      </c>
      <c r="B170" s="7">
        <v>4016</v>
      </c>
      <c r="C170" s="21" t="s">
        <v>194</v>
      </c>
      <c r="D170" s="21" t="s">
        <v>932</v>
      </c>
      <c r="E170" s="13">
        <v>43030.463275462964</v>
      </c>
      <c r="F170" s="13">
        <v>43030.464872685188</v>
      </c>
      <c r="G170" s="7">
        <v>51</v>
      </c>
      <c r="H170" s="21" t="s">
        <v>933</v>
      </c>
      <c r="I170" s="13">
        <v>43030.476018518515</v>
      </c>
      <c r="J170" s="7">
        <v>0</v>
      </c>
      <c r="K170" s="89" t="str">
        <f>IF(ISEVEN(B170),(B170-1)&amp;"/"&amp;B170,B170&amp;"/"&amp;(B170+1))</f>
        <v>4015/4016</v>
      </c>
      <c r="L170" s="185" t="str">
        <f>VLOOKUP(A170,'Trips&amp;Operators'!$C$1:$G$99911,5,FALSE)</f>
        <v>MACDONALD THOMAS</v>
      </c>
      <c r="M170" s="6">
        <f>I170-F170</f>
        <v>1.1145833326736465E-2</v>
      </c>
      <c r="N170" s="7">
        <f>24*60*SUM($M170:$M170)</f>
        <v>16.04999999050051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-22T10:07:07-0600',mode:absolute,to:'2017-10-22T12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0.1048</v>
      </c>
      <c r="Z170" s="204">
        <f>RIGHT(H170,LEN(H170)-4)/10000</f>
        <v>5.8920000000000003</v>
      </c>
      <c r="AA170" s="204">
        <f>ABS(Z170-Y170)</f>
        <v>5.7872000000000003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1811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/stypes="app*4016*20171022*" /stext=" 17:.+((SYSTEM_STATE.+slice.+state.+changed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6"/>
        <v>"%USERPROFILE%\Documents\GitHub\eaglep3\Utilities\RefineRTDCRunTimes.py" --tripid 1811-22 --locoid 4016 --swversion DE.1.0.9.0 --startMP 204:1048 --initTime 2017-10-22T11:07:07 --startdatetime 2017-10-22T11:09:25 --delay 51 --endMP 300:58920 --enddatetime 2017-10-22T11:25:28 --enforcementcount 0 &gt;&gt;%USERPROFILE%\Documents\GitHub\eaglep3-reporting\EC\2017-10-22-refined-times.txt</v>
      </c>
      <c r="AI170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{"issue":{"subject":"","project_id":79,"tracker_id":40,"status_id":1,"priority_id":2,"assigned_to_id":338,"start_date":"2017-10-22","description":"","custom_fields":[{"id":1,"name":"Subdivision","value":"NW"},{"id":4,"name":"Milepost","value":"5.892"},{"id":17,"name":"Train ID","value":"1811-22"},{"id":16,"name":"Locomotive ID","value":"4016"},{"id":130,"name":"Impact","value":""},{"id":150,"name":"Time of Event (Mountain Time)","value":"11:25:28"},{"id":151,"name":"Denver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8"/>
        <v>start /low /b %USERPROFILE%\Documents\GitHub\eaglep3\Utilities\DownloadLogsFromS3.py --loco 4016 --day 2017-10-22</v>
      </c>
      <c r="AN170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30"/>
        <v>https://d0f6bd738d7f1b3e5a7ca70fe4ff75f0.us-east-1.aws.found.io/app/kibana#/discover/Steve-Slow-Train-Analysis-(2080s-and-2083s)?_g=(refreshInterval:(display:Off,pause:!f,section:0,value:0),time:(from:'2017-10-22T10:07:07-0600',mode:absolute,to:'2017-10-22T12:25:28-0600'))&amp;_a=(columns:!('Message%20ID',Summary),filters:!(),index:'emp_*',interval:auto,query:(query_string:(analyze_wildcard:!t,query:'%22rtdc.l.rtdc.4016%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772</v>
      </c>
      <c r="B171" s="7">
        <v>4015</v>
      </c>
      <c r="C171" s="21" t="s">
        <v>194</v>
      </c>
      <c r="D171" s="21" t="s">
        <v>934</v>
      </c>
      <c r="E171" s="13">
        <v>43030.477407407408</v>
      </c>
      <c r="F171" s="13">
        <v>43030.488449074073</v>
      </c>
      <c r="G171" s="7">
        <v>59</v>
      </c>
      <c r="H171" s="21" t="s">
        <v>935</v>
      </c>
      <c r="I171" s="13">
        <v>43030.497083333335</v>
      </c>
      <c r="J171" s="7">
        <v>0</v>
      </c>
      <c r="K171" s="89" t="str">
        <f>IF(ISEVEN(B171),(B171-1)&amp;"/"&amp;B171,B171&amp;"/"&amp;(B171+1))</f>
        <v>4015/4016</v>
      </c>
      <c r="L171" s="185" t="str">
        <f>VLOOKUP(A171,'Trips&amp;Operators'!$C$1:$G$99911,5,FALSE)</f>
        <v>MACDONALD THOMAS</v>
      </c>
      <c r="M171" s="6">
        <f>I171-F171</f>
        <v>8.6342592621804215E-3</v>
      </c>
      <c r="N171" s="7">
        <f>24*60*SUM($M171:$M171)</f>
        <v>12.433333337539807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-22T10:27:28-0600',mode:absolute,to:'2017-10-22T12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5.8596000000000004</v>
      </c>
      <c r="Z171" s="204">
        <f>RIGHT(H171,LEN(H171)-4)/10000</f>
        <v>7.2900000000000006E-2</v>
      </c>
      <c r="AA171" s="204">
        <f>ABS(Z171-Y171)</f>
        <v>5.7867000000000006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1812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/stypes="app*4015*20171022*" /stext=" 17:.+((SYSTEM_STATE.+slice.+state.+changed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6"/>
        <v>"%USERPROFILE%\Documents\GitHub\eaglep3\Utilities\RefineRTDCRunTimes.py" --tripid 1812-22 --locoid 4015 --swversion DE.1.0.9.0 --startMP 300:58596 --initTime 2017-10-22T11:27:28 --startdatetime 2017-10-22T11:43:22 --delay 59 --endMP 204:729 --enddatetime 2017-10-22T11:55:48 --enforcementcount 0 &gt;&gt;%USERPROFILE%\Documents\GitHub\eaglep3-reporting\EC\2017-10-22-refined-times.txt</v>
      </c>
      <c r="AI171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{"issue":{"subject":"","project_id":79,"tracker_id":40,"status_id":1,"priority_id":2,"assigned_to_id":338,"start_date":"2017-10-22","description":"","custom_fields":[{"id":1,"name":"Subdivision","value":"NW"},{"id":4,"name":"Milepost","value":"0.0729"},{"id":17,"name":"Train ID","value":"1812-22"},{"id":16,"name":"Locomotive ID","value":"4015"},{"id":130,"name":"Impact","value":""},{"id":150,"name":"Time of Event (Mountain Time)","value":"11:55:48"},{"id":151,"name":"Denver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8"/>
        <v>start /low /b %USERPROFILE%\Documents\GitHub\eaglep3\Utilities\DownloadLogsFromS3.py --loco 4015 --day 2017-10-22</v>
      </c>
      <c r="AN171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30"/>
        <v>https://d0f6bd738d7f1b3e5a7ca70fe4ff75f0.us-east-1.aws.found.io/app/kibana#/discover/Steve-Slow-Train-Analysis-(2080s-and-2083s)?_g=(refreshInterval:(display:Off,pause:!f,section:0,value:0),time:(from:'2017-10-22T10:27:28-0600',mode:absolute,to:'2017-10-22T12:55:48-0600'))&amp;_a=(columns:!('Message%20ID',Summary),filters:!(),index:'emp_*',interval:auto,query:(query_string:(analyze_wildcard:!t,query:'%22rtdc.l.rtdc.4015%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782</v>
      </c>
      <c r="B172" s="7">
        <v>4016</v>
      </c>
      <c r="C172" s="21" t="s">
        <v>194</v>
      </c>
      <c r="D172" s="21" t="s">
        <v>936</v>
      </c>
      <c r="E172" s="13">
        <v>43030.505185185182</v>
      </c>
      <c r="F172" s="13">
        <v>43030.506874999999</v>
      </c>
      <c r="G172" s="7">
        <v>54</v>
      </c>
      <c r="H172" s="21" t="s">
        <v>918</v>
      </c>
      <c r="I172" s="13">
        <v>43030.51635416667</v>
      </c>
      <c r="J172" s="7">
        <v>0</v>
      </c>
      <c r="K172" s="89" t="str">
        <f>IF(ISEVEN(B172),(B172-1)&amp;"/"&amp;B172,B172&amp;"/"&amp;(B172+1))</f>
        <v>4015/4016</v>
      </c>
      <c r="L172" s="185" t="str">
        <f>VLOOKUP(A172,'Trips&amp;Operators'!$C$1:$G$99911,5,FALSE)</f>
        <v>MACDONALD THOMAS</v>
      </c>
      <c r="M172" s="6">
        <f>I172-F172</f>
        <v>9.4791666706441902E-3</v>
      </c>
      <c r="N172" s="7">
        <f>24*60*SUM($M172:$M172)</f>
        <v>13.650000005727634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-22T11:07:28-0600',mode:absolute,to:'2017-10-22T13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0.10489999999999999</v>
      </c>
      <c r="Z172" s="204">
        <f>RIGHT(H172,LEN(H172)-4)/10000</f>
        <v>5.8912000000000004</v>
      </c>
      <c r="AA172" s="204">
        <f>ABS(Z172-Y172)</f>
        <v>5.7863000000000007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1813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/stypes="app*4016*20171022*" /stext=" 18:.+((SYSTEM_STATE.+slice.+state.+changed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6"/>
        <v>"%USERPROFILE%\Documents\GitHub\eaglep3\Utilities\RefineRTDCRunTimes.py" --tripid 1813-22 --locoid 4016 --swversion DE.1.0.9.0 --startMP 204:1049 --initTime 2017-10-22T12:07:28 --startdatetime 2017-10-22T12:09:54 --delay 54 --endMP 300:58912 --enddatetime 2017-10-22T12:23:33 --enforcementcount 0 &gt;&gt;%USERPROFILE%\Documents\GitHub\eaglep3-reporting\EC\2017-10-22-refined-times.txt</v>
      </c>
      <c r="AI172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{"issue":{"subject":"","project_id":79,"tracker_id":40,"status_id":1,"priority_id":2,"assigned_to_id":338,"start_date":"2017-10-22","description":"","custom_fields":[{"id":1,"name":"Subdivision","value":"NW"},{"id":4,"name":"Milepost","value":"5.8912"},{"id":17,"name":"Train ID","value":"1813-22"},{"id":16,"name":"Locomotive ID","value":"4016"},{"id":130,"name":"Impact","value":""},{"id":150,"name":"Time of Event (Mountain Time)","value":"12:23:33"},{"id":151,"name":"Denver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8"/>
        <v>start /low /b %USERPROFILE%\Documents\GitHub\eaglep3\Utilities\DownloadLogsFromS3.py --loco 4016 --day 2017-10-22</v>
      </c>
      <c r="AN172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30"/>
        <v>https://d0f6bd738d7f1b3e5a7ca70fe4ff75f0.us-east-1.aws.found.io/app/kibana#/discover/Steve-Slow-Train-Analysis-(2080s-and-2083s)?_g=(refreshInterval:(display:Off,pause:!f,section:0,value:0),time:(from:'2017-10-22T11:07:28-0600',mode:absolute,to:'2017-10-22T13:23:33-0600'))&amp;_a=(columns:!('Message%20ID',Summary),filters:!(),index:'emp_*',interval:auto,query:(query_string:(analyze_wildcard:!t,query:'%22rtdc.l.rtdc.4016%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787</v>
      </c>
      <c r="B173" s="7">
        <v>4015</v>
      </c>
      <c r="C173" s="21" t="s">
        <v>194</v>
      </c>
      <c r="D173" s="21" t="s">
        <v>934</v>
      </c>
      <c r="E173" s="13">
        <v>43030.517129629632</v>
      </c>
      <c r="F173" s="13">
        <v>43030.530312499999</v>
      </c>
      <c r="G173" s="7">
        <v>72</v>
      </c>
      <c r="H173" s="21" t="s">
        <v>937</v>
      </c>
      <c r="I173" s="13">
        <v>43030.539872685185</v>
      </c>
      <c r="J173" s="7">
        <v>0</v>
      </c>
      <c r="K173" s="89" t="str">
        <f>IF(ISEVEN(B173),(B173-1)&amp;"/"&amp;B173,B173&amp;"/"&amp;(B173+1))</f>
        <v>4015/4016</v>
      </c>
      <c r="L173" s="185" t="str">
        <f>VLOOKUP(A173,'Trips&amp;Operators'!$C$1:$G$99911,5,FALSE)</f>
        <v>MACDONALD THOMAS</v>
      </c>
      <c r="M173" s="6">
        <f>I173-F173</f>
        <v>9.560185186273884E-3</v>
      </c>
      <c r="N173" s="7">
        <f>24*60*SUM($M173:$M173)</f>
        <v>13.766666668234393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-22T11:24:40-0600',mode:absolute,to:'2017-10-22T13:57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5.8596000000000004</v>
      </c>
      <c r="Z173" s="204">
        <f>RIGHT(H173,LEN(H173)-4)/10000</f>
        <v>7.0999999999999994E-2</v>
      </c>
      <c r="AA173" s="204">
        <f>ABS(Z173-Y173)</f>
        <v>5.7886000000000006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1814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/stypes="app*4015*20171022*" /stext=" 18:.+((SYSTEM_STATE.+slice.+state.+changed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6"/>
        <v>"%USERPROFILE%\Documents\GitHub\eaglep3\Utilities\RefineRTDCRunTimes.py" --tripid 1814-22 --locoid 4015 --swversion DE.1.0.9.0 --startMP 300:58596 --initTime 2017-10-22T12:24:40 --startdatetime 2017-10-22T12:43:39 --delay 72 --endMP 204:710 --enddatetime 2017-10-22T12:57:25 --enforcementcount 0 &gt;&gt;%USERPROFILE%\Documents\GitHub\eaglep3-reporting\EC\2017-10-22-refined-times.txt</v>
      </c>
      <c r="AI173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{"issue":{"subject":"","project_id":79,"tracker_id":40,"status_id":1,"priority_id":2,"assigned_to_id":338,"start_date":"2017-10-22","description":"","custom_fields":[{"id":1,"name":"Subdivision","value":"NW"},{"id":4,"name":"Milepost","value":"0.071"},{"id":17,"name":"Train ID","value":"1814-22"},{"id":16,"name":"Locomotive ID","value":"4015"},{"id":130,"name":"Impact","value":""},{"id":150,"name":"Time of Event (Mountain Time)","value":"12:57:25"},{"id":151,"name":"Denver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8"/>
        <v>start /low /b %USERPROFILE%\Documents\GitHub\eaglep3\Utilities\DownloadLogsFromS3.py --loco 4015 --day 2017-10-22</v>
      </c>
      <c r="AN173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18:57:25"},{"id":29,"name":"Sharepoint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30"/>
        <v>https://d0f6bd738d7f1b3e5a7ca70fe4ff75f0.us-east-1.aws.found.io/app/kibana#/discover/Steve-Slow-Train-Analysis-(2080s-and-2083s)?_g=(refreshInterval:(display:Off,pause:!f,section:0,value:0),time:(from:'2017-10-22T11:24:40-0600',mode:absolute,to:'2017-10-22T13:57:25-0600'))&amp;_a=(columns:!('Message%20ID',Summary),filters:!(),index:'emp_*',interval:auto,query:(query_string:(analyze_wildcard:!t,query:'%22rtdc.l.rtdc.4015%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793</v>
      </c>
      <c r="B174" s="7">
        <v>4016</v>
      </c>
      <c r="C174" s="21" t="s">
        <v>194</v>
      </c>
      <c r="D174" s="21" t="s">
        <v>938</v>
      </c>
      <c r="E174" s="13">
        <v>43030.547175925924</v>
      </c>
      <c r="F174" s="13">
        <v>43030.548738425925</v>
      </c>
      <c r="G174" s="7">
        <v>58</v>
      </c>
      <c r="H174" s="21" t="s">
        <v>939</v>
      </c>
      <c r="I174" s="13">
        <v>43030.557743055557</v>
      </c>
      <c r="J174" s="7">
        <v>0</v>
      </c>
      <c r="K174" s="89" t="str">
        <f>IF(ISEVEN(B174),(B174-1)&amp;"/"&amp;B174,B174&amp;"/"&amp;(B174+1))</f>
        <v>4015/4016</v>
      </c>
      <c r="L174" s="185" t="str">
        <f>VLOOKUP(A174,'Trips&amp;Operators'!$C$1:$G$99911,5,FALSE)</f>
        <v>MACDONALD THOMAS</v>
      </c>
      <c r="M174" s="6">
        <f>I174-F174</f>
        <v>9.0046296318178065E-3</v>
      </c>
      <c r="N174" s="7">
        <f>24*60*SUM($M174:$M174)</f>
        <v>12.966666669817641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-22T12:07:56-0600',mode:absolute,to:'2017-10-22T14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0.12720000000000001</v>
      </c>
      <c r="Z174" s="204">
        <f>RIGHT(H174,LEN(H174)-4)/10000</f>
        <v>5.8916000000000004</v>
      </c>
      <c r="AA174" s="204">
        <f>ABS(Z174-Y174)</f>
        <v>5.7644000000000002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1815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/stypes="app*4016*20171022*" /stext=" 19:.+((SYSTEM_STATE.+slice.+state.+changed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6"/>
        <v>"%USERPROFILE%\Documents\GitHub\eaglep3\Utilities\RefineRTDCRunTimes.py" --tripid 1815-22 --locoid 4016 --swversion DE.1.0.9.0 --startMP 204:1272 --initTime 2017-10-22T13:07:56 --startdatetime 2017-10-22T13:10:11 --delay 58 --endMP 300:58916 --enddatetime 2017-10-22T13:23:09 --enforcementcount 0 &gt;&gt;%USERPROFILE%\Documents\GitHub\eaglep3-reporting\EC\2017-10-22-refined-times.txt</v>
      </c>
      <c r="AI174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{"issue":{"subject":"","project_id":79,"tracker_id":40,"status_id":1,"priority_id":2,"assigned_to_id":338,"start_date":"2017-10-22","description":"","custom_fields":[{"id":1,"name":"Subdivision","value":"NW"},{"id":4,"name":"Milepost","value":"5.8916"},{"id":17,"name":"Train ID","value":"1815-22"},{"id":16,"name":"Locomotive ID","value":"4016"},{"id":130,"name":"Impact","value":""},{"id":150,"name":"Time of Event (Mountain Time)","value":"13:23:09"},{"id":151,"name":"Denver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8"/>
        <v>start /low /b %USERPROFILE%\Documents\GitHub\eaglep3\Utilities\DownloadLogsFromS3.py --loco 4016 --day 2017-10-22</v>
      </c>
      <c r="AN174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30"/>
        <v>https://d0f6bd738d7f1b3e5a7ca70fe4ff75f0.us-east-1.aws.found.io/app/kibana#/discover/Steve-Slow-Train-Analysis-(2080s-and-2083s)?_g=(refreshInterval:(display:Off,pause:!f,section:0,value:0),time:(from:'2017-10-22T12:07:56-0600',mode:absolute,to:'2017-10-22T14:23:09-0600'))&amp;_a=(columns:!('Message%20ID',Summary),filters:!(),index:'emp_*',interval:auto,query:(query_string:(analyze_wildcard:!t,query:'%22rtdc.l.rtdc.4016%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796</v>
      </c>
      <c r="B175" s="7">
        <v>4015</v>
      </c>
      <c r="C175" s="21" t="s">
        <v>194</v>
      </c>
      <c r="D175" s="21" t="s">
        <v>635</v>
      </c>
      <c r="E175" s="13">
        <v>43030.558530092596</v>
      </c>
      <c r="F175" s="13">
        <v>43030.573113425926</v>
      </c>
      <c r="G175" s="7">
        <v>46</v>
      </c>
      <c r="H175" s="21" t="s">
        <v>940</v>
      </c>
      <c r="I175" s="13">
        <v>43030.582812499997</v>
      </c>
      <c r="J175" s="7">
        <v>0</v>
      </c>
      <c r="K175" s="89" t="str">
        <f>IF(ISEVEN(B175),(B175-1)&amp;"/"&amp;B175,B175&amp;"/"&amp;(B175+1))</f>
        <v>4015/4016</v>
      </c>
      <c r="L175" s="185" t="str">
        <f>VLOOKUP(A175,'Trips&amp;Operators'!$C$1:$G$99911,5,FALSE)</f>
        <v>MACDONALD THOMAS</v>
      </c>
      <c r="M175" s="6">
        <f>I175-F175</f>
        <v>9.6990740712499246E-3</v>
      </c>
      <c r="N175" s="7"/>
      <c r="O175" s="7"/>
      <c r="P175" s="7"/>
      <c r="Q175" s="22"/>
      <c r="R175" s="174"/>
      <c r="S175" s="221"/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-22T12:24:17-0600',mode:absolute,to:'2017-10-22T14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204" t="str">
        <f>IF(AA175&lt;VLOOKUP(AG175,Variables!$AC$3:$AD$8,2,FALSE),"Y","N")</f>
        <v>Y</v>
      </c>
      <c r="X175" s="204">
        <f>VALUE(LEFT(AD175,4))-VALUE(LEFT(AD174,4))</f>
        <v>1</v>
      </c>
      <c r="Y175" s="204">
        <f>RIGHT(D175,LEN(D175)-4)/10000</f>
        <v>5.86</v>
      </c>
      <c r="Z175" s="204">
        <f>RIGHT(H175,LEN(H175)-4)/10000</f>
        <v>5.7237999999999998</v>
      </c>
      <c r="AA175" s="204">
        <f>ABS(Z175-Y175)</f>
        <v>0.13620000000000054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1816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/stypes="app*4015*20171022*" /stext=" 19:.+((SYSTEM_STATE.+slice.+state.+changed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6"/>
        <v>"%USERPROFILE%\Documents\GitHub\eaglep3\Utilities\RefineRTDCRunTimes.py" --tripid 1816-22 --locoid 4015 --swversion DE.1.0.9.0 --startMP 300:58600 --initTime 2017-10-22T13:24:17 --startdatetime 2017-10-22T13:45:17 --delay 46 --endMP 300:57238 --enddatetime 2017-10-22T13:59:15 --enforcementcount 0 &gt;&gt;%USERPROFILE%\Documents\GitHub\eaglep3-reporting\EC\2017-10-22-refined-times.txt</v>
      </c>
      <c r="AI175" s="96" t="str">
        <f>"echo {""issue"":{""subject"":"""&amp;R176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--insecure -X POST -H ""Content-Type: application/json"" -H ""X-Redmine-API-Key: "&amp;redm_api_key&amp;""" "&amp;redm_url&amp;" --data @-"</f>
        <v>echo {"issue":{"subject":"Operator hard cut-out, then re-initialized","project_id":79,"tracker_id":40,"status_id":1,"priority_id":2,"assigned_to_id":338,"start_date":"2017-10-22","description":"","custom_fields":[{"id":1,"name":"Subdivision","value":"NW"},{"id":4,"name":"Milepost","value":"5.7238"},{"id":17,"name":"Train ID","value":"1816-22"},{"id":16,"name":"Locomotive ID","value":"4015"},{"id":130,"name":"Impact","value":""},{"id":150,"name":"Time of Event (Mountain Time)","value":"13:59:15"},{"id":151,"name":"Denver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8"/>
        <v>start /low /b %USERPROFILE%\Documents\GitHub\eaglep3\Utilities\DownloadLogsFromS3.py --loco 4015 --day 2017-10-22</v>
      </c>
      <c r="AN175" s="151" t="str">
        <f>"echo {""issue"":{""subject"":"""&amp;R176&amp;""",""project_id"":30,""tracker_id"":4,""status_id"":"&amp;redmine_status_wcr&amp;",""priority_id"":"&amp;redmine_priority_wcr&amp;",""assigned_to_id"":"&amp;redmine_assignee_wcr&amp;",""start_date"":"""&amp;TEXT(I175-utc_offset/24,"YYYY-mm-dd")&amp;""",""description"":"""&amp;AJ175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hard cut-out, then re-initialized","project_id":30,"tracker_id":4,"status_id":1,"priority_id":1,"assigned_to_id":10,"start_date":"2017-10-22","description":"","custom_fields":[{"id":30,"name":"Category","value":"Issue"},{"id":3,"name":"Functional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19:59:15"},{"id":29,"name":"Sharepoint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30"/>
        <v>https://d0f6bd738d7f1b3e5a7ca70fe4ff75f0.us-east-1.aws.found.io/app/kibana#/discover/Steve-Slow-Train-Analysis-(2080s-and-2083s)?_g=(refreshInterval:(display:Off,pause:!f,section:0,value:0),time:(from:'2017-10-22T12:24:17-0600',mode:absolute,to:'2017-10-22T14:59:15-0600'))&amp;_a=(columns:!('Message%20ID',Summary),filters:!(),index:'emp_*',interval:auto,query:(query_string:(analyze_wildcard:!t,query:'%22rtdc.l.rtdc.4015%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796</v>
      </c>
      <c r="B176" s="7">
        <v>4015</v>
      </c>
      <c r="C176" s="21" t="s">
        <v>194</v>
      </c>
      <c r="D176" s="21" t="s">
        <v>941</v>
      </c>
      <c r="E176" s="13">
        <v>43030.560335648152</v>
      </c>
      <c r="F176" s="13">
        <v>43030.573113425926</v>
      </c>
      <c r="G176" s="7">
        <v>996</v>
      </c>
      <c r="H176" s="21" t="s">
        <v>942</v>
      </c>
      <c r="I176" s="13">
        <v>43030.582812499997</v>
      </c>
      <c r="J176" s="7">
        <v>0</v>
      </c>
      <c r="K176" s="89" t="str">
        <f>IF(ISEVEN(B176),(B176-1)&amp;"/"&amp;B176,B176&amp;"/"&amp;(B176+1))</f>
        <v>4015/4016</v>
      </c>
      <c r="L176" s="185" t="str">
        <f>VLOOKUP(A176,'Trips&amp;Operators'!$C$1:$G$99911,5,FALSE)</f>
        <v>MACDONALD THOMAS</v>
      </c>
      <c r="M176" s="6">
        <f>I176-F176</f>
        <v>9.6990740712499246E-3</v>
      </c>
      <c r="N176" s="7">
        <f>24*60*SUM($M176:$M176)</f>
        <v>13.966666662599891</v>
      </c>
      <c r="O176" s="7"/>
      <c r="P176" s="7"/>
      <c r="Q176" s="22"/>
      <c r="R176" s="174" t="s">
        <v>1045</v>
      </c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-22T12:26:53-0600',mode:absolute,to:'2017-10-22T14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204" t="str">
        <f>IF(AA176&lt;VLOOKUP(AG176,Variables!$AC$3:$AD$8,2,FALSE),"Y","N")</f>
        <v>Y</v>
      </c>
      <c r="X176" s="204">
        <f>VALUE(LEFT(AD176,4))-VALUE(LEFT(AD175,4))</f>
        <v>0</v>
      </c>
      <c r="Y176" s="204">
        <f>RIGHT(D176,LEN(D176)-4)/10000</f>
        <v>5.7245999999999997</v>
      </c>
      <c r="Z176" s="204">
        <f>RIGHT(H176,LEN(H176)-4)/10000</f>
        <v>7.5200000000000003E-2</v>
      </c>
      <c r="AA176" s="204">
        <f>ABS(Z176-Y176)</f>
        <v>5.6494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1816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/stypes="app*4015*20171022*" /stext=" 19:.+((SYSTEM_STATE.+slice.+state.+changed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6"/>
        <v>"%USERPROFILE%\Documents\GitHub\eaglep3\Utilities\RefineRTDCRunTimes.py" --tripid 1816-22 --locoid 4015 --swversion DE.1.0.9.0 --startMP 300:57246 --initTime 2017-10-22T13:26:53 --startdatetime 2017-10-22T13:45:17 --delay 996 --endMP 204:752 --enddatetime 2017-10-22T13:59:15 --enforcementcount 0 &gt;&gt;%USERPROFILE%\Documents\GitHub\eaglep3-reporting\EC\2017-10-22-refined-times.txt</v>
      </c>
      <c r="AI176" s="96" t="e">
        <f>"echo {""issue"":{""subject"":"""&amp;#REF!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Z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--insecure -X POST -H ""Content-Type: application/json"" -H ""X-Redmine-API-Key: "&amp;redm_api_key&amp;""" "&amp;redm_url&amp;" --data @-"</f>
        <v>#REF!</v>
      </c>
      <c r="AK176" s="47"/>
      <c r="AL176" s="47"/>
      <c r="AM176" s="142" t="str">
        <f t="shared" si="28"/>
        <v>start /low /b %USERPROFILE%\Documents\GitHub\eaglep3\Utilities\DownloadLogsFromS3.py --loco 4015 --day 2017-10-22</v>
      </c>
      <c r="AN176" s="151" t="e">
        <f>"echo {""issue"":{""subject"":"""&amp;#REF!&amp;""",""project_id"":30,""tracker_id"":4,""status_id"":"&amp;redmine_status_wcr&amp;",""priority_id"":"&amp;redmine_priority_wcr&amp;",""assigned_to_id"":"&amp;redmine_assignee_wcr&amp;",""start_date"":"""&amp;TEXT(I176-utc_offset/24,"YYYY-mm-dd")&amp;""",""description"":"""&amp;AJ176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#REF!</v>
      </c>
      <c r="AO176" s="168" t="str">
        <f t="shared" si="30"/>
        <v>https://d0f6bd738d7f1b3e5a7ca70fe4ff75f0.us-east-1.aws.found.io/app/kibana#/discover/Steve-Slow-Train-Analysis-(2080s-and-2083s)?_g=(refreshInterval:(display:Off,pause:!f,section:0,value:0),time:(from:'2017-10-22T12:26:53-0600',mode:absolute,to:'2017-10-22T14:59:15-0600'))&amp;_a=(columns:!('Message%20ID',Summary),filters:!(),index:'emp_*',interval:auto,query:(query_string:(analyze_wildcard:!t,query:'%22rtdc.l.rtdc.4015%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654</v>
      </c>
      <c r="B177" s="7">
        <v>4016</v>
      </c>
      <c r="C177" s="21" t="s">
        <v>194</v>
      </c>
      <c r="D177" s="21" t="s">
        <v>941</v>
      </c>
      <c r="E177" s="13">
        <v>43030.560335648152</v>
      </c>
      <c r="F177" s="13">
        <v>43030.589745370373</v>
      </c>
      <c r="G177" s="7">
        <v>996</v>
      </c>
      <c r="H177" s="21" t="s">
        <v>942</v>
      </c>
      <c r="I177" s="13">
        <v>43030.600937499999</v>
      </c>
      <c r="J177" s="7">
        <v>0</v>
      </c>
      <c r="K177" s="89" t="str">
        <f>IF(ISEVEN(B177),(B177-1)&amp;"/"&amp;B177,B177&amp;"/"&amp;(B177+1))</f>
        <v>4015/4016</v>
      </c>
      <c r="L177" s="185" t="str">
        <f>VLOOKUP(A177,'Trips&amp;Operators'!$C$1:$G$99911,5,FALSE)</f>
        <v>HOLCOMB KAMDEN</v>
      </c>
      <c r="M177" s="6">
        <f>I177-F177</f>
        <v>1.1192129626579117E-2</v>
      </c>
      <c r="N177" s="7">
        <f>24*60*SUM($M177:$M177)</f>
        <v>16.116666662273929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-22T12:26:53-0600',mode:absolute,to:'2017-10-22T15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v>0.12720000000000001</v>
      </c>
      <c r="Z177" s="204">
        <v>5.8916000000000004</v>
      </c>
      <c r="AA177" s="204">
        <f>ABS(Z177-Y177)</f>
        <v>5.7644000000000002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1817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/stypes="app*4016*20171022*" /stext=" 20:.+((SYSTEM_STATE.+slice.+state.+changed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ref="AH177" si="36"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1817-22 --locoid 4016 --swversion DE.1.0.9.0 --startMP 300:57246 --initTime 2017-10-22T13:26:53 --startdatetime 2017-10-22T14:09:14 --delay 996 --endMP 204:752 --enddatetime 2017-10-22T14:25:21 --enforcementcount 0 &gt;&gt;%USERPROFILE%\Documents\GitHub\eaglep3-reporting\EC\2017-10-22-refined-times.txt</v>
      </c>
      <c r="AI177" s="96" t="str">
        <f t="shared" ref="AI177" si="37"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{"issue":{"subject":"","project_id":79,"tracker_id":40,"status_id":1,"priority_id":2,"assigned_to_id":338,"start_date":"2017-10-22","description":"","custom_fields":[{"id":1,"name":"Subdivision","value":"NW"},{"id":4,"name":"Milepost","value":"5.8916"},{"id":17,"name":"Train ID","value":"1817-22"},{"id":16,"name":"Locomotive ID","value":"4016"},{"id":130,"name":"Impact","value":""},{"id":150,"name":"Time of Event (Mountain Time)","value":"14:25:21"},{"id":151,"name":"Denver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ref="AM177" si="38">"start /low /b "&amp;dls3logs&amp;" --loco "&amp;B177&amp;" --day "&amp;TEXT(F177,"YYYY-MM-DD")</f>
        <v>start /low /b %USERPROFILE%\Documents\GitHub\eaglep3\Utilities\DownloadLogsFromS3.py --loco 4016 --day 2017-10-22</v>
      </c>
      <c r="AN177" s="151" t="str">
        <f t="shared" ref="AN177" si="39"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ref="AO177" si="40"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-22T12:26:53-0600',mode:absolute,to:'2017-10-22T15:25:21-0600'))&amp;_a=(columns:!('Message%20ID',Summary),filters:!(),index:'emp_*',interval:auto,query:(query_string:(analyze_wildcard:!t,query:'%22rtdc.l.rtdc.4016%22')),sort:!(Time.ISO8601,asc))</v>
      </c>
    </row>
    <row r="178" spans="1:91" s="20" customFormat="1" x14ac:dyDescent="0.3">
      <c r="A178" s="32" t="s">
        <v>805</v>
      </c>
      <c r="B178" s="7">
        <v>4015</v>
      </c>
      <c r="C178" s="21" t="s">
        <v>194</v>
      </c>
      <c r="D178" s="21" t="s">
        <v>943</v>
      </c>
      <c r="E178" s="13">
        <v>43030.602453703701</v>
      </c>
      <c r="F178" s="13">
        <v>43030.613796296297</v>
      </c>
      <c r="G178" s="7">
        <v>62</v>
      </c>
      <c r="H178" s="21" t="s">
        <v>500</v>
      </c>
      <c r="I178" s="13">
        <v>43030.621446759258</v>
      </c>
      <c r="J178" s="7">
        <v>0</v>
      </c>
      <c r="K178" s="89" t="str">
        <f>IF(ISEVEN(B178),(B178-1)&amp;"/"&amp;B178,B178&amp;"/"&amp;(B178+1))</f>
        <v>4015/4016</v>
      </c>
      <c r="L178" s="185" t="str">
        <f>VLOOKUP(A178,'Trips&amp;Operators'!$C$1:$G$99911,5,FALSE)</f>
        <v>HOLCOMB KAMDEN</v>
      </c>
      <c r="M178" s="6">
        <f>I178-F178</f>
        <v>7.6504629614646547E-3</v>
      </c>
      <c r="N178" s="7">
        <f>24*60*SUM($M178:$M178)</f>
        <v>11.016666664509103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-22T13:27:32-0600',mode:absolute,to:'2017-10-22T15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5.8697999999999997</v>
      </c>
      <c r="Z178" s="204">
        <f>RIGHT(H178,LEN(H178)-4)/10000</f>
        <v>7.0300000000000001E-2</v>
      </c>
      <c r="AA178" s="204">
        <f>ABS(Z178-Y178)</f>
        <v>5.7995000000000001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1818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/stypes="app*4015*20171022*" /stext=" 20:.+((SYSTEM_STATE.+slice.+state.+changed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6"/>
        <v>"%USERPROFILE%\Documents\GitHub\eaglep3\Utilities\RefineRTDCRunTimes.py" --tripid 1818-22 --locoid 4015 --swversion DE.1.0.9.0 --startMP 300:58698 --initTime 2017-10-22T14:27:32 --startdatetime 2017-10-22T14:43:52 --delay 62 --endMP 204:703 --enddatetime 2017-10-22T14:54:53 --enforcementcount 0 &gt;&gt;%USERPROFILE%\Documents\GitHub\eaglep3-reporting\EC\2017-10-22-refined-times.txt</v>
      </c>
      <c r="AI178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{"issue":{"subject":"","project_id":79,"tracker_id":40,"status_id":1,"priority_id":2,"assigned_to_id":338,"start_date":"2017-10-22","description":"","custom_fields":[{"id":1,"name":"Subdivision","value":"NW"},{"id":4,"name":"Milepost","value":"0.0703"},{"id":17,"name":"Train ID","value":"1818-22"},{"id":16,"name":"Locomotive ID","value":"4015"},{"id":130,"name":"Impact","value":""},{"id":150,"name":"Time of Event (Mountain Time)","value":"14:54:53"},{"id":151,"name":"Denver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8"/>
        <v>start /low /b %USERPROFILE%\Documents\GitHub\eaglep3\Utilities\DownloadLogsFromS3.py --loco 4015 --day 2017-10-22</v>
      </c>
      <c r="AN178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20:54:53"},{"id":29,"name":"Sharepoint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30"/>
        <v>https://d0f6bd738d7f1b3e5a7ca70fe4ff75f0.us-east-1.aws.found.io/app/kibana#/discover/Steve-Slow-Train-Analysis-(2080s-and-2083s)?_g=(refreshInterval:(display:Off,pause:!f,section:0,value:0),time:(from:'2017-10-22T13:27:32-0600',mode:absolute,to:'2017-10-22T15:54:53-0600'))&amp;_a=(columns:!('Message%20ID',Summary),filters:!(),index:'emp_*',interval:auto,query:(query_string:(analyze_wildcard:!t,query:'%22rtdc.l.rtdc.4015%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810</v>
      </c>
      <c r="B179" s="7">
        <v>4016</v>
      </c>
      <c r="C179" s="21" t="s">
        <v>194</v>
      </c>
      <c r="D179" s="21" t="s">
        <v>944</v>
      </c>
      <c r="E179" s="13">
        <v>43030.623796296299</v>
      </c>
      <c r="F179" s="13">
        <v>43030.631423611114</v>
      </c>
      <c r="G179" s="7">
        <v>82</v>
      </c>
      <c r="H179" s="21" t="s">
        <v>945</v>
      </c>
      <c r="I179" s="13">
        <v>43030.642777777779</v>
      </c>
      <c r="J179" s="7">
        <v>0</v>
      </c>
      <c r="K179" s="89" t="str">
        <f>IF(ISEVEN(B179),(B179-1)&amp;"/"&amp;B179,B179&amp;"/"&amp;(B179+1))</f>
        <v>4015/4016</v>
      </c>
      <c r="L179" s="185" t="str">
        <f>VLOOKUP(A179,'Trips&amp;Operators'!$C$1:$G$99911,5,FALSE)</f>
        <v>MCREYNOLDS KYLE</v>
      </c>
      <c r="M179" s="6">
        <f>I179-F179</f>
        <v>1.1354166665114462E-2</v>
      </c>
      <c r="N179" s="7">
        <f>24*60*SUM($M179:$M179)</f>
        <v>16.349999997764826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-22T13:58:16-0600',mode:absolute,to:'2017-10-22T16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9.6500000000000002E-2</v>
      </c>
      <c r="Z179" s="204">
        <f>RIGHT(H179,LEN(H179)-4)/10000</f>
        <v>5.9005000000000001</v>
      </c>
      <c r="AA179" s="204">
        <f>ABS(Z179-Y179)</f>
        <v>5.8040000000000003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1819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/stypes="app*4016*20171022*" /stext=" 21:.+((SYSTEM_STATE.+slice.+state.+changed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6"/>
        <v>"%USERPROFILE%\Documents\GitHub\eaglep3\Utilities\RefineRTDCRunTimes.py" --tripid 1819-22 --locoid 4016 --swversion DE.1.0.9.0 --startMP 204:965 --initTime 2017-10-22T14:58:16 --startdatetime 2017-10-22T15:09:15 --delay 82 --endMP 300:59005 --enddatetime 2017-10-22T15:25:36 --enforcementcount 0 &gt;&gt;%USERPROFILE%\Documents\GitHub\eaglep3-reporting\EC\2017-10-22-refined-times.txt</v>
      </c>
      <c r="AI179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{"issue":{"subject":"","project_id":79,"tracker_id":40,"status_id":1,"priority_id":2,"assigned_to_id":338,"start_date":"2017-10-22","description":"","custom_fields":[{"id":1,"name":"Subdivision","value":"NW"},{"id":4,"name":"Milepost","value":"5.9005"},{"id":17,"name":"Train ID","value":"1819-22"},{"id":16,"name":"Locomotive ID","value":"4016"},{"id":130,"name":"Impact","value":""},{"id":150,"name":"Time of Event (Mountain Time)","value":"15:25:36"},{"id":151,"name":"Denver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8"/>
        <v>start /low /b %USERPROFILE%\Documents\GitHub\eaglep3\Utilities\DownloadLogsFromS3.py --loco 4016 --day 2017-10-22</v>
      </c>
      <c r="AN179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30"/>
        <v>https://d0f6bd738d7f1b3e5a7ca70fe4ff75f0.us-east-1.aws.found.io/app/kibana#/discover/Steve-Slow-Train-Analysis-(2080s-and-2083s)?_g=(refreshInterval:(display:Off,pause:!f,section:0,value:0),time:(from:'2017-10-22T13:58:16-0600',mode:absolute,to:'2017-10-22T16:25:36-0600'))&amp;_a=(columns:!('Message%20ID',Summary),filters:!(),index:'emp_*',interval:auto,query:(query_string:(analyze_wildcard:!t,query:'%22rtdc.l.rtdc.4016%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815</v>
      </c>
      <c r="B180" s="7">
        <v>4015</v>
      </c>
      <c r="C180" s="21" t="s">
        <v>194</v>
      </c>
      <c r="D180" s="21" t="s">
        <v>946</v>
      </c>
      <c r="E180" s="13">
        <v>43030.644131944442</v>
      </c>
      <c r="F180" s="13">
        <v>43030.655381944445</v>
      </c>
      <c r="G180" s="7">
        <v>63</v>
      </c>
      <c r="H180" s="21" t="s">
        <v>947</v>
      </c>
      <c r="I180" s="13">
        <v>43030.663171296299</v>
      </c>
      <c r="J180" s="7">
        <v>0</v>
      </c>
      <c r="K180" s="89" t="str">
        <f>IF(ISEVEN(B180),(B180-1)&amp;"/"&amp;B180,B180&amp;"/"&amp;(B180+1))</f>
        <v>4015/4016</v>
      </c>
      <c r="L180" s="185" t="str">
        <f>VLOOKUP(A180,'Trips&amp;Operators'!$C$1:$G$99911,5,FALSE)</f>
        <v>MCREYNOLDS KYLE</v>
      </c>
      <c r="M180" s="6">
        <f>I180-F180</f>
        <v>7.7893518537166528E-3</v>
      </c>
      <c r="N180" s="7">
        <f>24*60*SUM($M180:$M180)</f>
        <v>11.21666666935198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-22T14:27:33-0600',mode:absolute,to:'2017-10-22T16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5.8685</v>
      </c>
      <c r="Z180" s="204">
        <f>RIGHT(H180,LEN(H180)-4)/10000</f>
        <v>6.8199999999999997E-2</v>
      </c>
      <c r="AA180" s="204">
        <f>ABS(Z180-Y180)</f>
        <v>5.8003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1820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/stypes="app*4015*20171022*" /stext=" 21:.+((SYSTEM_STATE.+slice.+state.+changed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6"/>
        <v>"%USERPROFILE%\Documents\GitHub\eaglep3\Utilities\RefineRTDCRunTimes.py" --tripid 1820-22 --locoid 4015 --swversion DE.1.0.9.0 --startMP 300:58685 --initTime 2017-10-22T15:27:33 --startdatetime 2017-10-22T15:43:45 --delay 63 --endMP 204:682 --enddatetime 2017-10-22T15:54:58 --enforcementcount 0 &gt;&gt;%USERPROFILE%\Documents\GitHub\eaglep3-reporting\EC\2017-10-22-refined-times.txt</v>
      </c>
      <c r="AI180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{"issue":{"subject":"","project_id":79,"tracker_id":40,"status_id":1,"priority_id":2,"assigned_to_id":338,"start_date":"2017-10-22","description":"","custom_fields":[{"id":1,"name":"Subdivision","value":"NW"},{"id":4,"name":"Milepost","value":"0.0682"},{"id":17,"name":"Train ID","value":"1820-22"},{"id":16,"name":"Locomotive ID","value":"4015"},{"id":130,"name":"Impact","value":""},{"id":150,"name":"Time of Event (Mountain Time)","value":"15:54:58"},{"id":151,"name":"Denver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8"/>
        <v>start /low /b %USERPROFILE%\Documents\GitHub\eaglep3\Utilities\DownloadLogsFromS3.py --loco 4015 --day 2017-10-22</v>
      </c>
      <c r="AN180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30"/>
        <v>https://d0f6bd738d7f1b3e5a7ca70fe4ff75f0.us-east-1.aws.found.io/app/kibana#/discover/Steve-Slow-Train-Analysis-(2080s-and-2083s)?_g=(refreshInterval:(display:Off,pause:!f,section:0,value:0),time:(from:'2017-10-22T14:27:33-0600',mode:absolute,to:'2017-10-22T16:54:58-0600'))&amp;_a=(columns:!('Message%20ID',Summary),filters:!(),index:'emp_*',interval:auto,query:(query_string:(analyze_wildcard:!t,query:'%22rtdc.l.rtdc.4015%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655</v>
      </c>
      <c r="B181" s="7">
        <v>4016</v>
      </c>
      <c r="C181" s="21" t="s">
        <v>194</v>
      </c>
      <c r="D181" s="21" t="s">
        <v>946</v>
      </c>
      <c r="E181" s="13">
        <v>43030.644131944442</v>
      </c>
      <c r="F181" s="13">
        <v>43030.673171296294</v>
      </c>
      <c r="G181" s="7">
        <v>63</v>
      </c>
      <c r="H181" s="21" t="s">
        <v>947</v>
      </c>
      <c r="I181" s="13">
        <v>43030.683078703703</v>
      </c>
      <c r="J181" s="7">
        <v>0</v>
      </c>
      <c r="K181" s="89" t="str">
        <f>IF(ISEVEN(B181),(B181-1)&amp;"/"&amp;B181,B181&amp;"/"&amp;(B181+1))</f>
        <v>4015/4016</v>
      </c>
      <c r="L181" s="185" t="str">
        <f>VLOOKUP(A181,'Trips&amp;Operators'!$C$1:$G$99911,5,FALSE)</f>
        <v>HOLCOMB KAMDEN</v>
      </c>
      <c r="M181" s="6">
        <f>I181-F181</f>
        <v>9.9074074096279219E-3</v>
      </c>
      <c r="N181" s="7">
        <f>24*60*SUM($M181:$M181)</f>
        <v>14.266666669864208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-22T14:27:33-0600',mode:absolute,to:'2017-10-22T17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v>9.6500000000000002E-2</v>
      </c>
      <c r="Z181" s="204">
        <v>5.9005000000000001</v>
      </c>
      <c r="AA181" s="204">
        <f>ABS(Z181-Y181)</f>
        <v>5.8040000000000003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1821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/stypes="app*4016*20171022*" /stext=" 22:.+((SYSTEM_STATE.+slice.+state.+changed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ref="AH181" si="41"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1821-22 --locoid 4016 --swversion DE.1.0.9.0 --startMP 300:58685 --initTime 2017-10-22T15:27:33 --startdatetime 2017-10-22T16:09:22 --delay 63 --endMP 204:682 --enddatetime 2017-10-22T16:23:38 --enforcementcount 0 &gt;&gt;%USERPROFILE%\Documents\GitHub\eaglep3-reporting\EC\2017-10-22-refined-times.txt</v>
      </c>
      <c r="AI181" s="96" t="str">
        <f t="shared" ref="AI181" si="42"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{"issue":{"subject":"","project_id":79,"tracker_id":40,"status_id":1,"priority_id":2,"assigned_to_id":338,"start_date":"2017-10-22","description":"","custom_fields":[{"id":1,"name":"Subdivision","value":"NW"},{"id":4,"name":"Milepost","value":"5.9005"},{"id":17,"name":"Train ID","value":"1821-22"},{"id":16,"name":"Locomotive ID","value":"4016"},{"id":130,"name":"Impact","value":""},{"id":150,"name":"Time of Event (Mountain Time)","value":"16:23:38"},{"id":151,"name":"Denver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ref="AM181" si="43">"start /low /b "&amp;dls3logs&amp;" --loco "&amp;B181&amp;" --day "&amp;TEXT(F181,"YYYY-MM-DD")</f>
        <v>start /low /b %USERPROFILE%\Documents\GitHub\eaglep3\Utilities\DownloadLogsFromS3.py --loco 4016 --day 2017-10-22</v>
      </c>
      <c r="AN181" s="151" t="str">
        <f t="shared" ref="AN181" si="44"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ref="AO181" si="45"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-22T14:27:33-0600',mode:absolute,to:'2017-10-22T17:23:38-0600'))&amp;_a=(columns:!('Message%20ID',Summary),filters:!(),index:'emp_*',interval:auto,query:(query_string:(analyze_wildcard:!t,query:'%22rtdc.l.rtdc.4016%22')),sort:!(Time.ISO8601,asc))</v>
      </c>
    </row>
    <row r="182" spans="1:91" s="20" customFormat="1" x14ac:dyDescent="0.3">
      <c r="A182" s="32" t="s">
        <v>658</v>
      </c>
      <c r="B182" s="7">
        <v>4015</v>
      </c>
      <c r="C182" s="21" t="s">
        <v>194</v>
      </c>
      <c r="D182" s="21" t="s">
        <v>948</v>
      </c>
      <c r="E182" s="13">
        <v>43030.684050925927</v>
      </c>
      <c r="F182" s="13">
        <v>43030.697199074071</v>
      </c>
      <c r="G182" s="7">
        <v>58</v>
      </c>
      <c r="H182" s="21" t="s">
        <v>949</v>
      </c>
      <c r="I182" s="13">
        <v>43030.705034722225</v>
      </c>
      <c r="J182" s="7">
        <v>0</v>
      </c>
      <c r="K182" s="89" t="str">
        <f>IF(ISEVEN(B182),(B182-1)&amp;"/"&amp;B182,B182&amp;"/"&amp;(B182+1))</f>
        <v>4015/4016</v>
      </c>
      <c r="L182" s="185" t="str">
        <f>VLOOKUP(A182,'Trips&amp;Operators'!$C$1:$G$99911,5,FALSE)</f>
        <v>HOLCOMB KAMDEN</v>
      </c>
      <c r="M182" s="6">
        <f>I182-F182</f>
        <v>7.8356481535593048E-3</v>
      </c>
      <c r="N182" s="7">
        <f>24*60*SUM($M182:$M182)</f>
        <v>11.283333341125399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-22T15:25:02-0600',mode:absolute,to:'2017-10-22T17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5.8681000000000001</v>
      </c>
      <c r="Z182" s="204">
        <f>RIGHT(H182,LEN(H182)-4)/10000</f>
        <v>7.3099999999999998E-2</v>
      </c>
      <c r="AA182" s="204">
        <f>ABS(Z182-Y182)</f>
        <v>5.7949999999999999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1822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/stypes="app*4015*20171022*" /stext=" 22:.+((SYSTEM_STATE.+slice.+state.+changed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6"/>
        <v>"%USERPROFILE%\Documents\GitHub\eaglep3\Utilities\RefineRTDCRunTimes.py" --tripid 1822-22 --locoid 4015 --swversion DE.1.0.9.0 --startMP 300:58681 --initTime 2017-10-22T16:25:02 --startdatetime 2017-10-22T16:43:58 --delay 58 --endMP 204:731 --enddatetime 2017-10-22T16:55:15 --enforcementcount 0 &gt;&gt;%USERPROFILE%\Documents\GitHub\eaglep3-reporting\EC\2017-10-22-refined-times.txt</v>
      </c>
      <c r="AI182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{"issue":{"subject":"","project_id":79,"tracker_id":40,"status_id":1,"priority_id":2,"assigned_to_id":338,"start_date":"2017-10-22","description":"","custom_fields":[{"id":1,"name":"Subdivision","value":"NW"},{"id":4,"name":"Milepost","value":"0.0731"},{"id":17,"name":"Train ID","value":"1822-22"},{"id":16,"name":"Locomotive ID","value":"4015"},{"id":130,"name":"Impact","value":""},{"id":150,"name":"Time of Event (Mountain Time)","value":"16:55:15"},{"id":151,"name":"Denver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8"/>
        <v>start /low /b %USERPROFILE%\Documents\GitHub\eaglep3\Utilities\DownloadLogsFromS3.py --loco 4015 --day 2017-10-22</v>
      </c>
      <c r="AN182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30"/>
        <v>https://d0f6bd738d7f1b3e5a7ca70fe4ff75f0.us-east-1.aws.found.io/app/kibana#/discover/Steve-Slow-Train-Analysis-(2080s-and-2083s)?_g=(refreshInterval:(display:Off,pause:!f,section:0,value:0),time:(from:'2017-10-22T15:25:02-0600',mode:absolute,to:'2017-10-22T17:55:15-0600'))&amp;_a=(columns:!('Message%20ID',Summary),filters:!(),index:'emp_*',interval:auto,query:(query_string:(analyze_wildcard:!t,query:'%22rtdc.l.rtdc.4015%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662</v>
      </c>
      <c r="B183" s="7">
        <v>4016</v>
      </c>
      <c r="C183" s="21" t="s">
        <v>194</v>
      </c>
      <c r="D183" s="21" t="s">
        <v>950</v>
      </c>
      <c r="E183" s="13">
        <v>43030.712870370371</v>
      </c>
      <c r="F183" s="13">
        <v>43030.714814814812</v>
      </c>
      <c r="G183" s="7">
        <v>54</v>
      </c>
      <c r="H183" s="21" t="s">
        <v>951</v>
      </c>
      <c r="I183" s="13">
        <v>43030.725115740737</v>
      </c>
      <c r="J183" s="7">
        <v>0</v>
      </c>
      <c r="K183" s="89" t="str">
        <f>IF(ISEVEN(B183),(B183-1)&amp;"/"&amp;B183,B183&amp;"/"&amp;(B183+1))</f>
        <v>4015/4016</v>
      </c>
      <c r="L183" s="185" t="str">
        <f>VLOOKUP(A183,'Trips&amp;Operators'!$C$1:$G$99911,5,FALSE)</f>
        <v>HOLCOMB KAMDEN</v>
      </c>
      <c r="M183" s="6">
        <f>I183-F183</f>
        <v>1.0300925925548654E-2</v>
      </c>
      <c r="N183" s="7">
        <f>24*60*SUM($M183:$M183)</f>
        <v>14.833333332790062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-22T16:06:32-0600',mode:absolute,to:'2017-10-22T18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0.1016</v>
      </c>
      <c r="Z183" s="204">
        <f>RIGHT(H183,LEN(H183)-4)/10000</f>
        <v>5.8993000000000002</v>
      </c>
      <c r="AA183" s="204">
        <f>ABS(Z183-Y183)</f>
        <v>5.7976999999999999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1823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/stypes="app*4016*20171022*" /stext=" 23:.+((SYSTEM_STATE.+slice.+state.+changed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6"/>
        <v>"%USERPROFILE%\Documents\GitHub\eaglep3\Utilities\RefineRTDCRunTimes.py" --tripid 1823-22 --locoid 4016 --swversion DE.1.0.9.0 --startMP 204:1016 --initTime 2017-10-22T17:06:32 --startdatetime 2017-10-22T17:09:20 --delay 54 --endMP 300:58993 --enddatetime 2017-10-22T17:24:10 --enforcementcount 0 &gt;&gt;%USERPROFILE%\Documents\GitHub\eaglep3-reporting\EC\2017-10-22-refined-times.txt</v>
      </c>
      <c r="AI183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{"issue":{"subject":"","project_id":79,"tracker_id":40,"status_id":1,"priority_id":2,"assigned_to_id":338,"start_date":"2017-10-22","description":"","custom_fields":[{"id":1,"name":"Subdivision","value":"NW"},{"id":4,"name":"Milepost","value":"5.8993"},{"id":17,"name":"Train ID","value":"1823-22"},{"id":16,"name":"Locomotive ID","value":"4016"},{"id":130,"name":"Impact","value":""},{"id":150,"name":"Time of Event (Mountain Time)","value":"17:24:10"},{"id":151,"name":"Denver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8"/>
        <v>start /low /b %USERPROFILE%\Documents\GitHub\eaglep3\Utilities\DownloadLogsFromS3.py --loco 4016 --day 2017-10-22</v>
      </c>
      <c r="AN183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30"/>
        <v>https://d0f6bd738d7f1b3e5a7ca70fe4ff75f0.us-east-1.aws.found.io/app/kibana#/discover/Steve-Slow-Train-Analysis-(2080s-and-2083s)?_g=(refreshInterval:(display:Off,pause:!f,section:0,value:0),time:(from:'2017-10-22T16:06:32-0600',mode:absolute,to:'2017-10-22T18:24:10-0600'))&amp;_a=(columns:!('Message%20ID',Summary),filters:!(),index:'emp_*',interval:auto,query:(query_string:(analyze_wildcard:!t,query:'%22rtdc.l.rtdc.4016%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664</v>
      </c>
      <c r="B184" s="7">
        <v>4015</v>
      </c>
      <c r="C184" s="21" t="s">
        <v>194</v>
      </c>
      <c r="D184" s="21" t="s">
        <v>952</v>
      </c>
      <c r="E184" s="13">
        <v>43030.726770833331</v>
      </c>
      <c r="F184" s="13">
        <v>43030.738506944443</v>
      </c>
      <c r="G184" s="7">
        <v>51</v>
      </c>
      <c r="H184" s="21" t="s">
        <v>503</v>
      </c>
      <c r="I184" s="13">
        <v>43030.747870370367</v>
      </c>
      <c r="J184" s="7">
        <v>0</v>
      </c>
      <c r="K184" s="89" t="str">
        <f>IF(ISEVEN(B184),(B184-1)&amp;"/"&amp;B184,B184&amp;"/"&amp;(B184+1))</f>
        <v>4015/4016</v>
      </c>
      <c r="L184" s="185" t="str">
        <f>VLOOKUP(A184,'Trips&amp;Operators'!$C$1:$G$99911,5,FALSE)</f>
        <v>HOLCOMB KAMDEN</v>
      </c>
      <c r="M184" s="6">
        <f>I184-F184</f>
        <v>9.3634259246755391E-3</v>
      </c>
      <c r="N184" s="7">
        <f>24*60*SUM($M184:$M184)</f>
        <v>13.483333331532776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-22T16:26:33-0600',mode:absolute,to:'2017-10-22T18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5.8678999999999997</v>
      </c>
      <c r="Z184" s="204">
        <f>RIGHT(H184,LEN(H184)-4)/10000</f>
        <v>6.7699999999999996E-2</v>
      </c>
      <c r="AA184" s="204">
        <f>ABS(Z184-Y184)</f>
        <v>5.8001999999999994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1824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/stypes="app*4015*20171022*" /stext=" 23:.+((SYSTEM_STATE.+slice.+state.+changed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6"/>
        <v>"%USERPROFILE%\Documents\GitHub\eaglep3\Utilities\RefineRTDCRunTimes.py" --tripid 1824-22 --locoid 4015 --swversion DE.1.0.9.0 --startMP 300:58679 --initTime 2017-10-22T17:26:33 --startdatetime 2017-10-22T17:43:27 --delay 51 --endMP 204:677 --enddatetime 2017-10-22T17:56:56 --enforcementcount 0 &gt;&gt;%USERPROFILE%\Documents\GitHub\eaglep3-reporting\EC\2017-10-22-refined-times.txt</v>
      </c>
      <c r="AI184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{"issue":{"subject":"","project_id":79,"tracker_id":40,"status_id":1,"priority_id":2,"assigned_to_id":338,"start_date":"2017-10-22","description":"","custom_fields":[{"id":1,"name":"Subdivision","value":"NW"},{"id":4,"name":"Milepost","value":"0.0677"},{"id":17,"name":"Train ID","value":"1824-22"},{"id":16,"name":"Locomotive ID","value":"4015"},{"id":130,"name":"Impact","value":""},{"id":150,"name":"Time of Event (Mountain Time)","value":"17:56:56"},{"id":151,"name":"Denver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8"/>
        <v>start /low /b %USERPROFILE%\Documents\GitHub\eaglep3\Utilities\DownloadLogsFromS3.py --loco 4015 --day 2017-10-22</v>
      </c>
      <c r="AN184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23:56:56"},{"id":29,"name":"Sharepoint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30"/>
        <v>https://d0f6bd738d7f1b3e5a7ca70fe4ff75f0.us-east-1.aws.found.io/app/kibana#/discover/Steve-Slow-Train-Analysis-(2080s-and-2083s)?_g=(refreshInterval:(display:Off,pause:!f,section:0,value:0),time:(from:'2017-10-22T16:26:33-0600',mode:absolute,to:'2017-10-22T18:56:56-0600'))&amp;_a=(columns:!('Message%20ID',Summary),filters:!(),index:'emp_*',interval:auto,query:(query_string:(analyze_wildcard:!t,query:'%22rtdc.l.rtdc.4015%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665</v>
      </c>
      <c r="B185" s="7">
        <v>4016</v>
      </c>
      <c r="C185" s="21" t="s">
        <v>194</v>
      </c>
      <c r="D185" s="21" t="s">
        <v>953</v>
      </c>
      <c r="E185" s="13">
        <v>43030.75408564815</v>
      </c>
      <c r="F185" s="13">
        <v>43030.757384259261</v>
      </c>
      <c r="G185" s="7">
        <v>62</v>
      </c>
      <c r="H185" s="21" t="s">
        <v>455</v>
      </c>
      <c r="I185" s="13">
        <v>43030.770694444444</v>
      </c>
      <c r="J185" s="7">
        <v>0</v>
      </c>
      <c r="K185" s="89" t="str">
        <f>IF(ISEVEN(B185),(B185-1)&amp;"/"&amp;B185,B185&amp;"/"&amp;(B185+1))</f>
        <v>4015/4016</v>
      </c>
      <c r="L185" s="185" t="str">
        <f>VLOOKUP(A185,'Trips&amp;Operators'!$C$1:$G$99911,5,FALSE)</f>
        <v>HOLCOMB KAMDEN</v>
      </c>
      <c r="M185" s="6">
        <f>I185-F185</f>
        <v>1.3310185182490386E-2</v>
      </c>
      <c r="N185" s="7">
        <f>24*60*SUM($M185:$M185)</f>
        <v>19.166666662786156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-22T17:05:53-0600',mode:absolute,to:'2017-10-22T19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9.7600000000000006E-2</v>
      </c>
      <c r="Z185" s="204">
        <f>RIGHT(H185,LEN(H185)-4)/10000</f>
        <v>5.8958000000000004</v>
      </c>
      <c r="AA185" s="204">
        <f>ABS(Z185-Y185)</f>
        <v>5.7982000000000005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1825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/stypes="app*4016*20171023*" /stext=" 00:.+((SYSTEM_STATE.+slice.+state.+changed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6"/>
        <v>"%USERPROFILE%\Documents\GitHub\eaglep3\Utilities\RefineRTDCRunTimes.py" --tripid 1825-22 --locoid 4016 --swversion DE.1.0.9.0 --startMP 204:976 --initTime 2017-10-22T18:05:53 --startdatetime 2017-10-22T18:10:38 --delay 62 --endMP 300:58958 --enddatetime 2017-10-22T18:29:48 --enforcementcount 0 &gt;&gt;%USERPROFILE%\Documents\GitHub\eaglep3-reporting\EC\2017-10-22-refined-times.txt</v>
      </c>
      <c r="AI185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{"issue":{"subject":"","project_id":79,"tracker_id":40,"status_id":1,"priority_id":2,"assigned_to_id":338,"start_date":"2017-10-22","description":"","custom_fields":[{"id":1,"name":"Subdivision","value":"NW"},{"id":4,"name":"Milepost","value":"5.8958"},{"id":17,"name":"Train ID","value":"1825-22"},{"id":16,"name":"Locomotive ID","value":"4016"},{"id":130,"name":"Impact","value":""},{"id":150,"name":"Time of Event (Mountain Time)","value":"18:29:48"},{"id":151,"name":"Denver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8"/>
        <v>start /low /b %USERPROFILE%\Documents\GitHub\eaglep3\Utilities\DownloadLogsFromS3.py --loco 4016 --day 2017-10-22</v>
      </c>
      <c r="AN185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00:29:48"},{"id":29,"name":"Sharepoint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30"/>
        <v>https://d0f6bd738d7f1b3e5a7ca70fe4ff75f0.us-east-1.aws.found.io/app/kibana#/discover/Steve-Slow-Train-Analysis-(2080s-and-2083s)?_g=(refreshInterval:(display:Off,pause:!f,section:0,value:0),time:(from:'2017-10-22T17:05:53-0600',mode:absolute,to:'2017-10-22T19:29:48-0600'))&amp;_a=(columns:!('Message%20ID',Summary),filters:!(),index:'emp_*',interval:auto,query:(query_string:(analyze_wildcard:!t,query:'%22rtdc.l.rtdc.4016%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667</v>
      </c>
      <c r="B186" s="7">
        <v>4015</v>
      </c>
      <c r="C186" s="21" t="s">
        <v>194</v>
      </c>
      <c r="D186" s="21" t="s">
        <v>954</v>
      </c>
      <c r="E186" s="13">
        <v>43030.773981481485</v>
      </c>
      <c r="F186" s="13">
        <v>43030.775509259256</v>
      </c>
      <c r="G186" s="7">
        <v>55</v>
      </c>
      <c r="H186" s="21" t="s">
        <v>955</v>
      </c>
      <c r="I186" s="13">
        <v>43030.789826388886</v>
      </c>
      <c r="J186" s="7">
        <v>0</v>
      </c>
      <c r="K186" s="89" t="str">
        <f>IF(ISEVEN(B186),(B186-1)&amp;"/"&amp;B186,B186&amp;"/"&amp;(B186+1))</f>
        <v>4015/4016</v>
      </c>
      <c r="L186" s="185" t="str">
        <f>VLOOKUP(A186,'Trips&amp;Operators'!$C$1:$G$99911,5,FALSE)</f>
        <v>HOLCOMB KAMDEN</v>
      </c>
      <c r="M186" s="6">
        <f>I186-F186</f>
        <v>1.43171296294895E-2</v>
      </c>
      <c r="N186" s="7">
        <f>24*60*SUM($M186:$M186)</f>
        <v>20.61666666646488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-22T17:34:32-0600',mode:absolute,to:'2017-10-22T19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5.8648999999999996</v>
      </c>
      <c r="Z186" s="204">
        <f>RIGHT(H186,LEN(H186)-4)/10000</f>
        <v>7.1199999999999999E-2</v>
      </c>
      <c r="AA186" s="204">
        <f>ABS(Z186-Y186)</f>
        <v>5.7936999999999994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1826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/stypes="app*4015*20171023*" /stext=" 00:.+((SYSTEM_STATE.+slice.+state.+changed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6"/>
        <v>"%USERPROFILE%\Documents\GitHub\eaglep3\Utilities\RefineRTDCRunTimes.py" --tripid 1826-22 --locoid 4015 --swversion DE.1.0.9.0 --startMP 300:58649 --initTime 2017-10-22T18:34:32 --startdatetime 2017-10-22T18:36:44 --delay 55 --endMP 204:712 --enddatetime 2017-10-22T18:57:21 --enforcementcount 0 &gt;&gt;%USERPROFILE%\Documents\GitHub\eaglep3-reporting\EC\2017-10-22-refined-times.txt</v>
      </c>
      <c r="AI186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{"issue":{"subject":"","project_id":79,"tracker_id":40,"status_id":1,"priority_id":2,"assigned_to_id":338,"start_date":"2017-10-22","description":"","custom_fields":[{"id":1,"name":"Subdivision","value":"NW"},{"id":4,"name":"Milepost","value":"0.0712"},{"id":17,"name":"Train ID","value":"1826-22"},{"id":16,"name":"Locomotive ID","value":"4015"},{"id":130,"name":"Impact","value":""},{"id":150,"name":"Time of Event (Mountain Time)","value":"18:57:21"},{"id":151,"name":"Denver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8"/>
        <v>start /low /b %USERPROFILE%\Documents\GitHub\eaglep3\Utilities\DownloadLogsFromS3.py --loco 4015 --day 2017-10-22</v>
      </c>
      <c r="AN18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30"/>
        <v>https://d0f6bd738d7f1b3e5a7ca70fe4ff75f0.us-east-1.aws.found.io/app/kibana#/discover/Steve-Slow-Train-Analysis-(2080s-and-2083s)?_g=(refreshInterval:(display:Off,pause:!f,section:0,value:0),time:(from:'2017-10-22T17:34:32-0600',mode:absolute,to:'2017-10-22T19:57:21-0600'))&amp;_a=(columns:!('Message%20ID',Summary),filters:!(),index:'emp_*',interval:auto,query:(query_string:(analyze_wildcard:!t,query:'%22rtdc.l.rtdc.4015%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844</v>
      </c>
      <c r="B187" s="7">
        <v>4016</v>
      </c>
      <c r="C187" s="21" t="s">
        <v>194</v>
      </c>
      <c r="D187" s="21" t="s">
        <v>929</v>
      </c>
      <c r="E187" s="13">
        <v>43030.793946759259</v>
      </c>
      <c r="F187" s="13">
        <v>43030.798703703702</v>
      </c>
      <c r="G187" s="7">
        <v>77</v>
      </c>
      <c r="H187" s="21" t="s">
        <v>956</v>
      </c>
      <c r="I187" s="13">
        <v>43030.808912037035</v>
      </c>
      <c r="J187" s="7">
        <v>0</v>
      </c>
      <c r="K187" s="89" t="str">
        <f>IF(ISEVEN(B187),(B187-1)&amp;"/"&amp;B187,B187&amp;"/"&amp;(B187+1))</f>
        <v>4015/4016</v>
      </c>
      <c r="L187" s="185" t="str">
        <f>VLOOKUP(A187,'Trips&amp;Operators'!$C$1:$G$99911,5,FALSE)</f>
        <v>HOLCOMB KAMDEN</v>
      </c>
      <c r="M187" s="6">
        <f>I187-F187</f>
        <v>1.0208333333139308E-2</v>
      </c>
      <c r="N187" s="7">
        <f>24*60*SUM($M187:$M187)</f>
        <v>14.699999999720603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-22T18:03:17-0600',mode:absolute,to:'2017-10-22T20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9.9500000000000005E-2</v>
      </c>
      <c r="Z187" s="204">
        <f>RIGHT(H187,LEN(H187)-4)/10000</f>
        <v>5.9001000000000001</v>
      </c>
      <c r="AA187" s="204">
        <f>ABS(Z187-Y187)</f>
        <v>5.8006000000000002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1827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/stypes="app*4016*20171023*" /stext=" 01:.+((SYSTEM_STATE.+slice.+state.+changed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6"/>
        <v>"%USERPROFILE%\Documents\GitHub\eaglep3\Utilities\RefineRTDCRunTimes.py" --tripid 1827-22 --locoid 4016 --swversion DE.1.0.9.0 --startMP 204:995 --initTime 2017-10-22T19:03:17 --startdatetime 2017-10-22T19:10:08 --delay 77 --endMP 300:59001 --enddatetime 2017-10-22T19:24:50 --enforcementcount 0 &gt;&gt;%USERPROFILE%\Documents\GitHub\eaglep3-reporting\EC\2017-10-22-refined-times.txt</v>
      </c>
      <c r="AI187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{"issue":{"subject":"","project_id":79,"tracker_id":40,"status_id":1,"priority_id":2,"assigned_to_id":338,"start_date":"2017-10-22","description":"","custom_fields":[{"id":1,"name":"Subdivision","value":"NW"},{"id":4,"name":"Milepost","value":"5.9001"},{"id":17,"name":"Train ID","value":"1827-22"},{"id":16,"name":"Locomotive ID","value":"4016"},{"id":130,"name":"Impact","value":""},{"id":150,"name":"Time of Event (Mountain Time)","value":"19:24:50"},{"id":151,"name":"Denver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8"/>
        <v>start /low /b %USERPROFILE%\Documents\GitHub\eaglep3\Utilities\DownloadLogsFromS3.py --loco 4016 --day 2017-10-22</v>
      </c>
      <c r="AN187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30"/>
        <v>https://d0f6bd738d7f1b3e5a7ca70fe4ff75f0.us-east-1.aws.found.io/app/kibana#/discover/Steve-Slow-Train-Analysis-(2080s-and-2083s)?_g=(refreshInterval:(display:Off,pause:!f,section:0,value:0),time:(from:'2017-10-22T18:03:17-0600',mode:absolute,to:'2017-10-22T20:24:50-0600'))&amp;_a=(columns:!('Message%20ID',Summary),filters:!(),index:'emp_*',interval:auto,query:(query_string:(analyze_wildcard:!t,query:'%22rtdc.l.rtdc.4016%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847</v>
      </c>
      <c r="B188" s="7">
        <v>4015</v>
      </c>
      <c r="C188" s="21" t="s">
        <v>194</v>
      </c>
      <c r="D188" s="21" t="s">
        <v>957</v>
      </c>
      <c r="E188" s="13">
        <v>43030.810231481482</v>
      </c>
      <c r="F188" s="13">
        <v>43030.82203703704</v>
      </c>
      <c r="G188" s="7">
        <v>53</v>
      </c>
      <c r="H188" s="21" t="s">
        <v>499</v>
      </c>
      <c r="I188" s="13">
        <v>43030.830729166664</v>
      </c>
      <c r="J188" s="7">
        <v>0</v>
      </c>
      <c r="K188" s="89" t="str">
        <f>IF(ISEVEN(B188),(B188-1)&amp;"/"&amp;B188,B188&amp;"/"&amp;(B188+1))</f>
        <v>4015/4016</v>
      </c>
      <c r="L188" s="185" t="str">
        <f>VLOOKUP(A188,'Trips&amp;Operators'!$C$1:$G$99911,5,FALSE)</f>
        <v>HOLCOMB KAMDEN</v>
      </c>
      <c r="M188" s="6">
        <f>I188-F188</f>
        <v>8.6921296242508106E-3</v>
      </c>
      <c r="N188" s="7">
        <f>24*60*SUM($M188:$M188)</f>
        <v>12.516666658921167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-22T18:26:44-0600',mode:absolute,to:'2017-10-22T20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5.8689999999999998</v>
      </c>
      <c r="Z188" s="204">
        <f>RIGHT(H188,LEN(H188)-4)/10000</f>
        <v>7.0099999999999996E-2</v>
      </c>
      <c r="AA188" s="204">
        <f>ABS(Z188-Y188)</f>
        <v>5.7988999999999997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1828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/stypes="app*4015*20171023*" /stext=" 01:.+((SYSTEM_STATE.+slice.+state.+changed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6"/>
        <v>"%USERPROFILE%\Documents\GitHub\eaglep3\Utilities\RefineRTDCRunTimes.py" --tripid 1828-22 --locoid 4015 --swversion DE.1.0.9.0 --startMP 300:58690 --initTime 2017-10-22T19:26:44 --startdatetime 2017-10-22T19:43:44 --delay 53 --endMP 204:701 --enddatetime 2017-10-22T19:56:15 --enforcementcount 0 &gt;&gt;%USERPROFILE%\Documents\GitHub\eaglep3-reporting\EC\2017-10-22-refined-times.txt</v>
      </c>
      <c r="AI188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{"issue":{"subject":"","project_id":79,"tracker_id":40,"status_id":1,"priority_id":2,"assigned_to_id":338,"start_date":"2017-10-22","description":"","custom_fields":[{"id":1,"name":"Subdivision","value":"NW"},{"id":4,"name":"Milepost","value":"0.0701"},{"id":17,"name":"Train ID","value":"1828-22"},{"id":16,"name":"Locomotive ID","value":"4015"},{"id":130,"name":"Impact","value":""},{"id":150,"name":"Time of Event (Mountain Time)","value":"19:56:15"},{"id":151,"name":"Denver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8"/>
        <v>start /low /b %USERPROFILE%\Documents\GitHub\eaglep3\Utilities\DownloadLogsFromS3.py --loco 4015 --day 2017-10-22</v>
      </c>
      <c r="AN18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30"/>
        <v>https://d0f6bd738d7f1b3e5a7ca70fe4ff75f0.us-east-1.aws.found.io/app/kibana#/discover/Steve-Slow-Train-Analysis-(2080s-and-2083s)?_g=(refreshInterval:(display:Off,pause:!f,section:0,value:0),time:(from:'2017-10-22T18:26:44-0600',mode:absolute,to:'2017-10-22T20:56:15-0600'))&amp;_a=(columns:!('Message%20ID',Summary),filters:!(),index:'emp_*',interval:auto,query:(query_string:(analyze_wildcard:!t,query:'%22rtdc.l.rtdc.4015%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852</v>
      </c>
      <c r="B189" s="7">
        <v>4016</v>
      </c>
      <c r="C189" s="21" t="s">
        <v>194</v>
      </c>
      <c r="D189" s="21" t="s">
        <v>957</v>
      </c>
      <c r="E189" s="13">
        <v>43030.810231481482</v>
      </c>
      <c r="F189" s="13">
        <v>43030.839872685188</v>
      </c>
      <c r="G189" s="7">
        <v>53</v>
      </c>
      <c r="H189" s="21" t="s">
        <v>499</v>
      </c>
      <c r="I189" s="13">
        <v>43030.850289351853</v>
      </c>
      <c r="J189" s="7">
        <v>0</v>
      </c>
      <c r="K189" s="89" t="str">
        <f>IF(ISEVEN(B189),(B189-1)&amp;"/"&amp;B189,B189&amp;"/"&amp;(B189+1))</f>
        <v>4015/4016</v>
      </c>
      <c r="L189" s="185" t="str">
        <f>VLOOKUP(A189,'Trips&amp;Operators'!$C$1:$G$99911,5,FALSE)</f>
        <v>HOLCOMB KAMDEN</v>
      </c>
      <c r="M189" s="6">
        <f>I189-F189</f>
        <v>1.0416666664241347E-2</v>
      </c>
      <c r="N189" s="7">
        <f>24*60*SUM($M189:$M189)</f>
        <v>14.99999999650754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-22T18:26:44-0600',mode:absolute,to:'2017-10-22T21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v>9.9500000000000005E-2</v>
      </c>
      <c r="Z189" s="204">
        <v>5.9001000000000001</v>
      </c>
      <c r="AA189" s="204">
        <f>ABS(Z189-Y189)</f>
        <v>5.8006000000000002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1829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/stypes="app*4016*20171023*" /stext=" 02:.+((SYSTEM_STATE.+slice.+state.+changed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ref="AH189" si="46"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1829-22 --locoid 4016 --swversion DE.1.0.9.0 --startMP 300:58690 --initTime 2017-10-22T19:26:44 --startdatetime 2017-10-22T20:09:25 --delay 53 --endMP 204:701 --enddatetime 2017-10-22T20:24:25 --enforcementcount 0 &gt;&gt;%USERPROFILE%\Documents\GitHub\eaglep3-reporting\EC\2017-10-22-refined-times.txt</v>
      </c>
      <c r="AI189" s="96" t="str">
        <f t="shared" ref="AI189" si="47"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{"issue":{"subject":"","project_id":79,"tracker_id":40,"status_id":1,"priority_id":2,"assigned_to_id":338,"start_date":"2017-10-22","description":"","custom_fields":[{"id":1,"name":"Subdivision","value":"NW"},{"id":4,"name":"Milepost","value":"5.9001"},{"id":17,"name":"Train ID","value":"1829-22"},{"id":16,"name":"Locomotive ID","value":"4016"},{"id":130,"name":"Impact","value":""},{"id":150,"name":"Time of Event (Mountain Time)","value":"20:24:25"},{"id":151,"name":"Denver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ref="AM189" si="48">"start /low /b "&amp;dls3logs&amp;" --loco "&amp;B189&amp;" --day "&amp;TEXT(F189,"YYYY-MM-DD")</f>
        <v>start /low /b %USERPROFILE%\Documents\GitHub\eaglep3\Utilities\DownloadLogsFromS3.py --loco 4016 --day 2017-10-22</v>
      </c>
      <c r="AN189" s="151" t="str">
        <f t="shared" ref="AN189" si="49"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02:24:25"},{"id":29,"name":"Sharepoint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ref="AO189" si="50"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-22T18:26:44-0600',mode:absolute,to:'2017-10-22T21:24:25-0600'))&amp;_a=(columns:!('Message%20ID',Summary),filters:!(),index:'emp_*',interval:auto,query:(query_string:(analyze_wildcard:!t,query:'%22rtdc.l.rtdc.4016%22')),sort:!(Time.ISO8601,asc))</v>
      </c>
    </row>
    <row r="190" spans="1:91" s="20" customFormat="1" x14ac:dyDescent="0.3">
      <c r="A190" s="32" t="s">
        <v>855</v>
      </c>
      <c r="B190" s="7">
        <v>4015</v>
      </c>
      <c r="C190" s="21" t="s">
        <v>194</v>
      </c>
      <c r="D190" s="21" t="s">
        <v>957</v>
      </c>
      <c r="E190" s="13">
        <v>43030.810231481482</v>
      </c>
      <c r="F190" s="13">
        <v>43030.863321759258</v>
      </c>
      <c r="G190" s="7">
        <v>53</v>
      </c>
      <c r="H190" s="21" t="s">
        <v>499</v>
      </c>
      <c r="I190" s="13">
        <v>43030.872071759259</v>
      </c>
      <c r="J190" s="7">
        <v>0</v>
      </c>
      <c r="K190" s="89" t="str">
        <f>IF(ISEVEN(B190),(B190-1)&amp;"/"&amp;B190,B190&amp;"/"&amp;(B190+1))</f>
        <v>4015/4016</v>
      </c>
      <c r="L190" s="185" t="str">
        <f>VLOOKUP(A190,'Trips&amp;Operators'!$C$1:$G$99911,5,FALSE)</f>
        <v>HOLCOMB KAMDEN</v>
      </c>
      <c r="M190" s="6">
        <f>I190-F190</f>
        <v>8.7500000008731149E-3</v>
      </c>
      <c r="N190" s="7">
        <f>24*60*SUM($M190:$M190)</f>
        <v>12.600000001257285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-22T18:26:44-0600',mode:absolute,to:'2017-10-22T21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v>5.8689999999999998</v>
      </c>
      <c r="Z190" s="204">
        <v>7.0099999999999996E-2</v>
      </c>
      <c r="AA190" s="204">
        <f>ABS(Z190-Y190)</f>
        <v>5.7988999999999997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1830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/stypes="app*4015*20171023*" /stext=" 02:.+((SYSTEM_STATE.+slice.+state.+changed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ref="AH190" si="51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1830-22 --locoid 4015 --swversion DE.1.0.9.0 --startMP 300:58690 --initTime 2017-10-22T19:26:44 --startdatetime 2017-10-22T20:43:11 --delay 53 --endMP 204:701 --enddatetime 2017-10-22T20:55:47 --enforcementcount 0 &gt;&gt;%USERPROFILE%\Documents\GitHub\eaglep3-reporting\EC\2017-10-22-refined-times.txt</v>
      </c>
      <c r="AI190" s="96" t="str">
        <f t="shared" ref="AI190" si="52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{"issue":{"subject":"","project_id":79,"tracker_id":40,"status_id":1,"priority_id":2,"assigned_to_id":338,"start_date":"2017-10-22","description":"","custom_fields":[{"id":1,"name":"Subdivision","value":"NW"},{"id":4,"name":"Milepost","value":"0.0701"},{"id":17,"name":"Train ID","value":"1830-22"},{"id":16,"name":"Locomotive ID","value":"4015"},{"id":130,"name":"Impact","value":""},{"id":150,"name":"Time of Event (Mountain Time)","value":"20:55:47"},{"id":151,"name":"Denver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ref="AM190" si="53">"start /low /b "&amp;dls3logs&amp;" --loco "&amp;B190&amp;" --day "&amp;TEXT(F190,"YYYY-MM-DD")</f>
        <v>start /low /b %USERPROFILE%\Documents\GitHub\eaglep3\Utilities\DownloadLogsFromS3.py --loco 4015 --day 2017-10-22</v>
      </c>
      <c r="AN190" s="151" t="str">
        <f t="shared" ref="AN190" si="54"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02:55:47"},{"id":29,"name":"Sharepoint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ref="AO190" si="55"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-22T18:26:44-0600',mode:absolute,to:'2017-10-22T21:55:47-0600'))&amp;_a=(columns:!('Message%20ID',Summary),filters:!(),index:'emp_*',interval:auto,query:(query_string:(analyze_wildcard:!t,query:'%22rtdc.l.rtdc.4015%22')),sort:!(Time.ISO8601,asc))</v>
      </c>
    </row>
    <row r="191" spans="1:91" s="20" customFormat="1" x14ac:dyDescent="0.3">
      <c r="A191" s="32" t="s">
        <v>857</v>
      </c>
      <c r="B191" s="7">
        <v>4016</v>
      </c>
      <c r="C191" s="21" t="s">
        <v>194</v>
      </c>
      <c r="D191" s="21" t="s">
        <v>634</v>
      </c>
      <c r="E191" s="13">
        <v>43030.880798611113</v>
      </c>
      <c r="F191" s="13">
        <v>43030.882013888891</v>
      </c>
      <c r="G191" s="7">
        <v>55</v>
      </c>
      <c r="H191" s="21" t="s">
        <v>631</v>
      </c>
      <c r="I191" s="13">
        <v>43030.891712962963</v>
      </c>
      <c r="J191" s="7">
        <v>0</v>
      </c>
      <c r="K191" s="89" t="str">
        <f>IF(ISEVEN(B191),(B191-1)&amp;"/"&amp;B191,B191&amp;"/"&amp;(B191+1))</f>
        <v>4015/4016</v>
      </c>
      <c r="L191" s="185" t="str">
        <f>VLOOKUP(A191,'Trips&amp;Operators'!$C$1:$G$99911,5,FALSE)</f>
        <v>HOLCOMB KAMDEN</v>
      </c>
      <c r="M191" s="6">
        <f>I191-F191</f>
        <v>9.6990740712499246E-3</v>
      </c>
      <c r="N191" s="7">
        <f>24*60*SUM($M191:$M191)</f>
        <v>13.966666662599891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-22T20:08:21-0600',mode:absolute,to:'2017-10-22T22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9.7900000000000001E-2</v>
      </c>
      <c r="Z191" s="204">
        <f>RIGHT(H191,LEN(H191)-4)/10000</f>
        <v>5.8987999999999996</v>
      </c>
      <c r="AA191" s="204">
        <f>ABS(Z191-Y191)</f>
        <v>5.8008999999999995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1831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/stypes="app*4016*20171023*" /stext=" 03:.+((SYSTEM_STATE.+slice.+state.+changed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6"/>
        <v>"%USERPROFILE%\Documents\GitHub\eaglep3\Utilities\RefineRTDCRunTimes.py" --tripid 1831-22 --locoid 4016 --swversion DE.1.0.9.0 --startMP 204:979 --initTime 2017-10-22T21:08:21 --startdatetime 2017-10-22T21:10:06 --delay 55 --endMP 300:58988 --enddatetime 2017-10-22T21:24:04 --enforcementcount 0 &gt;&gt;%USERPROFILE%\Documents\GitHub\eaglep3-reporting\EC\2017-10-22-refined-times.txt</v>
      </c>
      <c r="AI191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{"issue":{"subject":"","project_id":79,"tracker_id":40,"status_id":1,"priority_id":2,"assigned_to_id":338,"start_date":"2017-10-22","description":"","custom_fields":[{"id":1,"name":"Subdivision","value":"NW"},{"id":4,"name":"Milepost","value":"5.8988"},{"id":17,"name":"Train ID","value":"1831-22"},{"id":16,"name":"Locomotive ID","value":"4016"},{"id":130,"name":"Impact","value":""},{"id":150,"name":"Time of Event (Mountain Time)","value":"21:24:04"},{"id":151,"name":"Denver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8"/>
        <v>start /low /b %USERPROFILE%\Documents\GitHub\eaglep3\Utilities\DownloadLogsFromS3.py --loco 4016 --day 2017-10-22</v>
      </c>
      <c r="AN191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03:24:04"},{"id":29,"name":"Sharepoint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30"/>
        <v>https://d0f6bd738d7f1b3e5a7ca70fe4ff75f0.us-east-1.aws.found.io/app/kibana#/discover/Steve-Slow-Train-Analysis-(2080s-and-2083s)?_g=(refreshInterval:(display:Off,pause:!f,section:0,value:0),time:(from:'2017-10-22T20:08:21-0600',mode:absolute,to:'2017-10-22T22:24:04-0600'))&amp;_a=(columns:!('Message%20ID',Summary),filters:!(),index:'emp_*',interval:auto,query:(query_string:(analyze_wildcard:!t,query:'%22rtdc.l.rtdc.4016%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670</v>
      </c>
      <c r="B192" s="7">
        <v>4015</v>
      </c>
      <c r="C192" s="21" t="s">
        <v>194</v>
      </c>
      <c r="D192" s="21" t="s">
        <v>958</v>
      </c>
      <c r="E192" s="13">
        <v>43030.892789351848</v>
      </c>
      <c r="F192" s="13">
        <v>43030.904999999999</v>
      </c>
      <c r="G192" s="7">
        <v>47</v>
      </c>
      <c r="H192" s="21" t="s">
        <v>881</v>
      </c>
      <c r="I192" s="13">
        <v>43030.913668981484</v>
      </c>
      <c r="J192" s="7">
        <v>0</v>
      </c>
      <c r="K192" s="89" t="str">
        <f>IF(ISEVEN(B192),(B192-1)&amp;"/"&amp;B192,B192&amp;"/"&amp;(B192+1))</f>
        <v>4015/4016</v>
      </c>
      <c r="L192" s="185" t="str">
        <f>VLOOKUP(A192,'Trips&amp;Operators'!$C$1:$G$99911,5,FALSE)</f>
        <v>HOLCOMB KAMDEN</v>
      </c>
      <c r="M192" s="6">
        <f>I192-F192</f>
        <v>8.668981485243421E-3</v>
      </c>
      <c r="N192" s="7">
        <f>24*60*SUM($M192:$M192)</f>
        <v>12.483333338750526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-22T20:25:37-0600',mode:absolute,to:'2017-10-22T22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5.8677000000000001</v>
      </c>
      <c r="Z192" s="204">
        <f>RIGHT(H192,LEN(H192)-4)/10000</f>
        <v>7.5899999999999995E-2</v>
      </c>
      <c r="AA192" s="204">
        <f>ABS(Z192-Y192)</f>
        <v>5.7918000000000003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1832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/stypes="app*4015*20171023*" /stext=" 03:.+((SYSTEM_STATE.+slice.+state.+changed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6"/>
        <v>"%USERPROFILE%\Documents\GitHub\eaglep3\Utilities\RefineRTDCRunTimes.py" --tripid 1832-22 --locoid 4015 --swversion DE.1.0.9.0 --startMP 300:58677 --initTime 2017-10-22T21:25:37 --startdatetime 2017-10-22T21:43:12 --delay 47 --endMP 204:759 --enddatetime 2017-10-22T21:55:41 --enforcementcount 0 &gt;&gt;%USERPROFILE%\Documents\GitHub\eaglep3-reporting\EC\2017-10-22-refined-times.txt</v>
      </c>
      <c r="AI192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{"issue":{"subject":"","project_id":79,"tracker_id":40,"status_id":1,"priority_id":2,"assigned_to_id":338,"start_date":"2017-10-22","description":"","custom_fields":[{"id":1,"name":"Subdivision","value":"NW"},{"id":4,"name":"Milepost","value":"0.0759"},{"id":17,"name":"Train ID","value":"1832-22"},{"id":16,"name":"Locomotive ID","value":"4015"},{"id":130,"name":"Impact","value":""},{"id":150,"name":"Time of Event (Mountain Time)","value":"21:55:41"},{"id":151,"name":"Denver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8"/>
        <v>start /low /b %USERPROFILE%\Documents\GitHub\eaglep3\Utilities\DownloadLogsFromS3.py --loco 4015 --day 2017-10-22</v>
      </c>
      <c r="AN192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03:55:41"},{"id":29,"name":"Sharepoint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30"/>
        <v>https://d0f6bd738d7f1b3e5a7ca70fe4ff75f0.us-east-1.aws.found.io/app/kibana#/discover/Steve-Slow-Train-Analysis-(2080s-and-2083s)?_g=(refreshInterval:(display:Off,pause:!f,section:0,value:0),time:(from:'2017-10-22T20:25:37-0600',mode:absolute,to:'2017-10-22T22:55:41-0600'))&amp;_a=(columns:!('Message%20ID',Summary),filters:!(),index:'emp_*',interval:auto,query:(query_string:(analyze_wildcard:!t,query:'%22rtdc.l.rtdc.4015%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863</v>
      </c>
      <c r="B193" s="7">
        <v>4016</v>
      </c>
      <c r="C193" s="21" t="s">
        <v>194</v>
      </c>
      <c r="D193" s="21" t="s">
        <v>959</v>
      </c>
      <c r="E193" s="13">
        <v>43030.922569444447</v>
      </c>
      <c r="F193" s="13">
        <v>43030.923750000002</v>
      </c>
      <c r="G193" s="7">
        <v>46</v>
      </c>
      <c r="H193" s="21" t="s">
        <v>960</v>
      </c>
      <c r="I193" s="13">
        <v>43030.93341435185</v>
      </c>
      <c r="J193" s="7">
        <v>0</v>
      </c>
      <c r="K193" s="89" t="str">
        <f>IF(ISEVEN(B193),(B193-1)&amp;"/"&amp;B193,B193&amp;"/"&amp;(B193+1))</f>
        <v>4015/4016</v>
      </c>
      <c r="L193" s="185" t="str">
        <f>VLOOKUP(A193,'Trips&amp;Operators'!$C$1:$G$99911,5,FALSE)</f>
        <v>HOLCOMB KAMDEN</v>
      </c>
      <c r="M193" s="6">
        <f>I193-F193</f>
        <v>9.6643518481869251E-3</v>
      </c>
      <c r="N193" s="7">
        <f>24*60*SUM($M193:$M193)</f>
        <v>13.916666661389172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-22T21:08:30-0600',mode:absolute,to:'2017-10-22T23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0.1032</v>
      </c>
      <c r="Z193" s="204">
        <f>RIGHT(H193,LEN(H193)-4)/10000</f>
        <v>5.8982000000000001</v>
      </c>
      <c r="AA193" s="204">
        <f>ABS(Z193-Y193)</f>
        <v>5.7949999999999999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1833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/stypes="app*4016*20171023*" /stext=" 04:.+((SYSTEM_STATE.+slice.+state.+changed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6"/>
        <v>"%USERPROFILE%\Documents\GitHub\eaglep3\Utilities\RefineRTDCRunTimes.py" --tripid 1833-22 --locoid 4016 --swversion DE.1.0.9.0 --startMP 204:1032 --initTime 2017-10-22T22:08:30 --startdatetime 2017-10-22T22:10:12 --delay 46 --endMP 300:58982 --enddatetime 2017-10-22T22:24:07 --enforcementcount 0 &gt;&gt;%USERPROFILE%\Documents\GitHub\eaglep3-reporting\EC\2017-10-22-refined-times.txt</v>
      </c>
      <c r="AI193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{"issue":{"subject":"","project_id":79,"tracker_id":40,"status_id":1,"priority_id":2,"assigned_to_id":338,"start_date":"2017-10-22","description":"","custom_fields":[{"id":1,"name":"Subdivision","value":"NW"},{"id":4,"name":"Milepost","value":"5.8982"},{"id":17,"name":"Train ID","value":"1833-22"},{"id":16,"name":"Locomotive ID","value":"4016"},{"id":130,"name":"Impact","value":""},{"id":150,"name":"Time of Event (Mountain Time)","value":"22:24:07"},{"id":151,"name":"Denver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8"/>
        <v>start /low /b %USERPROFILE%\Documents\GitHub\eaglep3\Utilities\DownloadLogsFromS3.py --loco 4016 --day 2017-10-22</v>
      </c>
      <c r="AN193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04:24:07"},{"id":29,"name":"Sharepoint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30"/>
        <v>https://d0f6bd738d7f1b3e5a7ca70fe4ff75f0.us-east-1.aws.found.io/app/kibana#/discover/Steve-Slow-Train-Analysis-(2080s-and-2083s)?_g=(refreshInterval:(display:Off,pause:!f,section:0,value:0),time:(from:'2017-10-22T21:08:30-0600',mode:absolute,to:'2017-10-22T23:24:07-0600'))&amp;_a=(columns:!('Message%20ID',Summary),filters:!(),index:'emp_*',interval:auto,query:(query_string:(analyze_wildcard:!t,query:'%22rtdc.l.rtdc.4016%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671</v>
      </c>
      <c r="B194" s="7">
        <v>4015</v>
      </c>
      <c r="C194" s="21" t="s">
        <v>194</v>
      </c>
      <c r="D194" s="21" t="s">
        <v>961</v>
      </c>
      <c r="E194" s="13">
        <v>43030.934236111112</v>
      </c>
      <c r="F194" s="13">
        <v>43030.946967592594</v>
      </c>
      <c r="G194" s="7">
        <v>64</v>
      </c>
      <c r="H194" s="21" t="s">
        <v>962</v>
      </c>
      <c r="I194" s="13">
        <v>43030.955879629626</v>
      </c>
      <c r="J194" s="7">
        <v>0</v>
      </c>
      <c r="K194" s="89" t="str">
        <f>IF(ISEVEN(B194),(B194-1)&amp;"/"&amp;B194,B194&amp;"/"&amp;(B194+1))</f>
        <v>4015/4016</v>
      </c>
      <c r="L194" s="185" t="str">
        <f>VLOOKUP(A194,'Trips&amp;Operators'!$C$1:$G$99911,5,FALSE)</f>
        <v>HOLCOMB KAMDEN</v>
      </c>
      <c r="M194" s="6">
        <f>I194-F194</f>
        <v>8.9120370321325026E-3</v>
      </c>
      <c r="N194" s="7">
        <f>24*60*SUM($M194:$M194)</f>
        <v>12.833333326270804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-22T21:25:18-0600',mode:absolute,to:'2017-10-22T23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5.8686999999999996</v>
      </c>
      <c r="Z194" s="204">
        <f>RIGHT(H194,LEN(H194)-4)/10000</f>
        <v>6.8900000000000003E-2</v>
      </c>
      <c r="AA194" s="204">
        <f>ABS(Z194-Y194)</f>
        <v>5.7997999999999994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1834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/stypes="app*4015*20171023*" /stext=" 04:.+((SYSTEM_STATE.+slice.+state.+changed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6"/>
        <v>"%USERPROFILE%\Documents\GitHub\eaglep3\Utilities\RefineRTDCRunTimes.py" --tripid 1834-22 --locoid 4015 --swversion DE.1.0.9.0 --startMP 300:58687 --initTime 2017-10-22T22:25:18 --startdatetime 2017-10-22T22:43:38 --delay 64 --endMP 204:689 --enddatetime 2017-10-22T22:56:28 --enforcementcount 0 &gt;&gt;%USERPROFILE%\Documents\GitHub\eaglep3-reporting\EC\2017-10-22-refined-times.txt</v>
      </c>
      <c r="AI194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{"issue":{"subject":"","project_id":79,"tracker_id":40,"status_id":1,"priority_id":2,"assigned_to_id":338,"start_date":"2017-10-22","description":"","custom_fields":[{"id":1,"name":"Subdivision","value":"NW"},{"id":4,"name":"Milepost","value":"0.0689"},{"id":17,"name":"Train ID","value":"1834-22"},{"id":16,"name":"Locomotive ID","value":"4015"},{"id":130,"name":"Impact","value":""},{"id":150,"name":"Time of Event (Mountain Time)","value":"22:56:28"},{"id":151,"name":"Denver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8"/>
        <v>start /low /b %USERPROFILE%\Documents\GitHub\eaglep3\Utilities\DownloadLogsFromS3.py --loco 4015 --day 2017-10-22</v>
      </c>
      <c r="AN194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04:56:28"},{"id":29,"name":"Sharepoint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30"/>
        <v>https://d0f6bd738d7f1b3e5a7ca70fe4ff75f0.us-east-1.aws.found.io/app/kibana#/discover/Steve-Slow-Train-Analysis-(2080s-and-2083s)?_g=(refreshInterval:(display:Off,pause:!f,section:0,value:0),time:(from:'2017-10-22T21:25:18-0600',mode:absolute,to:'2017-10-22T23:56:28-0600'))&amp;_a=(columns:!('Message%20ID',Summary),filters:!(),index:'emp_*',interval:auto,query:(query_string:(analyze_wildcard:!t,query:'%22rtdc.l.rtdc.4015%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866</v>
      </c>
      <c r="B195" s="7">
        <v>4016</v>
      </c>
      <c r="C195" s="21" t="s">
        <v>194</v>
      </c>
      <c r="D195" s="21" t="s">
        <v>630</v>
      </c>
      <c r="E195" s="13">
        <v>43030.959317129629</v>
      </c>
      <c r="F195" s="13">
        <v>43030.964814814812</v>
      </c>
      <c r="G195" s="7">
        <v>79</v>
      </c>
      <c r="H195" s="21" t="s">
        <v>963</v>
      </c>
      <c r="I195" s="13">
        <v>43030.974363425928</v>
      </c>
      <c r="J195" s="7">
        <v>0</v>
      </c>
      <c r="K195" s="89" t="str">
        <f>IF(ISEVEN(B195),(B195-1)&amp;"/"&amp;B195,B195&amp;"/"&amp;(B195+1))</f>
        <v>4015/4016</v>
      </c>
      <c r="L195" s="185" t="str">
        <f>VLOOKUP(A195,'Trips&amp;Operators'!$C$1:$G$99911,5,FALSE)</f>
        <v>CASSIDY BRANDON</v>
      </c>
      <c r="M195" s="6">
        <f>I195-F195</f>
        <v>9.5486111167701893E-3</v>
      </c>
      <c r="N195" s="7">
        <f>24*60*SUM($M195:$M195)</f>
        <v>13.750000008149073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-22T22:01:25-0600',mode:absolute,to:'2017-10-23T00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9.6699999999999994E-2</v>
      </c>
      <c r="Z195" s="204">
        <f>RIGHT(H195,LEN(H195)-4)/10000</f>
        <v>5.8933</v>
      </c>
      <c r="AA195" s="204">
        <f>ABS(Z195-Y195)</f>
        <v>5.7965999999999998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1835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/stypes="app*4016*20171023*" /stext=" 05:.+((SYSTEM_STATE.+slice.+state.+changed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6"/>
        <v>"%USERPROFILE%\Documents\GitHub\eaglep3\Utilities\RefineRTDCRunTimes.py" --tripid 1835-22 --locoid 4016 --swversion DE.1.0.9.0 --startMP 204:967 --initTime 2017-10-22T23:01:25 --startdatetime 2017-10-22T23:09:20 --delay 79 --endMP 300:58933 --enddatetime 2017-10-22T23:23:05 --enforcementcount 0 &gt;&gt;%USERPROFILE%\Documents\GitHub\eaglep3-reporting\EC\2017-10-22-refined-times.txt</v>
      </c>
      <c r="AI195" s="96" t="str">
        <f t="shared" si="27"/>
        <v>echo {"issue":{"subject":"","project_id":79,"tracker_id":40,"status_id":1,"priority_id":2,"assigned_to_id":338,"start_date":"2017-10-22","description":"","custom_fields":[{"id":1,"name":"Subdivision","value":"NW"},{"id":4,"name":"Milepost","value":"5.8933"},{"id":17,"name":"Train ID","value":"1835-22"},{"id":16,"name":"Locomotive ID","value":"4016"},{"id":130,"name":"Impact","value":""},{"id":150,"name":"Time of Event (Mountain Time)","value":"23:23:05"},{"id":151,"name":"Denver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8"/>
        <v>start /low /b %USERPROFILE%\Documents\GitHub\eaglep3\Utilities\DownloadLogsFromS3.py --loco 4016 --day 2017-10-22</v>
      </c>
      <c r="AN195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05:23:05"},{"id":29,"name":"Sharepoint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30"/>
        <v>https://d0f6bd738d7f1b3e5a7ca70fe4ff75f0.us-east-1.aws.found.io/app/kibana#/discover/Steve-Slow-Train-Analysis-(2080s-and-2083s)?_g=(refreshInterval:(display:Off,pause:!f,section:0,value:0),time:(from:'2017-10-22T22:01:25-0600',mode:absolute,to:'2017-10-23T00:23:05-0600'))&amp;_a=(columns:!('Message%20ID',Summary),filters:!(),index:'emp_*',interval:auto,query:(query_string:(analyze_wildcard:!t,query:'%22rtdc.l.rtdc.4016%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840</v>
      </c>
      <c r="B196" s="7">
        <v>4002</v>
      </c>
      <c r="C196" s="21" t="s">
        <v>194</v>
      </c>
      <c r="D196" s="21" t="s">
        <v>367</v>
      </c>
      <c r="E196" s="13">
        <v>43030.775937500002</v>
      </c>
      <c r="F196" s="13">
        <v>43030.777442129627</v>
      </c>
      <c r="G196" s="7">
        <v>53</v>
      </c>
      <c r="H196" s="21" t="s">
        <v>629</v>
      </c>
      <c r="I196" s="13">
        <v>43030.785879629628</v>
      </c>
      <c r="J196" s="7">
        <v>0</v>
      </c>
      <c r="K196" s="89" t="str">
        <f>IF(ISEVEN(B196),(B196-1)&amp;"/"&amp;B196,B196&amp;"/"&amp;(B196+1))</f>
        <v>4001/4002</v>
      </c>
      <c r="L196" s="185" t="str">
        <f>VLOOKUP(A196,'Trips&amp;Operators'!$C$1:$G$99911,5,FALSE)</f>
        <v>GUZMAN DANNY</v>
      </c>
      <c r="M196" s="6">
        <f>I196-F196</f>
        <v>8.4375000005820766E-3</v>
      </c>
      <c r="N196" s="7">
        <f>24*60*SUM($M196:$M196)</f>
        <v>12.15000000083819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-22T17:37:21-0600',mode:absolute,to:'2017-10-22T19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6" s="204" t="str">
        <f>IF(AA196&lt;VLOOKUP(AG196,Variables!$AC$3:$AD$8,2,FALSE),"Y","N")</f>
        <v>Y</v>
      </c>
      <c r="X196" s="204">
        <f>VALUE(LEFT(AD196,4))-VALUE(LEFT(AD195,4))</f>
        <v>-1534</v>
      </c>
      <c r="Y196" s="204">
        <f>RIGHT(D196,LEN(D196)-4)/10000</f>
        <v>4.5100000000000001E-2</v>
      </c>
      <c r="Z196" s="204">
        <f>RIGHT(H196,LEN(H196)-4)/10000</f>
        <v>2.3306</v>
      </c>
      <c r="AA196" s="204">
        <f>ABS(Z196-Y196)</f>
        <v>2.2854999999999999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301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s3://rtdc.mdm.uploadarchive.raw/RTDC4002/ "%USERPROFILE%\AppData\Local\Temp\OnboardLogs"\RTDC4002\2017-10-22 --exclude "*" --recursive --include "*20171022*" &amp; "%USERPROFILE%\Documents\GitHub\mrs-test-scripts\Headless Mode &amp; Sideloading\WalkAndUnGZ.bat" "%USERPROFILE%\AppData\Local\Temp\OnboardLogs"\RTDC4002\2017-10-22 &amp; aws s3 cp s3://rtdc.mdm.uploadarchive.raw/RTDC4002/ "%USERPROFILE%\AppData\Local\Temp\OnboardLogs"\RTDC4002\2017-10-23 --exclude "*" --recursive --include "*20171023*" &amp; "%USERPROFILE%\Documents\GitHub\mrs-test-scripts\Headless Mode &amp; Sideloading\WalkAndUnGZ.bat" "%USERPROFILE%\AppData\Local\Temp\OnboardLogs"\RTDC4002\2017-10-23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/stypes="app*4002*20171023*"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Other</v>
      </c>
      <c r="AH196" s="78" t="str">
        <f t="shared" si="26"/>
        <v>"%USERPROFILE%\Documents\GitHub\eaglep3\Utilities\RefineRTDCRunTimes.py" --tripid 301-22 --locoid 4002 --swversion DE.1.0.9.0 --startMP 204:451 --initTime 2017-10-22T18:37:21 --startdatetime 2017-10-22T18:39:31 --delay 53 --endMP 300:23306 --enddatetime 2017-10-22T18:51:40 --enforcementcount 0 &gt;&gt;%USERPROFILE%\Documents\GitHub\eaglep3-reporting\EC\2017-10-22-refined-times.txt</v>
      </c>
      <c r="AI196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{"issue":{"subject":"","project_id":79,"tracker_id":40,"status_id":1,"priority_id":2,"assigned_to_id":338,"start_date":"2017-10-22","description":"","custom_fields":[{"id":1,"name":"Subdivision","value":"Other"},{"id":4,"name":"Milepost","value":"2.3306"},{"id":17,"name":"Train ID","value":"301-22"},{"id":16,"name":"Locomotive ID","value":"4002"},{"id":130,"name":"Impact","value":""},{"id":150,"name":"Time of Event (Mountain Time)","value":"18:51:40"},{"id":151,"name":"Denver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8"/>
        <v>start /low /b %USERPROFILE%\Documents\GitHub\eaglep3\Utilities\DownloadLogsFromS3.py --loco 4002 --day 2017-10-22</v>
      </c>
      <c r="AN19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30"/>
        <v>https://d0f6bd738d7f1b3e5a7ca70fe4ff75f0.us-east-1.aws.found.io/app/kibana#/discover/Steve-Slow-Train-Analysis-(2080s-and-2083s)?_g=(refreshInterval:(display:Off,pause:!f,section:0,value:0),time:(from:'2017-10-22T17:37:21-0600',mode:absolute,to:'2017-10-22T19:51:40-0600'))&amp;_a=(columns:!('Message%20ID',Summary),filters:!(),index:'emp_*',interval:auto,query:(query_string:(analyze_wildcard:!t,query:'%22rtdc.l.rtdc.4002%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685</v>
      </c>
      <c r="B197" s="7">
        <v>4031</v>
      </c>
      <c r="C197" s="21" t="s">
        <v>194</v>
      </c>
      <c r="D197" s="21" t="s">
        <v>999</v>
      </c>
      <c r="E197" s="13">
        <v>43030.139548611114</v>
      </c>
      <c r="F197" s="13">
        <v>43030.144629629627</v>
      </c>
      <c r="G197" s="7">
        <v>146</v>
      </c>
      <c r="H197" s="21" t="s">
        <v>454</v>
      </c>
      <c r="I197" s="13">
        <v>43030.149629629632</v>
      </c>
      <c r="J197" s="7">
        <v>0</v>
      </c>
      <c r="K197" s="89" t="str">
        <f>IF(ISEVEN(B197),(B197-1)&amp;"/"&amp;B197,B197&amp;"/"&amp;(B197+1))</f>
        <v>4031/4032</v>
      </c>
      <c r="L197" s="185" t="str">
        <f>VLOOKUP(A197,'Trips&amp;Operators'!$C$1:$G$99911,5,FALSE)</f>
        <v>MAELZER KURT</v>
      </c>
      <c r="M197" s="6">
        <f>I197-F197</f>
        <v>5.0000000046566129E-3</v>
      </c>
      <c r="N197" s="7">
        <f>24*60*SUM($M197:$M197)</f>
        <v>7.2000000067055225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-22T02:20:57-0600',mode:absolute,to:'2017-10-22T04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204" t="str">
        <f>IF(AA197&lt;VLOOKUP(AG197,Variables!$AC$3:$AD$8,2,FALSE),"Y","N")</f>
        <v>Y</v>
      </c>
      <c r="X197" s="204">
        <f>VALUE(LEFT(AD197,4))-VALUE(LEFT(AD196,4))</f>
        <v>1</v>
      </c>
      <c r="Y197" s="204">
        <f>RIGHT(D197,LEN(D197)-4)/10000</f>
        <v>1.9521999999999999</v>
      </c>
      <c r="Z197" s="204">
        <f>RIGHT(H197,LEN(H197)-4)/10000</f>
        <v>1.32E-2</v>
      </c>
      <c r="AA197" s="204">
        <f>ABS(Z197-Y197)</f>
        <v>1.9389999999999998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302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/stypes="app*4031*20171022*" /stext=" 09:.+((SYSTEM_STATE.+slice.+state.+changed )|(ment ac)|(multiple cpu faults)|(system.+state.+changed )|(\[timeout)|(PRM\|1\|D)|(kpr)|(kdp)|(train st.+moving)|(\|lc)|(penalty))"</v>
      </c>
      <c r="AG197" s="182" t="str">
        <f>DetSubdiv(A197)</f>
        <v>Other</v>
      </c>
      <c r="AH197" s="78" t="str">
        <f t="shared" si="26"/>
        <v>"%USERPROFILE%\Documents\GitHub\eaglep3\Utilities\RefineRTDCRunTimes.py" --tripid 302-22 --locoid 4031 --swversion DE.1.0.9.0 --startMP 300:19522 --initTime 2017-10-22T03:20:57 --startdatetime 2017-10-22T03:28:16 --delay 146 --endMP 204:132 --enddatetime 2017-10-22T03:35:28 --enforcementcount 0 &gt;&gt;%USERPROFILE%\Documents\GitHub\eaglep3-reporting\EC\2017-10-22-refined-times.txt</v>
      </c>
      <c r="AI197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{"issue":{"subject":"","project_id":79,"tracker_id":40,"status_id":1,"priority_id":2,"assigned_to_id":338,"start_date":"2017-10-22","description":"","custom_fields":[{"id":1,"name":"Subdivision","value":"Other"},{"id":4,"name":"Milepost","value":"0.0132"},{"id":17,"name":"Train ID","value":"302-22"},{"id":16,"name":"Locomotive ID","value":"4031"},{"id":130,"name":"Impact","value":""},{"id":150,"name":"Time of Event (Mountain Time)","value":"03:35:28"},{"id":151,"name":"Denver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8"/>
        <v>start /low /b %USERPROFILE%\Documents\GitHub\eaglep3\Utilities\DownloadLogsFromS3.py --loco 4031 --day 2017-10-22</v>
      </c>
      <c r="AN197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09:35:28"},{"id":29,"name":"Sharepoint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30"/>
        <v>https://d0f6bd738d7f1b3e5a7ca70fe4ff75f0.us-east-1.aws.found.io/app/kibana#/discover/Steve-Slow-Train-Analysis-(2080s-and-2083s)?_g=(refreshInterval:(display:Off,pause:!f,section:0,value:0),time:(from:'2017-10-22T02:20:57-0600',mode:absolute,to:'2017-10-22T04:35:28-0600'))&amp;_a=(columns:!('Message%20ID',Summary),filters:!(),index:'emp_*',interval:auto,query:(query_string:(analyze_wildcard:!t,query:'%22rtdc.l.rtdc.4031%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845</v>
      </c>
      <c r="B198" s="7">
        <v>4020</v>
      </c>
      <c r="C198" s="21" t="s">
        <v>194</v>
      </c>
      <c r="D198" s="21" t="s">
        <v>1000</v>
      </c>
      <c r="E198" s="13">
        <v>43030.798402777778</v>
      </c>
      <c r="F198" s="13">
        <v>43030.801863425928</v>
      </c>
      <c r="G198" s="7">
        <v>72</v>
      </c>
      <c r="H198" s="21" t="s">
        <v>409</v>
      </c>
      <c r="I198" s="13">
        <v>43030.810601851852</v>
      </c>
      <c r="J198" s="7">
        <v>0</v>
      </c>
      <c r="K198" s="89" t="str">
        <f>IF(ISEVEN(B198),(B198-1)&amp;"/"&amp;B198,B198&amp;"/"&amp;(B198+1))</f>
        <v>4019/4020</v>
      </c>
      <c r="L198" s="185" t="str">
        <f>VLOOKUP(A198,'Trips&amp;Operators'!$C$1:$G$99911,5,FALSE)</f>
        <v>BERLING GARY</v>
      </c>
      <c r="M198" s="6">
        <f>I198-F198</f>
        <v>8.7384259240934625E-3</v>
      </c>
      <c r="N198" s="7">
        <f>24*60*SUM($M198:$M198)</f>
        <v>12.583333330694586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-22T18:09:42-0600',mode:absolute,to:'2017-10-22T20:27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204" t="str">
        <f>IF(AA198&lt;VLOOKUP(AG198,Variables!$AC$3:$AD$8,2,FALSE),"Y","N")</f>
        <v>Y</v>
      </c>
      <c r="X198" s="204">
        <f>VALUE(LEFT(AD198,4))-VALUE(LEFT(AD197,4))</f>
        <v>1</v>
      </c>
      <c r="Y198" s="204">
        <f>RIGHT(D198,LEN(D198)-4)/10000</f>
        <v>5.0200000000000002E-2</v>
      </c>
      <c r="Z198" s="204">
        <f>RIGHT(H198,LEN(H198)-4)/10000</f>
        <v>2.3346</v>
      </c>
      <c r="AA198" s="204">
        <f>ABS(Z198-Y198)</f>
        <v>2.2844000000000002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303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s3://rtdc.mdm.uploadarchive.raw/RTDC4020/ "%USERPROFILE%\AppData\Local\Temp\OnboardLogs"\RTDC4020\2017-10-22 --exclude "*" --recursive --include "*20171022*" &amp; "%USERPROFILE%\Documents\GitHub\mrs-test-scripts\Headless Mode &amp; Sideloading\WalkAndUnGZ.bat" "%USERPROFILE%\AppData\Local\Temp\OnboardLogs"\RTDC4020\2017-10-22 &amp; aws s3 cp s3://rtdc.mdm.uploadarchive.raw/RTDC4020/ "%USERPROFILE%\AppData\Local\Temp\OnboardLogs"\RTDC4020\2017-10-23 --exclude "*" --recursive --include "*20171023*" &amp; "%USERPROFILE%\Documents\GitHub\mrs-test-scripts\Headless Mode &amp; Sideloading\WalkAndUnGZ.bat" "%USERPROFILE%\AppData\Local\Temp\OnboardLogs"\RTDC4020\2017-10-23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/stypes="app*4020*20171023*" /stext=" 01:.+((SYSTEM_STATE.+slice.+state.+changed )|(ment ac)|(multiple cpu faults)|(system.+state.+changed )|(\[timeout)|(PRM\|1\|D)|(kpr)|(kdp)|(train st.+moving)|(\|lc)|(penalty))"</v>
      </c>
      <c r="AG198" s="182" t="str">
        <f>DetSubdiv(A198)</f>
        <v>Other</v>
      </c>
      <c r="AH198" s="78" t="str">
        <f t="shared" si="26"/>
        <v>"%USERPROFILE%\Documents\GitHub\eaglep3\Utilities\RefineRTDCRunTimes.py" --tripid 303-22 --locoid 4020 --swversion DE.1.0.9.0 --startMP 204:502 --initTime 2017-10-22T19:09:42 --startdatetime 2017-10-22T19:14:41 --delay 72 --endMP 300:23346 --enddatetime 2017-10-22T19:27:16 --enforcementcount 0 &gt;&gt;%USERPROFILE%\Documents\GitHub\eaglep3-reporting\EC\2017-10-22-refined-times.txt</v>
      </c>
      <c r="AI198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{"issue":{"subject":"","project_id":79,"tracker_id":40,"status_id":1,"priority_id":2,"assigned_to_id":338,"start_date":"2017-10-22","description":"","custom_fields":[{"id":1,"name":"Subdivision","value":"Other"},{"id":4,"name":"Milepost","value":"2.3346"},{"id":17,"name":"Train ID","value":"303-22"},{"id":16,"name":"Locomotive ID","value":"4020"},{"id":130,"name":"Impact","value":""},{"id":150,"name":"Time of Event (Mountain Time)","value":"19:27:16"},{"id":151,"name":"Denver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8"/>
        <v>start /low /b %USERPROFILE%\Documents\GitHub\eaglep3\Utilities\DownloadLogsFromS3.py --loco 4020 --day 2017-10-22</v>
      </c>
      <c r="AN19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01:27:16"},{"id":29,"name":"Sharepoint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30"/>
        <v>https://d0f6bd738d7f1b3e5a7ca70fe4ff75f0.us-east-1.aws.found.io/app/kibana#/discover/Steve-Slow-Train-Analysis-(2080s-and-2083s)?_g=(refreshInterval:(display:Off,pause:!f,section:0,value:0),time:(from:'2017-10-22T18:09:42-0600',mode:absolute,to:'2017-10-22T20:27:16-0600'))&amp;_a=(columns:!('Message%20ID',Summary),filters:!(),index:'emp_*',interval:auto,query:(query_string:(analyze_wildcard:!t,query:'%22rtdc.l.rtdc.4020%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687</v>
      </c>
      <c r="B199" s="7">
        <v>4027</v>
      </c>
      <c r="C199" s="21" t="s">
        <v>194</v>
      </c>
      <c r="D199" s="21" t="s">
        <v>1001</v>
      </c>
      <c r="E199" s="13">
        <v>43030.15966435185</v>
      </c>
      <c r="F199" s="13">
        <v>43030.164166666669</v>
      </c>
      <c r="G199" s="7">
        <v>65</v>
      </c>
      <c r="H199" s="21" t="s">
        <v>335</v>
      </c>
      <c r="I199" s="13">
        <v>43030.169687499998</v>
      </c>
      <c r="J199" s="7">
        <v>0</v>
      </c>
      <c r="K199" s="89" t="str">
        <f>IF(ISEVEN(B199),(B199-1)&amp;"/"&amp;B199,B199&amp;"/"&amp;(B199+1))</f>
        <v>4027/4028</v>
      </c>
      <c r="L199" s="185" t="str">
        <f>VLOOKUP(A199,'Trips&amp;Operators'!$C$1:$G$99911,5,FALSE)</f>
        <v>DAVIS WENDY</v>
      </c>
      <c r="M199" s="6">
        <f>I199-F199</f>
        <v>5.5208333287737332E-3</v>
      </c>
      <c r="N199" s="7">
        <f>24*60*SUM($M199:$M199)</f>
        <v>7.9499999934341758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-22T02:49:55-0600',mode:absolute,to:'2017-10-22T05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204" t="str">
        <f>IF(AA199&lt;VLOOKUP(AG199,Variables!$AC$3:$AD$8,2,FALSE),"Y","N")</f>
        <v>Y</v>
      </c>
      <c r="X199" s="204">
        <f>VALUE(LEFT(AD199,4))-VALUE(LEFT(AD198,4))</f>
        <v>1</v>
      </c>
      <c r="Y199" s="204">
        <f>RIGHT(D199,LEN(D199)-4)/10000</f>
        <v>2.2058</v>
      </c>
      <c r="Z199" s="204">
        <f>RIGHT(H199,LEN(H199)-4)/10000</f>
        <v>1.4999999999999999E-2</v>
      </c>
      <c r="AA199" s="204">
        <f>ABS(Z199-Y199)</f>
        <v>2.1907999999999999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304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/stypes="app*4027*20171022*" /stext=" 10:.+((SYSTEM_STATE.+slice.+state.+changed )|(ment ac)|(multiple cpu faults)|(system.+state.+changed )|(\[timeout)|(PRM\|1\|D)|(kpr)|(kdp)|(train st.+moving)|(\|lc)|(penalty))"</v>
      </c>
      <c r="AG199" s="182" t="str">
        <f>DetSubdiv(A199)</f>
        <v>Other</v>
      </c>
      <c r="AH199" s="78" t="str">
        <f t="shared" si="26"/>
        <v>"%USERPROFILE%\Documents\GitHub\eaglep3\Utilities\RefineRTDCRunTimes.py" --tripid 304-22 --locoid 4027 --swversion DE.1.0.9.0 --startMP 300:22058 --initTime 2017-10-22T03:49:55 --startdatetime 2017-10-22T03:56:24 --delay 65 --endMP 204:150 --enddatetime 2017-10-22T04:04:21 --enforcementcount 0 &gt;&gt;%USERPROFILE%\Documents\GitHub\eaglep3-reporting\EC\2017-10-22-refined-times.txt</v>
      </c>
      <c r="AI199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{"issue":{"subject":"","project_id":79,"tracker_id":40,"status_id":1,"priority_id":2,"assigned_to_id":338,"start_date":"2017-10-22","description":"","custom_fields":[{"id":1,"name":"Subdivision","value":"Other"},{"id":4,"name":"Milepost","value":"0.015"},{"id":17,"name":"Train ID","value":"304-22"},{"id":16,"name":"Locomotive ID","value":"4027"},{"id":130,"name":"Impact","value":""},{"id":150,"name":"Time of Event (Mountain Time)","value":"04:04:21"},{"id":151,"name":"Denver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8"/>
        <v>start /low /b %USERPROFILE%\Documents\GitHub\eaglep3\Utilities\DownloadLogsFromS3.py --loco 4027 --day 2017-10-22</v>
      </c>
      <c r="AN199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10:04:21"},{"id":29,"name":"Sharepoint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30"/>
        <v>https://d0f6bd738d7f1b3e5a7ca70fe4ff75f0.us-east-1.aws.found.io/app/kibana#/discover/Steve-Slow-Train-Analysis-(2080s-and-2083s)?_g=(refreshInterval:(display:Off,pause:!f,section:0,value:0),time:(from:'2017-10-22T02:49:55-0600',mode:absolute,to:'2017-10-22T05:04:21-0600'))&amp;_a=(columns:!('Message%20ID',Summary),filters:!(),index:'emp_*',interval:auto,query:(query_string:(analyze_wildcard:!t,query:'%22rtdc.l.rtdc.4027%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849</v>
      </c>
      <c r="B200" s="7">
        <v>4066</v>
      </c>
      <c r="C200" s="21" t="s">
        <v>194</v>
      </c>
      <c r="D200" s="21" t="s">
        <v>344</v>
      </c>
      <c r="E200" s="13">
        <v>43030.817453703705</v>
      </c>
      <c r="F200" s="13">
        <v>43030.818993055553</v>
      </c>
      <c r="G200" s="7">
        <v>55</v>
      </c>
      <c r="H200" s="21" t="s">
        <v>629</v>
      </c>
      <c r="I200" s="13">
        <v>43030.82608796296</v>
      </c>
      <c r="J200" s="7">
        <v>0</v>
      </c>
      <c r="K200" s="89" t="str">
        <f>IF(ISEVEN(B200),(B200-1)&amp;"/"&amp;B200,B200&amp;"/"&amp;(B200+1))</f>
        <v>4065/4066</v>
      </c>
      <c r="L200" s="185" t="str">
        <f>VLOOKUP(A200,'Trips&amp;Operators'!$C$1:$G$99911,5,FALSE)</f>
        <v>SMITH MICHAEL</v>
      </c>
      <c r="M200" s="6">
        <f>I200-F200</f>
        <v>7.0949074070085771E-3</v>
      </c>
      <c r="N200" s="7">
        <f>24*60*SUM($M200:$M200)</f>
        <v>10.216666666092351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-22T18:37:08-0600',mode:absolute,to:'2017-10-22T20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0" s="204" t="str">
        <f>IF(AA200&lt;VLOOKUP(AG200,Variables!$AC$3:$AD$8,2,FALSE),"Y","N")</f>
        <v>Y</v>
      </c>
      <c r="X200" s="204">
        <f>VALUE(LEFT(AD200,4))-VALUE(LEFT(AD199,4))</f>
        <v>1</v>
      </c>
      <c r="Y200" s="204">
        <f>RIGHT(D200,LEN(D200)-4)/10000</f>
        <v>4.5499999999999999E-2</v>
      </c>
      <c r="Z200" s="204">
        <f>RIGHT(H200,LEN(H200)-4)/10000</f>
        <v>2.3306</v>
      </c>
      <c r="AA200" s="204">
        <f>ABS(Z200-Y200)</f>
        <v>2.2850999999999999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305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s3://rtdc.mdm.uploadarchive.raw/RTDC4066/ "%USERPROFILE%\AppData\Local\Temp\OnboardLogs"\RTDC4066\2017-10-22 --exclude "*" --recursive --include "*20171022*" &amp; "%USERPROFILE%\Documents\GitHub\mrs-test-scripts\Headless Mode &amp; Sideloading\WalkAndUnGZ.bat" "%USERPROFILE%\AppData\Local\Temp\OnboardLogs"\RTDC4066\2017-10-22 &amp; aws s3 cp s3://rtdc.mdm.uploadarchive.raw/RTDC4066/ "%USERPROFILE%\AppData\Local\Temp\OnboardLogs"\RTDC4066\2017-10-23 --exclude "*" --recursive --include "*20171023*" &amp; "%USERPROFILE%\Documents\GitHub\mrs-test-scripts\Headless Mode &amp; Sideloading\WalkAndUnGZ.bat" "%USERPROFILE%\AppData\Local\Temp\OnboardLogs"\RTDC4066\2017-10-23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/stypes="app*4066*20171023*"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Other</v>
      </c>
      <c r="AH200" s="78" t="str">
        <f t="shared" si="26"/>
        <v>"%USERPROFILE%\Documents\GitHub\eaglep3\Utilities\RefineRTDCRunTimes.py" --tripid 305-22 --locoid 4066 --swversion DE.1.0.9.0 --startMP 204:455 --initTime 2017-10-22T19:37:08 --startdatetime 2017-10-22T19:39:21 --delay 55 --endMP 300:23306 --enddatetime 2017-10-22T19:49:34 --enforcementcount 0 &gt;&gt;%USERPROFILE%\Documents\GitHub\eaglep3-reporting\EC\2017-10-22-refined-times.txt</v>
      </c>
      <c r="AI200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{"issue":{"subject":"","project_id":79,"tracker_id":40,"status_id":1,"priority_id":2,"assigned_to_id":338,"start_date":"2017-10-22","description":"","custom_fields":[{"id":1,"name":"Subdivision","value":"Other"},{"id":4,"name":"Milepost","value":"2.3306"},{"id":17,"name":"Train ID","value":"305-22"},{"id":16,"name":"Locomotive ID","value":"4066"},{"id":130,"name":"Impact","value":""},{"id":150,"name":"Time of Event (Mountain Time)","value":"19:49:34"},{"id":151,"name":"Denver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8"/>
        <v>start /low /b %USERPROFILE%\Documents\GitHub\eaglep3\Utilities\DownloadLogsFromS3.py --loco 4066 --day 2017-10-22</v>
      </c>
      <c r="AN200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30"/>
        <v>https://d0f6bd738d7f1b3e5a7ca70fe4ff75f0.us-east-1.aws.found.io/app/kibana#/discover/Steve-Slow-Train-Analysis-(2080s-and-2083s)?_g=(refreshInterval:(display:Off,pause:!f,section:0,value:0),time:(from:'2017-10-22T18:37:08-0600',mode:absolute,to:'2017-10-22T20:49:34-0600'))&amp;_a=(columns:!('Message%20ID',Summary),filters:!(),index:'emp_*',interval:auto,query:(query_string:(analyze_wildcard:!t,query:'%22rtdc.l.rtdc.4066%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689</v>
      </c>
      <c r="B201" s="7">
        <v>4015</v>
      </c>
      <c r="C201" s="21" t="s">
        <v>194</v>
      </c>
      <c r="D201" s="21" t="s">
        <v>1002</v>
      </c>
      <c r="E201" s="13">
        <v>43030.166898148149</v>
      </c>
      <c r="F201" s="13">
        <v>25568.708333333332</v>
      </c>
      <c r="G201" s="7">
        <v>111</v>
      </c>
      <c r="H201" s="21" t="s">
        <v>1003</v>
      </c>
      <c r="I201" s="13">
        <v>25568.708333333332</v>
      </c>
      <c r="J201" s="7">
        <v>0</v>
      </c>
      <c r="K201" s="89" t="str">
        <f>IF(ISEVEN(B201),(B201-1)&amp;"/"&amp;B201,B201&amp;"/"&amp;(B201+1))</f>
        <v>4015/4016</v>
      </c>
      <c r="L201" s="185" t="str">
        <f>VLOOKUP(A201,'Trips&amp;Operators'!$C$1:$G$99911,5,FALSE)</f>
        <v>BARRON PERLA</v>
      </c>
      <c r="M201" s="6">
        <f>I201-F201</f>
        <v>0</v>
      </c>
      <c r="N201" s="7">
        <f>24*60*SUM($M201:$M201)</f>
        <v>0</v>
      </c>
      <c r="O201" s="7"/>
      <c r="P201" s="7"/>
      <c r="Q201" s="22"/>
      <c r="R201" s="174"/>
      <c r="S201" s="221">
        <f>1/IF(AG201="EC",12,1)*SUM(U201:U201)</f>
        <v>0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-22T03:00:20-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04" t="str">
        <f>IF(AA201&lt;VLOOKUP(AG201,Variables!$AC$3:$AD$8,2,FALSE),"Y","N")</f>
        <v>Y</v>
      </c>
      <c r="X201" s="204">
        <f>VALUE(LEFT(AD201,4))-VALUE(LEFT(AD200,4))</f>
        <v>1</v>
      </c>
      <c r="Y201" s="204">
        <f>RIGHT(D201,LEN(D201)-4)/10000</f>
        <v>0.51470000000000005</v>
      </c>
      <c r="Z201" s="204">
        <f>RIGHT(H201,LEN(H201)-4)/10000</f>
        <v>7.3800000000000004E-2</v>
      </c>
      <c r="AA201" s="204">
        <f>ABS(Z201-Y201)</f>
        <v>0.44090000000000007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306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/stypes="app*4015*19691231*" /stext=" 23:.+((SYSTEM_STATE.+slice.+state.+changed )|(ment ac)|(multiple cpu faults)|(system.+state.+changed )|(\[timeout)|(PRM\|1\|D)|(kpr)|(kdp)|(train st.+moving)|(\|lc)|(penalty))"</v>
      </c>
      <c r="AG201" s="182" t="str">
        <f>DetSubdiv(A201)</f>
        <v>Other</v>
      </c>
      <c r="AH201" s="78" t="str">
        <f t="shared" si="26"/>
        <v>"%USERPROFILE%\Documents\GitHub\eaglep3\Utilities\RefineRTDCRunTimes.py" --tripid 306-22 --locoid 4015 --swversion DE.1.0.9.0 --startMP 300:5147 --initTime 2017-10-22T04:00:20 --startdatetime 1969-12-31T17:00:00 --delay 111 --endMP 204:738 --enddatetime 1969-12-31T17:00:00 --enforcementcount 0 &gt;&gt;%USERPROFILE%\Documents\GitHub\eaglep3-reporting\EC\2017-10-22-refined-times.txt</v>
      </c>
      <c r="AI201" s="96" t="str">
        <f t="shared" si="27"/>
        <v>echo {"issue":{"subject":"","project_id":79,"tracker_id":40,"status_id":1,"priority_id":2,"assigned_to_id":338,"start_date":"1969-12-31","description":"","custom_fields":[{"id":1,"name":"Subdivision","value":"Other"},{"id":4,"name":"Milepost","value":"0.0738"},{"id":17,"name":"Train ID","value":"306-22"},{"id":16,"name":"Locomotive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28"/>
        <v>start /low /b %USERPROFILE%\Documents\GitHub\eaglep3\Utilities\DownloadLogsFromS3.py --loco 4015 --day 1969-12-31</v>
      </c>
      <c r="AN201" s="151" t="str">
        <f t="shared" si="2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30"/>
        <v>https://d0f6bd738d7f1b3e5a7ca70fe4ff75f0.us-east-1.aws.found.io/app/kibana#/discover/Steve-Slow-Train-Analysis-(2080s-and-2083s)?_g=(refreshInterval:(display:Off,pause:!f,section:0,value:0),time:(from:'2017-10-22T03:00:20-0600',mode:absolute,to:'1969-12-31T18:00:00-0600'))&amp;_a=(columns:!('Message%20ID',Summary),filters:!(),index:'emp_*',interval:auto,query:(query_string:(analyze_wildcard:!t,query:'%22rtdc.l.rtdc.4015%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878</v>
      </c>
      <c r="B202" s="7">
        <v>4032</v>
      </c>
      <c r="C202" s="21" t="s">
        <v>194</v>
      </c>
      <c r="D202" s="21" t="s">
        <v>882</v>
      </c>
      <c r="E202" s="13">
        <v>43031.047511574077</v>
      </c>
      <c r="F202" s="13">
        <v>43031.048993055556</v>
      </c>
      <c r="G202" s="7">
        <v>56</v>
      </c>
      <c r="H202" s="21" t="s">
        <v>1004</v>
      </c>
      <c r="I202" s="13">
        <v>43031.05804398148</v>
      </c>
      <c r="J202" s="7">
        <v>0</v>
      </c>
      <c r="K202" s="89" t="str">
        <f>IF(ISEVEN(B202),(B202-1)&amp;"/"&amp;B202,B202&amp;"/"&amp;(B202+1))</f>
        <v>4031/4032</v>
      </c>
      <c r="L202" s="185" t="str">
        <f>VLOOKUP(A202,'Trips&amp;Operators'!$C$1:$G$99911,5,FALSE)</f>
        <v>LOZA FIDEL</v>
      </c>
      <c r="M202" s="6">
        <f>I202-F202</f>
        <v>9.0509259243845008E-3</v>
      </c>
      <c r="N202" s="7">
        <f>24*60*SUM($M202:$M202)</f>
        <v>13.033333331113681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-23T00:08:25-0600',mode:absolute,to:'2017-10-23T02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204" t="str">
        <f>IF(AA202&lt;VLOOKUP(AG202,Variables!$AC$3:$AD$8,2,FALSE),"Y","N")</f>
        <v>Y</v>
      </c>
      <c r="X202" s="204">
        <f>VALUE(LEFT(AD202,4))-VALUE(LEFT(AD201,4))</f>
        <v>1</v>
      </c>
      <c r="Y202" s="204">
        <f>RIGHT(D202,LEN(D202)-4)/10000</f>
        <v>4.2599999999999999E-2</v>
      </c>
      <c r="Z202" s="204">
        <f>RIGHT(H202,LEN(H202)-4)/10000</f>
        <v>2.331</v>
      </c>
      <c r="AA202" s="204">
        <f>ABS(Z202-Y202)</f>
        <v>2.2883999999999998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307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 &amp; aws s3 cp s3://rtdc.mdm.uploadarchive.raw/RTDC4032/ "%USERPROFILE%\AppData\Local\Temp\OnboardLogs"\RTDC4032\2017-10-24 --exclude "*" --recursive --include "*20171024*" &amp; "%USERPROFILE%\Documents\GitHub\mrs-test-scripts\Headless Mode &amp; Sideloading\WalkAndUnGZ.bat" "%USERPROFILE%\AppData\Local\Temp\OnboardLogs"\RTDC4032\2017-10-24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/stypes="app*4032*20171023*" /stext=" 07:.+((SYSTEM_STATE.+slice.+state.+changed )|(ment ac)|(multiple cpu faults)|(system.+state.+changed )|(\[timeout)|(PRM\|1\|D)|(kpr)|(kdp)|(train st.+moving)|(\|lc)|(penalty))"</v>
      </c>
      <c r="AG202" s="182" t="str">
        <f>DetSubdiv(A202)</f>
        <v>Other</v>
      </c>
      <c r="AH202" s="78" t="str">
        <f t="shared" si="26"/>
        <v>"%USERPROFILE%\Documents\GitHub\eaglep3\Utilities\RefineRTDCRunTimes.py" --tripid 307-22 --locoid 4032 --swversion DE.1.0.9.0 --startMP 204:426 --initTime 2017-10-23T01:08:25 --startdatetime 2017-10-23T01:10:33 --delay 56 --endMP 300:23310 --enddatetime 2017-10-23T01:23:35 --enforcementcount 0 &gt;&gt;%USERPROFILE%\Documents\GitHub\eaglep3-reporting\EC\2017-10-22-refined-times.txt</v>
      </c>
      <c r="AI202" s="96" t="str">
        <f t="shared" si="27"/>
        <v>echo {"issue":{"subject":"","project_id":79,"tracker_id":40,"status_id":1,"priority_id":2,"assigned_to_id":338,"start_date":"2017-10-23","description":"","custom_fields":[{"id":1,"name":"Subdivision","value":"Other"},{"id":4,"name":"Milepost","value":"2.331"},{"id":17,"name":"Train ID","value":"307-22"},{"id":16,"name":"Locomotive ID","value":"4032"},{"id":130,"name":"Impact","value":""},{"id":150,"name":"Time of Event (Mountain Time)","value":"01:23:35"},{"id":151,"name":"Denver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8"/>
        <v>start /low /b %USERPROFILE%\Documents\GitHub\eaglep3\Utilities\DownloadLogsFromS3.py --loco 4032 --day 2017-10-23</v>
      </c>
      <c r="AN202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07:23:35"},{"id":29,"name":"Sharepoint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30"/>
        <v>https://d0f6bd738d7f1b3e5a7ca70fe4ff75f0.us-east-1.aws.found.io/app/kibana#/discover/Steve-Slow-Train-Analysis-(2080s-and-2083s)?_g=(refreshInterval:(display:Off,pause:!f,section:0,value:0),time:(from:'2017-10-23T00:08:25-0600',mode:absolute,to:'2017-10-23T02:23:35-0600'))&amp;_a=(columns:!('Message%20ID',Summary),filters:!(),index:'emp_*',interval:auto,query:(query_string:(analyze_wildcard:!t,query:'%22rtdc.l.rtdc.4032%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694</v>
      </c>
      <c r="B203" s="7">
        <v>4001</v>
      </c>
      <c r="C203" s="21" t="s">
        <v>194</v>
      </c>
      <c r="D203" s="21" t="s">
        <v>1005</v>
      </c>
      <c r="E203" s="13">
        <v>43030.174953703703</v>
      </c>
      <c r="F203" s="13">
        <v>43030.182141203702</v>
      </c>
      <c r="G203" s="7">
        <v>78</v>
      </c>
      <c r="H203" s="21" t="s">
        <v>1006</v>
      </c>
      <c r="I203" s="13">
        <v>43030.224814814814</v>
      </c>
      <c r="J203" s="7">
        <v>0</v>
      </c>
      <c r="K203" s="89" t="str">
        <f>IF(ISEVEN(B203),(B203-1)&amp;"/"&amp;B203,B203&amp;"/"&amp;(B203+1))</f>
        <v>4001/4002</v>
      </c>
      <c r="L203" s="185" t="str">
        <f>VLOOKUP(A203,'Trips&amp;Operators'!$C$1:$G$99911,5,FALSE)</f>
        <v>GEBRETEKLE DAGNEW</v>
      </c>
      <c r="M203" s="6">
        <f>I203-F203</f>
        <v>4.2673611111240461E-2</v>
      </c>
      <c r="N203" s="7">
        <f>24*60*SUM($M203:$M203)</f>
        <v>61.450000000186265</v>
      </c>
      <c r="O203" s="7"/>
      <c r="P203" s="7"/>
      <c r="Q203" s="22"/>
      <c r="R203" s="174"/>
      <c r="S203" s="221">
        <f>1/IF(AG203="EC",12,1)*SUM(U203:U203)</f>
        <v>0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-22T03:11:56-0600',mode:absolute,to:'2017-10-22T06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3" s="204" t="str">
        <f>IF(AA203&lt;VLOOKUP(AG203,Variables!$AC$3:$AD$8,2,FALSE),"Y","N")</f>
        <v>Y</v>
      </c>
      <c r="X203" s="204">
        <f>VALUE(LEFT(AD203,4))-VALUE(LEFT(AD202,4))</f>
        <v>1</v>
      </c>
      <c r="Y203" s="204">
        <f>RIGHT(D203,LEN(D203)-4)/10000</f>
        <v>2.3671000000000002</v>
      </c>
      <c r="Z203" s="204">
        <f>RIGHT(H203,LEN(H203)-4)/10000</f>
        <v>1.8843000000000001</v>
      </c>
      <c r="AA203" s="204">
        <f>ABS(Z203-Y203)</f>
        <v>0.48280000000000012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308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/stypes="app*4001*20171022*" /stext=" 11:.+((SYSTEM_STATE.+slice.+state.+changed )|(ment ac)|(multiple cpu faults)|(system.+state.+changed )|(\[timeout)|(PRM\|1\|D)|(kpr)|(kdp)|(train st.+moving)|(\|lc)|(penalty))"</v>
      </c>
      <c r="AG203" s="182" t="str">
        <f>DetSubdiv(A203)</f>
        <v>Other</v>
      </c>
      <c r="AH203" s="78" t="str">
        <f t="shared" si="26"/>
        <v>"%USERPROFILE%\Documents\GitHub\eaglep3\Utilities\RefineRTDCRunTimes.py" --tripid 308-22 --locoid 4001 --swversion DE.1.0.9.0 --startMP 300:23671 --initTime 2017-10-22T04:11:56 --startdatetime 2017-10-22T04:22:17 --delay 78 --endMP 300:18843 --enddatetime 2017-10-22T05:23:44 --enforcementcount 0 &gt;&gt;%USERPROFILE%\Documents\GitHub\eaglep3-reporting\EC\2017-10-22-refined-times.txt</v>
      </c>
      <c r="AI203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{"issue":{"subject":"","project_id":79,"tracker_id":40,"status_id":1,"priority_id":2,"assigned_to_id":338,"start_date":"2017-10-22","description":"","custom_fields":[{"id":1,"name":"Subdivision","value":"Other"},{"id":4,"name":"Milepost","value":"1.8843"},{"id":17,"name":"Train ID","value":"308-22"},{"id":16,"name":"Locomotive ID","value":"4001"},{"id":130,"name":"Impact","value":""},{"id":150,"name":"Time of Event (Mountain Time)","value":"05:23:44"},{"id":151,"name":"Denver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8"/>
        <v>start /low /b %USERPROFILE%\Documents\GitHub\eaglep3\Utilities\DownloadLogsFromS3.py --loco 4001 --day 2017-10-22</v>
      </c>
      <c r="AN203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30"/>
        <v>https://d0f6bd738d7f1b3e5a7ca70fe4ff75f0.us-east-1.aws.found.io/app/kibana#/discover/Steve-Slow-Train-Analysis-(2080s-and-2083s)?_g=(refreshInterval:(display:Off,pause:!f,section:0,value:0),time:(from:'2017-10-22T03:11:56-0600',mode:absolute,to:'2017-10-22T06:23:44-0600'))&amp;_a=(columns:!('Message%20ID',Summary),filters:!(),index:'emp_*',interval:auto,query:(query_string:(analyze_wildcard:!t,query:'%22rtdc.l.rtdc.4001%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879</v>
      </c>
      <c r="B204" s="7">
        <v>4028</v>
      </c>
      <c r="C204" s="21" t="s">
        <v>194</v>
      </c>
      <c r="D204" s="21" t="s">
        <v>1000</v>
      </c>
      <c r="E204" s="13">
        <v>43031.065891203703</v>
      </c>
      <c r="F204" s="13">
        <v>43031.067615740743</v>
      </c>
      <c r="G204" s="7">
        <v>83</v>
      </c>
      <c r="H204" s="21" t="s">
        <v>498</v>
      </c>
      <c r="I204" s="13">
        <v>43031.076817129629</v>
      </c>
      <c r="J204" s="7">
        <v>0</v>
      </c>
      <c r="K204" s="89" t="str">
        <f>IF(ISEVEN(B204),(B204-1)&amp;"/"&amp;B204,B204&amp;"/"&amp;(B204+1))</f>
        <v>4027/4028</v>
      </c>
      <c r="L204" s="185" t="str">
        <f>VLOOKUP(A204,'Trips&amp;Operators'!$C$1:$G$99911,5,FALSE)</f>
        <v>ELBAUM MIKE</v>
      </c>
      <c r="M204" s="6">
        <f>I204-F204</f>
        <v>9.2013888861401938E-3</v>
      </c>
      <c r="N204" s="7">
        <f>24*60*SUM($M204:$M204)</f>
        <v>13.249999996041879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-23T00:34:53-0600',mode:absolute,to:'2017-10-23T02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204" t="str">
        <f>IF(AA204&lt;VLOOKUP(AG204,Variables!$AC$3:$AD$8,2,FALSE),"Y","N")</f>
        <v>Y</v>
      </c>
      <c r="X204" s="204">
        <f>VALUE(LEFT(AD204,4))-VALUE(LEFT(AD203,4))</f>
        <v>1</v>
      </c>
      <c r="Y204" s="204">
        <f>RIGHT(D204,LEN(D204)-4)/10000</f>
        <v>5.0200000000000002E-2</v>
      </c>
      <c r="Z204" s="204">
        <f>RIGHT(H204,LEN(H204)-4)/10000</f>
        <v>2.3311999999999999</v>
      </c>
      <c r="AA204" s="204">
        <f>ABS(Z204-Y204)</f>
        <v>2.2810000000000001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309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 &amp; 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/stypes="app*4028*20171023*" /stext=" 07:.+((SYSTEM_STATE.+slice.+state.+changed )|(ment ac)|(multiple cpu faults)|(system.+state.+changed )|(\[timeout)|(PRM\|1\|D)|(kpr)|(kdp)|(train st.+moving)|(\|lc)|(penalty))"</v>
      </c>
      <c r="AG204" s="182" t="str">
        <f>DetSubdiv(A204)</f>
        <v>Other</v>
      </c>
      <c r="AH204" s="78" t="str">
        <f t="shared" si="26"/>
        <v>"%USERPROFILE%\Documents\GitHub\eaglep3\Utilities\RefineRTDCRunTimes.py" --tripid 309-22 --locoid 4028 --swversion DE.1.0.9.0 --startMP 204:502 --initTime 2017-10-23T01:34:53 --startdatetime 2017-10-23T01:37:22 --delay 83 --endMP 300:23312 --enddatetime 2017-10-23T01:50:37 --enforcementcount 0 &gt;&gt;%USERPROFILE%\Documents\GitHub\eaglep3-reporting\EC\2017-10-22-refined-times.txt</v>
      </c>
      <c r="AI204" s="96" t="str">
        <f t="shared" si="27"/>
        <v>echo {"issue":{"subject":"","project_id":79,"tracker_id":40,"status_id":1,"priority_id":2,"assigned_to_id":338,"start_date":"2017-10-23","description":"","custom_fields":[{"id":1,"name":"Subdivision","value":"Other"},{"id":4,"name":"Milepost","value":"2.3312"},{"id":17,"name":"Train ID","value":"309-22"},{"id":16,"name":"Locomotive ID","value":"4028"},{"id":130,"name":"Impact","value":""},{"id":150,"name":"Time of Event (Mountain Time)","value":"01:50:37"},{"id":151,"name":"Denver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8"/>
        <v>start /low /b %USERPROFILE%\Documents\GitHub\eaglep3\Utilities\DownloadLogsFromS3.py --loco 4028 --day 2017-10-23</v>
      </c>
      <c r="AN204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07:50:37"},{"id":29,"name":"Sharepoint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30"/>
        <v>https://d0f6bd738d7f1b3e5a7ca70fe4ff75f0.us-east-1.aws.found.io/app/kibana#/discover/Steve-Slow-Train-Analysis-(2080s-and-2083s)?_g=(refreshInterval:(display:Off,pause:!f,section:0,value:0),time:(from:'2017-10-23T00:34:53-0600',mode:absolute,to:'2017-10-23T02:50:37-0600'))&amp;_a=(columns:!('Message%20ID',Summary),filters:!(),index:'emp_*',interval:auto,query:(query_string:(analyze_wildcard:!t,query:'%22rtdc.l.rtdc.4028%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700</v>
      </c>
      <c r="B205" s="7">
        <v>4019</v>
      </c>
      <c r="C205" s="21" t="s">
        <v>194</v>
      </c>
      <c r="D205" s="21" t="s">
        <v>1007</v>
      </c>
      <c r="E205" s="13">
        <v>43030.198807870373</v>
      </c>
      <c r="F205" s="13">
        <v>43030.202928240738</v>
      </c>
      <c r="G205" s="7">
        <v>111</v>
      </c>
      <c r="H205" s="21" t="s">
        <v>357</v>
      </c>
      <c r="I205" s="13">
        <v>43030.211435185185</v>
      </c>
      <c r="J205" s="7">
        <v>0</v>
      </c>
      <c r="K205" s="89" t="str">
        <f>IF(ISEVEN(B205),(B205-1)&amp;"/"&amp;B205,B205&amp;"/"&amp;(B205+1))</f>
        <v>4019/4020</v>
      </c>
      <c r="L205" s="185" t="str">
        <f>VLOOKUP(A205,'Trips&amp;Operators'!$C$1:$G$99911,5,FALSE)</f>
        <v>WILLIAMS DONTE</v>
      </c>
      <c r="M205" s="6">
        <f>I205-F205</f>
        <v>8.5069444467080757E-3</v>
      </c>
      <c r="N205" s="7">
        <f>24*60*SUM($M205:$M205)</f>
        <v>12.250000003259629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-22T03:46:17-0600',mode:absolute,to:'2017-10-22T06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5" s="204" t="str">
        <f>IF(AA205&lt;VLOOKUP(AG205,Variables!$AC$3:$AD$8,2,FALSE),"Y","N")</f>
        <v>Y</v>
      </c>
      <c r="X205" s="204">
        <f>VALUE(LEFT(AD205,4))-VALUE(LEFT(AD204,4))</f>
        <v>1</v>
      </c>
      <c r="Y205" s="204">
        <f>RIGHT(D205,LEN(D205)-4)/10000</f>
        <v>2.3567</v>
      </c>
      <c r="Z205" s="204">
        <f>RIGHT(H205,LEN(H205)-4)/10000</f>
        <v>1.5599999999999999E-2</v>
      </c>
      <c r="AA205" s="204">
        <f>ABS(Z205-Y205)</f>
        <v>2.3411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310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/stypes="app*4019*20171022*" /stext=" 11:.+((SYSTEM_STATE.+slice.+state.+changed )|(ment ac)|(multiple cpu faults)|(system.+state.+changed )|(\[timeout)|(PRM\|1\|D)|(kpr)|(kdp)|(train st.+moving)|(\|lc)|(penalty))"</v>
      </c>
      <c r="AG205" s="182" t="str">
        <f>DetSubdiv(A205)</f>
        <v>Other</v>
      </c>
      <c r="AH205" s="78" t="str">
        <f t="shared" si="26"/>
        <v>"%USERPROFILE%\Documents\GitHub\eaglep3\Utilities\RefineRTDCRunTimes.py" --tripid 310-22 --locoid 4019 --swversion DE.1.0.9.0 --startMP 300:23567 --initTime 2017-10-22T04:46:17 --startdatetime 2017-10-22T04:52:13 --delay 111 --endMP 204:156 --enddatetime 2017-10-22T05:04:28 --enforcementcount 0 &gt;&gt;%USERPROFILE%\Documents\GitHub\eaglep3-reporting\EC\2017-10-22-refined-times.txt</v>
      </c>
      <c r="AI205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{"issue":{"subject":"","project_id":79,"tracker_id":40,"status_id":1,"priority_id":2,"assigned_to_id":338,"start_date":"2017-10-22","description":"","custom_fields":[{"id":1,"name":"Subdivision","value":"Other"},{"id":4,"name":"Milepost","value":"0.0156"},{"id":17,"name":"Train ID","value":"310-22"},{"id":16,"name":"Locomotive ID","value":"4019"},{"id":130,"name":"Impact","value":""},{"id":150,"name":"Time of Event (Mountain Time)","value":"05:04:28"},{"id":151,"name":"Denver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8"/>
        <v>start /low /b %USERPROFILE%\Documents\GitHub\eaglep3\Utilities\DownloadLogsFromS3.py --loco 4019 --day 2017-10-22</v>
      </c>
      <c r="AN205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30"/>
        <v>https://d0f6bd738d7f1b3e5a7ca70fe4ff75f0.us-east-1.aws.found.io/app/kibana#/discover/Steve-Slow-Train-Analysis-(2080s-and-2083s)?_g=(refreshInterval:(display:Off,pause:!f,section:0,value:0),time:(from:'2017-10-22T03:46:17-0600',mode:absolute,to:'2017-10-22T06:04:28-0600'))&amp;_a=(columns:!('Message%20ID',Summary),filters:!(),index:'emp_*',interval:auto,query:(query_string:(analyze_wildcard:!t,query:'%22rtdc.l.rtdc.4019%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880</v>
      </c>
      <c r="B206" s="7">
        <v>4026</v>
      </c>
      <c r="C206" s="21" t="s">
        <v>194</v>
      </c>
      <c r="D206" s="21" t="s">
        <v>616</v>
      </c>
      <c r="E206" s="13">
        <v>43031.087418981479</v>
      </c>
      <c r="F206" s="13">
        <v>43031.088622685187</v>
      </c>
      <c r="G206" s="7">
        <v>62</v>
      </c>
      <c r="H206" s="21" t="s">
        <v>409</v>
      </c>
      <c r="I206" s="13">
        <v>43031.095995370371</v>
      </c>
      <c r="J206" s="7">
        <v>0</v>
      </c>
      <c r="K206" s="89" t="str">
        <f>IF(ISEVEN(B206),(B206-1)&amp;"/"&amp;B206,B206&amp;"/"&amp;(B206+1))</f>
        <v>4025/4026</v>
      </c>
      <c r="L206" s="185" t="str">
        <f>VLOOKUP(A206,'Trips&amp;Operators'!$C$1:$G$99911,5,FALSE)</f>
        <v>DUNCAN SHEILA</v>
      </c>
      <c r="M206" s="6">
        <f>I206-F206</f>
        <v>7.3726851842366159E-3</v>
      </c>
      <c r="N206" s="7">
        <f>24*60*SUM($M206:$M206)</f>
        <v>10.616666665300727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-23T01:05:53-0600',mode:absolute,to:'2017-10-23T03:18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204" t="str">
        <f>IF(AA206&lt;VLOOKUP(AG206,Variables!$AC$3:$AD$8,2,FALSE),"Y","N")</f>
        <v>Y</v>
      </c>
      <c r="X206" s="204">
        <f>VALUE(LEFT(AD206,4))-VALUE(LEFT(AD205,4))</f>
        <v>1</v>
      </c>
      <c r="Y206" s="204">
        <f>RIGHT(D206,LEN(D206)-4)/10000</f>
        <v>4.3499999999999997E-2</v>
      </c>
      <c r="Z206" s="204">
        <f>RIGHT(H206,LEN(H206)-4)/10000</f>
        <v>2.3346</v>
      </c>
      <c r="AA206" s="204">
        <f>ABS(Z206-Y206)</f>
        <v>2.2911000000000001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311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 &amp; 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/stypes="app*4026*20171023*" /stext=" 08:.+((SYSTEM_STATE.+slice.+state.+changed )|(ment ac)|(multiple cpu faults)|(system.+state.+changed )|(\[timeout)|(PRM\|1\|D)|(kpr)|(kdp)|(train st.+moving)|(\|lc)|(penalty))"</v>
      </c>
      <c r="AG206" s="182" t="str">
        <f>DetSubdiv(A206)</f>
        <v>Other</v>
      </c>
      <c r="AH206" s="78" t="str">
        <f t="shared" si="26"/>
        <v>"%USERPROFILE%\Documents\GitHub\eaglep3\Utilities\RefineRTDCRunTimes.py" --tripid 311-22 --locoid 4026 --swversion DE.1.0.9.0 --startMP 204:435 --initTime 2017-10-23T02:05:53 --startdatetime 2017-10-23T02:07:37 --delay 62 --endMP 300:23346 --enddatetime 2017-10-23T02:18:14 --enforcementcount 0 &gt;&gt;%USERPROFILE%\Documents\GitHub\eaglep3-reporting\EC\2017-10-22-refined-times.txt</v>
      </c>
      <c r="AI206" s="96" t="str">
        <f t="shared" si="27"/>
        <v>echo {"issue":{"subject":"","project_id":79,"tracker_id":40,"status_id":1,"priority_id":2,"assigned_to_id":338,"start_date":"2017-10-23","description":"","custom_fields":[{"id":1,"name":"Subdivision","value":"Other"},{"id":4,"name":"Milepost","value":"2.3346"},{"id":17,"name":"Train ID","value":"311-22"},{"id":16,"name":"Locomotive ID","value":"4026"},{"id":130,"name":"Impact","value":""},{"id":150,"name":"Time of Event (Mountain Time)","value":"02:18:14"},{"id":151,"name":"Denver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8"/>
        <v>start /low /b %USERPROFILE%\Documents\GitHub\eaglep3\Utilities\DownloadLogsFromS3.py --loco 4026 --day 2017-10-23</v>
      </c>
      <c r="AN20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08:18:14"},{"id":29,"name":"Sharepoint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30"/>
        <v>https://d0f6bd738d7f1b3e5a7ca70fe4ff75f0.us-east-1.aws.found.io/app/kibana#/discover/Steve-Slow-Train-Analysis-(2080s-and-2083s)?_g=(refreshInterval:(display:Off,pause:!f,section:0,value:0),time:(from:'2017-10-23T01:05:53-0600',mode:absolute,to:'2017-10-23T03:18:14-0600'))&amp;_a=(columns:!('Message%20ID',Summary),filters:!(),index:'emp_*',interval:auto,query:(query_string:(analyze_wildcard:!t,query:'%22rtdc.l.rtdc.4026%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708</v>
      </c>
      <c r="B207" s="7">
        <v>4065</v>
      </c>
      <c r="C207" s="21" t="s">
        <v>194</v>
      </c>
      <c r="D207" s="21" t="s">
        <v>1008</v>
      </c>
      <c r="E207" s="13">
        <v>43030.22415509259</v>
      </c>
      <c r="F207" s="13">
        <v>43030.227662037039</v>
      </c>
      <c r="G207" s="7">
        <v>88</v>
      </c>
      <c r="H207" s="21" t="s">
        <v>620</v>
      </c>
      <c r="I207" s="13">
        <v>43030.233553240738</v>
      </c>
      <c r="J207" s="7">
        <v>0</v>
      </c>
      <c r="K207" s="89" t="str">
        <f>IF(ISEVEN(B207),(B207-1)&amp;"/"&amp;B207,B207&amp;"/"&amp;(B207+1))</f>
        <v>4065/4066</v>
      </c>
      <c r="L207" s="185" t="str">
        <f>VLOOKUP(A207,'Trips&amp;Operators'!$C$1:$G$99911,5,FALSE)</f>
        <v>LAMAR NEKESHA</v>
      </c>
      <c r="M207" s="6">
        <f>I207-F207</f>
        <v>5.8912036984111182E-3</v>
      </c>
      <c r="N207" s="7">
        <f>24*60*SUM($M207:$M207)</f>
        <v>8.4833333257120103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-22T04:22:47-0600',mode:absolute,to:'2017-10-22T06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1</v>
      </c>
      <c r="Y207" s="204">
        <f>RIGHT(D207,LEN(D207)-4)/10000</f>
        <v>2.3075999999999999</v>
      </c>
      <c r="Z207" s="204">
        <f>RIGHT(H207,LEN(H207)-4)/10000</f>
        <v>1.67E-2</v>
      </c>
      <c r="AA207" s="204">
        <f>ABS(Z207-Y207)</f>
        <v>2.2908999999999997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312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s3://rtdc.mdm.uploadarchive.raw/RTDC4065/ "%USERPROFILE%\AppData\Local\Temp\OnboardLogs"\RTDC4065\2017-10-22 --exclude "*" --recursive --include "*20171022*" &amp; "%USERPROFILE%\Documents\GitHub\mrs-test-scripts\Headless Mode &amp; Sideloading\WalkAndUnGZ.bat" "%USERPROFILE%\AppData\Local\Temp\OnboardLogs"\RTDC4065\2017-10-22 &amp; aws s3 cp s3://rtdc.mdm.uploadarchive.raw/RTDC4065/ "%USERPROFILE%\AppData\Local\Temp\OnboardLogs"\RTDC4065\2017-10-23 --exclude "*" --recursive --include "*20171023*" &amp; "%USERPROFILE%\Documents\GitHub\mrs-test-scripts\Headless Mode &amp; Sideloading\WalkAndUnGZ.bat" "%USERPROFILE%\AppData\Local\Temp\OnboardLogs"\RTDC4065\2017-10-23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/stypes="app*4065*20171022*" /stext=" 11:.+((SYSTEM_STATE.+slice.+state.+changed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si="26"/>
        <v>"%USERPROFILE%\Documents\GitHub\eaglep3\Utilities\RefineRTDCRunTimes.py" --tripid 312-22 --locoid 4065 --swversion DE.1.0.9.0 --startMP 300:23076 --initTime 2017-10-22T05:22:47 --startdatetime 2017-10-22T05:27:50 --delay 88 --endMP 204:167 --enddatetime 2017-10-22T05:36:19 --enforcementcount 0 &gt;&gt;%USERPROFILE%\Documents\GitHub\eaglep3-reporting\EC\2017-10-22-refined-times.txt</v>
      </c>
      <c r="AI207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{"issue":{"subject":"","project_id":79,"tracker_id":40,"status_id":1,"priority_id":2,"assigned_to_id":338,"start_date":"2017-10-22","description":"","custom_fields":[{"id":1,"name":"Subdivision","value":"Other"},{"id":4,"name":"Milepost","value":"0.0167"},{"id":17,"name":"Train ID","value":"312-22"},{"id":16,"name":"Locomotive ID","value":"4065"},{"id":130,"name":"Impact","value":""},{"id":150,"name":"Time of Event (Mountain Time)","value":"05:36:19"},{"id":151,"name":"Denver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8"/>
        <v>start /low /b %USERPROFILE%\Documents\GitHub\eaglep3\Utilities\DownloadLogsFromS3.py --loco 4065 --day 2017-10-22</v>
      </c>
      <c r="AN207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30"/>
        <v>https://d0f6bd738d7f1b3e5a7ca70fe4ff75f0.us-east-1.aws.found.io/app/kibana#/discover/Steve-Slow-Train-Analysis-(2080s-and-2083s)?_g=(refreshInterval:(display:Off,pause:!f,section:0,value:0),time:(from:'2017-10-22T04:22:47-0600',mode:absolute,to:'2017-10-22T06:36:19-0600'))&amp;_a=(columns:!('Message%20ID',Summary),filters:!(),index:'emp_*',interval:auto,query:(query_string:(analyze_wildcard:!t,query:'%22rtdc.l.rtdc.4065%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876</v>
      </c>
      <c r="B208" s="7">
        <v>4036</v>
      </c>
      <c r="C208" s="21" t="s">
        <v>194</v>
      </c>
      <c r="D208" s="21" t="s">
        <v>338</v>
      </c>
      <c r="E208" s="13">
        <v>43031.026724537034</v>
      </c>
      <c r="F208" s="13">
        <v>43031.029791666668</v>
      </c>
      <c r="G208" s="7">
        <v>118</v>
      </c>
      <c r="H208" s="21" t="s">
        <v>498</v>
      </c>
      <c r="I208" s="13">
        <v>43031.036805555559</v>
      </c>
      <c r="J208" s="7">
        <v>0</v>
      </c>
      <c r="K208" s="89" t="str">
        <f>IF(ISEVEN(B208),(B208-1)&amp;"/"&amp;B208,B208&amp;"/"&amp;(B208+1))</f>
        <v>4035/4036</v>
      </c>
      <c r="L208" s="185" t="str">
        <f>VLOOKUP(A208,'Trips&amp;Operators'!$C$1:$G$99911,5,FALSE)</f>
        <v>STAMBAUGH JAMES</v>
      </c>
      <c r="M208" s="6">
        <f>I208-F208</f>
        <v>7.0138888913788833E-3</v>
      </c>
      <c r="N208" s="7">
        <f>24*60*SUM($M208:$M208)</f>
        <v>10.100000003585592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-22T23:38:29-0600',mode:absolute,to:'2017-10-23T01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4.53E-2</v>
      </c>
      <c r="Z208" s="204">
        <f>RIGHT(H208,LEN(H208)-4)/10000</f>
        <v>2.3311999999999999</v>
      </c>
      <c r="AA208" s="204">
        <f>ABS(Z208-Y208)</f>
        <v>2.2858999999999998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313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 &amp; 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/stypes="app*4036*20171023*" /stext=" 06:.+((SYSTEM_STATE.+slice.+state.+changed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26"/>
        <v>"%USERPROFILE%\Documents\GitHub\eaglep3\Utilities\RefineRTDCRunTimes.py" --tripid 313-22 --locoid 4036 --swversion DE.1.0.9.0 --startMP 204:453 --initTime 2017-10-23T00:38:29 --startdatetime 2017-10-23T00:42:54 --delay 118 --endMP 300:23312 --enddatetime 2017-10-23T00:53:00 --enforcementcount 0 &gt;&gt;%USERPROFILE%\Documents\GitHub\eaglep3-reporting\EC\2017-10-22-refined-times.txt</v>
      </c>
      <c r="AI208" s="96" t="str">
        <f t="shared" si="27"/>
        <v>echo {"issue":{"subject":"","project_id":79,"tracker_id":40,"status_id":1,"priority_id":2,"assigned_to_id":338,"start_date":"2017-10-23","description":"","custom_fields":[{"id":1,"name":"Subdivision","value":"Other"},{"id":4,"name":"Milepost","value":"2.3312"},{"id":17,"name":"Train ID","value":"313-22"},{"id":16,"name":"Locomotive ID","value":"4036"},{"id":130,"name":"Impact","value":""},{"id":150,"name":"Time of Event (Mountain Time)","value":"00:53:00"},{"id":151,"name":"Denver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8"/>
        <v>start /low /b %USERPROFILE%\Documents\GitHub\eaglep3\Utilities\DownloadLogsFromS3.py --loco 4036 --day 2017-10-23</v>
      </c>
      <c r="AN20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06:53:00"},{"id":29,"name":"Sharepoint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30"/>
        <v>https://d0f6bd738d7f1b3e5a7ca70fe4ff75f0.us-east-1.aws.found.io/app/kibana#/discover/Steve-Slow-Train-Analysis-(2080s-and-2083s)?_g=(refreshInterval:(display:Off,pause:!f,section:0,value:0),time:(from:'2017-10-22T23:38:29-0600',mode:absolute,to:'2017-10-23T01:53:00-0600'))&amp;_a=(columns:!('Message%20ID',Summary),filters:!(),index:'emp_*',interval:auto,query:(query_string:(analyze_wildcard:!t,query:'%22rtdc.l.rtdc.4036%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698</v>
      </c>
      <c r="B209" s="7">
        <v>4005</v>
      </c>
      <c r="C209" s="21" t="s">
        <v>194</v>
      </c>
      <c r="D209" s="21" t="s">
        <v>903</v>
      </c>
      <c r="E209" s="13">
        <v>43030.192407407405</v>
      </c>
      <c r="F209" s="13">
        <v>43030.194953703707</v>
      </c>
      <c r="G209" s="7">
        <v>52</v>
      </c>
      <c r="H209" s="21" t="s">
        <v>904</v>
      </c>
      <c r="I209" s="13">
        <v>43030.198298611111</v>
      </c>
      <c r="J209" s="7">
        <v>0</v>
      </c>
      <c r="K209" s="89" t="str">
        <f>IF(ISEVEN(B209),(B209-1)&amp;"/"&amp;B209,B209&amp;"/"&amp;(B209+1))</f>
        <v>4005/4006</v>
      </c>
      <c r="L209" s="185" t="str">
        <f>VLOOKUP(A209,'Trips&amp;Operators'!$C$1:$G$99911,5,FALSE)</f>
        <v>BARRON PERLA</v>
      </c>
      <c r="M209" s="6">
        <f>I209-F209</f>
        <v>3.3449074035161175E-3</v>
      </c>
      <c r="N209" s="7">
        <f>24*60*SUM($M209:$M209)</f>
        <v>4.8166666610632092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-22T03:37:04-0600',mode:absolute,to:'2017-10-22T05:45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1189</v>
      </c>
      <c r="Y209" s="204">
        <f>RIGHT(D209,LEN(D209)-4)/10000</f>
        <v>2.6738</v>
      </c>
      <c r="Z209" s="204">
        <f>RIGHT(H209,LEN(H209)-4)/10000</f>
        <v>0.92159999999999997</v>
      </c>
      <c r="AA209" s="204">
        <f>ABS(Z209-Y209)</f>
        <v>1.7522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1502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s3://rtdc.mdm.uploadarchive.raw/RTDC4005/ "%USERPROFILE%\AppData\Local\Temp\OnboardLogs"\RTDC4005\2017-10-22 --exclude "*" --recursive --include "*20171022*" &amp; "%USERPROFILE%\Documents\GitHub\mrs-test-scripts\Headless Mode &amp; Sideloading\WalkAndUnGZ.bat" "%USERPROFILE%\AppData\Local\Temp\OnboardLogs"\RTDC4005\2017-10-22 &amp; aws s3 cp s3://rtdc.mdm.uploadarchive.raw/RTDC4005/ "%USERPROFILE%\AppData\Local\Temp\OnboardLogs"\RTDC4005\2017-10-23 --exclude "*" --recursive --include "*20171023*" &amp; "%USERPROFILE%\Documents\GitHub\mrs-test-scripts\Headless Mode &amp; Sideloading\WalkAndUnGZ.bat" "%USERPROFILE%\AppData\Local\Temp\OnboardLogs"\RTDC4005\2017-10-23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/stypes="app*4005*20171022*" /stext=" 10:.+((SYSTEM_STATE.+slice.+state.+changed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26"/>
        <v>"%USERPROFILE%\Documents\GitHub\eaglep3\Utilities\RefineRTDCRunTimes.py" --tripid 1502-22 --locoid 4005 --swversion DE.1.0.9.0 --startMP 300:26738 --initTime 2017-10-22T04:37:04 --startdatetime 2017-10-22T04:40:44 --delay 52 --endMP 300:9216 --enddatetime 2017-10-22T04:45:33 --enforcementcount 0 &gt;&gt;%USERPROFILE%\Documents\GitHub\eaglep3-reporting\EC\2017-10-22-refined-times.txt</v>
      </c>
      <c r="AI209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{"issue":{"subject":"","project_id":79,"tracker_id":40,"status_id":1,"priority_id":2,"assigned_to_id":338,"start_date":"2017-10-22","description":"","custom_fields":[{"id":1,"name":"Subdivision","value":"Other"},{"id":4,"name":"Milepost","value":"0.9216"},{"id":17,"name":"Train ID","value":"1502-22"},{"id":16,"name":"Locomotive ID","value":"4005"},{"id":130,"name":"Impact","value":""},{"id":150,"name":"Time of Event (Mountain Time)","value":"04:45:33"},{"id":151,"name":"Denver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28"/>
        <v>start /low /b %USERPROFILE%\Documents\GitHub\eaglep3\Utilities\DownloadLogsFromS3.py --loco 4005 --day 2017-10-22</v>
      </c>
      <c r="AN209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10:45:33"},{"id":29,"name":"Sharepoint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30"/>
        <v>https://d0f6bd738d7f1b3e5a7ca70fe4ff75f0.us-east-1.aws.found.io/app/kibana#/discover/Steve-Slow-Train-Analysis-(2080s-and-2083s)?_g=(refreshInterval:(display:Off,pause:!f,section:0,value:0),time:(from:'2017-10-22T03:37:04-0600',mode:absolute,to:'2017-10-22T05:45:33-0600'))&amp;_a=(columns:!('Message%20ID',Summary),filters:!(),index:'emp_*',interval:auto,query:(query_string:(analyze_wildcard:!t,query:'%22rtdc.l.rtdc.4005%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704</v>
      </c>
      <c r="B210" s="7">
        <v>4052</v>
      </c>
      <c r="C210" s="21" t="s">
        <v>194</v>
      </c>
      <c r="D210" s="21" t="s">
        <v>965</v>
      </c>
      <c r="E210" s="13">
        <v>43030.219386574077</v>
      </c>
      <c r="F210" s="13">
        <v>43030.224074074074</v>
      </c>
      <c r="G210" s="7">
        <v>170</v>
      </c>
      <c r="H210" s="21" t="s">
        <v>963</v>
      </c>
      <c r="I210" s="13">
        <v>43030.229375000003</v>
      </c>
      <c r="J210" s="7">
        <v>0</v>
      </c>
      <c r="K210" s="89" t="str">
        <f>IF(ISEVEN(B210),(B210-1)&amp;"/"&amp;B210,B210&amp;"/"&amp;(B210+1))</f>
        <v>4051/4052</v>
      </c>
      <c r="L210" s="185" t="str">
        <f>VLOOKUP(A210,'Trips&amp;Operators'!$C$1:$G$99911,5,FALSE)</f>
        <v>MACDONALD THOMAS</v>
      </c>
      <c r="M210" s="6">
        <f>I210-F210</f>
        <v>5.3009259281679988E-3</v>
      </c>
      <c r="N210" s="7">
        <f>24*60*SUM($M210:$M210)</f>
        <v>7.6333333365619183</v>
      </c>
      <c r="O210" s="7"/>
      <c r="P210" s="7"/>
      <c r="Q210" s="22"/>
      <c r="R210" s="174"/>
      <c r="S210" s="221">
        <f>1/IF(AG210="EC",12,1)*SUM(U210:U210)</f>
        <v>0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-22T04:15:55-0600',mode:absolute,to:'2017-10-22T06:30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399</v>
      </c>
      <c r="Y210" s="204">
        <f>RIGHT(D210,LEN(D210)-4)/10000</f>
        <v>2.9687000000000001</v>
      </c>
      <c r="Z210" s="204">
        <f>RIGHT(H210,LEN(H210)-4)/10000</f>
        <v>5.8933</v>
      </c>
      <c r="AA210" s="204">
        <f>ABS(Z210-Y210)</f>
        <v>2.9245999999999999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1901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s3://rtdc.mdm.uploadarchive.raw/RTDC4052/ "%USERPROFILE%\AppData\Local\Temp\OnboardLogs"\RTDC4052\2017-10-22 --exclude "*" --recursive --include "*20171022*" &amp; "%USERPROFILE%\Documents\GitHub\mrs-test-scripts\Headless Mode &amp; Sideloading\WalkAndUnGZ.bat" "%USERPROFILE%\AppData\Local\Temp\OnboardLogs"\RTDC4052\2017-10-22 &amp; aws s3 cp s3://rtdc.mdm.uploadarchive.raw/RTDC4052/ "%USERPROFILE%\AppData\Local\Temp\OnboardLogs"\RTDC4052\2017-10-23 --exclude "*" --recursive --include "*20171023*" &amp; "%USERPROFILE%\Documents\GitHub\mrs-test-scripts\Headless Mode &amp; Sideloading\WalkAndUnGZ.bat" "%USERPROFILE%\AppData\Local\Temp\OnboardLogs"\RTDC4052\2017-10-23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/stypes="app*4052*20171022*" /stext=" 11:.+((SYSTEM_STATE.+slice.+state.+changed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26"/>
        <v>"%USERPROFILE%\Documents\GitHub\eaglep3\Utilities\RefineRTDCRunTimes.py" --tripid 1901-22 --locoid 4052 --swversion DE.1.0.9.0 --startMP 300:29687 --initTime 2017-10-22T05:15:55 --startdatetime 2017-10-22T05:22:40 --delay 170 --endMP 300:58933 --enddatetime 2017-10-22T05:30:18 --enforcementcount 0 &gt;&gt;%USERPROFILE%\Documents\GitHub\eaglep3-reporting\EC\2017-10-22-refined-times.txt</v>
      </c>
      <c r="AI210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{"issue":{"subject":"","project_id":79,"tracker_id":40,"status_id":1,"priority_id":2,"assigned_to_id":338,"start_date":"2017-10-22","description":"","custom_fields":[{"id":1,"name":"Subdivision","value":"Other"},{"id":4,"name":"Milepost","value":"5.8933"},{"id":17,"name":"Train ID","value":"1901-22"},{"id":16,"name":"Locomotive ID","value":"4052"},{"id":130,"name":"Impact","value":""},{"id":150,"name":"Time of Event (Mountain Time)","value":"05:30:18"},{"id":151,"name":"Denver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28"/>
        <v>start /low /b %USERPROFILE%\Documents\GitHub\eaglep3\Utilities\DownloadLogsFromS3.py --loco 4052 --day 2017-10-22</v>
      </c>
      <c r="AN210" s="151" t="str">
        <f t="shared" si="2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11:30:18"},{"id":29,"name":"Sharepoint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30"/>
        <v>https://d0f6bd738d7f1b3e5a7ca70fe4ff75f0.us-east-1.aws.found.io/app/kibana#/discover/Steve-Slow-Train-Analysis-(2080s-and-2083s)?_g=(refreshInterval:(display:Off,pause:!f,section:0,value:0),time:(from:'2017-10-22T04:15:55-0600',mode:absolute,to:'2017-10-22T06:30:18-0600'))&amp;_a=(columns:!('Message%20ID',Summary),filters:!(),index:'emp_*',interval:auto,query:(query_string:(analyze_wildcard:!t,query:'%22rtdc.l.rtdc.4052%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673</v>
      </c>
      <c r="B211" s="7">
        <v>4015</v>
      </c>
      <c r="C211" s="21" t="s">
        <v>194</v>
      </c>
      <c r="D211" s="21" t="s">
        <v>502</v>
      </c>
      <c r="E211" s="13">
        <v>43030.976099537038</v>
      </c>
      <c r="F211" s="13">
        <v>43030.977835648147</v>
      </c>
      <c r="G211" s="7">
        <v>66</v>
      </c>
      <c r="H211" s="21" t="s">
        <v>966</v>
      </c>
      <c r="I211" s="13">
        <v>43030.986631944441</v>
      </c>
      <c r="J211" s="7">
        <v>0</v>
      </c>
      <c r="K211" s="89" t="str">
        <f>IF(ISEVEN(B211),(B211-1)&amp;"/"&amp;B211,B211&amp;"/"&amp;(B211+1))</f>
        <v>4015/4016</v>
      </c>
      <c r="L211" s="185" t="str">
        <f>VLOOKUP(A211,'Trips&amp;Operators'!$C$1:$G$99911,5,FALSE)</f>
        <v>CASSIDY BRANDON</v>
      </c>
      <c r="M211" s="6">
        <f>I211-F211</f>
        <v>8.7962962934398092E-3</v>
      </c>
      <c r="N211" s="7">
        <f>24*60*SUM($M211:$M211)</f>
        <v>12.666666662553325</v>
      </c>
      <c r="O211" s="7"/>
      <c r="P211" s="7"/>
      <c r="Q211" s="22"/>
      <c r="R211" s="174"/>
      <c r="S211" s="221">
        <f>1/IF(AG211="EC",12,1)*SUM(U211:U211)</f>
        <v>0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-22T22:25:35-0600',mode:absolute,to:'2017-10-23T00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5.8625999999999996</v>
      </c>
      <c r="Z211" s="204">
        <f>RIGHT(H211,LEN(H211)-4)/10000</f>
        <v>2.8769999999999998</v>
      </c>
      <c r="AA211" s="204">
        <f>ABS(Z211-Y211)</f>
        <v>2.9855999999999998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1902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/stypes="app*4015*20171023*" /stext=" 05:.+((SYSTEM_STATE.+slice.+state.+changed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26"/>
        <v>"%USERPROFILE%\Documents\GitHub\eaglep3\Utilities\RefineRTDCRunTimes.py" --tripid 1902-22 --locoid 4015 --swversion DE.1.0.9.0 --startMP 300:58626 --initTime 2017-10-22T23:25:35 --startdatetime 2017-10-22T23:28:05 --delay 66 --endMP 300:28770 --enddatetime 2017-10-22T23:40:45 --enforcementcount 0 &gt;&gt;%USERPROFILE%\Documents\GitHub\eaglep3-reporting\EC\2017-10-22-refined-times.txt</v>
      </c>
      <c r="AI211" s="96" t="str">
        <f t="shared" si="27"/>
        <v>echo {"issue":{"subject":"","project_id":79,"tracker_id":40,"status_id":1,"priority_id":2,"assigned_to_id":338,"start_date":"2017-10-22","description":"","custom_fields":[{"id":1,"name":"Subdivision","value":"Other"},{"id":4,"name":"Milepost","value":"2.877"},{"id":17,"name":"Train ID","value":"1902-22"},{"id":16,"name":"Locomotive ID","value":"4015"},{"id":130,"name":"Impact","value":""},{"id":150,"name":"Time of Event (Mountain Time)","value":"23:40:45"},{"id":151,"name":"Denver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28"/>
        <v>start /low /b %USERPROFILE%\Documents\GitHub\eaglep3\Utilities\DownloadLogsFromS3.py --loco 4015 --day 2017-10-22</v>
      </c>
      <c r="AN211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05:40:45"},{"id":29,"name":"Sharepoint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30"/>
        <v>https://d0f6bd738d7f1b3e5a7ca70fe4ff75f0.us-east-1.aws.found.io/app/kibana#/discover/Steve-Slow-Train-Analysis-(2080s-and-2083s)?_g=(refreshInterval:(display:Off,pause:!f,section:0,value:0),time:(from:'2017-10-22T22:25:35-0600',mode:absolute,to:'2017-10-23T00:40:45-0600'))&amp;_a=(columns:!('Message%20ID',Summary),filters:!(),index:'emp_*',interval:auto,query:(query_string:(analyze_wildcard:!t,query:'%22rtdc.l.rtdc.4015%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682</v>
      </c>
      <c r="B212" s="7">
        <v>4026</v>
      </c>
      <c r="C212" s="21" t="s">
        <v>194</v>
      </c>
      <c r="D212" s="21" t="s">
        <v>1009</v>
      </c>
      <c r="E212" s="13">
        <v>43030.124120370368</v>
      </c>
      <c r="F212" s="13">
        <v>43030.137858796297</v>
      </c>
      <c r="G212" s="7">
        <v>68</v>
      </c>
      <c r="H212" s="21" t="s">
        <v>1010</v>
      </c>
      <c r="I212" s="13">
        <v>43030.138807870368</v>
      </c>
      <c r="J212" s="7">
        <v>0</v>
      </c>
      <c r="K212" s="89" t="str">
        <f>IF(ISEVEN(B212),(B212-1)&amp;"/"&amp;B212,B212&amp;"/"&amp;(B212+1))</f>
        <v>4025/4026</v>
      </c>
      <c r="L212" s="185" t="str">
        <f>VLOOKUP(A212,'Trips&amp;Operators'!$C$1:$G$99911,5,FALSE)</f>
        <v>LOPES KIMBERLY</v>
      </c>
      <c r="M212" s="6">
        <f>I212-F212</f>
        <v>9.4907407037680969E-4</v>
      </c>
      <c r="N212" s="7">
        <f>24*60*SUM($M212:$M212)</f>
        <v>1.3666666613426059</v>
      </c>
      <c r="O212" s="7"/>
      <c r="P212" s="7"/>
      <c r="Q212" s="22"/>
      <c r="R212" s="174"/>
      <c r="S212" s="221">
        <f>1/IF(AG212="EC",12,1)*SUM(U212:U212)</f>
        <v>0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-22T01:58:44-0600',mode:absolute,to:'2017-10-22T04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-1851</v>
      </c>
      <c r="Y212" s="204">
        <f>RIGHT(D212,LEN(D212)-4)/10000</f>
        <v>4.3099999999999999E-2</v>
      </c>
      <c r="Z212" s="204">
        <f>RIGHT(H212,LEN(H212)-4)/10000</f>
        <v>0.33539999999999998</v>
      </c>
      <c r="AA212" s="204">
        <f>ABS(Z212-Y212)</f>
        <v>0.2923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51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/stypes="app*4026*20171022*" /stext=" 09:.+((SYSTEM_STATE.+slice.+state.+changed )|(ment ac)|(multiple cpu faults)|(system.+state.+changed )|(\[timeout)|(PRM\|1\|D)|(kpr)|(kdp)|(train st.+moving)|(\|lc)|(penalty))"</v>
      </c>
      <c r="AG212" s="182" t="str">
        <f>DetSubdiv(A212)</f>
        <v>Shuttle/Test</v>
      </c>
      <c r="AH212" s="78" t="str">
        <f t="shared" ref="AH212:AH223" si="56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51-22 --locoid 4026 --swversion DE.1.0.9.0 --startMP 204:431 --initTime 2017-10-22T02:58:44 --startdatetime 2017-10-22T03:18:31 --delay 68 --endMP 204:3354 --enddatetime 2017-10-22T03:19:53 --enforcementcount 0 &gt;&gt;%USERPROFILE%\Documents\GitHub\eaglep3-reporting\EC\2017-10-22-refined-times.txt</v>
      </c>
      <c r="AI212" s="96" t="str">
        <f t="shared" ref="AI212:AI223" si="57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Shuttle/Test"},{"id":4,"name":"Milepost","value":"0.3354"},{"id":17,"name":"Train ID","value":"51-22"},{"id":16,"name":"Locomotive ID","value":"4026"},{"id":130,"name":"Impact","value":""},{"id":150,"name":"Time of Event (Mountain Time)","value":"03:19:53"},{"id":151,"name":"Denver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ref="AM212:AM223" si="58">"start /low /b "&amp;dls3logs&amp;" --loco "&amp;B212&amp;" --day "&amp;TEXT(F212,"YYYY-MM-DD")</f>
        <v>start /low /b %USERPROFILE%\Documents\GitHub\eaglep3\Utilities\DownloadLogsFromS3.py --loco 4026 --day 2017-10-22</v>
      </c>
      <c r="AN212" s="151" t="str">
        <f t="shared" ref="AN212:AN223" si="59"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09:19:53"},{"id":29,"name":"Sharepoint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ref="AO212:AO223" si="60"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-22T01:58:44-0600',mode:absolute,to:'2017-10-22T04:19:53-0600'))&amp;_a=(columns:!('Message%20ID',Summary),filters:!(),index:'emp_*',interval:auto,query:(query_string:(analyze_wildcard:!t,query:'%22rtdc.l.rtdc.4026%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684</v>
      </c>
      <c r="B213" s="7">
        <v>4025</v>
      </c>
      <c r="C213" s="21" t="s">
        <v>194</v>
      </c>
      <c r="D213" s="21" t="s">
        <v>1011</v>
      </c>
      <c r="E213" s="13">
        <v>43030.139409722222</v>
      </c>
      <c r="F213" s="13">
        <v>43030.140833333331</v>
      </c>
      <c r="G213" s="7">
        <v>56</v>
      </c>
      <c r="H213" s="21" t="s">
        <v>1012</v>
      </c>
      <c r="I213" s="13">
        <v>43030.141944444447</v>
      </c>
      <c r="J213" s="7">
        <v>0</v>
      </c>
      <c r="K213" s="89" t="str">
        <f>IF(ISEVEN(B213),(B213-1)&amp;"/"&amp;B213,B213&amp;"/"&amp;(B213+1))</f>
        <v>4025/4026</v>
      </c>
      <c r="L213" s="185" t="str">
        <f>VLOOKUP(A213,'Trips&amp;Operators'!$C$1:$G$99911,5,FALSE)</f>
        <v>LOPES KIMBERLY</v>
      </c>
      <c r="M213" s="6">
        <f>I213-F213</f>
        <v>1.1111111161881126E-3</v>
      </c>
      <c r="N213" s="7">
        <f>24*60*SUM($M213:$M213)</f>
        <v>1.6000000073108822</v>
      </c>
      <c r="O213" s="7"/>
      <c r="P213" s="7"/>
      <c r="Q213" s="22"/>
      <c r="R213" s="174"/>
      <c r="S213" s="221">
        <f>1/IF(AG213="EC",12,1)*SUM(U213:U213)</f>
        <v>0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-22T02:20:45-0600',mode:absolute,to:'2017-10-22T04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0.30199999999999999</v>
      </c>
      <c r="Z213" s="204">
        <f>RIGHT(H213,LEN(H213)-4)/10000</f>
        <v>0.1162</v>
      </c>
      <c r="AA213" s="204">
        <f>ABS(Z213-Y213)</f>
        <v>0.18579999999999999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52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/stypes="app*4025*20171022*" /stext=" 09:.+((SYSTEM_STATE.+slice.+state.+changed )|(ment ac)|(multiple cpu faults)|(system.+state.+changed )|(\[timeout)|(PRM\|1\|D)|(kpr)|(kdp)|(train st.+moving)|(\|lc)|(penalty))"</v>
      </c>
      <c r="AG213" s="182" t="str">
        <f>DetSubdiv(A213)</f>
        <v>Shuttle/Test</v>
      </c>
      <c r="AH213" s="78" t="str">
        <f t="shared" si="56"/>
        <v>"%USERPROFILE%\Documents\GitHub\eaglep3\Utilities\RefineRTDCRunTimes.py" --tripid 52-22 --locoid 4025 --swversion DE.1.0.9.0 --startMP 204:3020 --initTime 2017-10-22T03:20:45 --startdatetime 2017-10-22T03:22:48 --delay 56 --endMP 204:1162 --enddatetime 2017-10-22T03:24:24 --enforcementcount 0 &gt;&gt;%USERPROFILE%\Documents\GitHub\eaglep3-reporting\EC\2017-10-22-refined-times.txt</v>
      </c>
      <c r="AI213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0.1162"},{"id":17,"name":"Train ID","value":"52-22"},{"id":16,"name":"Locomotive ID","value":"4025"},{"id":130,"name":"Impact","value":""},{"id":150,"name":"Time of Event (Mountain Time)","value":"03:24:24"},{"id":151,"name":"Denver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58"/>
        <v>start /low /b %USERPROFILE%\Documents\GitHub\eaglep3\Utilities\DownloadLogsFromS3.py --loco 4025 --day 2017-10-22</v>
      </c>
      <c r="AN213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09:24:24"},{"id":29,"name":"Sharepoint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60"/>
        <v>https://d0f6bd738d7f1b3e5a7ca70fe4ff75f0.us-east-1.aws.found.io/app/kibana#/discover/Steve-Slow-Train-Analysis-(2080s-and-2083s)?_g=(refreshInterval:(display:Off,pause:!f,section:0,value:0),time:(from:'2017-10-22T02:20:45-0600',mode:absolute,to:'2017-10-22T04:24:24-0600'))&amp;_a=(columns:!('Message%20ID',Summary),filters:!(),index:'emp_*',interval:auto,query:(query_string:(analyze_wildcard:!t,query:'%22rtdc.l.rtdc.4025%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693</v>
      </c>
      <c r="B214" s="7">
        <v>4026</v>
      </c>
      <c r="C214" s="21" t="s">
        <v>194</v>
      </c>
      <c r="D214" s="21" t="s">
        <v>1013</v>
      </c>
      <c r="E214" s="13">
        <v>43030.172199074077</v>
      </c>
      <c r="F214" s="13">
        <v>43030.174050925925</v>
      </c>
      <c r="G214" s="7">
        <v>112</v>
      </c>
      <c r="H214" s="21" t="s">
        <v>1014</v>
      </c>
      <c r="I214" s="13">
        <v>43030.174803240741</v>
      </c>
      <c r="J214" s="7">
        <v>0</v>
      </c>
      <c r="K214" s="89" t="str">
        <f>IF(ISEVEN(B214),(B214-1)&amp;"/"&amp;B214,B214&amp;"/"&amp;(B214+1))</f>
        <v>4025/4026</v>
      </c>
      <c r="L214" s="185" t="str">
        <f>VLOOKUP(A214,'Trips&amp;Operators'!$C$1:$G$99911,5,FALSE)</f>
        <v>LOPES KIMBERLY</v>
      </c>
      <c r="M214" s="6">
        <f>I214-F214</f>
        <v>7.5231481605442241E-4</v>
      </c>
      <c r="N214" s="7">
        <f>24*60*SUM($M214:$M214)</f>
        <v>1.0833333351183683</v>
      </c>
      <c r="O214" s="7"/>
      <c r="P214" s="7"/>
      <c r="Q214" s="22"/>
      <c r="R214" s="174"/>
      <c r="S214" s="221">
        <f>1/IF(AG214="EC",12,1)*SUM(U214:U214)</f>
        <v>0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-22T03:07:58-0600',mode:absolute,to:'2017-10-22T05:11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0.1477</v>
      </c>
      <c r="Z214" s="204">
        <f>RIGHT(H214,LEN(H214)-4)/10000</f>
        <v>0.33069999999999999</v>
      </c>
      <c r="AA214" s="204">
        <f>ABS(Z214-Y214)</f>
        <v>0.183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53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s3://rtdc.mdm.uploadarchive.raw/RTDC4026/ "%USERPROFILE%\AppData\Local\Temp\OnboardLogs"\RTDC4026\2017-10-22 --exclude "*" --recursive --include "*20171022*" &amp; "%USERPROFILE%\Documents\GitHub\mrs-test-scripts\Headless Mode &amp; Sideloading\WalkAndUnGZ.bat" "%USERPROFILE%\AppData\Local\Temp\OnboardLogs"\RTDC4026\2017-10-22 &amp; aws s3 cp s3://rtdc.mdm.uploadarchive.raw/RTDC4026/ "%USERPROFILE%\AppData\Local\Temp\OnboardLogs"\RTDC4026\2017-10-23 --exclude "*" --recursive --include "*20171023*" &amp; "%USERPROFILE%\Documents\GitHub\mrs-test-scripts\Headless Mode &amp; Sideloading\WalkAndUnGZ.bat" "%USERPROFILE%\AppData\Local\Temp\OnboardLogs"\RTDC4026\2017-10-23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/stypes="app*4026*20171022*"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Shuttle/Test</v>
      </c>
      <c r="AH214" s="78" t="str">
        <f t="shared" si="56"/>
        <v>"%USERPROFILE%\Documents\GitHub\eaglep3\Utilities\RefineRTDCRunTimes.py" --tripid 53-22 --locoid 4026 --swversion DE.1.0.9.0 --startMP 204:1477 --initTime 2017-10-22T04:07:58 --startdatetime 2017-10-22T04:10:38 --delay 112 --endMP 204:3307 --enddatetime 2017-10-22T04:11:43 --enforcementcount 0 &gt;&gt;%USERPROFILE%\Documents\GitHub\eaglep3-reporting\EC\2017-10-22-refined-times.txt</v>
      </c>
      <c r="AI214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0.3307"},{"id":17,"name":"Train ID","value":"53-22"},{"id":16,"name":"Locomotive ID","value":"4026"},{"id":130,"name":"Impact","value":""},{"id":150,"name":"Time of Event (Mountain Time)","value":"04:11:43"},{"id":151,"name":"Denver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58"/>
        <v>start /low /b %USERPROFILE%\Documents\GitHub\eaglep3\Utilities\DownloadLogsFromS3.py --loco 4026 --day 2017-10-22</v>
      </c>
      <c r="AN214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10:11:43"},{"id":29,"name":"Sharepoint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60"/>
        <v>https://d0f6bd738d7f1b3e5a7ca70fe4ff75f0.us-east-1.aws.found.io/app/kibana#/discover/Steve-Slow-Train-Analysis-(2080s-and-2083s)?_g=(refreshInterval:(display:Off,pause:!f,section:0,value:0),time:(from:'2017-10-22T03:07:58-0600',mode:absolute,to:'2017-10-22T05:11:43-0600'))&amp;_a=(columns:!('Message%20ID',Summary),filters:!(),index:'emp_*',interval:auto,query:(query_string:(analyze_wildcard:!t,query:'%22rtdc.l.rtdc.4026%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695</v>
      </c>
      <c r="B215" s="7">
        <v>4025</v>
      </c>
      <c r="C215" s="21" t="s">
        <v>194</v>
      </c>
      <c r="D215" s="21" t="s">
        <v>1015</v>
      </c>
      <c r="E215" s="13">
        <v>43030.175717592596</v>
      </c>
      <c r="F215" s="13">
        <v>43030.177106481482</v>
      </c>
      <c r="G215" s="7">
        <v>50</v>
      </c>
      <c r="H215" s="21" t="s">
        <v>336</v>
      </c>
      <c r="I215" s="13">
        <v>43030.178263888891</v>
      </c>
      <c r="J215" s="7">
        <v>0</v>
      </c>
      <c r="K215" s="89" t="str">
        <f>IF(ISEVEN(B215),(B215-1)&amp;"/"&amp;B215,B215&amp;"/"&amp;(B215+1))</f>
        <v>4025/4026</v>
      </c>
      <c r="L215" s="185" t="str">
        <f>VLOOKUP(A215,'Trips&amp;Operators'!$C$1:$G$99911,5,FALSE)</f>
        <v>LOPES KIMBERLY</v>
      </c>
      <c r="M215" s="6">
        <f>I215-F215</f>
        <v>1.157407408754807E-3</v>
      </c>
      <c r="N215" s="7">
        <f>24*60*SUM($M215:$M215)</f>
        <v>1.666666668606922</v>
      </c>
      <c r="O215" s="7"/>
      <c r="P215" s="7"/>
      <c r="Q215" s="22"/>
      <c r="R215" s="174"/>
      <c r="S215" s="221">
        <f>1/IF(AG215="EC",12,1)*SUM(U215:U215)</f>
        <v>0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-22T03:13:02-0600',mode:absolute,to:'2017-10-22T05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0.3004</v>
      </c>
      <c r="Z215" s="204">
        <f>RIGHT(H215,LEN(H215)-4)/10000</f>
        <v>1.49E-2</v>
      </c>
      <c r="AA215" s="204">
        <f>ABS(Z215-Y215)</f>
        <v>0.28549999999999998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54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/stypes="app*4025*20171022*" /stext=" 10:.+((SYSTEM_STATE.+slice.+state.+changed )|(ment ac)|(multiple cpu faults)|(system.+state.+changed )|(\[timeout)|(PRM\|1\|D)|(kpr)|(kdp)|(train st.+moving)|(\|lc)|(penalty))"</v>
      </c>
      <c r="AG215" s="182" t="str">
        <f>DetSubdiv(A215)</f>
        <v>Shuttle/Test</v>
      </c>
      <c r="AH215" s="78" t="str">
        <f t="shared" si="56"/>
        <v>"%USERPROFILE%\Documents\GitHub\eaglep3\Utilities\RefineRTDCRunTimes.py" --tripid 54-22 --locoid 4025 --swversion DE.1.0.9.0 --startMP 204:3004 --initTime 2017-10-22T04:13:02 --startdatetime 2017-10-22T04:15:02 --delay 50 --endMP 204:149 --enddatetime 2017-10-22T04:16:42 --enforcementcount 0 &gt;&gt;%USERPROFILE%\Documents\GitHub\eaglep3-reporting\EC\2017-10-22-refined-times.txt</v>
      </c>
      <c r="AI215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0.0149"},{"id":17,"name":"Train ID","value":"54-22"},{"id":16,"name":"Locomotive ID","value":"4025"},{"id":130,"name":"Impact","value":""},{"id":150,"name":"Time of Event (Mountain Time)","value":"04:16:42"},{"id":151,"name":"Denver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58"/>
        <v>start /low /b %USERPROFILE%\Documents\GitHub\eaglep3\Utilities\DownloadLogsFromS3.py --loco 4025 --day 2017-10-22</v>
      </c>
      <c r="AN215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10:16:42"},{"id":29,"name":"Sharepoint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60"/>
        <v>https://d0f6bd738d7f1b3e5a7ca70fe4ff75f0.us-east-1.aws.found.io/app/kibana#/discover/Steve-Slow-Train-Analysis-(2080s-and-2083s)?_g=(refreshInterval:(display:Off,pause:!f,section:0,value:0),time:(from:'2017-10-22T03:13:02-0600',mode:absolute,to:'2017-10-22T05:16:42-0600'))&amp;_a=(columns:!('Message%20ID',Summary),filters:!(),index:'emp_*',interval:auto,query:(query_string:(analyze_wildcard:!t,query:'%22rtdc.l.rtdc.4025%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715</v>
      </c>
      <c r="B216" s="7">
        <v>4016</v>
      </c>
      <c r="C216" s="21" t="s">
        <v>194</v>
      </c>
      <c r="D216" s="21" t="s">
        <v>1016</v>
      </c>
      <c r="E216" s="13">
        <v>43030.244108796294</v>
      </c>
      <c r="F216" s="13">
        <v>43030.246539351851</v>
      </c>
      <c r="G216" s="7">
        <v>99</v>
      </c>
      <c r="H216" s="21" t="s">
        <v>1017</v>
      </c>
      <c r="I216" s="13">
        <v>43030.248333333337</v>
      </c>
      <c r="J216" s="7">
        <v>0</v>
      </c>
      <c r="K216" s="89" t="str">
        <f>IF(ISEVEN(B216),(B216-1)&amp;"/"&amp;B216,B216&amp;"/"&amp;(B216+1))</f>
        <v>4015/4016</v>
      </c>
      <c r="L216" s="185" t="str">
        <f>VLOOKUP(A216,'Trips&amp;Operators'!$C$1:$G$99911,5,FALSE)</f>
        <v>BROWN JACOB</v>
      </c>
      <c r="M216" s="6">
        <f>I216-F216</f>
        <v>1.793981486116536E-3</v>
      </c>
      <c r="N216" s="7">
        <f>24*60*SUM($M216:$M216)</f>
        <v>2.5833333400078118</v>
      </c>
      <c r="O216" s="7"/>
      <c r="P216" s="7"/>
      <c r="Q216" s="22"/>
      <c r="R216" s="174"/>
      <c r="S216" s="221">
        <f>1/IF(AG216="EC",12,1)*SUM(U216:U216)</f>
        <v>0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-22T04:51:31-0600',mode:absolute,to:'2017-10-22T06:57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0.14829999999999999</v>
      </c>
      <c r="Z216" s="204">
        <f>RIGHT(H216,LEN(H216)-4)/10000</f>
        <v>0.54120000000000001</v>
      </c>
      <c r="AA216" s="204">
        <f>ABS(Z216-Y216)</f>
        <v>0.39290000000000003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55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/stypes="app*4016*20171022*" /stext=" 11:.+((SYSTEM_STATE.+slice.+state.+changed )|(ment ac)|(multiple cpu faults)|(system.+state.+changed )|(\[timeout)|(PRM\|1\|D)|(kpr)|(kdp)|(train st.+moving)|(\|lc)|(penalty))"</v>
      </c>
      <c r="AG216" s="182" t="str">
        <f>DetSubdiv(A216)</f>
        <v>Shuttle/Test</v>
      </c>
      <c r="AH216" s="78" t="str">
        <f t="shared" si="56"/>
        <v>"%USERPROFILE%\Documents\GitHub\eaglep3\Utilities\RefineRTDCRunTimes.py" --tripid 55-22 --locoid 4016 --swversion DE.1.0.9.0 --startMP 204:1483 --initTime 2017-10-22T05:51:31 --startdatetime 2017-10-22T05:55:01 --delay 99 --endMP 300:5412 --enddatetime 2017-10-22T05:57:36 --enforcementcount 0 &gt;&gt;%USERPROFILE%\Documents\GitHub\eaglep3-reporting\EC\2017-10-22-refined-times.txt</v>
      </c>
      <c r="AI216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0.5412"},{"id":17,"name":"Train ID","value":"55-22"},{"id":16,"name":"Locomotive ID","value":"4016"},{"id":130,"name":"Impact","value":""},{"id":150,"name":"Time of Event (Mountain Time)","value":"05:57:36"},{"id":151,"name":"Denver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58"/>
        <v>start /low /b %USERPROFILE%\Documents\GitHub\eaglep3\Utilities\DownloadLogsFromS3.py --loco 4016 --day 2017-10-22</v>
      </c>
      <c r="AN216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11:57:36"},{"id":29,"name":"Sharepoint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60"/>
        <v>https://d0f6bd738d7f1b3e5a7ca70fe4ff75f0.us-east-1.aws.found.io/app/kibana#/discover/Steve-Slow-Train-Analysis-(2080s-and-2083s)?_g=(refreshInterval:(display:Off,pause:!f,section:0,value:0),time:(from:'2017-10-22T04:51:31-0600',mode:absolute,to:'2017-10-22T06:57:36-0600'))&amp;_a=(columns:!('Message%20ID',Summary),filters:!(),index:'emp_*',interval:auto,query:(query_string:(analyze_wildcard:!t,query:'%22rtdc.l.rtdc.4016%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718</v>
      </c>
      <c r="B217" s="7">
        <v>4015</v>
      </c>
      <c r="C217" s="21" t="s">
        <v>194</v>
      </c>
      <c r="D217" s="21" t="s">
        <v>1002</v>
      </c>
      <c r="E217" s="13">
        <v>43030.249166666668</v>
      </c>
      <c r="F217" s="13">
        <v>43030.250659722224</v>
      </c>
      <c r="G217" s="7">
        <v>74</v>
      </c>
      <c r="H217" s="21" t="s">
        <v>1003</v>
      </c>
      <c r="I217" s="13">
        <v>43030.252303240741</v>
      </c>
      <c r="J217" s="7">
        <v>0</v>
      </c>
      <c r="K217" s="89" t="str">
        <f>IF(ISEVEN(B217),(B217-1)&amp;"/"&amp;B217,B217&amp;"/"&amp;(B217+1))</f>
        <v>4015/4016</v>
      </c>
      <c r="L217" s="185" t="str">
        <f>VLOOKUP(A217,'Trips&amp;Operators'!$C$1:$G$99911,5,FALSE)</f>
        <v>BROWN JACOB</v>
      </c>
      <c r="M217" s="6">
        <f>I217-F217</f>
        <v>1.6435185170848854E-3</v>
      </c>
      <c r="N217" s="7">
        <f>24*60*SUM($M217:$M217)</f>
        <v>2.366666664602235</v>
      </c>
      <c r="O217" s="7"/>
      <c r="P217" s="7"/>
      <c r="Q217" s="22"/>
      <c r="R217" s="174"/>
      <c r="S217" s="221">
        <f>1/IF(AG217="EC",12,1)*SUM(U217:U217)</f>
        <v>0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-22T04:58:48-0600',mode:absolute,to:'2017-10-22T07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0.51470000000000005</v>
      </c>
      <c r="Z217" s="204">
        <f>RIGHT(H217,LEN(H217)-4)/10000</f>
        <v>7.3800000000000004E-2</v>
      </c>
      <c r="AA217" s="204">
        <f>ABS(Z217-Y217)</f>
        <v>0.44090000000000007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56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/stypes="app*4015*20171022*" /stext=" 12:.+((SYSTEM_STATE.+slice.+state.+changed )|(ment ac)|(multiple cpu faults)|(system.+state.+changed )|(\[timeout)|(PRM\|1\|D)|(kpr)|(kdp)|(train st.+moving)|(\|lc)|(penalty))"</v>
      </c>
      <c r="AG217" s="182" t="str">
        <f>DetSubdiv(A217)</f>
        <v>Shuttle/Test</v>
      </c>
      <c r="AH217" s="78" t="str">
        <f t="shared" si="56"/>
        <v>"%USERPROFILE%\Documents\GitHub\eaglep3\Utilities\RefineRTDCRunTimes.py" --tripid 56-22 --locoid 4015 --swversion DE.1.0.9.0 --startMP 300:5147 --initTime 2017-10-22T05:58:48 --startdatetime 2017-10-22T06:00:57 --delay 74 --endMP 204:738 --enddatetime 2017-10-22T06:03:19 --enforcementcount 0 &gt;&gt;%USERPROFILE%\Documents\GitHub\eaglep3-reporting\EC\2017-10-22-refined-times.txt</v>
      </c>
      <c r="AI217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0.0738"},{"id":17,"name":"Train ID","value":"56-22"},{"id":16,"name":"Locomotive ID","value":"4015"},{"id":130,"name":"Impact","value":""},{"id":150,"name":"Time of Event (Mountain Time)","value":"06:03:19"},{"id":151,"name":"Denver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58"/>
        <v>start /low /b %USERPROFILE%\Documents\GitHub\eaglep3\Utilities\DownloadLogsFromS3.py --loco 4015 --day 2017-10-22</v>
      </c>
      <c r="AN217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12:03:19"},{"id":29,"name":"Sharepoint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60"/>
        <v>https://d0f6bd738d7f1b3e5a7ca70fe4ff75f0.us-east-1.aws.found.io/app/kibana#/discover/Steve-Slow-Train-Analysis-(2080s-and-2083s)?_g=(refreshInterval:(display:Off,pause:!f,section:0,value:0),time:(from:'2017-10-22T04:58:48-0600',mode:absolute,to:'2017-10-22T07:03:19-0600'))&amp;_a=(columns:!('Message%20ID',Summary),filters:!(),index:'emp_*',interval:auto,query:(query_string:(analyze_wildcard:!t,query:'%22rtdc.l.rtdc.4015%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726</v>
      </c>
      <c r="B218" s="7">
        <v>4005</v>
      </c>
      <c r="C218" s="21" t="s">
        <v>194</v>
      </c>
      <c r="D218" s="21" t="s">
        <v>1018</v>
      </c>
      <c r="E218" s="13">
        <v>43030.28733796296</v>
      </c>
      <c r="F218" s="13">
        <v>43030.289571759262</v>
      </c>
      <c r="G218" s="7">
        <v>106</v>
      </c>
      <c r="H218" s="21" t="s">
        <v>1019</v>
      </c>
      <c r="I218" s="13">
        <v>43030.291875000003</v>
      </c>
      <c r="J218" s="7">
        <v>0</v>
      </c>
      <c r="K218" s="89" t="str">
        <f>IF(ISEVEN(B218),(B218-1)&amp;"/"&amp;B218,B218&amp;"/"&amp;(B218+1))</f>
        <v>4005/4006</v>
      </c>
      <c r="L218" s="185" t="str">
        <f>VLOOKUP(A218,'Trips&amp;Operators'!$C$1:$G$99911,5,FALSE)</f>
        <v>PAGE MARCUS</v>
      </c>
      <c r="M218" s="6">
        <f>I218-F218</f>
        <v>2.3032407407299615E-3</v>
      </c>
      <c r="N218" s="7">
        <f>24*60*SUM($M218:$M218)</f>
        <v>3.3166666666511446</v>
      </c>
      <c r="O218" s="7"/>
      <c r="P218" s="7"/>
      <c r="Q218" s="22"/>
      <c r="R218" s="174"/>
      <c r="S218" s="221">
        <f>1/IF(AG218="EC",12,1)*SUM(U218:U218)</f>
        <v>0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-22T05:53:46-0600',mode:absolute,to:'2017-10-22T08:00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4</v>
      </c>
      <c r="Y218" s="204">
        <f>RIGHT(D218,LEN(D218)-4)/10000</f>
        <v>0.49519999999999997</v>
      </c>
      <c r="Z218" s="204">
        <f>RIGHT(H218,LEN(H218)-4)/10000</f>
        <v>0.1167</v>
      </c>
      <c r="AA218" s="204">
        <f>ABS(Z218-Y218)</f>
        <v>0.37849999999999995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60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s3://rtdc.mdm.uploadarchive.raw/RTDC4005/ "%USERPROFILE%\AppData\Local\Temp\OnboardLogs"\RTDC4005\2017-10-22 --exclude "*" --recursive --include "*20171022*" &amp; "%USERPROFILE%\Documents\GitHub\mrs-test-scripts\Headless Mode &amp; Sideloading\WalkAndUnGZ.bat" "%USERPROFILE%\AppData\Local\Temp\OnboardLogs"\RTDC4005\2017-10-22 &amp; aws s3 cp s3://rtdc.mdm.uploadarchive.raw/RTDC4005/ "%USERPROFILE%\AppData\Local\Temp\OnboardLogs"\RTDC4005\2017-10-23 --exclude "*" --recursive --include "*20171023*" &amp; "%USERPROFILE%\Documents\GitHub\mrs-test-scripts\Headless Mode &amp; Sideloading\WalkAndUnGZ.bat" "%USERPROFILE%\AppData\Local\Temp\OnboardLogs"\RTDC4005\2017-10-23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/stypes="app*4005*20171022*" /stext=" 13:.+((SYSTEM_STATE.+slice.+state.+changed )|(ment ac)|(multiple cpu faults)|(system.+state.+changed )|(\[timeout)|(PRM\|1\|D)|(kpr)|(kdp)|(train st.+moving)|(\|lc)|(penalty))"</v>
      </c>
      <c r="AG218" s="182" t="str">
        <f>DetSubdiv(A218)</f>
        <v>Shuttle/Test</v>
      </c>
      <c r="AH218" s="78" t="str">
        <f t="shared" si="56"/>
        <v>"%USERPROFILE%\Documents\GitHub\eaglep3\Utilities\RefineRTDCRunTimes.py" --tripid 60-22 --locoid 4005 --swversion DE.1.0.9.0 --startMP 300:4952 --initTime 2017-10-22T06:53:46 --startdatetime 2017-10-22T06:56:59 --delay 106 --endMP 204:1167 --enddatetime 2017-10-22T07:00:18 --enforcementcount 0 &gt;&gt;%USERPROFILE%\Documents\GitHub\eaglep3-reporting\EC\2017-10-22-refined-times.txt</v>
      </c>
      <c r="AI218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0.1167"},{"id":17,"name":"Train ID","value":"60-22"},{"id":16,"name":"Locomotive ID","value":"4005"},{"id":130,"name":"Impact","value":""},{"id":150,"name":"Time of Event (Mountain Time)","value":"07:00:18"},{"id":151,"name":"Denver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58"/>
        <v>start /low /b %USERPROFILE%\Documents\GitHub\eaglep3\Utilities\DownloadLogsFromS3.py --loco 4005 --day 2017-10-22</v>
      </c>
      <c r="AN218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60"/>
        <v>https://d0f6bd738d7f1b3e5a7ca70fe4ff75f0.us-east-1.aws.found.io/app/kibana#/discover/Steve-Slow-Train-Analysis-(2080s-and-2083s)?_g=(refreshInterval:(display:Off,pause:!f,section:0,value:0),time:(from:'2017-10-22T05:53:46-0600',mode:absolute,to:'2017-10-22T08:00:18-0600'))&amp;_a=(columns:!('Message%20ID',Summary),filters:!(),index:'emp_*',interval:auto,query:(query_string:(analyze_wildcard:!t,query:'%22rtdc.l.rtdc.4005%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726</v>
      </c>
      <c r="B219" s="7">
        <v>4006</v>
      </c>
      <c r="C219" s="21" t="s">
        <v>194</v>
      </c>
      <c r="D219" s="21" t="s">
        <v>1020</v>
      </c>
      <c r="E219" s="13">
        <v>43030.282025462962</v>
      </c>
      <c r="F219" s="13">
        <v>43030.289571759262</v>
      </c>
      <c r="G219" s="7">
        <v>78</v>
      </c>
      <c r="H219" s="21" t="s">
        <v>1021</v>
      </c>
      <c r="I219" s="13">
        <v>43030.291875000003</v>
      </c>
      <c r="J219" s="7">
        <v>0</v>
      </c>
      <c r="K219" s="89" t="str">
        <f>IF(ISEVEN(B219),(B219-1)&amp;"/"&amp;B219,B219&amp;"/"&amp;(B219+1))</f>
        <v>4005/4006</v>
      </c>
      <c r="L219" s="185" t="str">
        <f>VLOOKUP(A219,'Trips&amp;Operators'!$C$1:$G$99911,5,FALSE)</f>
        <v>PAGE MARCUS</v>
      </c>
      <c r="M219" s="6">
        <f>I219-F219</f>
        <v>2.3032407407299615E-3</v>
      </c>
      <c r="N219" s="7">
        <f>24*60*SUM($M219:$M219)</f>
        <v>3.3166666666511446</v>
      </c>
      <c r="O219" s="7"/>
      <c r="P219" s="7"/>
      <c r="Q219" s="22"/>
      <c r="R219" s="174"/>
      <c r="S219" s="221">
        <f>1/IF(AG219="EC",12,1)*SUM(U219:U219)</f>
        <v>0</v>
      </c>
      <c r="T219" s="174" t="str">
        <f>IF(ISEVEN(LEFT(AD219,4)),"Southbound","NorthBound")</f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-22T05:46:07-0600',mode:absolute,to:'2017-10-22T08:00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0</v>
      </c>
      <c r="Y219" s="204">
        <f>RIGHT(D219,LEN(D219)-4)/10000</f>
        <v>0.11700000000000001</v>
      </c>
      <c r="Z219" s="204">
        <f>RIGHT(H219,LEN(H219)-4)/10000</f>
        <v>0.5323</v>
      </c>
      <c r="AA219" s="204">
        <f>ABS(Z219-Y219)</f>
        <v>0.4153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60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s3://rtdc.mdm.uploadarchive.raw/RTDC4006/ "%USERPROFILE%\AppData\Local\Temp\OnboardLogs"\RTDC4006\2017-10-22 --exclude "*" --recursive --include "*20171022*" &amp; "%USERPROFILE%\Documents\GitHub\mrs-test-scripts\Headless Mode &amp; Sideloading\WalkAndUnGZ.bat" "%USERPROFILE%\AppData\Local\Temp\OnboardLogs"\RTDC4006\2017-10-22 &amp; aws s3 cp s3://rtdc.mdm.uploadarchive.raw/RTDC4006/ "%USERPROFILE%\AppData\Local\Temp\OnboardLogs"\RTDC4006\2017-10-23 --exclude "*" --recursive --include "*20171023*" &amp; "%USERPROFILE%\Documents\GitHub\mrs-test-scripts\Headless Mode &amp; Sideloading\WalkAndUnGZ.bat" "%USERPROFILE%\AppData\Local\Temp\OnboardLogs"\RTDC4006\2017-10-23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/stypes="app*4006*20171022*" /stext=" 13:.+((SYSTEM_STATE.+slice.+state.+changed )|(ment ac)|(multiple cpu faults)|(system.+state.+changed )|(\[timeout)|(PRM\|1\|D)|(kpr)|(kdp)|(train st.+moving)|(\|lc)|(penalty))"</v>
      </c>
      <c r="AG219" s="182" t="str">
        <f>DetSubdiv(A219)</f>
        <v>Shuttle/Test</v>
      </c>
      <c r="AH219" s="78" t="str">
        <f t="shared" si="56"/>
        <v>"%USERPROFILE%\Documents\GitHub\eaglep3\Utilities\RefineRTDCRunTimes.py" --tripid 60-22 --locoid 4006 --swversion DE.1.0.9.0 --startMP 204:1170 --initTime 2017-10-22T06:46:07 --startdatetime 2017-10-22T06:56:59 --delay 78 --endMP 300:5323 --enddatetime 2017-10-22T07:00:18 --enforcementcount 0 &gt;&gt;%USERPROFILE%\Documents\GitHub\eaglep3-reporting\EC\2017-10-22-refined-times.txt</v>
      </c>
      <c r="AI219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0.5323"},{"id":17,"name":"Train ID","value":"60-22"},{"id":16,"name":"Locomotive ID","value":"4006"},{"id":130,"name":"Impact","value":""},{"id":150,"name":"Time of Event (Mountain Time)","value":"07:00:18"},{"id":151,"name":"Denver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58"/>
        <v>start /low /b %USERPROFILE%\Documents\GitHub\eaglep3\Utilities\DownloadLogsFromS3.py --loco 4006 --day 2017-10-22</v>
      </c>
      <c r="AN219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13:00:18"},{"id":29,"name":"Sharepoint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60"/>
        <v>https://d0f6bd738d7f1b3e5a7ca70fe4ff75f0.us-east-1.aws.found.io/app/kibana#/discover/Steve-Slow-Train-Analysis-(2080s-and-2083s)?_g=(refreshInterval:(display:Off,pause:!f,section:0,value:0),time:(from:'2017-10-22T05:46:07-0600',mode:absolute,to:'2017-10-22T08:00:18-0600'))&amp;_a=(columns:!('Message%20ID',Summary),filters:!(),index:'emp_*',interval:auto,query:(query_string:(analyze_wildcard:!t,query:'%22rtdc.l.rtdc.4006%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779</v>
      </c>
      <c r="B220" s="7">
        <v>4062</v>
      </c>
      <c r="C220" s="21" t="s">
        <v>194</v>
      </c>
      <c r="D220" s="21" t="s">
        <v>1022</v>
      </c>
      <c r="E220" s="13">
        <v>43030.47760416667</v>
      </c>
      <c r="F220" s="13">
        <v>43030.489305555559</v>
      </c>
      <c r="G220" s="7">
        <v>921</v>
      </c>
      <c r="H220" s="21" t="s">
        <v>1023</v>
      </c>
      <c r="I220" s="13">
        <v>43030.496331018519</v>
      </c>
      <c r="J220" s="7">
        <v>0</v>
      </c>
      <c r="K220" s="89" t="str">
        <f>IF(ISEVEN(B220),(B220-1)&amp;"/"&amp;B220,B220&amp;"/"&amp;(B220+1))</f>
        <v>4061/4062</v>
      </c>
      <c r="L220" s="185" t="str">
        <f>VLOOKUP(A220,'Trips&amp;Operators'!$C$1:$G$99911,5,FALSE)</f>
        <v>BARRON PERLA</v>
      </c>
      <c r="M220" s="6">
        <f>I220-F220</f>
        <v>7.025462960882578E-3</v>
      </c>
      <c r="N220" s="7">
        <f>24*60*SUM($M220:$M220)</f>
        <v>10.116666663670912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-22T10:27:45-0600',mode:absolute,to:'2017-10-22T12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3.39E-2</v>
      </c>
      <c r="Z220" s="204">
        <f>RIGHT(H220,LEN(H220)-4)/10000</f>
        <v>2.4230999999999998</v>
      </c>
      <c r="AA220" s="204">
        <f>ABS(Z220-Y220)</f>
        <v>2.3891999999999998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61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s3://rtdc.mdm.uploadarchive.raw/RTDC4062/ "%USERPROFILE%\AppData\Local\Temp\OnboardLogs"\RTDC4062\2017-10-22 --exclude "*" --recursive --include "*20171022*" &amp; "%USERPROFILE%\Documents\GitHub\mrs-test-scripts\Headless Mode &amp; Sideloading\WalkAndUnGZ.bat" "%USERPROFILE%\AppData\Local\Temp\OnboardLogs"\RTDC4062\2017-10-22 &amp; aws s3 cp s3://rtdc.mdm.uploadarchive.raw/RTDC4062/ "%USERPROFILE%\AppData\Local\Temp\OnboardLogs"\RTDC4062\2017-10-23 --exclude "*" --recursive --include "*20171023*" &amp; "%USERPROFILE%\Documents\GitHub\mrs-test-scripts\Headless Mode &amp; Sideloading\WalkAndUnGZ.bat" "%USERPROFILE%\AppData\Local\Temp\OnboardLogs"\RTDC4062\2017-10-23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/stypes="app*4062*20171022*" /stext=" 17:.+((SYSTEM_STATE.+slice.+state.+changed )|(ment ac)|(multiple cpu faults)|(system.+state.+changed )|(\[timeout)|(PRM\|1\|D)|(kpr)|(kdp)|(train st.+moving)|(\|lc)|(penalty))"</v>
      </c>
      <c r="AG220" s="182" t="str">
        <f>DetSubdiv(A220)</f>
        <v>Shuttle/Test</v>
      </c>
      <c r="AH220" s="78" t="str">
        <f t="shared" si="56"/>
        <v>"%USERPROFILE%\Documents\GitHub\eaglep3\Utilities\RefineRTDCRunTimes.py" --tripid 61-22 --locoid 4062 --swversion DE.1.0.9.0 --startMP 204:339 --initTime 2017-10-22T11:27:45 --startdatetime 2017-10-22T11:44:36 --delay 921 --endMP 300:24231 --enddatetime 2017-10-22T11:54:43 --enforcementcount 0 &gt;&gt;%USERPROFILE%\Documents\GitHub\eaglep3-reporting\EC\2017-10-22-refined-times.txt</v>
      </c>
      <c r="AI220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2.4231"},{"id":17,"name":"Train ID","value":"61-22"},{"id":16,"name":"Locomotive ID","value":"4062"},{"id":130,"name":"Impact","value":""},{"id":150,"name":"Time of Event (Mountain Time)","value":"11:54:43"},{"id":151,"name":"Denver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58"/>
        <v>start /low /b %USERPROFILE%\Documents\GitHub\eaglep3\Utilities\DownloadLogsFromS3.py --loco 4062 --day 2017-10-22</v>
      </c>
      <c r="AN220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17:54:43"},{"id":29,"name":"Sharepoint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60"/>
        <v>https://d0f6bd738d7f1b3e5a7ca70fe4ff75f0.us-east-1.aws.found.io/app/kibana#/discover/Steve-Slow-Train-Analysis-(2080s-and-2083s)?_g=(refreshInterval:(display:Off,pause:!f,section:0,value:0),time:(from:'2017-10-22T10:27:45-0600',mode:absolute,to:'2017-10-22T12:54:43-0600'))&amp;_a=(columns:!('Message%20ID',Summary),filters:!(),index:'emp_*',interval:auto,query:(query_string:(analyze_wildcard:!t,query:'%22rtdc.l.rtdc.4062%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833</v>
      </c>
      <c r="B221" s="7">
        <v>4007</v>
      </c>
      <c r="C221" s="21" t="s">
        <v>194</v>
      </c>
      <c r="D221" s="21" t="s">
        <v>1024</v>
      </c>
      <c r="E221" s="13">
        <v>43030.740081018521</v>
      </c>
      <c r="F221" s="13">
        <v>43030.750138888892</v>
      </c>
      <c r="G221" s="7">
        <v>161</v>
      </c>
      <c r="H221" s="21" t="s">
        <v>1025</v>
      </c>
      <c r="I221" s="13">
        <v>43030.756180555552</v>
      </c>
      <c r="J221" s="7">
        <v>0</v>
      </c>
      <c r="K221" s="89" t="str">
        <f>IF(ISEVEN(B221),(B221-1)&amp;"/"&amp;B221,B221&amp;"/"&amp;(B221+1))</f>
        <v>4007/4008</v>
      </c>
      <c r="L221" s="185" t="str">
        <f>VLOOKUP(A221,'Trips&amp;Operators'!$C$1:$G$99911,5,FALSE)</f>
        <v>WEST BRYAN</v>
      </c>
      <c r="M221" s="6">
        <f>I221-F221</f>
        <v>6.0416666601668112E-3</v>
      </c>
      <c r="N221" s="7">
        <f>24*60*SUM($M221:$M221)</f>
        <v>8.6999999906402081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-22T16:45:43-0600',mode:absolute,to:'2017-10-22T19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9</v>
      </c>
      <c r="Y221" s="204">
        <f>RIGHT(D221,LEN(D221)-4)/10000</f>
        <v>2.3584000000000001</v>
      </c>
      <c r="Z221" s="204">
        <f>RIGHT(H221,LEN(H221)-4)/10000</f>
        <v>0.11260000000000001</v>
      </c>
      <c r="AA221" s="204">
        <f>ABS(Z221-Y221)</f>
        <v>2.2458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70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s3://rtdc.mdm.uploadarchive.raw/RTDC4007/ "%USERPROFILE%\AppData\Local\Temp\OnboardLogs"\RTDC4007\2017-10-22 --exclude "*" --recursive --include "*20171022*" &amp; "%USERPROFILE%\Documents\GitHub\mrs-test-scripts\Headless Mode &amp; Sideloading\WalkAndUnGZ.bat" "%USERPROFILE%\AppData\Local\Temp\OnboardLogs"\RTDC4007\2017-10-22 &amp; 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/stypes="app*4007*20171023*" /stext=" 00:.+((SYSTEM_STATE.+slice.+state.+changed )|(ment ac)|(multiple cpu faults)|(system.+state.+changed )|(\[timeout)|(PRM\|1\|D)|(kpr)|(kdp)|(train st.+moving)|(\|lc)|(penalty))"</v>
      </c>
      <c r="AG221" s="182" t="str">
        <f>DetSubdiv(A221)</f>
        <v>Shuttle/Test</v>
      </c>
      <c r="AH221" s="78" t="str">
        <f t="shared" si="56"/>
        <v>"%USERPROFILE%\Documents\GitHub\eaglep3\Utilities\RefineRTDCRunTimes.py" --tripid 70-22 --locoid 4007 --swversion DE.1.0.9.0 --startMP 300:23584 --initTime 2017-10-22T17:45:43 --startdatetime 2017-10-22T18:00:12 --delay 161 --endMP 204:1126 --enddatetime 2017-10-22T18:08:54 --enforcementcount 0 &gt;&gt;%USERPROFILE%\Documents\GitHub\eaglep3-reporting\EC\2017-10-22-refined-times.txt</v>
      </c>
      <c r="AI221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0.1126"},{"id":17,"name":"Train ID","value":"70-22"},{"id":16,"name":"Locomotive ID","value":"4007"},{"id":130,"name":"Impact","value":""},{"id":150,"name":"Time of Event (Mountain Time)","value":"18:08:54"},{"id":151,"name":"Denver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58"/>
        <v>start /low /b %USERPROFILE%\Documents\GitHub\eaglep3\Utilities\DownloadLogsFromS3.py --loco 4007 --day 2017-10-22</v>
      </c>
      <c r="AN221" s="151" t="str">
        <f t="shared" si="5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00:08:54"},{"id":29,"name":"Sharepoint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60"/>
        <v>https://d0f6bd738d7f1b3e5a7ca70fe4ff75f0.us-east-1.aws.found.io/app/kibana#/discover/Steve-Slow-Train-Analysis-(2080s-and-2083s)?_g=(refreshInterval:(display:Off,pause:!f,section:0,value:0),time:(from:'2017-10-22T16:45:43-0600',mode:absolute,to:'2017-10-22T19:08:54-0600'))&amp;_a=(columns:!('Message%20ID',Summary),filters:!(),index:'emp_*',interval:auto,query:(query_string:(analyze_wildcard:!t,query:'%22rtdc.l.rtdc.4007%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822</v>
      </c>
      <c r="B222" s="7">
        <v>4006</v>
      </c>
      <c r="C222" s="21" t="s">
        <v>194</v>
      </c>
      <c r="D222" s="21" t="s">
        <v>1026</v>
      </c>
      <c r="E222" s="13">
        <v>43030.683969907404</v>
      </c>
      <c r="F222" s="13">
        <v>43030.692233796297</v>
      </c>
      <c r="G222" s="7">
        <v>66</v>
      </c>
      <c r="H222" s="21" t="s">
        <v>409</v>
      </c>
      <c r="I222" s="13">
        <v>43030.705381944441</v>
      </c>
      <c r="J222" s="7">
        <v>0</v>
      </c>
      <c r="K222" s="89" t="str">
        <f>IF(ISEVEN(B222),(B222-1)&amp;"/"&amp;B222,B222&amp;"/"&amp;(B222+1))</f>
        <v>4005/4006</v>
      </c>
      <c r="L222" s="185" t="str">
        <f>VLOOKUP(A222,'Trips&amp;Operators'!$C$1:$G$99911,5,FALSE)</f>
        <v>MCREYNOLDS KYLE</v>
      </c>
      <c r="M222" s="6">
        <f>I222-F222</f>
        <v>1.3148148143955041E-2</v>
      </c>
      <c r="N222" s="7">
        <f>24*60*SUM($M222:$M222)</f>
        <v>18.933333327295259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-22T15:24:55-0600',mode:absolute,to:'2017-10-22T17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5</v>
      </c>
      <c r="Y222" s="204">
        <f>RIGHT(D222,LEN(D222)-4)/10000</f>
        <v>0.14729999999999999</v>
      </c>
      <c r="Z222" s="204">
        <f>RIGHT(H222,LEN(H222)-4)/10000</f>
        <v>2.3346</v>
      </c>
      <c r="AA222" s="204">
        <f>ABS(Z222-Y222)</f>
        <v>2.1873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75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s3://rtdc.mdm.uploadarchive.raw/RTDC4006/ "%USERPROFILE%\AppData\Local\Temp\OnboardLogs"\RTDC4006\2017-10-22 --exclude "*" --recursive --include "*20171022*" &amp; "%USERPROFILE%\Documents\GitHub\mrs-test-scripts\Headless Mode &amp; Sideloading\WalkAndUnGZ.bat" "%USERPROFILE%\AppData\Local\Temp\OnboardLogs"\RTDC4006\2017-10-22 &amp; aws s3 cp s3://rtdc.mdm.uploadarchive.raw/RTDC4006/ "%USERPROFILE%\AppData\Local\Temp\OnboardLogs"\RTDC4006\2017-10-23 --exclude "*" --recursive --include "*20171023*" &amp; "%USERPROFILE%\Documents\GitHub\mrs-test-scripts\Headless Mode &amp; Sideloading\WalkAndUnGZ.bat" "%USERPROFILE%\AppData\Local\Temp\OnboardLogs"\RTDC4006\2017-10-23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/stypes="app*4006*20171022*" /stext=" 22:.+((SYSTEM_STATE.+slice.+state.+changed )|(ment ac)|(multiple cpu faults)|(system.+state.+changed )|(\[timeout)|(PRM\|1\|D)|(kpr)|(kdp)|(train st.+moving)|(\|lc)|(penalty))"</v>
      </c>
      <c r="AG222" s="182" t="str">
        <f>DetSubdiv(A222)</f>
        <v>Shuttle/Test</v>
      </c>
      <c r="AH222" s="78" t="str">
        <f t="shared" si="56"/>
        <v>"%USERPROFILE%\Documents\GitHub\eaglep3\Utilities\RefineRTDCRunTimes.py" --tripid 75-22 --locoid 4006 --swversion DE.1.0.9.0 --startMP 204:1473 --initTime 2017-10-22T16:24:55 --startdatetime 2017-10-22T16:36:49 --delay 66 --endMP 300:23346 --enddatetime 2017-10-22T16:55:45 --enforcementcount 0 &gt;&gt;%USERPROFILE%\Documents\GitHub\eaglep3-reporting\EC\2017-10-22-refined-times.txt</v>
      </c>
      <c r="AI222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2.3346"},{"id":17,"name":"Train ID","value":"75-22"},{"id":16,"name":"Locomotive ID","value":"4006"},{"id":130,"name":"Impact","value":""},{"id":150,"name":"Time of Event (Mountain Time)","value":"16:55:45"},{"id":151,"name":"Denver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58"/>
        <v>start /low /b %USERPROFILE%\Documents\GitHub\eaglep3\Utilities\DownloadLogsFromS3.py --loco 4006 --day 2017-10-22</v>
      </c>
      <c r="AN222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60"/>
        <v>https://d0f6bd738d7f1b3e5a7ca70fe4ff75f0.us-east-1.aws.found.io/app/kibana#/discover/Steve-Slow-Train-Analysis-(2080s-and-2083s)?_g=(refreshInterval:(display:Off,pause:!f,section:0,value:0),time:(from:'2017-10-22T15:24:55-0600',mode:absolute,to:'2017-10-22T17:55:45-0600'))&amp;_a=(columns:!('Message%20ID',Summary),filters:!(),index:'emp_*',interval:auto,query:(query_string:(analyze_wildcard:!t,query:'%22rtdc.l.rtdc.4006%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828</v>
      </c>
      <c r="B223" s="7">
        <v>4040</v>
      </c>
      <c r="C223" s="21" t="s">
        <v>194</v>
      </c>
      <c r="D223" s="21" t="s">
        <v>1027</v>
      </c>
      <c r="E223" s="13">
        <v>43030.719178240739</v>
      </c>
      <c r="F223" s="13">
        <v>43030.726990740739</v>
      </c>
      <c r="G223" s="7">
        <v>66</v>
      </c>
      <c r="H223" s="21" t="s">
        <v>1004</v>
      </c>
      <c r="I223" s="13">
        <v>43030.738599537035</v>
      </c>
      <c r="J223" s="7">
        <v>0</v>
      </c>
      <c r="K223" s="89" t="str">
        <f>IF(ISEVEN(B223),(B223-1)&amp;"/"&amp;B223,B223&amp;"/"&amp;(B223+1))</f>
        <v>4039/4040</v>
      </c>
      <c r="L223" s="185" t="str">
        <f>VLOOKUP(A223,'Trips&amp;Operators'!$C$1:$G$99911,5,FALSE)</f>
        <v>GONZALEZ ARMANDO</v>
      </c>
      <c r="M223" s="6">
        <f>I223-F223</f>
        <v>1.1608796296059154E-2</v>
      </c>
      <c r="N223" s="7">
        <f>24*60*SUM($M223:$M223)</f>
        <v>16.716666666325182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-22T16:15:37-0600',mode:absolute,to:'2017-10-22T18:43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2</v>
      </c>
      <c r="Y223" s="204">
        <f>RIGHT(D223,LEN(D223)-4)/10000</f>
        <v>0.11409999999999999</v>
      </c>
      <c r="Z223" s="204">
        <f>RIGHT(H223,LEN(H223)-4)/10000</f>
        <v>2.331</v>
      </c>
      <c r="AA223" s="204">
        <f>ABS(Z223-Y223)</f>
        <v>2.2168999999999999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77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s3://rtdc.mdm.uploadarchive.raw/RTDC4040/ "%USERPROFILE%\AppData\Local\Temp\OnboardLogs"\RTDC4040\2017-10-22 --exclude "*" --recursive --include "*20171022*" &amp; "%USERPROFILE%\Documents\GitHub\mrs-test-scripts\Headless Mode &amp; Sideloading\WalkAndUnGZ.bat" "%USERPROFILE%\AppData\Local\Temp\OnboardLogs"\RTDC4040\2017-10-22 &amp; 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/stypes="app*4040*20171022*" /stext=" 23:.+((SYSTEM_STATE.+slice.+state.+changed )|(ment ac)|(multiple cpu faults)|(system.+state.+changed )|(\[timeout)|(PRM\|1\|D)|(kpr)|(kdp)|(train st.+moving)|(\|lc)|(penalty))"</v>
      </c>
      <c r="AG223" s="182" t="str">
        <f>DetSubdiv(A223)</f>
        <v>Shuttle/Test</v>
      </c>
      <c r="AH223" s="78" t="str">
        <f t="shared" si="56"/>
        <v>"%USERPROFILE%\Documents\GitHub\eaglep3\Utilities\RefineRTDCRunTimes.py" --tripid 77-22 --locoid 4040 --swversion DE.1.0.9.0 --startMP 204:1141 --initTime 2017-10-22T17:15:37 --startdatetime 2017-10-22T17:26:52 --delay 66 --endMP 300:23310 --enddatetime 2017-10-22T17:43:35 --enforcementcount 0 &gt;&gt;%USERPROFILE%\Documents\GitHub\eaglep3-reporting\EC\2017-10-22-refined-times.txt</v>
      </c>
      <c r="AI223" s="96" t="str">
        <f t="shared" si="57"/>
        <v>echo {"issue":{"subject":"","project_id":79,"tracker_id":40,"status_id":1,"priority_id":2,"assigned_to_id":338,"start_date":"2017-10-22","description":"","custom_fields":[{"id":1,"name":"Subdivision","value":"Shuttle/Test"},{"id":4,"name":"Milepost","value":"2.331"},{"id":17,"name":"Train ID","value":"77-22"},{"id":16,"name":"Locomotive ID","value":"4040"},{"id":130,"name":"Impact","value":""},{"id":150,"name":"Time of Event (Mountain Time)","value":"17:43:35"},{"id":151,"name":"Denver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58"/>
        <v>start /low /b %USERPROFILE%\Documents\GitHub\eaglep3\Utilities\DownloadLogsFromS3.py --loco 4040 --day 2017-10-22</v>
      </c>
      <c r="AN223" s="151" t="str">
        <f t="shared" si="59"/>
        <v>echo {"issue":{"subject":"","project_id":30,"tracker_id":4,"status_id":1,"priority_id":1,"assigned_to_id":10,"start_date":"2017-10-22","description":"","custom_fields":[{"id":30,"name":"Category","value":"Issue"},{"id":3,"name":"Functional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UTC","value":"2017-10-22 23:43:35"},{"id":29,"name":"Sharepoint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60"/>
        <v>https://d0f6bd738d7f1b3e5a7ca70fe4ff75f0.us-east-1.aws.found.io/app/kibana#/discover/Steve-Slow-Train-Analysis-(2080s-and-2083s)?_g=(refreshInterval:(display:Off,pause:!f,section:0,value:0),time:(from:'2017-10-22T16:15:37-0600',mode:absolute,to:'2017-10-22T18:43:35-0600'))&amp;_a=(columns:!('Message%20ID',Summary),filters:!(),index:'emp_*',interval:auto,query:(query_string:(analyze_wildcard:!t,query:'%22rtdc.l.rtdc.4040%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4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4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4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4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4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4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4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</sheetData>
  <autoFilter ref="A12:AG402">
    <sortState ref="A13:AG402">
      <sortCondition ref="AG13:AG223"/>
      <sortCondition ref="AD13:AD223"/>
    </sortState>
  </autoFilter>
  <sortState ref="A13:AN307">
    <sortCondition ref="AG13:AG307"/>
    <sortCondition ref="AD13:AD307"/>
  </sortState>
  <mergeCells count="1">
    <mergeCell ref="A11:P11"/>
  </mergeCells>
  <conditionalFormatting sqref="W11:W12 W408:X1048576 W13:X223">
    <cfRule type="cellIs" dxfId="22" priority="465" operator="equal">
      <formula>"Y"</formula>
    </cfRule>
  </conditionalFormatting>
  <conditionalFormatting sqref="X408:X1048576 X13:X223">
    <cfRule type="cellIs" dxfId="21" priority="448" operator="greaterThan">
      <formula>1</formula>
    </cfRule>
  </conditionalFormatting>
  <conditionalFormatting sqref="X408:X1048576 X12:X223">
    <cfRule type="cellIs" dxfId="20" priority="445" operator="equal">
      <formula>0</formula>
    </cfRule>
  </conditionalFormatting>
  <conditionalFormatting sqref="A177:S223 A13:S174 S175:S176 A175:Q176">
    <cfRule type="expression" dxfId="19" priority="439" stopIfTrue="1">
      <formula>$P13&gt;0</formula>
    </cfRule>
    <cfRule type="expression" dxfId="18" priority="440" stopIfTrue="1">
      <formula>$O13&gt;0</formula>
    </cfRule>
  </conditionalFormatting>
  <conditionalFormatting sqref="R176">
    <cfRule type="expression" dxfId="7" priority="6" stopIfTrue="1">
      <formula>$P176&gt;0</formula>
    </cfRule>
    <cfRule type="expression" dxfId="6" priority="7" stopIfTrue="1">
      <formula>$O176&gt;0</formula>
    </cfRule>
  </conditionalFormatting>
  <conditionalFormatting sqref="R175">
    <cfRule type="expression" dxfId="3" priority="2" stopIfTrue="1">
      <formula>$P175&gt;0</formula>
    </cfRule>
    <cfRule type="expression" dxfId="2" priority="3" stopIfTrue="1">
      <formula>$O175&gt;0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A177:S223 A13:S174 S175:S176 A175:Q176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A177:S223 A13:S174 S175:S176 A175:Q176</xm:sqref>
        </x14:conditionalFormatting>
        <x14:conditionalFormatting xmlns:xm="http://schemas.microsoft.com/office/excel/2006/main">
          <x14:cfRule type="expression" priority="8" stopIfTrue="1" id="{54DBD146-15DA-4321-A79B-755EACBB1BFB}">
            <xm:f>IF($AG176="EC",OR($N176&gt;Variables!$C$2,$N176&lt;Variables!$C$5),OR($N176&gt;Variables!$D$2,$N176&lt;Variables!$D$5))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R176</xm:sqref>
        </x14:conditionalFormatting>
        <x14:conditionalFormatting xmlns:xm="http://schemas.microsoft.com/office/excel/2006/main">
          <x14:cfRule type="expression" priority="5" stopIfTrue="1" id="{538E49C6-2681-45D2-9E7B-36890A1E5BCC}">
            <xm:f>IF($AG176="EC",OR($N176&gt;Variables!#REF!,$N176&lt;Variables!#REF!),OR($N176&gt;Variables!#REF!,$N176&lt;Variables!#REF!))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R176</xm:sqref>
        </x14:conditionalFormatting>
        <x14:conditionalFormatting xmlns:xm="http://schemas.microsoft.com/office/excel/2006/main">
          <x14:cfRule type="expression" priority="4" stopIfTrue="1" id="{9C5BA46E-FDF6-487B-8073-9BE61E0C45B9}">
            <xm:f>IF($AG175="EC",OR($N175&gt;Variables!$C$2,$N175&lt;Variables!$C$5),OR($N175&gt;Variables!$D$2,$N175&lt;Variables!$D$5))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R175</xm:sqref>
        </x14:conditionalFormatting>
        <x14:conditionalFormatting xmlns:xm="http://schemas.microsoft.com/office/excel/2006/main">
          <x14:cfRule type="expression" priority="1" stopIfTrue="1" id="{7962A41C-E9C7-4757-92DC-07B6225FBD9C}">
            <xm:f>IF($AG175="EC",OR($N175&gt;Variables!#REF!,$N175&lt;Variables!#REF!),OR($N175&gt;Variables!#REF!,$N175&lt;Variables!#REF!))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R175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7"/>
  <sheetViews>
    <sheetView topLeftCell="A20" zoomScaleNormal="100" workbookViewId="0">
      <selection activeCell="O41" sqref="O41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COUNTIF($O$7:$O$241,"=Y")</f>
        <v>10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COUNTA($O$7:$O$241)-O2</f>
        <v>25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- 2017-10-22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43030.304803240739</v>
      </c>
      <c r="B7" s="30" t="s">
        <v>643</v>
      </c>
      <c r="C7" s="30" t="s">
        <v>644</v>
      </c>
      <c r="D7" s="30" t="s">
        <v>49</v>
      </c>
      <c r="E7" s="30" t="s">
        <v>185</v>
      </c>
      <c r="F7" s="42">
        <v>470</v>
      </c>
      <c r="G7" s="42">
        <v>521</v>
      </c>
      <c r="H7" s="42">
        <v>79678</v>
      </c>
      <c r="I7" s="42">
        <v>78200</v>
      </c>
      <c r="J7" s="30" t="s">
        <v>186</v>
      </c>
      <c r="K7" s="42">
        <v>78469</v>
      </c>
      <c r="L7" s="131" t="s">
        <v>51</v>
      </c>
      <c r="M7" s="132">
        <f>CONVERT((I7-K7)/10000,"mi","ft")*IF(L7="Increasing Mileposts (1)",-1,1)</f>
        <v>-142.03200000000001</v>
      </c>
      <c r="N7" s="133" t="str">
        <f>VLOOKUP(C7,'Trips&amp;Operators'!$C$1:$G$99911,5,FALSE)</f>
        <v>DAVIS WENDY</v>
      </c>
      <c r="O7" s="176" t="s">
        <v>178</v>
      </c>
      <c r="P7" s="134" t="s">
        <v>356</v>
      </c>
      <c r="Q7" s="30"/>
      <c r="R7" s="81" t="str">
        <f>VLOOKUP(C7,'Train Runs'!$A$13:$AE$10061,31,0)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S7" s="84" t="str">
        <f>VLOOKUP(C7,'Train Runs'!$A$13:$AE$10061,22,0)</f>
        <v>https://d0f6bd738d7f1b3e5a7ca70fe4ff75f0.us-east-1.aws.found.io/app/kibana#/discover/Steve-Slow-Train-Analysis-(2080s-and-2083s)?_g=(refreshInterval:(display:Off,pause:!f,section:0,value:0),time:(from:'2017-10-22T05:46:33-0600',mode:absolute,to:'2017-10-22T08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/stypes="*4027*201710221*" /stext=" 13:.+((SYSTEM_STATE.+slice.+state.+changed )|(ment ac)|(multiple cpu faults)|(system.+state.+changed )|(\[timeout)|(PRM\|1\|D)|(kpr)|(kdp)|(train st.+moving)|(\|lc)|(penalty))"</v>
      </c>
      <c r="U7" s="9" t="str">
        <f>MID(B7,13,4)</f>
        <v>4027</v>
      </c>
      <c r="V7" s="31">
        <f>A7-utc_offset/24</f>
        <v>43030.554803240739</v>
      </c>
      <c r="W7" s="45" t="str">
        <f>DetSubdiv(C7)</f>
        <v>EC</v>
      </c>
      <c r="X7" s="22">
        <f>VALUE(LEFT(C7,LEN(C7)-3))</f>
        <v>120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Arrival","project_id":79,"tracker_id":40,"status_id":1,"priority_id":2,"assigned_to_id":338,"start_date":"2017-10-22","description":"","custom_fields":[{"id":1,"name":"Subdivision","value":"EC"},{"id":4,"name":"Milepost","value":"7.8469"},{"id":17,"name":"Train ID","value":"120-22"},{"id":16,"name":"Locomotive ID","value":"4027"},{"id":130,"name":"Impact","value":""},{"id":150,"name":"Time of Event (Mountain Time)","value":"07:18:55"},{"id":151,"name":"Denver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/c/Users/stu/AppData/Local/Temp/OnboardLogs/RTDC4027 --include="*4027*201710221*"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"%USERPROFILE%\AppData\Local\Temp\OnboardLogs"\RTDC4027\*4027*201710221* &gt;&gt; 2017-10-22-SliceDisagreementCheck.txt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4027 --day 2017-10-22</v>
      </c>
    </row>
    <row r="8" spans="1:32" s="1" customFormat="1" x14ac:dyDescent="0.3">
      <c r="A8" s="31">
        <v>43030.69730324074</v>
      </c>
      <c r="B8" s="30" t="s">
        <v>656</v>
      </c>
      <c r="C8" s="30" t="s">
        <v>657</v>
      </c>
      <c r="D8" s="30" t="s">
        <v>49</v>
      </c>
      <c r="E8" s="30" t="s">
        <v>185</v>
      </c>
      <c r="F8" s="42">
        <v>340</v>
      </c>
      <c r="G8" s="42">
        <v>419</v>
      </c>
      <c r="H8" s="42">
        <v>110467</v>
      </c>
      <c r="I8" s="42">
        <v>109084</v>
      </c>
      <c r="J8" s="30" t="s">
        <v>186</v>
      </c>
      <c r="K8" s="42">
        <v>109135</v>
      </c>
      <c r="L8" s="131" t="s">
        <v>51</v>
      </c>
      <c r="M8" s="132">
        <f>CONVERT((I8-K8)/10000,"mi","ft")*IF(L8="Increasing Mileposts (1)",-1,1)</f>
        <v>-26.928000000000001</v>
      </c>
      <c r="N8" s="133" t="str">
        <f>VLOOKUP(C8,'Trips&amp;Operators'!$C$1:$G$99911,5,FALSE)</f>
        <v>BADERTSCHER DIANE</v>
      </c>
      <c r="O8" s="176" t="s">
        <v>178</v>
      </c>
      <c r="P8" s="134" t="s">
        <v>356</v>
      </c>
      <c r="Q8" s="30"/>
      <c r="R8" s="81" t="str">
        <f>VLOOKUP(C8,'Train Runs'!$A$13:$AE$10061,31,0)</f>
        <v>aws s3 cp s3://rtdc.mdm.uploadarchive.raw/RTDC4035/ "%USERPROFILE%\AppData\Local\Temp\OnboardLogs"\RTDC4035\2017-10-22 --exclude "*" --recursive --include "*20171022*" &amp; "%USERPROFILE%\Documents\GitHub\mrs-test-scripts\Headless Mode &amp; Sideloading\WalkAndUnGZ.bat" "%USERPROFILE%\AppData\Local\Temp\OnboardLogs"\RTDC4035\2017-10-22 &amp; aws s3 cp s3://rtdc.mdm.uploadarchive.raw/RTDC4035/ "%USERPROFILE%\AppData\Local\Temp\OnboardLogs"\RTDC4035\2017-10-23 --exclude "*" --recursive --include "*20171023*" &amp; "%USERPROFILE%\Documents\GitHub\mrs-test-scripts\Headless Mode &amp; Sideloading\WalkAndUnGZ.bat" "%USERPROFILE%\AppData\Local\Temp\OnboardLogs"\RTDC4035\2017-10-23</v>
      </c>
      <c r="S8" s="84" t="str">
        <f>VLOOKUP(C8,'Train Runs'!$A$13:$AE$10061,22,0)</f>
        <v>https://d0f6bd738d7f1b3e5a7ca70fe4ff75f0.us-east-1.aws.found.io/app/kibana#/discover/Steve-Slow-Train-Analysis-(2080s-and-2083s)?_g=(refreshInterval:(display:Off,pause:!f,section:0,value:0),time:(from:'2017-10-22T15:19:39-0600',mode:absolute,to:'2017-10-22T18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/stypes="*4035*201710222*" /stext=" 22:.+((SYSTEM_STATE.+slice.+state.+changed )|(ment ac)|(multiple cpu faults)|(system.+state.+changed )|(\[timeout)|(PRM\|1\|D)|(kpr)|(kdp)|(train st.+moving)|(\|lc)|(penalty))"</v>
      </c>
      <c r="U8" s="9" t="str">
        <f>MID(B8,13,4)</f>
        <v>4035</v>
      </c>
      <c r="V8" s="31">
        <f>A8-utc_offset/24</f>
        <v>43030.94730324074</v>
      </c>
      <c r="W8" s="45" t="str">
        <f>DetSubdiv(C8)</f>
        <v>EC</v>
      </c>
      <c r="X8" s="22">
        <f>VALUE(LEFT(C8,LEN(C8)-3))</f>
        <v>196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Arrival","project_id":79,"tracker_id":40,"status_id":1,"priority_id":2,"assigned_to_id":338,"start_date":"2017-10-22","description":"","custom_fields":[{"id":1,"name":"Subdivision","value":"EC"},{"id":4,"name":"Milepost","value":"10.9135"},{"id":17,"name":"Train ID","value":"196-22"},{"id":16,"name":"Locomotive ID","value":"4035"},{"id":130,"name":"Impact","value":""},{"id":150,"name":"Time of Event (Mountain Time)","value":"16:44:07"},{"id":151,"name":"Denver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/c/Users/stu/AppData/Local/Temp/OnboardLogs/RTDC4035 --include="*4035*201710222*"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"%USERPROFILE%\AppData\Local\Temp\OnboardLogs"\RTDC4035\*4035*201710222* &gt;&gt; 2017-10-22-SliceDisagreementCheck.txt</v>
      </c>
      <c r="AE8" s="145" t="str">
        <f t="shared" ref="AE8:AE41" si="1">"start /low /b "&amp;dls3logs&amp;" --loco "&amp;U8&amp;" --day "&amp;TEXT(V8,"YYYY-MM-DD")</f>
        <v>start /low /b %USERPROFILE%\Documents\GitHub\eaglep3\Utilities\DownloadLogsFromS3.py --loco 4035 --day 2017-10-22</v>
      </c>
    </row>
    <row r="9" spans="1:32" s="1" customFormat="1" x14ac:dyDescent="0.3">
      <c r="A9" s="31">
        <v>43030.467569444445</v>
      </c>
      <c r="B9" s="30" t="s">
        <v>412</v>
      </c>
      <c r="C9" s="30" t="s">
        <v>652</v>
      </c>
      <c r="D9" s="30" t="s">
        <v>49</v>
      </c>
      <c r="E9" s="30" t="s">
        <v>185</v>
      </c>
      <c r="F9" s="42">
        <v>400</v>
      </c>
      <c r="G9" s="42">
        <v>455</v>
      </c>
      <c r="H9" s="42">
        <v>110347</v>
      </c>
      <c r="I9" s="42">
        <v>109035</v>
      </c>
      <c r="J9" s="30" t="s">
        <v>186</v>
      </c>
      <c r="K9" s="42">
        <v>109135</v>
      </c>
      <c r="L9" s="131" t="s">
        <v>51</v>
      </c>
      <c r="M9" s="132">
        <f>CONVERT((I9-K9)/10000,"mi","ft")*IF(L9="Increasing Mileposts (1)",-1,1)</f>
        <v>-52.8</v>
      </c>
      <c r="N9" s="133" t="str">
        <f>VLOOKUP(C9,'Trips&amp;Operators'!$C$1:$G$99911,5,FALSE)</f>
        <v>GEBRETEKLE DAGNEW</v>
      </c>
      <c r="O9" s="176" t="s">
        <v>178</v>
      </c>
      <c r="P9" s="134" t="s">
        <v>356</v>
      </c>
      <c r="Q9" s="30"/>
      <c r="R9" s="81" t="str">
        <f>VLOOKUP(C9,'Train Runs'!$A$13:$AE$10061,31,0)</f>
        <v>aws s3 cp s3://rtdc.mdm.uploadarchive.raw/RTDC4001/ "%USERPROFILE%\AppData\Local\Temp\OnboardLogs"\RTDC4001\2017-10-22 --exclude "*" --recursive --include "*20171022*" &amp; "%USERPROFILE%\Documents\GitHub\mrs-test-scripts\Headless Mode &amp; Sideloading\WalkAndUnGZ.bat" "%USERPROFILE%\AppData\Local\Temp\OnboardLogs"\RTDC4001\2017-10-22 &amp; aws s3 cp s3://rtdc.mdm.uploadarchive.raw/RTDC4001/ "%USERPROFILE%\AppData\Local\Temp\OnboardLogs"\RTDC4001\2017-10-23 --exclude "*" --recursive --include "*20171023*" &amp; "%USERPROFILE%\Documents\GitHub\mrs-test-scripts\Headless Mode &amp; Sideloading\WalkAndUnGZ.bat" "%USERPROFILE%\AppData\Local\Temp\OnboardLogs"\RTDC4001\2017-10-23</v>
      </c>
      <c r="S9" s="84" t="str">
        <f>VLOOKUP(C9,'Train Runs'!$A$13:$AE$10061,22,0)</f>
        <v>https://d0f6bd738d7f1b3e5a7ca70fe4ff75f0.us-east-1.aws.found.io/app/kibana#/discover/Steve-Slow-Train-Analysis-(2080s-and-2083s)?_g=(refreshInterval:(display:Off,pause:!f,section:0,value:0),time:(from:'2017-10-22T09:37:49-0600',mode:absolute,to:'2017-10-22T12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/stypes="*4001*201710221*" /stext=" 17:.+((SYSTEM_STATE.+slice.+state.+changed )|(ment ac)|(multiple cpu faults)|(system.+state.+changed )|(\[timeout)|(PRM\|1\|D)|(kpr)|(kdp)|(train st.+moving)|(\|lc)|(penalty))"</v>
      </c>
      <c r="U9" s="9" t="str">
        <f>MID(B9,13,4)</f>
        <v>4001</v>
      </c>
      <c r="V9" s="31">
        <f>A9-utc_offset/24</f>
        <v>43030.717569444445</v>
      </c>
      <c r="W9" s="45" t="str">
        <f>DetSubdiv(C9)</f>
        <v>EC</v>
      </c>
      <c r="X9" s="22">
        <f>VALUE(LEFT(C9,LEN(C9)-3))</f>
        <v>152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Arrival","project_id":79,"tracker_id":40,"status_id":1,"priority_id":2,"assigned_to_id":338,"start_date":"2017-10-22","description":"","custom_fields":[{"id":1,"name":"Subdivision","value":"EC"},{"id":4,"name":"Milepost","value":"10.9135"},{"id":17,"name":"Train ID","value":"152-22"},{"id":16,"name":"Locomotive ID","value":"4001"},{"id":130,"name":"Impact","value":""},{"id":150,"name":"Time of Event (Mountain Time)","value":"11:13:18"},{"id":151,"name":"Denver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/c/Users/stu/AppData/Local/Temp/OnboardLogs/RTDC4001 --include="*4001*201710221*"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"%USERPROFILE%\AppData\Local\Temp\OnboardLogs"\RTDC4001\*4001*201710221* &gt;&gt; 2017-10-22-SliceDisagreementCheck.txt</v>
      </c>
      <c r="AE9" s="145" t="str">
        <f t="shared" si="1"/>
        <v>start /low /b %USERPROFILE%\Documents\GitHub\eaglep3\Utilities\DownloadLogsFromS3.py --loco 4001 --day 2017-10-22</v>
      </c>
    </row>
    <row r="10" spans="1:32" s="1" customFormat="1" x14ac:dyDescent="0.3">
      <c r="A10" s="31">
        <v>43030.254074074073</v>
      </c>
      <c r="B10" s="30" t="s">
        <v>640</v>
      </c>
      <c r="C10" s="30" t="s">
        <v>641</v>
      </c>
      <c r="D10" s="30" t="s">
        <v>49</v>
      </c>
      <c r="E10" s="30" t="s">
        <v>192</v>
      </c>
      <c r="F10" s="42">
        <v>300</v>
      </c>
      <c r="G10" s="42">
        <v>359</v>
      </c>
      <c r="H10" s="42">
        <v>20336</v>
      </c>
      <c r="I10" s="42">
        <v>21475</v>
      </c>
      <c r="J10" s="30" t="s">
        <v>193</v>
      </c>
      <c r="K10" s="42">
        <v>20338</v>
      </c>
      <c r="L10" s="131" t="s">
        <v>50</v>
      </c>
      <c r="M10" s="132">
        <f>CONVERT((I10-K10)/10000,"mi","ft")*IF(L10="Increasing Mileposts (1)",-1,1)</f>
        <v>-600.33600000000001</v>
      </c>
      <c r="N10" s="133" t="str">
        <f>VLOOKUP(C10,'Trips&amp;Operators'!$C$1:$G$99911,5,FALSE)</f>
        <v>DAVIS WENDY</v>
      </c>
      <c r="O10" s="176" t="s">
        <v>178</v>
      </c>
      <c r="P10" s="134"/>
      <c r="Q10" s="30"/>
      <c r="R10" s="81" t="str">
        <f>VLOOKUP(C10,'Train Runs'!$A$13:$AE$10061,31,0)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S10" s="84" t="str">
        <f>VLOOKUP(C10,'Train Runs'!$A$13:$AE$10061,22,0)</f>
        <v>https://d0f6bd738d7f1b3e5a7ca70fe4ff75f0.us-east-1.aws.found.io/app/kibana#/discover/Steve-Slow-Train-Analysis-(2080s-and-2083s)?_g=(refreshInterval:(display:Off,pause:!f,section:0,value:0),time:(from:'2017-10-22T04:54:31-0600',mode:absolute,to:'2017-10-22T07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/stypes="*4028*201710221*" /stext=" 12:.+((SYSTEM_STATE.+slice.+state.+changed )|(ment ac)|(multiple cpu faults)|(system.+state.+changed )|(\[timeout)|(PRM\|1\|D)|(kpr)|(kdp)|(train st.+moving)|(\|lc)|(penalty))"</v>
      </c>
      <c r="U10" s="9" t="str">
        <f>MID(B10,13,4)</f>
        <v>4028</v>
      </c>
      <c r="V10" s="31">
        <f>A10-utc_offset/24</f>
        <v>43030.504074074073</v>
      </c>
      <c r="W10" s="45" t="str">
        <f>DetSubdiv(C10)</f>
        <v>EC</v>
      </c>
      <c r="X10" s="22">
        <f>VALUE(LEFT(C10,LEN(C10)-3))</f>
        <v>119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{"issue":{"subject":"","project_id":79,"tracker_id":40,"status_id":1,"priority_id":2,"assigned_to_id":338,"start_date":"2017-10-22","description":"","custom_fields":[{"id":1,"name":"Subdivision","value":"EC"},{"id":4,"name":"Milepost","value":"2.0338"},{"id":17,"name":"Train ID","value":"119-22"},{"id":16,"name":"Locomotive ID","value":"4028"},{"id":130,"name":"Impact","value":""},{"id":150,"name":"Time of Event (Mountain Time)","value":"06:05:52"},{"id":151,"name":"Denver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/c/Users/stu/AppData/Local/Temp/OnboardLogs/RTDC4028 --include="*4028*201710221*"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"%USERPROFILE%\AppData\Local\Temp\OnboardLogs"\RTDC4028\*4028*201710221* &gt;&gt; 2017-10-22-SliceDisagreementCheck.txt</v>
      </c>
      <c r="AE10" s="145" t="str">
        <f t="shared" si="1"/>
        <v>start /low /b %USERPROFILE%\Documents\GitHub\eaglep3\Utilities\DownloadLogsFromS3.py --loco 4028 --day 2017-10-22</v>
      </c>
    </row>
    <row r="11" spans="1:32" s="1" customFormat="1" x14ac:dyDescent="0.3">
      <c r="A11" s="31">
        <v>43030.980300925927</v>
      </c>
      <c r="B11" s="30" t="s">
        <v>645</v>
      </c>
      <c r="C11" s="30" t="s">
        <v>672</v>
      </c>
      <c r="D11" s="30" t="s">
        <v>49</v>
      </c>
      <c r="E11" s="30" t="s">
        <v>192</v>
      </c>
      <c r="F11" s="42">
        <v>600</v>
      </c>
      <c r="G11" s="42">
        <v>659</v>
      </c>
      <c r="H11" s="42">
        <v>182213</v>
      </c>
      <c r="I11" s="42">
        <v>184901</v>
      </c>
      <c r="J11" s="30" t="s">
        <v>193</v>
      </c>
      <c r="K11" s="42">
        <v>183829</v>
      </c>
      <c r="L11" s="131" t="s">
        <v>50</v>
      </c>
      <c r="M11" s="132">
        <f>CONVERT((I11-K11)/10000,"mi","ft")*IF(L11="Increasing Mileposts (1)",-1,1)</f>
        <v>-566.01599999999996</v>
      </c>
      <c r="N11" s="133" t="str">
        <f>VLOOKUP(C11,'Trips&amp;Operators'!$C$1:$G$99911,5,FALSE)</f>
        <v>STAMBAUGH JAMES</v>
      </c>
      <c r="O11" s="176" t="s">
        <v>178</v>
      </c>
      <c r="P11" s="134"/>
      <c r="Q11" s="30"/>
      <c r="R11" s="81" t="str">
        <f>VLOOKUP(C11,'Train Runs'!$A$13:$AE$10061,31,0)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S11" s="84" t="str">
        <f>VLOOKUP(C11,'Train Runs'!$A$13:$AE$10061,22,0)</f>
        <v>https://d0f6bd738d7f1b3e5a7ca70fe4ff75f0.us-east-1.aws.found.io/app/kibana#/discover/Steve-Slow-Train-Analysis-(2080s-and-2083s)?_g=(refreshInterval:(display:Off,pause:!f,section:0,value:0),time:(from:'2017-10-22T21:35:55-0600',mode:absolute,to:'2017-10-23T00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/stypes="*4036*201710230*" /stext=" 05:.+((SYSTEM_STATE.+slice.+state.+changed )|(ment ac)|(multiple cpu faults)|(system.+state.+changed )|(\[timeout)|(PRM\|1\|D)|(kpr)|(kdp)|(train st.+moving)|(\|lc)|(penalty))"</v>
      </c>
      <c r="U11" s="9" t="str">
        <f>MID(B11,13,4)</f>
        <v>4036</v>
      </c>
      <c r="V11" s="31">
        <f>A11-utc_offset/24</f>
        <v>43031.230300925927</v>
      </c>
      <c r="W11" s="45" t="str">
        <f>DetSubdiv(C11)</f>
        <v>EC</v>
      </c>
      <c r="X11" s="22">
        <f>VALUE(LEFT(C11,LEN(C11)-3))</f>
        <v>237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{"issue":{"subject":"","project_id":79,"tracker_id":40,"status_id":1,"priority_id":2,"assigned_to_id":338,"start_date":"2017-10-22","description":"","custom_fields":[{"id":1,"name":"Subdivision","value":"EC"},{"id":4,"name":"Milepost","value":"18.3829"},{"id":17,"name":"Train ID","value":"237-22"},{"id":16,"name":"Locomotive ID","value":"4036"},{"id":130,"name":"Impact","value":""},{"id":150,"name":"Time of Event (Mountain Time)","value":"23:31:38"},{"id":151,"name":"Denver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/c/Users/stu/AppData/Local/Temp/OnboardLogs/RTDC4036 --include="*4036*201710230*"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"%USERPROFILE%\AppData\Local\Temp\OnboardLogs"\RTDC4036\*4036*201710230* &gt;&gt; 2017-10-22-SliceDisagreementCheck.txt</v>
      </c>
      <c r="AE11" s="145" t="str">
        <f t="shared" si="1"/>
        <v>start /low /b %USERPROFILE%\Documents\GitHub\eaglep3\Utilities\DownloadLogsFromS3.py --loco 4036 --day 2017-10-23</v>
      </c>
    </row>
    <row r="12" spans="1:32" x14ac:dyDescent="0.3">
      <c r="A12" s="31">
        <v>43030.710127314815</v>
      </c>
      <c r="B12" s="30" t="s">
        <v>640</v>
      </c>
      <c r="C12" s="30" t="s">
        <v>661</v>
      </c>
      <c r="D12" s="30" t="s">
        <v>49</v>
      </c>
      <c r="E12" s="30" t="s">
        <v>192</v>
      </c>
      <c r="F12" s="42">
        <v>350</v>
      </c>
      <c r="G12" s="42">
        <v>582</v>
      </c>
      <c r="H12" s="42">
        <v>221967</v>
      </c>
      <c r="I12" s="42">
        <v>224292</v>
      </c>
      <c r="J12" s="30" t="s">
        <v>193</v>
      </c>
      <c r="K12" s="42">
        <v>224581</v>
      </c>
      <c r="L12" s="131" t="s">
        <v>50</v>
      </c>
      <c r="M12" s="132">
        <f>CONVERT((I12-K12)/10000,"mi","ft")*IF(L12="Increasing Mileposts (1)",-1,1)</f>
        <v>152.59200000000001</v>
      </c>
      <c r="N12" s="133" t="str">
        <f>VLOOKUP(C12,'Trips&amp;Operators'!$C$1:$G$99911,5,FALSE)</f>
        <v>KILLION DAVID</v>
      </c>
      <c r="O12" s="176" t="s">
        <v>178</v>
      </c>
      <c r="P12" s="134"/>
      <c r="Q12" s="30"/>
      <c r="R12" s="81" t="str">
        <f>VLOOKUP(C12,'Train Runs'!$A$13:$AE$10061,31,0)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S12" s="84" t="str">
        <f>VLOOKUP(C12,'Train Runs'!$A$13:$AE$10061,22,0)</f>
        <v>https://d0f6bd738d7f1b3e5a7ca70fe4ff75f0.us-east-1.aws.found.io/app/kibana#/discover/Steve-Slow-Train-Analysis-(2080s-and-2083s)?_g=(refreshInterval:(display:Off,pause:!f,section:0,value:0),time:(from:'2017-10-22T15:21:28-0600',mode:absolute,to:'2017-10-22T18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/stypes="*4028*201710222*" /stext=" 23:.+((SYSTEM_STATE.+slice.+state.+changed )|(ment ac)|(multiple cpu faults)|(system.+state.+changed )|(\[timeout)|(PRM\|1\|D)|(kpr)|(kdp)|(train st.+moving)|(\|lc)|(penalty))"</v>
      </c>
      <c r="U12" s="9" t="str">
        <f>MID(B12,13,4)</f>
        <v>4028</v>
      </c>
      <c r="V12" s="31">
        <f>A12-utc_offset/24</f>
        <v>43030.960127314815</v>
      </c>
      <c r="W12" s="45" t="str">
        <f>DetSubdiv(C12)</f>
        <v>EC</v>
      </c>
      <c r="X12" s="22">
        <f>VALUE(LEFT(C12,LEN(C12)-3))</f>
        <v>203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{"issue":{"subject":"","project_id":79,"tracker_id":40,"status_id":1,"priority_id":2,"assigned_to_id":338,"start_date":"2017-10-22","description":"","custom_fields":[{"id":1,"name":"Subdivision","value":"EC"},{"id":4,"name":"Milepost","value":"22.4581"},{"id":17,"name":"Train ID","value":"203-22"},{"id":16,"name":"Locomotive ID","value":"4028"},{"id":130,"name":"Impact","value":""},{"id":150,"name":"Time of Event (Mountain Time)","value":"17:02:35"},{"id":151,"name":"Denver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/c/Users/stu/AppData/Local/Temp/OnboardLogs/RTDC4028 --include="*4028*201710222*"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"%USERPROFILE%\AppData\Local\Temp\OnboardLogs"\RTDC4028\*4028*201710222* &gt;&gt; 2017-10-22-SliceDisagreementCheck.txt</v>
      </c>
      <c r="AE12" s="145" t="str">
        <f t="shared" si="1"/>
        <v>start /low /b %USERPROFILE%\Documents\GitHub\eaglep3\Utilities\DownloadLogsFromS3.py --loco 4028 --day 2017-10-22</v>
      </c>
      <c r="AF12" s="1"/>
    </row>
    <row r="13" spans="1:32" x14ac:dyDescent="0.3">
      <c r="A13" s="31">
        <v>43030.242465277777</v>
      </c>
      <c r="B13" s="30" t="s">
        <v>637</v>
      </c>
      <c r="C13" s="30" t="s">
        <v>639</v>
      </c>
      <c r="D13" s="30" t="s">
        <v>49</v>
      </c>
      <c r="E13" s="30" t="s">
        <v>410</v>
      </c>
      <c r="F13" s="42">
        <v>0</v>
      </c>
      <c r="G13" s="42">
        <v>538</v>
      </c>
      <c r="H13" s="42">
        <v>82342</v>
      </c>
      <c r="I13" s="42">
        <v>80086</v>
      </c>
      <c r="J13" s="30" t="s">
        <v>411</v>
      </c>
      <c r="K13" s="42">
        <v>81751</v>
      </c>
      <c r="L13" s="131" t="s">
        <v>51</v>
      </c>
      <c r="M13" s="132">
        <f>CONVERT((I13-K13)/10000,"mi","ft")*IF(L13="Increasing Mileposts (1)",-1,1)</f>
        <v>-879.12</v>
      </c>
      <c r="N13" s="133" t="str">
        <f>VLOOKUP(C13,'Trips&amp;Operators'!$C$1:$G$99911,5,FALSE)</f>
        <v>LOPES KIMBERLY</v>
      </c>
      <c r="O13" s="176" t="s">
        <v>375</v>
      </c>
      <c r="P13" s="134" t="s">
        <v>422</v>
      </c>
      <c r="Q13" s="30"/>
      <c r="R13" s="81" t="str">
        <f>VLOOKUP(C13,'Train Runs'!$A$13:$AE$10061,31,0)</f>
        <v>aws s3 cp s3://rtdc.mdm.uploadarchive.raw/RTDC4025/ "%USERPROFILE%\AppData\Local\Temp\OnboardLogs"\RTDC4025\2017-10-22 --exclude "*" --recursive --include "*20171022*" &amp; "%USERPROFILE%\Documents\GitHub\mrs-test-scripts\Headless Mode &amp; Sideloading\WalkAndUnGZ.bat" "%USERPROFILE%\AppData\Local\Temp\OnboardLogs"\RTDC4025\2017-10-22 &amp; aws s3 cp s3://rtdc.mdm.uploadarchive.raw/RTDC4025/ "%USERPROFILE%\AppData\Local\Temp\OnboardLogs"\RTDC4025\2017-10-23 --exclude "*" --recursive --include "*20171023*" &amp; "%USERPROFILE%\Documents\GitHub\mrs-test-scripts\Headless Mode &amp; Sideloading\WalkAndUnGZ.bat" "%USERPROFILE%\AppData\Local\Temp\OnboardLogs"\RTDC4025\2017-10-23</v>
      </c>
      <c r="S13" s="84" t="str">
        <f>VLOOKUP(C13,'Train Runs'!$A$13:$AE$10061,22,0)</f>
        <v>https://d0f6bd738d7f1b3e5a7ca70fe4ff75f0.us-east-1.aws.found.io/app/kibana#/discover/Steve-Slow-Train-Analysis-(2080s-and-2083s)?_g=(refreshInterval:(display:Off,pause:!f,section:0,value:0),time:(from:'2017-10-22T04:13:16-0600',mode:absolute,to:'2017-10-22T07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/stypes="*4025*201710221*" /stext=" 11:.+((SYSTEM_STATE.+slice.+state.+changed )|(ment ac)|(multiple cpu faults)|(system.+state.+changed )|(\[timeout)|(PRM\|1\|D)|(kpr)|(kdp)|(train st.+moving)|(\|lc)|(penalty))"</v>
      </c>
      <c r="U13" s="9" t="str">
        <f>MID(B13,13,4)</f>
        <v>4025</v>
      </c>
      <c r="V13" s="31">
        <f>A13-utc_offset/24</f>
        <v>43030.492465277777</v>
      </c>
      <c r="W13" s="45" t="str">
        <f>DetSubdiv(C13)</f>
        <v>EC</v>
      </c>
      <c r="X13" s="22">
        <f>VALUE(LEFT(C13,LEN(C13)-3))</f>
        <v>108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drop","project_id":79,"tracker_id":40,"status_id":1,"priority_id":2,"assigned_to_id":338,"start_date":"2017-10-22","description":"","custom_fields":[{"id":1,"name":"Subdivision","value":"EC"},{"id":4,"name":"Milepost","value":"8.1751"},{"id":17,"name":"Train ID","value":"108-22"},{"id":16,"name":"Locomotive ID","value":"4025"},{"id":130,"name":"Impact","value":""},{"id":150,"name":"Time of Event (Mountain Time)","value":"05:49:09"},{"id":151,"name":"Denver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/c/Users/stu/AppData/Local/Temp/OnboardLogs/RTDC4025 --include="*4025*201710221*"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"%USERPROFILE%\AppData\Local\Temp\OnboardLogs"\RTDC4025\*4025*201710221* &gt;&gt; 2017-10-22-SliceDisagreementCheck.txt</v>
      </c>
      <c r="AE13" s="145" t="str">
        <f t="shared" si="1"/>
        <v>start /low /b %USERPROFILE%\Documents\GitHub\eaglep3\Utilities\DownloadLogsFromS3.py --loco 4025 --day 2017-10-22</v>
      </c>
      <c r="AF13" s="1"/>
    </row>
    <row r="14" spans="1:32" x14ac:dyDescent="0.3">
      <c r="A14" s="31">
        <v>43030.365868055553</v>
      </c>
      <c r="B14" s="30" t="s">
        <v>645</v>
      </c>
      <c r="C14" s="30" t="s">
        <v>646</v>
      </c>
      <c r="D14" s="30" t="s">
        <v>49</v>
      </c>
      <c r="E14" s="30" t="s">
        <v>410</v>
      </c>
      <c r="F14" s="42">
        <v>0</v>
      </c>
      <c r="G14" s="42">
        <v>239</v>
      </c>
      <c r="H14" s="42">
        <v>86935</v>
      </c>
      <c r="I14" s="42">
        <v>88230</v>
      </c>
      <c r="J14" s="30" t="s">
        <v>411</v>
      </c>
      <c r="K14" s="42">
        <v>87889</v>
      </c>
      <c r="L14" s="131" t="s">
        <v>50</v>
      </c>
      <c r="M14" s="132">
        <f>CONVERT((I14-K14)/10000,"mi","ft")*IF(L14="Increasing Mileposts (1)",-1,1)</f>
        <v>-180.048</v>
      </c>
      <c r="N14" s="133" t="str">
        <f>VLOOKUP(C14,'Trips&amp;Operators'!$C$1:$G$99911,5,FALSE)</f>
        <v>DELGADO DIANAH</v>
      </c>
      <c r="O14" s="176" t="s">
        <v>375</v>
      </c>
      <c r="P14" s="134" t="s">
        <v>422</v>
      </c>
      <c r="Q14" s="30"/>
      <c r="R14" s="81" t="str">
        <f>VLOOKUP(C14,'Train Runs'!$A$13:$AE$10061,31,0)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S14" s="84" t="str">
        <f>VLOOKUP(C14,'Train Runs'!$A$13:$AE$10061,22,0)</f>
        <v>https://d0f6bd738d7f1b3e5a7ca70fe4ff75f0.us-east-1.aws.found.io/app/kibana#/discover/Steve-Slow-Train-Analysis-(2080s-and-2083s)?_g=(refreshInterval:(display:Off,pause:!f,section:0,value:0),time:(from:'2017-10-22T07:47:14-0600',mode:absolute,to:'2017-10-22T10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/stypes="*4036*201710221*" /stext=" 14:.+((SYSTEM_STATE.+slice.+state.+changed )|(ment ac)|(multiple cpu faults)|(system.+state.+changed )|(\[timeout)|(PRM\|1\|D)|(kpr)|(kdp)|(train st.+moving)|(\|lc)|(penalty))"</v>
      </c>
      <c r="U14" s="9" t="str">
        <f>MID(B14,13,4)</f>
        <v>4036</v>
      </c>
      <c r="V14" s="31">
        <f>A14-utc_offset/24</f>
        <v>43030.615868055553</v>
      </c>
      <c r="W14" s="45" t="str">
        <f>DetSubdiv(C14)</f>
        <v>EC</v>
      </c>
      <c r="X14" s="22">
        <f>VALUE(LEFT(C14,LEN(C14)-3))</f>
        <v>139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drop","project_id":79,"tracker_id":40,"status_id":1,"priority_id":2,"assigned_to_id":338,"start_date":"2017-10-22","description":"","custom_fields":[{"id":1,"name":"Subdivision","value":"EC"},{"id":4,"name":"Milepost","value":"8.7889"},{"id":17,"name":"Train ID","value":"139-22"},{"id":16,"name":"Locomotive ID","value":"4036"},{"id":130,"name":"Impact","value":""},{"id":150,"name":"Time of Event (Mountain Time)","value":"08:46:51"},{"id":151,"name":"Denver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/c/Users/stu/AppData/Local/Temp/OnboardLogs/RTDC4036 --include="*4036*201710221*"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"%USERPROFILE%\AppData\Local\Temp\OnboardLogs"\RTDC4036\*4036*201710221* &gt;&gt; 2017-10-22-SliceDisagreementCheck.txt</v>
      </c>
      <c r="AE14" s="145" t="str">
        <f t="shared" si="1"/>
        <v>start /low /b %USERPROFILE%\Documents\GitHub\eaglep3\Utilities\DownloadLogsFromS3.py --loco 4036 --day 2017-10-22</v>
      </c>
      <c r="AF14" s="1"/>
    </row>
    <row r="15" spans="1:32" x14ac:dyDescent="0.3">
      <c r="A15" s="31">
        <v>43030.709548611114</v>
      </c>
      <c r="B15" s="30" t="s">
        <v>659</v>
      </c>
      <c r="C15" s="30" t="s">
        <v>660</v>
      </c>
      <c r="D15" s="30" t="s">
        <v>95</v>
      </c>
      <c r="E15" s="30" t="s">
        <v>410</v>
      </c>
      <c r="F15" s="42">
        <v>0</v>
      </c>
      <c r="G15" s="42">
        <v>2</v>
      </c>
      <c r="H15" s="42">
        <v>104517</v>
      </c>
      <c r="I15" s="42">
        <v>104508</v>
      </c>
      <c r="J15" s="30" t="s">
        <v>411</v>
      </c>
      <c r="K15" s="42">
        <v>104776</v>
      </c>
      <c r="L15" s="131" t="s">
        <v>51</v>
      </c>
      <c r="M15" s="132">
        <f>CONVERT((I15-K15)/10000,"mi","ft")*IF(L15="Increasing Mileposts (1)",-1,1)</f>
        <v>-141.50399999999999</v>
      </c>
      <c r="N15" s="133" t="str">
        <f>VLOOKUP(C15,'Trips&amp;Operators'!$C$1:$G$99911,5,FALSE)</f>
        <v>BERLING GARY</v>
      </c>
      <c r="O15" s="176" t="s">
        <v>375</v>
      </c>
      <c r="P15" s="134" t="s">
        <v>422</v>
      </c>
      <c r="Q15" s="30"/>
      <c r="R15" s="81" t="str">
        <f>VLOOKUP(C15,'Train Runs'!$A$13:$AE$10061,31,0)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S15" s="84" t="str">
        <f>VLOOKUP(C15,'Train Runs'!$A$13:$AE$10061,22,0)</f>
        <v>https://d0f6bd738d7f1b3e5a7ca70fe4ff75f0.us-east-1.aws.found.io/app/kibana#/discover/Steve-Slow-Train-Analysis-(2080s-and-2083s)?_g=(refreshInterval:(display:Off,pause:!f,section:0,value:0),time:(from:'2017-10-22T16:08:33-0600',mode:absolute,to:'2017-10-22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/stypes="*4019*201710222*" /stext=" 23:.+((SYSTEM_STATE.+slice.+state.+changed )|(ment ac)|(multiple cpu faults)|(system.+state.+changed )|(\[timeout)|(PRM\|1\|D)|(kpr)|(kdp)|(train st.+moving)|(\|lc)|(penalty))"</v>
      </c>
      <c r="U15" s="9" t="str">
        <f>MID(B15,13,4)</f>
        <v>4019</v>
      </c>
      <c r="V15" s="31">
        <f>A15-utc_offset/24</f>
        <v>43030.959548611114</v>
      </c>
      <c r="W15" s="45" t="str">
        <f>DetSubdiv(C15)</f>
        <v>EC</v>
      </c>
      <c r="X15" s="22">
        <f>VALUE(LEFT(C15,LEN(C15)-3))</f>
        <v>198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drop","project_id":79,"tracker_id":40,"status_id":1,"priority_id":2,"assigned_to_id":338,"start_date":"2017-10-22","description":"","custom_fields":[{"id":1,"name":"Subdivision","value":"EC"},{"id":4,"name":"Milepost","value":"10.4776"},{"id":17,"name":"Train ID","value":"198-22"},{"id":16,"name":"Locomotive ID","value":"4019"},{"id":130,"name":"Impact","value":""},{"id":150,"name":"Time of Event (Mountain Time)","value":"17:01:45"},{"id":151,"name":"Denver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/c/Users/stu/AppData/Local/Temp/OnboardLogs/RTDC4019 --include="*4019*201710222*"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"%USERPROFILE%\AppData\Local\Temp\OnboardLogs"\RTDC4019\*4019*201710222* &gt;&gt; 2017-10-22-SliceDisagreementCheck.txt</v>
      </c>
      <c r="AE15" s="145" t="str">
        <f t="shared" si="1"/>
        <v>start /low /b %USERPROFILE%\Documents\GitHub\eaglep3\Utilities\DownloadLogsFromS3.py --loco 4019 --day 2017-10-22</v>
      </c>
      <c r="AF15" s="1"/>
    </row>
    <row r="16" spans="1:32" x14ac:dyDescent="0.3">
      <c r="A16" s="31">
        <v>43030.55704861111</v>
      </c>
      <c r="B16" s="30" t="s">
        <v>640</v>
      </c>
      <c r="C16" s="30" t="s">
        <v>653</v>
      </c>
      <c r="D16" s="30" t="s">
        <v>49</v>
      </c>
      <c r="E16" s="30" t="s">
        <v>410</v>
      </c>
      <c r="F16" s="42">
        <v>0</v>
      </c>
      <c r="G16" s="42">
        <v>75</v>
      </c>
      <c r="H16" s="42">
        <v>125599</v>
      </c>
      <c r="I16" s="42">
        <v>125815</v>
      </c>
      <c r="J16" s="30" t="s">
        <v>411</v>
      </c>
      <c r="K16" s="42">
        <v>126585</v>
      </c>
      <c r="L16" s="131" t="s">
        <v>50</v>
      </c>
      <c r="M16" s="132">
        <f>CONVERT((I16-K16)/10000,"mi","ft")*IF(L16="Increasing Mileposts (1)",-1,1)</f>
        <v>406.56</v>
      </c>
      <c r="N16" s="133" t="str">
        <f>VLOOKUP(C16,'Trips&amp;Operators'!$C$1:$G$99911,5,FALSE)</f>
        <v>KILLION DAVID</v>
      </c>
      <c r="O16" s="176" t="s">
        <v>375</v>
      </c>
      <c r="P16" s="134" t="s">
        <v>422</v>
      </c>
      <c r="Q16" s="30"/>
      <c r="R16" s="81" t="str">
        <f>VLOOKUP(C16,'Train Runs'!$A$13:$AE$10061,31,0)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S16" s="84" t="str">
        <f>VLOOKUP(C16,'Train Runs'!$A$13:$AE$10061,22,0)</f>
        <v>https://d0f6bd738d7f1b3e5a7ca70fe4ff75f0.us-east-1.aws.found.io/app/kibana#/discover/Steve-Slow-Train-Analysis-(2080s-and-2083s)?_g=(refreshInterval:(display:Off,pause:!f,section:0,value:0),time:(from:'2017-10-22T11:52:24-0600',mode:absolute,to:'2017-10-22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/stypes="*4028*201710221*" /stext=" 19:.+((SYSTEM_STATE.+slice.+state.+changed )|(ment ac)|(multiple cpu faults)|(system.+state.+changed )|(\[timeout)|(PRM\|1\|D)|(kpr)|(kdp)|(train st.+moving)|(\|lc)|(penalty))"</v>
      </c>
      <c r="U16" s="9" t="str">
        <f>MID(B16,13,4)</f>
        <v>4028</v>
      </c>
      <c r="V16" s="31">
        <f>A16-utc_offset/24</f>
        <v>43030.80704861111</v>
      </c>
      <c r="W16" s="45" t="str">
        <f>DetSubdiv(C16)</f>
        <v>EC</v>
      </c>
      <c r="X16" s="22">
        <f>VALUE(LEFT(C16,LEN(C16)-3))</f>
        <v>175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drop","project_id":79,"tracker_id":40,"status_id":1,"priority_id":2,"assigned_to_id":338,"start_date":"2017-10-22","description":"","custom_fields":[{"id":1,"name":"Subdivision","value":"EC"},{"id":4,"name":"Milepost","value":"12.6585"},{"id":17,"name":"Train ID","value":"175-22"},{"id":16,"name":"Locomotive ID","value":"4028"},{"id":130,"name":"Impact","value":""},{"id":150,"name":"Time of Event (Mountain Time)","value":"13:22:09"},{"id":151,"name":"Denver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/c/Users/stu/AppData/Local/Temp/OnboardLogs/RTDC4028 --include="*4028*201710221*"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"%USERPROFILE%\AppData\Local\Temp\OnboardLogs"\RTDC4028\*4028*201710221* &gt;&gt; 2017-10-22-SliceDisagreementCheck.txt</v>
      </c>
      <c r="AE16" s="145" t="str">
        <f t="shared" si="1"/>
        <v>start /low /b %USERPROFILE%\Documents\GitHub\eaglep3\Utilities\DownloadLogsFromS3.py --loco 4028 --day 2017-10-22</v>
      </c>
      <c r="AF16" s="1"/>
    </row>
    <row r="17" spans="1:32" x14ac:dyDescent="0.3">
      <c r="A17" s="31">
        <v>43030.729050925926</v>
      </c>
      <c r="B17" s="30" t="s">
        <v>645</v>
      </c>
      <c r="C17" s="30" t="s">
        <v>663</v>
      </c>
      <c r="D17" s="30" t="s">
        <v>49</v>
      </c>
      <c r="E17" s="30" t="s">
        <v>461</v>
      </c>
      <c r="F17" s="42">
        <v>0</v>
      </c>
      <c r="G17" s="42">
        <v>350</v>
      </c>
      <c r="H17" s="42">
        <v>65821</v>
      </c>
      <c r="I17" s="42">
        <v>67135</v>
      </c>
      <c r="J17" s="30" t="s">
        <v>459</v>
      </c>
      <c r="K17" s="42">
        <v>68372</v>
      </c>
      <c r="L17" s="131" t="s">
        <v>50</v>
      </c>
      <c r="M17" s="132">
        <f>CONVERT((I17-K17)/10000,"mi","ft")*IF(L17="Increasing Mileposts (1)",-1,1)</f>
        <v>653.13599999999997</v>
      </c>
      <c r="N17" s="133" t="str">
        <f>VLOOKUP(C17,'Trips&amp;Operators'!$C$1:$G$99911,5,FALSE)</f>
        <v>STAMBAUGH JAMES</v>
      </c>
      <c r="O17" s="176" t="s">
        <v>375</v>
      </c>
      <c r="P17" s="134" t="s">
        <v>422</v>
      </c>
      <c r="Q17" s="30"/>
      <c r="R17" s="81" t="str">
        <f>VLOOKUP(C17,'Train Runs'!$A$13:$AE$10061,31,0)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S17" s="84" t="str">
        <f>VLOOKUP(C17,'Train Runs'!$A$13:$AE$10061,22,0)</f>
        <v>https://d0f6bd738d7f1b3e5a7ca70fe4ff75f0.us-east-1.aws.found.io/app/kibana#/discover/Steve-Slow-Train-Analysis-(2080s-and-2083s)?_g=(refreshInterval:(display:Off,pause:!f,section:0,value:0),time:(from:'2017-10-22T16:11:43-0600',mode:absolute,to:'2017-10-22T18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/stypes="*4036*201710222*" /stext=" 23:.+((SYSTEM_STATE.+slice.+state.+changed )|(ment ac)|(multiple cpu faults)|(system.+state.+changed )|(\[timeout)|(PRM\|1\|D)|(kpr)|(kdp)|(train st.+moving)|(\|lc)|(penalty))"</v>
      </c>
      <c r="U17" s="9" t="str">
        <f>MID(B17,13,4)</f>
        <v>4036</v>
      </c>
      <c r="V17" s="31">
        <f>A17-utc_offset/24</f>
        <v>43030.979050925926</v>
      </c>
      <c r="W17" s="45" t="str">
        <f>DetSubdiv(C17)</f>
        <v>EC</v>
      </c>
      <c r="X17" s="22">
        <f>VALUE(LEFT(C17,LEN(C17)-3))</f>
        <v>209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drop","project_id":79,"tracker_id":40,"status_id":1,"priority_id":2,"assigned_to_id":338,"start_date":"2017-10-22","description":"","custom_fields":[{"id":1,"name":"Subdivision","value":"EC"},{"id":4,"name":"Milepost","value":"6.8372"},{"id":17,"name":"Train ID","value":"209-22"},{"id":16,"name":"Locomotive ID","value":"4036"},{"id":130,"name":"Impact","value":""},{"id":150,"name":"Time of Event (Mountain Time)","value":"17:29:50"},{"id":151,"name":"Denver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/c/Users/stu/AppData/Local/Temp/OnboardLogs/RTDC4036 --include="*4036*201710222*"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"%USERPROFILE%\AppData\Local\Temp\OnboardLogs"\RTDC4036\*4036*201710222* &gt;&gt; 2017-10-22-SliceDisagreementCheck.txt</v>
      </c>
      <c r="AE17" s="145" t="str">
        <f t="shared" si="1"/>
        <v>start /low /b %USERPROFILE%\Documents\GitHub\eaglep3\Utilities\DownloadLogsFromS3.py --loco 4036 --day 2017-10-22</v>
      </c>
      <c r="AF17" s="1"/>
    </row>
    <row r="18" spans="1:32" x14ac:dyDescent="0.3">
      <c r="A18" s="31">
        <v>43030.707789351851</v>
      </c>
      <c r="B18" s="30" t="s">
        <v>659</v>
      </c>
      <c r="C18" s="30" t="s">
        <v>660</v>
      </c>
      <c r="D18" s="30" t="s">
        <v>49</v>
      </c>
      <c r="E18" s="30" t="s">
        <v>461</v>
      </c>
      <c r="F18" s="42">
        <v>0</v>
      </c>
      <c r="G18" s="42">
        <v>539</v>
      </c>
      <c r="H18" s="42">
        <v>106108</v>
      </c>
      <c r="I18" s="42">
        <v>104517</v>
      </c>
      <c r="J18" s="30" t="s">
        <v>459</v>
      </c>
      <c r="K18" s="42">
        <v>104776</v>
      </c>
      <c r="L18" s="131" t="s">
        <v>51</v>
      </c>
      <c r="M18" s="132">
        <f>CONVERT((I18-K18)/10000,"mi","ft")*IF(L18="Increasing Mileposts (1)",-1,1)</f>
        <v>-136.75200000000001</v>
      </c>
      <c r="N18" s="133" t="str">
        <f>VLOOKUP(C18,'Trips&amp;Operators'!$C$1:$G$99911,5,FALSE)</f>
        <v>BERLING GARY</v>
      </c>
      <c r="O18" s="176" t="s">
        <v>375</v>
      </c>
      <c r="P18" s="134" t="s">
        <v>422</v>
      </c>
      <c r="Q18" s="30"/>
      <c r="R18" s="81" t="str">
        <f>VLOOKUP(C18,'Train Runs'!$A$13:$AE$10061,31,0)</f>
        <v>aws s3 cp s3://rtdc.mdm.uploadarchive.raw/RTDC4019/ "%USERPROFILE%\AppData\Local\Temp\OnboardLogs"\RTDC4019\2017-10-22 --exclude "*" --recursive --include "*20171022*" &amp; "%USERPROFILE%\Documents\GitHub\mrs-test-scripts\Headless Mode &amp; Sideloading\WalkAndUnGZ.bat" "%USERPROFILE%\AppData\Local\Temp\OnboardLogs"\RTDC4019\2017-10-22 &amp; aws s3 cp s3://rtdc.mdm.uploadarchive.raw/RTDC4019/ "%USERPROFILE%\AppData\Local\Temp\OnboardLogs"\RTDC4019\2017-10-23 --exclude "*" --recursive --include "*20171023*" &amp; "%USERPROFILE%\Documents\GitHub\mrs-test-scripts\Headless Mode &amp; Sideloading\WalkAndUnGZ.bat" "%USERPROFILE%\AppData\Local\Temp\OnboardLogs"\RTDC4019\2017-10-23</v>
      </c>
      <c r="S18" s="84" t="str">
        <f>VLOOKUP(C18,'Train Runs'!$A$13:$AE$10061,22,0)</f>
        <v>https://d0f6bd738d7f1b3e5a7ca70fe4ff75f0.us-east-1.aws.found.io/app/kibana#/discover/Steve-Slow-Train-Analysis-(2080s-and-2083s)?_g=(refreshInterval:(display:Off,pause:!f,section:0,value:0),time:(from:'2017-10-22T16:08:33-0600',mode:absolute,to:'2017-10-22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/stypes="*4019*201710222*" /stext=" 22:.+((SYSTEM_STATE.+slice.+state.+changed )|(ment ac)|(multiple cpu faults)|(system.+state.+changed )|(\[timeout)|(PRM\|1\|D)|(kpr)|(kdp)|(train st.+moving)|(\|lc)|(penalty))"</v>
      </c>
      <c r="U18" s="9" t="str">
        <f>MID(B18,13,4)</f>
        <v>4019</v>
      </c>
      <c r="V18" s="31">
        <f>A18-utc_offset/24</f>
        <v>43030.957789351851</v>
      </c>
      <c r="W18" s="45" t="str">
        <f>DetSubdiv(C18)</f>
        <v>EC</v>
      </c>
      <c r="X18" s="22">
        <f>VALUE(LEFT(C18,LEN(C18)-3))</f>
        <v>198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drop","project_id":79,"tracker_id":40,"status_id":1,"priority_id":2,"assigned_to_id":338,"start_date":"2017-10-22","description":"","custom_fields":[{"id":1,"name":"Subdivision","value":"EC"},{"id":4,"name":"Milepost","value":"10.4776"},{"id":17,"name":"Train ID","value":"198-22"},{"id":16,"name":"Locomotive ID","value":"4019"},{"id":130,"name":"Impact","value":""},{"id":150,"name":"Time of Event (Mountain Time)","value":"16:59:13"},{"id":151,"name":"Denver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/c/Users/stu/AppData/Local/Temp/OnboardLogs/RTDC4019 --include="*4019*201710222*"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"%USERPROFILE%\AppData\Local\Temp\OnboardLogs"\RTDC4019\*4019*201710222* &gt;&gt; 2017-10-22-SliceDisagreementCheck.txt</v>
      </c>
      <c r="AE18" s="145" t="str">
        <f t="shared" si="1"/>
        <v>start /low /b %USERPROFILE%\Documents\GitHub\eaglep3\Utilities\DownloadLogsFromS3.py --loco 4019 --day 2017-10-22</v>
      </c>
      <c r="AF18" s="1"/>
    </row>
    <row r="19" spans="1:32" x14ac:dyDescent="0.3">
      <c r="A19" s="31">
        <v>43030.556631944448</v>
      </c>
      <c r="B19" s="30" t="s">
        <v>640</v>
      </c>
      <c r="C19" s="30" t="s">
        <v>653</v>
      </c>
      <c r="D19" s="30" t="s">
        <v>49</v>
      </c>
      <c r="E19" s="30" t="s">
        <v>461</v>
      </c>
      <c r="F19" s="42">
        <v>0</v>
      </c>
      <c r="G19" s="42">
        <v>600</v>
      </c>
      <c r="H19" s="42">
        <v>122885</v>
      </c>
      <c r="I19" s="42">
        <v>125561</v>
      </c>
      <c r="J19" s="30" t="s">
        <v>459</v>
      </c>
      <c r="K19" s="42">
        <v>126678</v>
      </c>
      <c r="L19" s="131" t="s">
        <v>50</v>
      </c>
      <c r="M19" s="132">
        <f>CONVERT((I19-K19)/10000,"mi","ft")*IF(L19="Increasing Mileposts (1)",-1,1)</f>
        <v>589.77599999999995</v>
      </c>
      <c r="N19" s="133" t="str">
        <f>VLOOKUP(C19,'Trips&amp;Operators'!$C$1:$G$99911,5,FALSE)</f>
        <v>KILLION DAVID</v>
      </c>
      <c r="O19" s="176" t="s">
        <v>375</v>
      </c>
      <c r="P19" s="134" t="s">
        <v>422</v>
      </c>
      <c r="Q19" s="30"/>
      <c r="R19" s="81" t="str">
        <f>VLOOKUP(C19,'Train Runs'!$A$13:$AE$10061,31,0)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S19" s="84" t="str">
        <f>VLOOKUP(C19,'Train Runs'!$A$13:$AE$10061,22,0)</f>
        <v>https://d0f6bd738d7f1b3e5a7ca70fe4ff75f0.us-east-1.aws.found.io/app/kibana#/discover/Steve-Slow-Train-Analysis-(2080s-and-2083s)?_g=(refreshInterval:(display:Off,pause:!f,section:0,value:0),time:(from:'2017-10-22T11:52:24-0600',mode:absolute,to:'2017-10-22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/stypes="*4028*201710221*" /stext=" 19:.+((SYSTEM_STATE.+slice.+state.+changed )|(ment ac)|(multiple cpu faults)|(system.+state.+changed )|(\[timeout)|(PRM\|1\|D)|(kpr)|(kdp)|(train st.+moving)|(\|lc)|(penalty))"</v>
      </c>
      <c r="U19" s="9" t="str">
        <f>MID(B19,13,4)</f>
        <v>4028</v>
      </c>
      <c r="V19" s="31">
        <f>A19-utc_offset/24</f>
        <v>43030.806631944448</v>
      </c>
      <c r="W19" s="45" t="str">
        <f>DetSubdiv(C19)</f>
        <v>EC</v>
      </c>
      <c r="X19" s="22">
        <f>VALUE(LEFT(C19,LEN(C19)-3))</f>
        <v>175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drop","project_id":79,"tracker_id":40,"status_id":1,"priority_id":2,"assigned_to_id":338,"start_date":"2017-10-22","description":"","custom_fields":[{"id":1,"name":"Subdivision","value":"EC"},{"id":4,"name":"Milepost","value":"12.6678"},{"id":17,"name":"Train ID","value":"175-22"},{"id":16,"name":"Locomotive ID","value":"4028"},{"id":130,"name":"Impact","value":""},{"id":150,"name":"Time of Event (Mountain Time)","value":"13:21:33"},{"id":151,"name":"Denver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/c/Users/stu/AppData/Local/Temp/OnboardLogs/RTDC4028 --include="*4028*201710221*"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"%USERPROFILE%\AppData\Local\Temp\OnboardLogs"\RTDC4028\*4028*201710221* &gt;&gt; 2017-10-22-SliceDisagreementCheck.txt</v>
      </c>
      <c r="AE19" s="145" t="str">
        <f t="shared" si="1"/>
        <v>start /low /b %USERPROFILE%\Documents\GitHub\eaglep3\Utilities\DownloadLogsFromS3.py --loco 4028 --day 2017-10-22</v>
      </c>
      <c r="AF19" s="1"/>
    </row>
    <row r="20" spans="1:32" x14ac:dyDescent="0.3">
      <c r="A20" s="31">
        <v>43030.775300925925</v>
      </c>
      <c r="B20" s="30" t="s">
        <v>640</v>
      </c>
      <c r="C20" s="30" t="s">
        <v>666</v>
      </c>
      <c r="D20" s="30" t="s">
        <v>49</v>
      </c>
      <c r="E20" s="30" t="s">
        <v>461</v>
      </c>
      <c r="F20" s="42">
        <v>0</v>
      </c>
      <c r="G20" s="42">
        <v>607</v>
      </c>
      <c r="H20" s="42">
        <v>125084</v>
      </c>
      <c r="I20" s="42">
        <v>0</v>
      </c>
      <c r="J20" s="30" t="s">
        <v>459</v>
      </c>
      <c r="K20" s="42">
        <v>126678</v>
      </c>
      <c r="L20" s="131" t="s">
        <v>50</v>
      </c>
      <c r="M20" s="132">
        <f>CONVERT((I20-K20)/10000,"mi","ft")*IF(L20="Increasing Mileposts (1)",-1,1)</f>
        <v>66885.983999999997</v>
      </c>
      <c r="N20" s="133" t="str">
        <f>VLOOKUP(C20,'Trips&amp;Operators'!$C$1:$G$99911,5,FALSE)</f>
        <v>ELBAUM MIKE</v>
      </c>
      <c r="O20" s="176" t="s">
        <v>375</v>
      </c>
      <c r="P20" s="134" t="s">
        <v>422</v>
      </c>
      <c r="Q20" s="30"/>
      <c r="R20" s="81" t="str">
        <f>VLOOKUP(C20,'Train Runs'!$A$13:$AE$10061,31,0)</f>
        <v>aws s3 cp s3://rtdc.mdm.uploadarchive.raw/RTDC4028/ "%USERPROFILE%\AppData\Local\Temp\OnboardLogs"\RTDC4028\2017-10-22 --exclude "*" --recursive --include "*20171022*" &amp; "%USERPROFILE%\Documents\GitHub\mrs-test-scripts\Headless Mode &amp; Sideloading\WalkAndUnGZ.bat" "%USERPROFILE%\AppData\Local\Temp\OnboardLogs"\RTDC4028\2017-10-22 &amp; aws s3 cp s3://rtdc.mdm.uploadarchive.raw/RTDC4028/ "%USERPROFILE%\AppData\Local\Temp\OnboardLogs"\RTDC4028\2017-10-23 --exclude "*" --recursive --include "*20171023*" &amp; "%USERPROFILE%\Documents\GitHub\mrs-test-scripts\Headless Mode &amp; Sideloading\WalkAndUnGZ.bat" "%USERPROFILE%\AppData\Local\Temp\OnboardLogs"\RTDC4028\2017-10-23</v>
      </c>
      <c r="S20" s="84" t="str">
        <f>VLOOKUP(C20,'Train Runs'!$A$13:$AE$10061,22,0)</f>
        <v>https://d0f6bd738d7f1b3e5a7ca70fe4ff75f0.us-east-1.aws.found.io/app/kibana#/discover/Steve-Slow-Train-Analysis-(2080s-and-2083s)?_g=(refreshInterval:(display:Off,pause:!f,section:0,value:0),time:(from:'2017-10-22T17:07:00-0600',mode:absolute,to:'2017-10-22T19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/stypes="*4028*201710230*" /stext=" 00:.+((SYSTEM_STATE.+slice.+state.+changed )|(ment ac)|(multiple cpu faults)|(system.+state.+changed )|(\[timeout)|(PRM\|1\|D)|(kpr)|(kdp)|(train st.+moving)|(\|lc)|(penalty))"</v>
      </c>
      <c r="U20" s="9" t="str">
        <f>MID(B20,13,4)</f>
        <v>4028</v>
      </c>
      <c r="V20" s="31">
        <f>A20-utc_offset/24</f>
        <v>43031.025300925925</v>
      </c>
      <c r="W20" s="45" t="str">
        <f>DetSubdiv(C20)</f>
        <v>EC</v>
      </c>
      <c r="X20" s="22">
        <f>VALUE(LEFT(C20,LEN(C20)-3))</f>
        <v>217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drop","project_id":79,"tracker_id":40,"status_id":1,"priority_id":2,"assigned_to_id":338,"start_date":"2017-10-22","description":"","custom_fields":[{"id":1,"name":"Subdivision","value":"EC"},{"id":4,"name":"Milepost","value":"12.6678"},{"id":17,"name":"Train ID","value":"217-22"},{"id":16,"name":"Locomotive ID","value":"4028"},{"id":130,"name":"Impact","value":""},{"id":150,"name":"Time of Event (Mountain Time)","value":"18:36:26"},{"id":151,"name":"Denver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/c/Users/stu/AppData/Local/Temp/OnboardLogs/RTDC4028 --include="*4028*201710230*"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"%USERPROFILE%\AppData\Local\Temp\OnboardLogs"\RTDC4028\*4028*201710230* &gt;&gt; 2017-10-22-SliceDisagreementCheck.txt</v>
      </c>
      <c r="AE20" s="145" t="str">
        <f t="shared" si="1"/>
        <v>start /low /b %USERPROFILE%\Documents\GitHub\eaglep3\Utilities\DownloadLogsFromS3.py --loco 4028 --day 2017-10-23</v>
      </c>
      <c r="AF20" s="1"/>
    </row>
    <row r="21" spans="1:32" x14ac:dyDescent="0.3">
      <c r="A21" s="31">
        <v>43030.295648148145</v>
      </c>
      <c r="B21" s="30" t="s">
        <v>509</v>
      </c>
      <c r="C21" s="30" t="s">
        <v>642</v>
      </c>
      <c r="D21" s="30" t="s">
        <v>49</v>
      </c>
      <c r="E21" s="30" t="s">
        <v>179</v>
      </c>
      <c r="F21" s="42">
        <v>0</v>
      </c>
      <c r="G21" s="42">
        <v>39</v>
      </c>
      <c r="H21" s="42">
        <v>145</v>
      </c>
      <c r="I21" s="42">
        <v>112</v>
      </c>
      <c r="J21" s="30" t="s">
        <v>180</v>
      </c>
      <c r="K21" s="42">
        <v>1</v>
      </c>
      <c r="L21" s="131" t="s">
        <v>51</v>
      </c>
      <c r="M21" s="132">
        <f>CONVERT((I21-K21)/10000,"mi","ft")*IF(L21="Increasing Mileposts (1)",-1,1)</f>
        <v>58.607999999999997</v>
      </c>
      <c r="N21" s="133" t="str">
        <f>VLOOKUP(C21,'Trips&amp;Operators'!$C$1:$G$99911,5,FALSE)</f>
        <v>MAELZER KURT</v>
      </c>
      <c r="O21" s="176" t="s">
        <v>178</v>
      </c>
      <c r="P21" s="134"/>
      <c r="Q21" s="30"/>
      <c r="R21" s="81" t="str">
        <f>VLOOKUP(C21,'Train Runs'!$A$13:$AE$10061,31,0)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S21" s="84" t="str">
        <f>VLOOKUP(C21,'Train Runs'!$A$13:$AE$10061,22,0)</f>
        <v>https://d0f6bd738d7f1b3e5a7ca70fe4ff75f0.us-east-1.aws.found.io/app/kibana#/discover/Steve-Slow-Train-Analysis-(2080s-and-2083s)?_g=(refreshInterval:(display:Off,pause:!f,section:0,value:0),time:(from:'2017-10-22T05:18:27-0600',mode:absolute,to:'2017-10-22T08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/stypes="*4031*201710221*" /stext=" 13:.+((SYSTEM_STATE.+slice.+state.+changed )|(ment ac)|(multiple cpu faults)|(system.+state.+changed )|(\[timeout)|(PRM\|1\|D)|(kpr)|(kdp)|(train st.+moving)|(\|lc)|(penalty))"</v>
      </c>
      <c r="U21" s="9" t="str">
        <f>MID(B21,13,4)</f>
        <v>4031</v>
      </c>
      <c r="V21" s="31">
        <f>A21-utc_offset/24</f>
        <v>43030.545648148145</v>
      </c>
      <c r="W21" s="45" t="str">
        <f>DetSubdiv(C21)</f>
        <v>EC</v>
      </c>
      <c r="X21" s="22">
        <f>VALUE(LEFT(C21,LEN(C21)-3))</f>
        <v>116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{"issue":{"subject":"","project_id":79,"tracker_id":40,"status_id":1,"priority_id":2,"assigned_to_id":338,"start_date":"2017-10-22","description":"","custom_fields":[{"id":1,"name":"Subdivision","value":"EC"},{"id":4,"name":"Milepost","value":"0.0001"},{"id":17,"name":"Train ID","value":"116-22"},{"id":16,"name":"Locomotive ID","value":"4031"},{"id":130,"name":"Impact","value":""},{"id":150,"name":"Time of Event (Mountain Time)","value":"07:05:44"},{"id":151,"name":"Denver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/c/Users/stu/AppData/Local/Temp/OnboardLogs/RTDC4031 --include="*4031*201710221*"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"%USERPROFILE%\AppData\Local\Temp\OnboardLogs"\RTDC4031\*4031*201710221* &gt;&gt; 2017-10-22-SliceDisagreementCheck.txt</v>
      </c>
      <c r="AE21" s="145" t="str">
        <f t="shared" si="1"/>
        <v>start /low /b %USERPROFILE%\Documents\GitHub\eaglep3\Utilities\DownloadLogsFromS3.py --loco 4031 --day 2017-10-22</v>
      </c>
      <c r="AF21" s="1"/>
    </row>
    <row r="22" spans="1:32" x14ac:dyDescent="0.3">
      <c r="A22" s="31">
        <v>43030.317627314813</v>
      </c>
      <c r="B22" s="30" t="s">
        <v>643</v>
      </c>
      <c r="C22" s="30" t="s">
        <v>644</v>
      </c>
      <c r="D22" s="30" t="s">
        <v>49</v>
      </c>
      <c r="E22" s="30" t="s">
        <v>179</v>
      </c>
      <c r="F22" s="42">
        <v>0</v>
      </c>
      <c r="G22" s="42">
        <v>52</v>
      </c>
      <c r="H22" s="42">
        <v>169</v>
      </c>
      <c r="I22" s="42">
        <v>123</v>
      </c>
      <c r="J22" s="30" t="s">
        <v>180</v>
      </c>
      <c r="K22" s="42">
        <v>1</v>
      </c>
      <c r="L22" s="131" t="s">
        <v>51</v>
      </c>
      <c r="M22" s="132">
        <f>CONVERT((I22-K22)/10000,"mi","ft")*IF(L22="Increasing Mileposts (1)",-1,1)</f>
        <v>64.415999999999997</v>
      </c>
      <c r="N22" s="133" t="str">
        <f>VLOOKUP(C22,'Trips&amp;Operators'!$C$1:$G$99911,5,FALSE)</f>
        <v>DAVIS WENDY</v>
      </c>
      <c r="O22" s="176" t="s">
        <v>178</v>
      </c>
      <c r="P22" s="134"/>
      <c r="Q22" s="30"/>
      <c r="R22" s="81" t="str">
        <f>VLOOKUP(C22,'Train Runs'!$A$13:$AE$10061,31,0)</f>
        <v>aws s3 cp s3://rtdc.mdm.uploadarchive.raw/RTDC4027/ "%USERPROFILE%\AppData\Local\Temp\OnboardLogs"\RTDC4027\2017-10-22 --exclude "*" --recursive --include "*20171022*" &amp; "%USERPROFILE%\Documents\GitHub\mrs-test-scripts\Headless Mode &amp; Sideloading\WalkAndUnGZ.bat" "%USERPROFILE%\AppData\Local\Temp\OnboardLogs"\RTDC4027\2017-10-22 &amp; aws s3 cp s3://rtdc.mdm.uploadarchive.raw/RTDC4027/ "%USERPROFILE%\AppData\Local\Temp\OnboardLogs"\RTDC4027\2017-10-23 --exclude "*" --recursive --include "*20171023*" &amp; "%USERPROFILE%\Documents\GitHub\mrs-test-scripts\Headless Mode &amp; Sideloading\WalkAndUnGZ.bat" "%USERPROFILE%\AppData\Local\Temp\OnboardLogs"\RTDC4027\2017-10-23</v>
      </c>
      <c r="S22" s="84" t="str">
        <f>VLOOKUP(C22,'Train Runs'!$A$13:$AE$10061,22,0)</f>
        <v>https://d0f6bd738d7f1b3e5a7ca70fe4ff75f0.us-east-1.aws.found.io/app/kibana#/discover/Steve-Slow-Train-Analysis-(2080s-and-2083s)?_g=(refreshInterval:(display:Off,pause:!f,section:0,value:0),time:(from:'2017-10-22T05:46:33-0600',mode:absolute,to:'2017-10-22T08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/stypes="*4027*201710221*" /stext=" 13:.+((SYSTEM_STATE.+slice.+state.+changed )|(ment ac)|(multiple cpu faults)|(system.+state.+changed )|(\[timeout)|(PRM\|1\|D)|(kpr)|(kdp)|(train st.+moving)|(\|lc)|(penalty))"</v>
      </c>
      <c r="U22" s="9" t="str">
        <f>MID(B22,13,4)</f>
        <v>4027</v>
      </c>
      <c r="V22" s="31">
        <f>A22-utc_offset/24</f>
        <v>43030.567627314813</v>
      </c>
      <c r="W22" s="45" t="str">
        <f>DetSubdiv(C22)</f>
        <v>EC</v>
      </c>
      <c r="X22" s="22">
        <f>VALUE(LEFT(C22,LEN(C22)-3))</f>
        <v>120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{"issue":{"subject":"","project_id":79,"tracker_id":40,"status_id":1,"priority_id":2,"assigned_to_id":338,"start_date":"2017-10-22","description":"","custom_fields":[{"id":1,"name":"Subdivision","value":"EC"},{"id":4,"name":"Milepost","value":"0.0001"},{"id":17,"name":"Train ID","value":"120-22"},{"id":16,"name":"Locomotive ID","value":"4027"},{"id":130,"name":"Impact","value":""},{"id":150,"name":"Time of Event (Mountain Time)","value":"07:37:23"},{"id":151,"name":"Denver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/c/Users/stu/AppData/Local/Temp/OnboardLogs/RTDC4027 --include="*4027*201710221*"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"%USERPROFILE%\AppData\Local\Temp\OnboardLogs"\RTDC4027\*4027*201710221* &gt;&gt; 2017-10-22-SliceDisagreementCheck.txt</v>
      </c>
      <c r="AE22" s="145" t="str">
        <f t="shared" si="1"/>
        <v>start /low /b %USERPROFILE%\Documents\GitHub\eaglep3\Utilities\DownloadLogsFromS3.py --loco 4027 --day 2017-10-22</v>
      </c>
      <c r="AF22" s="1"/>
    </row>
    <row r="23" spans="1:32" x14ac:dyDescent="0.3">
      <c r="A23" s="31">
        <v>43030.441122685188</v>
      </c>
      <c r="B23" s="30" t="s">
        <v>509</v>
      </c>
      <c r="C23" s="30" t="s">
        <v>648</v>
      </c>
      <c r="D23" s="30" t="s">
        <v>49</v>
      </c>
      <c r="E23" s="30" t="s">
        <v>179</v>
      </c>
      <c r="F23" s="42">
        <v>0</v>
      </c>
      <c r="G23" s="42">
        <v>41</v>
      </c>
      <c r="H23" s="42">
        <v>139</v>
      </c>
      <c r="I23" s="42">
        <v>123</v>
      </c>
      <c r="J23" s="30" t="s">
        <v>180</v>
      </c>
      <c r="K23" s="42">
        <v>1</v>
      </c>
      <c r="L23" s="131" t="s">
        <v>51</v>
      </c>
      <c r="M23" s="132">
        <f>CONVERT((I23-K23)/10000,"mi","ft")*IF(L23="Increasing Mileposts (1)",-1,1)</f>
        <v>64.415999999999997</v>
      </c>
      <c r="N23" s="133" t="str">
        <f>VLOOKUP(C23,'Trips&amp;Operators'!$C$1:$G$99911,5,FALSE)</f>
        <v>MAELZER KURT</v>
      </c>
      <c r="O23" s="176" t="s">
        <v>178</v>
      </c>
      <c r="P23" s="134"/>
      <c r="Q23" s="30"/>
      <c r="R23" s="81" t="str">
        <f>VLOOKUP(C23,'Train Runs'!$A$13:$AE$10061,31,0)</f>
        <v>aws s3 cp s3://rtdc.mdm.uploadarchive.raw/RTDC4031/ "%USERPROFILE%\AppData\Local\Temp\OnboardLogs"\RTDC4031\2017-10-22 --exclude "*" --recursive --include "*20171022*" &amp; "%USERPROFILE%\Documents\GitHub\mrs-test-scripts\Headless Mode &amp; Sideloading\WalkAndUnGZ.bat" "%USERPROFILE%\AppData\Local\Temp\OnboardLogs"\RTDC4031\2017-10-22 &amp; 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</v>
      </c>
      <c r="S23" s="84" t="str">
        <f>VLOOKUP(C23,'Train Runs'!$A$13:$AE$10061,22,0)</f>
        <v>https://d0f6bd738d7f1b3e5a7ca70fe4ff75f0.us-east-1.aws.found.io/app/kibana#/discover/Steve-Slow-Train-Analysis-(2080s-and-2083s)?_g=(refreshInterval:(display:Off,pause:!f,section:0,value:0),time:(from:'2017-10-22T08:46:18-0600',mode:absolute,to:'2017-10-22T11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/stypes="*4031*201710221*" /stext=" 16:.+((SYSTEM_STATE.+slice.+state.+changed )|(ment ac)|(multiple cpu faults)|(system.+state.+changed )|(\[timeout)|(PRM\|1\|D)|(kpr)|(kdp)|(train st.+moving)|(\|lc)|(penalty))"</v>
      </c>
      <c r="U23" s="9" t="str">
        <f>MID(B23,13,4)</f>
        <v>4031</v>
      </c>
      <c r="V23" s="31">
        <f>A23-utc_offset/24</f>
        <v>43030.691122685188</v>
      </c>
      <c r="W23" s="45" t="str">
        <f>DetSubdiv(C23)</f>
        <v>EC</v>
      </c>
      <c r="X23" s="22">
        <f>VALUE(LEFT(C23,LEN(C23)-3))</f>
        <v>144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{"issue":{"subject":"","project_id":79,"tracker_id":40,"status_id":1,"priority_id":2,"assigned_to_id":338,"start_date":"2017-10-22","description":"","custom_fields":[{"id":1,"name":"Subdivision","value":"EC"},{"id":4,"name":"Milepost","value":"0.0001"},{"id":17,"name":"Train ID","value":"144-22"},{"id":16,"name":"Locomotive ID","value":"4031"},{"id":130,"name":"Impact","value":""},{"id":150,"name":"Time of Event (Mountain Time)","value":"10:35:13"},{"id":151,"name":"Denver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/c/Users/stu/AppData/Local/Temp/OnboardLogs/RTDC4031 --include="*4031*201710221*"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"%USERPROFILE%\AppData\Local\Temp\OnboardLogs"\RTDC4031\*4031*201710221* &gt;&gt; 2017-10-22-SliceDisagreementCheck.txt</v>
      </c>
      <c r="AE23" s="145" t="str">
        <f t="shared" si="1"/>
        <v>start /low /b %USERPROFILE%\Documents\GitHub\eaglep3\Utilities\DownloadLogsFromS3.py --loco 4031 --day 2017-10-22</v>
      </c>
      <c r="AF23" s="1"/>
    </row>
    <row r="24" spans="1:32" x14ac:dyDescent="0.3">
      <c r="A24" s="31">
        <v>43030.816481481481</v>
      </c>
      <c r="B24" s="30" t="s">
        <v>645</v>
      </c>
      <c r="C24" s="30" t="s">
        <v>668</v>
      </c>
      <c r="D24" s="30" t="s">
        <v>49</v>
      </c>
      <c r="E24" s="30" t="s">
        <v>179</v>
      </c>
      <c r="F24" s="42">
        <v>0</v>
      </c>
      <c r="G24" s="42">
        <v>20</v>
      </c>
      <c r="H24" s="42">
        <v>233455</v>
      </c>
      <c r="I24" s="42">
        <v>233470</v>
      </c>
      <c r="J24" s="30" t="s">
        <v>180</v>
      </c>
      <c r="K24" s="42">
        <v>233491</v>
      </c>
      <c r="L24" s="131" t="s">
        <v>50</v>
      </c>
      <c r="M24" s="132">
        <f>CONVERT((I24-K24)/10000,"mi","ft")*IF(L24="Increasing Mileposts (1)",-1,1)</f>
        <v>11.087999999999999</v>
      </c>
      <c r="N24" s="133" t="str">
        <f>VLOOKUP(C24,'Trips&amp;Operators'!$C$1:$G$99911,5,FALSE)</f>
        <v>STAMBAUGH JAMES</v>
      </c>
      <c r="O24" s="176" t="s">
        <v>178</v>
      </c>
      <c r="P24" s="134"/>
      <c r="Q24" s="30"/>
      <c r="R24" s="81" t="str">
        <f>VLOOKUP(C24,'Train Runs'!$A$13:$AE$10061,31,0)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S24" s="84" t="str">
        <f>VLOOKUP(C24,'Train Runs'!$A$13:$AE$10061,22,0)</f>
        <v>https://d0f6bd738d7f1b3e5a7ca70fe4ff75f0.us-east-1.aws.found.io/app/kibana#/discover/Steve-Slow-Train-Analysis-(2080s-and-2083s)?_g=(refreshInterval:(display:Off,pause:!f,section:0,value:0),time:(from:'2017-10-22T17:55:31-0600',mode:absolute,to:'2017-10-22T20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/stypes="*4036*201710230*" /stext=" 01:.+((SYSTEM_STATE.+slice.+state.+changed )|(ment ac)|(multiple cpu faults)|(system.+state.+changed )|(\[timeout)|(PRM\|1\|D)|(kpr)|(kdp)|(train st.+moving)|(\|lc)|(penalty))"</v>
      </c>
      <c r="U24" s="9" t="str">
        <f>MID(B24,13,4)</f>
        <v>4036</v>
      </c>
      <c r="V24" s="31">
        <f>A24-utc_offset/24</f>
        <v>43031.066481481481</v>
      </c>
      <c r="W24" s="45" t="str">
        <f>DetSubdiv(C24)</f>
        <v>EC</v>
      </c>
      <c r="X24" s="22">
        <f>VALUE(LEFT(C24,LEN(C24)-3))</f>
        <v>221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{"issue":{"subject":"","project_id":79,"tracker_id":40,"status_id":1,"priority_id":2,"assigned_to_id":338,"start_date":"2017-10-22","description":"","custom_fields":[{"id":1,"name":"Subdivision","value":"EC"},{"id":4,"name":"Milepost","value":"23.3491"},{"id":17,"name":"Train ID","value":"221-22"},{"id":16,"name":"Locomotive ID","value":"4036"},{"id":130,"name":"Impact","value":""},{"id":150,"name":"Time of Event (Mountain Time)","value":"19:35:44"},{"id":151,"name":"Denver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/c/Users/stu/AppData/Local/Temp/OnboardLogs/RTDC4036 --include="*4036*201710230*"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"%USERPROFILE%\AppData\Local\Temp\OnboardLogs"\RTDC4036\*4036*201710230* &gt;&gt; 2017-10-22-SliceDisagreementCheck.txt</v>
      </c>
      <c r="AE24" s="145" t="str">
        <f t="shared" si="1"/>
        <v>start /low /b %USERPROFILE%\Documents\GitHub\eaglep3\Utilities\DownloadLogsFromS3.py --loco 4036 --day 2017-10-23</v>
      </c>
      <c r="AF24" s="1"/>
    </row>
    <row r="25" spans="1:32" x14ac:dyDescent="0.3">
      <c r="A25" s="31">
        <v>43030.899525462963</v>
      </c>
      <c r="B25" s="30" t="s">
        <v>645</v>
      </c>
      <c r="C25" s="30" t="s">
        <v>669</v>
      </c>
      <c r="D25" s="30" t="s">
        <v>49</v>
      </c>
      <c r="E25" s="30" t="s">
        <v>179</v>
      </c>
      <c r="F25" s="42">
        <v>0</v>
      </c>
      <c r="G25" s="42">
        <v>37</v>
      </c>
      <c r="H25" s="42">
        <v>233361</v>
      </c>
      <c r="I25" s="42">
        <v>233366</v>
      </c>
      <c r="J25" s="30" t="s">
        <v>180</v>
      </c>
      <c r="K25" s="42">
        <v>233491</v>
      </c>
      <c r="L25" s="131" t="s">
        <v>50</v>
      </c>
      <c r="M25" s="132">
        <f>CONVERT((I25-K25)/10000,"mi","ft")*IF(L25="Increasing Mileposts (1)",-1,1)</f>
        <v>66</v>
      </c>
      <c r="N25" s="133" t="str">
        <f>VLOOKUP(C25,'Trips&amp;Operators'!$C$1:$G$99911,5,FALSE)</f>
        <v>STAMBAUGH JAMES</v>
      </c>
      <c r="O25" s="176" t="s">
        <v>178</v>
      </c>
      <c r="P25" s="134"/>
      <c r="Q25" s="30"/>
      <c r="R25" s="81" t="str">
        <f>VLOOKUP(C25,'Train Runs'!$A$13:$AE$10061,31,0)</f>
        <v>aws s3 cp s3://rtdc.mdm.uploadarchive.raw/RTDC4036/ "%USERPROFILE%\AppData\Local\Temp\OnboardLogs"\RTDC4036\2017-10-22 --exclude "*" --recursive --include "*20171022*" &amp; "%USERPROFILE%\Documents\GitHub\mrs-test-scripts\Headless Mode &amp; Sideloading\WalkAndUnGZ.bat" "%USERPROFILE%\AppData\Local\Temp\OnboardLogs"\RTDC4036\2017-10-22 &amp; aws s3 cp s3://rtdc.mdm.uploadarchive.raw/RTDC4036/ "%USERPROFILE%\AppData\Local\Temp\OnboardLogs"\RTDC4036\2017-10-23 --exclude "*" --recursive --include "*20171023*" &amp; "%USERPROFILE%\Documents\GitHub\mrs-test-scripts\Headless Mode &amp; Sideloading\WalkAndUnGZ.bat" "%USERPROFILE%\AppData\Local\Temp\OnboardLogs"\RTDC4036\2017-10-23</v>
      </c>
      <c r="S25" s="84" t="str">
        <f>VLOOKUP(C25,'Train Runs'!$A$13:$AE$10061,22,0)</f>
        <v>https://d0f6bd738d7f1b3e5a7ca70fe4ff75f0.us-east-1.aws.found.io/app/kibana#/discover/Steve-Slow-Train-Analysis-(2080s-and-2083s)?_g=(refreshInterval:(display:Off,pause:!f,section:0,value:0),time:(from:'2017-10-22T19:36:22-0600',mode:absolute,to:'2017-10-22T22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/stypes="*4036*201710230*" /stext=" 03:.+((SYSTEM_STATE.+slice.+state.+changed )|(ment ac)|(multiple cpu faults)|(system.+state.+changed )|(\[timeout)|(PRM\|1\|D)|(kpr)|(kdp)|(train st.+moving)|(\|lc)|(penalty))"</v>
      </c>
      <c r="U25" s="9" t="str">
        <f>MID(B25,13,4)</f>
        <v>4036</v>
      </c>
      <c r="V25" s="31">
        <f>A25-utc_offset/24</f>
        <v>43031.149525462963</v>
      </c>
      <c r="W25" s="45" t="str">
        <f>DetSubdiv(C25)</f>
        <v>EC</v>
      </c>
      <c r="X25" s="22">
        <f>VALUE(LEFT(C25,LEN(C25)-3))</f>
        <v>229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{"issue":{"subject":"","project_id":79,"tracker_id":40,"status_id":1,"priority_id":2,"assigned_to_id":338,"start_date":"2017-10-22","description":"","custom_fields":[{"id":1,"name":"Subdivision","value":"EC"},{"id":4,"name":"Milepost","value":"23.3491"},{"id":17,"name":"Train ID","value":"229-22"},{"id":16,"name":"Locomotive ID","value":"4036"},{"id":130,"name":"Impact","value":""},{"id":150,"name":"Time of Event (Mountain Time)","value":"21:35:19"},{"id":151,"name":"Denver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/c/Users/stu/AppData/Local/Temp/OnboardLogs/RTDC4036 --include="*4036*201710230*"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"%USERPROFILE%\AppData\Local\Temp\OnboardLogs"\RTDC4036\*4036*201710230* &gt;&gt; 2017-10-22-SliceDisagreementCheck.txt</v>
      </c>
      <c r="AE25" s="145" t="str">
        <f t="shared" si="1"/>
        <v>start /low /b %USERPROFILE%\Documents\GitHub\eaglep3\Utilities\DownloadLogsFromS3.py --loco 4036 --day 2017-10-23</v>
      </c>
      <c r="AF25" s="1"/>
    </row>
    <row r="26" spans="1:32" x14ac:dyDescent="0.3">
      <c r="A26" s="31">
        <v>43030.760509259257</v>
      </c>
      <c r="B26" s="30" t="s">
        <v>517</v>
      </c>
      <c r="C26" s="30" t="s">
        <v>665</v>
      </c>
      <c r="D26" s="30" t="s">
        <v>49</v>
      </c>
      <c r="E26" s="30" t="s">
        <v>185</v>
      </c>
      <c r="F26" s="42">
        <v>0</v>
      </c>
      <c r="G26" s="42">
        <v>317</v>
      </c>
      <c r="H26" s="42">
        <v>10608</v>
      </c>
      <c r="I26" s="42">
        <v>11020</v>
      </c>
      <c r="J26" s="30" t="s">
        <v>186</v>
      </c>
      <c r="K26" s="42">
        <v>10714</v>
      </c>
      <c r="L26" s="131" t="s">
        <v>50</v>
      </c>
      <c r="M26" s="132">
        <f>CONVERT((I26-K26)/10000,"mi","ft")*IF(L26="Increasing Mileposts (1)",-1,1)</f>
        <v>-161.56800000000001</v>
      </c>
      <c r="N26" s="133" t="str">
        <f>VLOOKUP(C26,'Trips&amp;Operators'!$C$1:$G$99911,5,FALSE)</f>
        <v>HOLCOMB KAMDEN</v>
      </c>
      <c r="O26" s="176" t="s">
        <v>178</v>
      </c>
      <c r="P26" s="134" t="s">
        <v>356</v>
      </c>
      <c r="Q26" s="30"/>
      <c r="R26" s="81" t="str">
        <f>VLOOKUP(C26,'Train Runs'!$A$13:$AE$10061,31,0)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S26" s="84" t="str">
        <f>VLOOKUP(C26,'Train Runs'!$A$13:$AE$10061,22,0)</f>
        <v>https://d0f6bd738d7f1b3e5a7ca70fe4ff75f0.us-east-1.aws.found.io/app/kibana#/discover/Steve-Slow-Train-Analysis-(2080s-and-2083s)?_g=(refreshInterval:(display:Off,pause:!f,section:0,value:0),time:(from:'2017-10-22T17:05:53-0600',mode:absolute,to:'2017-10-22T19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/stypes="*4016*201710230*" /stext=" 00:.+((SYSTEM_STATE.+slice.+state.+changed )|(ment ac)|(multiple cpu faults)|(system.+state.+changed )|(\[timeout)|(PRM\|1\|D)|(kpr)|(kdp)|(train st.+moving)|(\|lc)|(penalty))"</v>
      </c>
      <c r="U26" s="9" t="str">
        <f>MID(B26,13,4)</f>
        <v>4016</v>
      </c>
      <c r="V26" s="31">
        <f>A26-utc_offset/24</f>
        <v>43031.010509259257</v>
      </c>
      <c r="W26" s="45" t="str">
        <f>DetSubdiv(C26)</f>
        <v>NW</v>
      </c>
      <c r="X26" s="22">
        <f>VALUE(LEFT(C26,LEN(C26)-3))</f>
        <v>1825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Arrival","project_id":79,"tracker_id":40,"status_id":1,"priority_id":2,"assigned_to_id":338,"start_date":"2017-10-22","description":"","custom_fields":[{"id":1,"name":"Subdivision","value":"NW"},{"id":4,"name":"Milepost","value":"1.0714"},{"id":17,"name":"Train ID","value":"1825-22"},{"id":16,"name":"Locomotive ID","value":"4016"},{"id":130,"name":"Impact","value":""},{"id":150,"name":"Time of Event (Mountain Time)","value":"18:15:08"},{"id":151,"name":"Denver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/c/Users/stu/AppData/Local/Temp/OnboardLogs/RTDC4016 --include="*4016*201710230*"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"%USERPROFILE%\AppData\Local\Temp\OnboardLogs"\RTDC4016\*4016*201710230* &gt;&gt; 2017-10-22-SliceDisagreementCheck.txt</v>
      </c>
      <c r="AE26" s="145" t="str">
        <f t="shared" si="1"/>
        <v>start /low /b %USERPROFILE%\Documents\GitHub\eaglep3\Utilities\DownloadLogsFromS3.py --loco 4016 --day 2017-10-23</v>
      </c>
      <c r="AF26" s="1"/>
    </row>
    <row r="27" spans="1:32" x14ac:dyDescent="0.3">
      <c r="A27" s="31">
        <v>43030.449456018519</v>
      </c>
      <c r="B27" s="30" t="s">
        <v>504</v>
      </c>
      <c r="C27" s="30" t="s">
        <v>649</v>
      </c>
      <c r="D27" s="30" t="s">
        <v>95</v>
      </c>
      <c r="E27" s="30" t="s">
        <v>192</v>
      </c>
      <c r="F27" s="42">
        <v>400</v>
      </c>
      <c r="G27" s="42">
        <v>451</v>
      </c>
      <c r="H27" s="42">
        <v>39080</v>
      </c>
      <c r="I27" s="42">
        <v>37856</v>
      </c>
      <c r="J27" s="30" t="s">
        <v>193</v>
      </c>
      <c r="K27" s="42">
        <v>40977</v>
      </c>
      <c r="L27" s="131" t="s">
        <v>51</v>
      </c>
      <c r="M27" s="132">
        <f>CONVERT((I27-K27)/10000,"mi","ft")*IF(L27="Increasing Mileposts (1)",-1,1)</f>
        <v>-1647.8879999999999</v>
      </c>
      <c r="N27" s="133" t="str">
        <f>VLOOKUP(C27,'Trips&amp;Operators'!$C$1:$G$99911,5,FALSE)</f>
        <v>MACDONALD THOMAS</v>
      </c>
      <c r="O27" s="176" t="s">
        <v>178</v>
      </c>
      <c r="P27" s="134"/>
      <c r="Q27" s="30"/>
      <c r="R27" s="81" t="str">
        <f>VLOOKUP(C27,'Train Runs'!$A$13:$AE$10061,31,0)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S27" s="84" t="str">
        <f>VLOOKUP(C27,'Train Runs'!$A$13:$AE$10061,22,0)</f>
        <v>https://d0f6bd738d7f1b3e5a7ca70fe4ff75f0.us-east-1.aws.found.io/app/kibana#/discover/Steve-Slow-Train-Analysis-(2080s-and-2083s)?_g=(refreshInterval:(display:Off,pause:!f,section:0,value:0),time:(from:'2017-10-22T09:25:18-0600',mode:absolute,to:'2017-10-22T11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/stypes="*4015*201710221*" /stext=" 16:.+((SYSTEM_STATE.+slice.+state.+changed )|(ment ac)|(multiple cpu faults)|(system.+state.+changed )|(\[timeout)|(PRM\|1\|D)|(kpr)|(kdp)|(train st.+moving)|(\|lc)|(penalty))"</v>
      </c>
      <c r="U27" s="9" t="str">
        <f>MID(B27,13,4)</f>
        <v>4015</v>
      </c>
      <c r="V27" s="31">
        <f>A27-utc_offset/24</f>
        <v>43030.699456018519</v>
      </c>
      <c r="W27" s="45" t="str">
        <f>DetSubdiv(C27)</f>
        <v>NW</v>
      </c>
      <c r="X27" s="22">
        <f>VALUE(LEFT(C27,LEN(C27)-3))</f>
        <v>1810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{"issue":{"subject":"","project_id":79,"tracker_id":40,"status_id":1,"priority_id":2,"assigned_to_id":338,"start_date":"2017-10-22","description":"","custom_fields":[{"id":1,"name":"Subdivision","value":"NW"},{"id":4,"name":"Milepost","value":"4.0977"},{"id":17,"name":"Train ID","value":"1810-22"},{"id":16,"name":"Locomotive ID","value":"4015"},{"id":130,"name":"Impact","value":""},{"id":150,"name":"Time of Event (Mountain Time)","value":"10:47:13"},{"id":151,"name":"Denver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/c/Users/stu/AppData/Local/Temp/OnboardLogs/RTDC4015 --include="*4015*201710221*"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"%USERPROFILE%\AppData\Local\Temp\OnboardLogs"\RTDC4015\*4015*201710221* &gt;&gt; 2017-10-22-SliceDisagreementCheck.txt</v>
      </c>
      <c r="AE27" s="145" t="str">
        <f t="shared" si="1"/>
        <v>start /low /b %USERPROFILE%\Documents\GitHub\eaglep3\Utilities\DownloadLogsFromS3.py --loco 4015 --day 2017-10-22</v>
      </c>
      <c r="AF27" s="1"/>
    </row>
    <row r="28" spans="1:32" x14ac:dyDescent="0.3">
      <c r="A28" s="31">
        <v>43030.680358796293</v>
      </c>
      <c r="B28" s="30" t="s">
        <v>517</v>
      </c>
      <c r="C28" s="30" t="s">
        <v>655</v>
      </c>
      <c r="D28" s="30" t="s">
        <v>49</v>
      </c>
      <c r="E28" s="30" t="s">
        <v>192</v>
      </c>
      <c r="F28" s="42">
        <v>150</v>
      </c>
      <c r="G28" s="42">
        <v>343</v>
      </c>
      <c r="H28" s="42">
        <v>55368</v>
      </c>
      <c r="I28" s="42">
        <v>56046</v>
      </c>
      <c r="J28" s="30" t="s">
        <v>193</v>
      </c>
      <c r="K28" s="42">
        <v>57008</v>
      </c>
      <c r="L28" s="131" t="s">
        <v>50</v>
      </c>
      <c r="M28" s="132">
        <f>CONVERT((I28-K28)/10000,"mi","ft")*IF(L28="Increasing Mileposts (1)",-1,1)</f>
        <v>507.93599999999998</v>
      </c>
      <c r="N28" s="133" t="str">
        <f>VLOOKUP(C28,'Trips&amp;Operators'!$C$1:$G$99911,5,FALSE)</f>
        <v>HOLCOMB KAMDEN</v>
      </c>
      <c r="O28" s="176" t="s">
        <v>178</v>
      </c>
      <c r="P28" s="134"/>
      <c r="Q28" s="30"/>
      <c r="R28" s="81" t="str">
        <f>VLOOKUP(C28,'Train Runs'!$A$13:$AE$10061,31,0)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S28" s="84" t="str">
        <f>VLOOKUP(C28,'Train Runs'!$A$13:$AE$10061,22,0)</f>
        <v>https://d0f6bd738d7f1b3e5a7ca70fe4ff75f0.us-east-1.aws.found.io/app/kibana#/discover/Steve-Slow-Train-Analysis-(2080s-and-2083s)?_g=(refreshInterval:(display:Off,pause:!f,section:0,value:0),time:(from:'2017-10-22T14:27:33-0600',mode:absolute,to:'2017-10-22T17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/stypes="*4016*201710222*" /stext=" 22:.+((SYSTEM_STATE.+slice.+state.+changed )|(ment ac)|(multiple cpu faults)|(system.+state.+changed )|(\[timeout)|(PRM\|1\|D)|(kpr)|(kdp)|(train st.+moving)|(\|lc)|(penalty))"</v>
      </c>
      <c r="U28" s="9" t="str">
        <f>MID(B28,13,4)</f>
        <v>4016</v>
      </c>
      <c r="V28" s="31">
        <f>A28-utc_offset/24</f>
        <v>43030.930358796293</v>
      </c>
      <c r="W28" s="45" t="str">
        <f>DetSubdiv(C28)</f>
        <v>NW</v>
      </c>
      <c r="X28" s="22">
        <f>VALUE(LEFT(C28,LEN(C28)-3))</f>
        <v>1821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{"issue":{"subject":"","project_id":79,"tracker_id":40,"status_id":1,"priority_id":2,"assigned_to_id":338,"start_date":"2017-10-22","description":"","custom_fields":[{"id":1,"name":"Subdivision","value":"NW"},{"id":4,"name":"Milepost","value":"5.7008"},{"id":17,"name":"Train ID","value":"1821-22"},{"id":16,"name":"Locomotive ID","value":"4016"},{"id":130,"name":"Impact","value":""},{"id":150,"name":"Time of Event (Mountain Time)","value":"16:19:43"},{"id":151,"name":"Denver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/c/Users/stu/AppData/Local/Temp/OnboardLogs/RTDC4016 --include="*4016*201710222*"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"%USERPROFILE%\AppData\Local\Temp\OnboardLogs"\RTDC4016\*4016*201710222* &gt;&gt; 2017-10-22-SliceDisagreementCheck.txt</v>
      </c>
      <c r="AE28" s="145" t="str">
        <f t="shared" si="1"/>
        <v>start /low /b %USERPROFILE%\Documents\GitHub\eaglep3\Utilities\DownloadLogsFromS3.py --loco 4016 --day 2017-10-22</v>
      </c>
      <c r="AF28" s="1"/>
    </row>
    <row r="29" spans="1:32" x14ac:dyDescent="0.3">
      <c r="A29" s="31">
        <v>43030.593171296299</v>
      </c>
      <c r="B29" s="30" t="s">
        <v>517</v>
      </c>
      <c r="C29" s="30" t="s">
        <v>654</v>
      </c>
      <c r="D29" s="30" t="s">
        <v>49</v>
      </c>
      <c r="E29" s="30" t="s">
        <v>410</v>
      </c>
      <c r="F29" s="42">
        <v>0</v>
      </c>
      <c r="G29" s="42">
        <v>278</v>
      </c>
      <c r="H29" s="42">
        <v>20805</v>
      </c>
      <c r="I29" s="42">
        <v>21390</v>
      </c>
      <c r="J29" s="30" t="s">
        <v>411</v>
      </c>
      <c r="K29" s="42">
        <v>22314</v>
      </c>
      <c r="L29" s="131" t="s">
        <v>50</v>
      </c>
      <c r="M29" s="132">
        <f>CONVERT((I29-K29)/10000,"mi","ft")*IF(L29="Increasing Mileposts (1)",-1,1)</f>
        <v>487.87200000000001</v>
      </c>
      <c r="N29" s="133" t="str">
        <f>VLOOKUP(C29,'Trips&amp;Operators'!$C$1:$G$99911,5,FALSE)</f>
        <v>HOLCOMB KAMDEN</v>
      </c>
      <c r="O29" s="176" t="s">
        <v>375</v>
      </c>
      <c r="P29" s="134" t="s">
        <v>422</v>
      </c>
      <c r="Q29" s="30"/>
      <c r="R29" s="81" t="str">
        <f>VLOOKUP(C29,'Train Runs'!$A$13:$AE$10061,31,0)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S29" s="84" t="str">
        <f>VLOOKUP(C29,'Train Runs'!$A$13:$AE$10061,22,0)</f>
        <v>https://d0f6bd738d7f1b3e5a7ca70fe4ff75f0.us-east-1.aws.found.io/app/kibana#/discover/Steve-Slow-Train-Analysis-(2080s-and-2083s)?_g=(refreshInterval:(display:Off,pause:!f,section:0,value:0),time:(from:'2017-10-22T12:26:53-0600',mode:absolute,to:'2017-10-22T15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/stypes="*4016*201710222*" /stext=" 20:.+((SYSTEM_STATE.+slice.+state.+changed )|(ment ac)|(multiple cpu faults)|(system.+state.+changed )|(\[timeout)|(PRM\|1\|D)|(kpr)|(kdp)|(train st.+moving)|(\|lc)|(penalty))"</v>
      </c>
      <c r="U29" s="9" t="str">
        <f>MID(B29,13,4)</f>
        <v>4016</v>
      </c>
      <c r="V29" s="31">
        <f>A29-utc_offset/24</f>
        <v>43030.843171296299</v>
      </c>
      <c r="W29" s="45" t="str">
        <f>DetSubdiv(C29)</f>
        <v>NW</v>
      </c>
      <c r="X29" s="22">
        <f>VALUE(LEFT(C29,LEN(C29)-3))</f>
        <v>1817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drop","project_id":79,"tracker_id":40,"status_id":1,"priority_id":2,"assigned_to_id":338,"start_date":"2017-10-22","description":"","custom_fields":[{"id":1,"name":"Subdivision","value":"NW"},{"id":4,"name":"Milepost","value":"2.2314"},{"id":17,"name":"Train ID","value":"1817-22"},{"id":16,"name":"Locomotive ID","value":"4016"},{"id":130,"name":"Impact","value":""},{"id":150,"name":"Time of Event (Mountain Time)","value":"14:14:10"},{"id":151,"name":"Denver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/c/Users/stu/AppData/Local/Temp/OnboardLogs/RTDC4016 --include="*4016*201710222*"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"%USERPROFILE%\AppData\Local\Temp\OnboardLogs"\RTDC4016\*4016*201710222* &gt;&gt; 2017-10-22-SliceDisagreementCheck.txt</v>
      </c>
      <c r="AE29" s="145" t="str">
        <f t="shared" si="1"/>
        <v>start /low /b %USERPROFILE%\Documents\GitHub\eaglep3\Utilities\DownloadLogsFromS3.py --loco 4016 --day 2017-10-22</v>
      </c>
      <c r="AF29" s="1"/>
    </row>
    <row r="30" spans="1:32" x14ac:dyDescent="0.3">
      <c r="A30" s="31">
        <v>43030.428819444445</v>
      </c>
      <c r="B30" s="30" t="s">
        <v>517</v>
      </c>
      <c r="C30" s="30" t="s">
        <v>647</v>
      </c>
      <c r="D30" s="30" t="s">
        <v>49</v>
      </c>
      <c r="E30" s="30" t="s">
        <v>410</v>
      </c>
      <c r="F30" s="42">
        <v>0</v>
      </c>
      <c r="G30" s="42">
        <v>294</v>
      </c>
      <c r="H30" s="42">
        <v>35831</v>
      </c>
      <c r="I30" s="42">
        <v>36657</v>
      </c>
      <c r="J30" s="30" t="s">
        <v>411</v>
      </c>
      <c r="K30" s="42">
        <v>37575</v>
      </c>
      <c r="L30" s="131" t="s">
        <v>50</v>
      </c>
      <c r="M30" s="132">
        <f>CONVERT((I30-K30)/10000,"mi","ft")*IF(L30="Increasing Mileposts (1)",-1,1)</f>
        <v>484.70400000000001</v>
      </c>
      <c r="N30" s="133" t="str">
        <f>VLOOKUP(C30,'Trips&amp;Operators'!$C$1:$G$99911,5,FALSE)</f>
        <v>MACDONALD THOMAS</v>
      </c>
      <c r="O30" s="176" t="s">
        <v>375</v>
      </c>
      <c r="P30" s="134" t="s">
        <v>422</v>
      </c>
      <c r="Q30" s="30"/>
      <c r="R30" s="81" t="str">
        <f>VLOOKUP(C30,'Train Runs'!$A$13:$AE$10061,31,0)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S30" s="84" t="str">
        <f>VLOOKUP(C30,'Train Runs'!$A$13:$AE$10061,22,0)</f>
        <v>https://d0f6bd738d7f1b3e5a7ca70fe4ff75f0.us-east-1.aws.found.io/app/kibana#/discover/Steve-Slow-Train-Analysis-(2080s-and-2083s)?_g=(refreshInterval:(display:Off,pause:!f,section:0,value:0),time:(from:'2017-10-22T09:08:15-0600',mode:absolute,to:'2017-10-22T11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/stypes="*4016*201710221*" /stext=" 16:.+((SYSTEM_STATE.+slice.+state.+changed )|(ment ac)|(multiple cpu faults)|(system.+state.+changed )|(\[timeout)|(PRM\|1\|D)|(kpr)|(kdp)|(train st.+moving)|(\|lc)|(penalty))"</v>
      </c>
      <c r="U30" s="9" t="str">
        <f>MID(B30,13,4)</f>
        <v>4016</v>
      </c>
      <c r="V30" s="31">
        <f>A30-utc_offset/24</f>
        <v>43030.678819444445</v>
      </c>
      <c r="W30" s="45" t="str">
        <f>DetSubdiv(C30)</f>
        <v>NW</v>
      </c>
      <c r="X30" s="22">
        <f>VALUE(LEFT(C30,LEN(C30)-3))</f>
        <v>1809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drop","project_id":79,"tracker_id":40,"status_id":1,"priority_id":2,"assigned_to_id":338,"start_date":"2017-10-22","description":"","custom_fields":[{"id":1,"name":"Subdivision","value":"NW"},{"id":4,"name":"Milepost","value":"3.7575"},{"id":17,"name":"Train ID","value":"1809-22"},{"id":16,"name":"Locomotive ID","value":"4016"},{"id":130,"name":"Impact","value":""},{"id":150,"name":"Time of Event (Mountain Time)","value":"10:17:30"},{"id":151,"name":"Denver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/c/Users/stu/AppData/Local/Temp/OnboardLogs/RTDC4016 --include="*4016*201710221*"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"%USERPROFILE%\AppData\Local\Temp\OnboardLogs"\RTDC4016\*4016*201710221* &gt;&gt; 2017-10-22-SliceDisagreementCheck.txt</v>
      </c>
      <c r="AE30" s="145" t="str">
        <f t="shared" si="1"/>
        <v>start /low /b %USERPROFILE%\Documents\GitHub\eaglep3\Utilities\DownloadLogsFromS3.py --loco 4016 --day 2017-10-22</v>
      </c>
      <c r="AF30" s="1"/>
    </row>
    <row r="31" spans="1:32" x14ac:dyDescent="0.3">
      <c r="A31" s="31">
        <v>43030.705023148148</v>
      </c>
      <c r="B31" s="30" t="s">
        <v>504</v>
      </c>
      <c r="C31" s="30" t="s">
        <v>658</v>
      </c>
      <c r="D31" s="30" t="s">
        <v>49</v>
      </c>
      <c r="E31" s="30" t="s">
        <v>179</v>
      </c>
      <c r="F31" s="42">
        <v>0</v>
      </c>
      <c r="G31" s="42">
        <v>50</v>
      </c>
      <c r="H31" s="42">
        <v>734</v>
      </c>
      <c r="I31" s="42">
        <v>701</v>
      </c>
      <c r="J31" s="30" t="s">
        <v>180</v>
      </c>
      <c r="K31" s="42">
        <v>575</v>
      </c>
      <c r="L31" s="131" t="s">
        <v>51</v>
      </c>
      <c r="M31" s="132">
        <f>CONVERT((I31-K31)/10000,"mi","ft")*IF(L31="Increasing Mileposts (1)",-1,1)</f>
        <v>66.528000000000006</v>
      </c>
      <c r="N31" s="133" t="str">
        <f>VLOOKUP(C31,'Trips&amp;Operators'!$C$1:$G$99911,5,FALSE)</f>
        <v>HOLCOMB KAMDEN</v>
      </c>
      <c r="O31" s="176" t="s">
        <v>178</v>
      </c>
      <c r="P31" s="134"/>
      <c r="Q31" s="30"/>
      <c r="R31" s="81" t="str">
        <f>VLOOKUP(C31,'Train Runs'!$A$13:$AE$10061,31,0)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S31" s="84" t="str">
        <f>VLOOKUP(C31,'Train Runs'!$A$13:$AE$10061,22,0)</f>
        <v>https://d0f6bd738d7f1b3e5a7ca70fe4ff75f0.us-east-1.aws.found.io/app/kibana#/discover/Steve-Slow-Train-Analysis-(2080s-and-2083s)?_g=(refreshInterval:(display:Off,pause:!f,section:0,value:0),time:(from:'2017-10-22T15:25:02-0600',mode:absolute,to:'2017-10-22T17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/stypes="*4015*201710222*" /stext=" 22:.+((SYSTEM_STATE.+slice.+state.+changed )|(ment ac)|(multiple cpu faults)|(system.+state.+changed )|(\[timeout)|(PRM\|1\|D)|(kpr)|(kdp)|(train st.+moving)|(\|lc)|(penalty))"</v>
      </c>
      <c r="U31" s="9" t="str">
        <f>MID(B31,13,4)</f>
        <v>4015</v>
      </c>
      <c r="V31" s="31">
        <f>A31-utc_offset/24</f>
        <v>43030.955023148148</v>
      </c>
      <c r="W31" s="45" t="str">
        <f>DetSubdiv(C31)</f>
        <v>NW</v>
      </c>
      <c r="X31" s="22">
        <f>VALUE(LEFT(C31,LEN(C31)-3))</f>
        <v>1822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{"issue":{"subject":"","project_id":79,"tracker_id":40,"status_id":1,"priority_id":2,"assigned_to_id":338,"start_date":"2017-10-22","description":"","custom_fields":[{"id":1,"name":"Subdivision","value":"NW"},{"id":4,"name":"Milepost","value":"0.0575"},{"id":17,"name":"Train ID","value":"1822-22"},{"id":16,"name":"Locomotive ID","value":"4015"},{"id":130,"name":"Impact","value":""},{"id":150,"name":"Time of Event (Mountain Time)","value":"16:55:14"},{"id":151,"name":"Denver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/c/Users/stu/AppData/Local/Temp/OnboardLogs/RTDC4015 --include="*4015*201710222*"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"%USERPROFILE%\AppData\Local\Temp\OnboardLogs"\RTDC4015\*4015*201710222* &gt;&gt; 2017-10-22-SliceDisagreementCheck.txt</v>
      </c>
      <c r="AE31" s="145" t="str">
        <f t="shared" si="1"/>
        <v>start /low /b %USERPROFILE%\Documents\GitHub\eaglep3\Utilities\DownloadLogsFromS3.py --loco 4015 --day 2017-10-22</v>
      </c>
      <c r="AF31" s="1"/>
    </row>
    <row r="32" spans="1:32" x14ac:dyDescent="0.3">
      <c r="A32" s="31">
        <v>43030.747858796298</v>
      </c>
      <c r="B32" s="30" t="s">
        <v>504</v>
      </c>
      <c r="C32" s="30" t="s">
        <v>664</v>
      </c>
      <c r="D32" s="30" t="s">
        <v>49</v>
      </c>
      <c r="E32" s="30" t="s">
        <v>179</v>
      </c>
      <c r="F32" s="42">
        <v>0</v>
      </c>
      <c r="G32" s="42">
        <v>25</v>
      </c>
      <c r="H32" s="42">
        <v>661</v>
      </c>
      <c r="I32" s="42">
        <v>647</v>
      </c>
      <c r="J32" s="30" t="s">
        <v>180</v>
      </c>
      <c r="K32" s="42">
        <v>575</v>
      </c>
      <c r="L32" s="131" t="s">
        <v>51</v>
      </c>
      <c r="M32" s="132">
        <f>CONVERT((I32-K32)/10000,"mi","ft")*IF(L32="Increasing Mileposts (1)",-1,1)</f>
        <v>38.015999999999998</v>
      </c>
      <c r="N32" s="133" t="str">
        <f>VLOOKUP(C32,'Trips&amp;Operators'!$C$1:$G$99911,5,FALSE)</f>
        <v>HOLCOMB KAMDEN</v>
      </c>
      <c r="O32" s="176" t="s">
        <v>178</v>
      </c>
      <c r="P32" s="134"/>
      <c r="Q32" s="30"/>
      <c r="R32" s="81" t="str">
        <f>VLOOKUP(C32,'Train Runs'!$A$13:$AE$10061,31,0)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S32" s="84" t="str">
        <f>VLOOKUP(C32,'Train Runs'!$A$13:$AE$10061,22,0)</f>
        <v>https://d0f6bd738d7f1b3e5a7ca70fe4ff75f0.us-east-1.aws.found.io/app/kibana#/discover/Steve-Slow-Train-Analysis-(2080s-and-2083s)?_g=(refreshInterval:(display:Off,pause:!f,section:0,value:0),time:(from:'2017-10-22T16:26:33-0600',mode:absolute,to:'2017-10-22T18:56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/stypes="*4015*201710222*" /stext=" 23:.+((SYSTEM_STATE.+slice.+state.+changed )|(ment ac)|(multiple cpu faults)|(system.+state.+changed )|(\[timeout)|(PRM\|1\|D)|(kpr)|(kdp)|(train st.+moving)|(\|lc)|(penalty))"</v>
      </c>
      <c r="U32" s="9" t="str">
        <f>MID(B32,13,4)</f>
        <v>4015</v>
      </c>
      <c r="V32" s="31">
        <f>A32-utc_offset/24</f>
        <v>43030.997858796298</v>
      </c>
      <c r="W32" s="45" t="str">
        <f>DetSubdiv(C32)</f>
        <v>NW</v>
      </c>
      <c r="X32" s="22">
        <f>VALUE(LEFT(C32,LEN(C32)-3))</f>
        <v>1824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{"issue":{"subject":"","project_id":79,"tracker_id":40,"status_id":1,"priority_id":2,"assigned_to_id":338,"start_date":"2017-10-22","description":"","custom_fields":[{"id":1,"name":"Subdivision","value":"NW"},{"id":4,"name":"Milepost","value":"0.0575"},{"id":17,"name":"Train ID","value":"1824-22"},{"id":16,"name":"Locomotive ID","value":"4015"},{"id":130,"name":"Impact","value":""},{"id":150,"name":"Time of Event (Mountain Time)","value":"17:56:55"},{"id":151,"name":"Denver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/c/Users/stu/AppData/Local/Temp/OnboardLogs/RTDC4015 --include="*4015*201710222*"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"%USERPROFILE%\AppData\Local\Temp\OnboardLogs"\RTDC4015\*4015*201710222* &gt;&gt; 2017-10-22-SliceDisagreementCheck.txt</v>
      </c>
      <c r="AE32" s="145" t="str">
        <f t="shared" si="1"/>
        <v>start /low /b %USERPROFILE%\Documents\GitHub\eaglep3\Utilities\DownloadLogsFromS3.py --loco 4015 --day 2017-10-22</v>
      </c>
      <c r="AF32" s="1"/>
    </row>
    <row r="33" spans="1:32" x14ac:dyDescent="0.3">
      <c r="A33" s="31">
        <v>43030.789814814816</v>
      </c>
      <c r="B33" s="30" t="s">
        <v>504</v>
      </c>
      <c r="C33" s="30" t="s">
        <v>667</v>
      </c>
      <c r="D33" s="30" t="s">
        <v>49</v>
      </c>
      <c r="E33" s="30" t="s">
        <v>179</v>
      </c>
      <c r="F33" s="42">
        <v>0</v>
      </c>
      <c r="G33" s="42">
        <v>37</v>
      </c>
      <c r="H33" s="42">
        <v>698</v>
      </c>
      <c r="I33" s="42">
        <v>670</v>
      </c>
      <c r="J33" s="30" t="s">
        <v>180</v>
      </c>
      <c r="K33" s="42">
        <v>575</v>
      </c>
      <c r="L33" s="131" t="s">
        <v>51</v>
      </c>
      <c r="M33" s="132">
        <f>CONVERT((I33-K33)/10000,"mi","ft")*IF(L33="Increasing Mileposts (1)",-1,1)</f>
        <v>50.16</v>
      </c>
      <c r="N33" s="133" t="str">
        <f>VLOOKUP(C33,'Trips&amp;Operators'!$C$1:$G$99911,5,FALSE)</f>
        <v>HOLCOMB KAMDEN</v>
      </c>
      <c r="O33" s="176" t="s">
        <v>178</v>
      </c>
      <c r="P33" s="134"/>
      <c r="Q33" s="30"/>
      <c r="R33" s="81" t="str">
        <f>VLOOKUP(C33,'Train Runs'!$A$13:$AE$10061,31,0)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S33" s="84" t="str">
        <f>VLOOKUP(C33,'Train Runs'!$A$13:$AE$10061,22,0)</f>
        <v>https://d0f6bd738d7f1b3e5a7ca70fe4ff75f0.us-east-1.aws.found.io/app/kibana#/discover/Steve-Slow-Train-Analysis-(2080s-and-2083s)?_g=(refreshInterval:(display:Off,pause:!f,section:0,value:0),time:(from:'2017-10-22T17:34:32-0600',mode:absolute,to:'2017-10-22T19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/stypes="*4015*201710230*" /stext=" 00:.+((SYSTEM_STATE.+slice.+state.+changed )|(ment ac)|(multiple cpu faults)|(system.+state.+changed )|(\[timeout)|(PRM\|1\|D)|(kpr)|(kdp)|(train st.+moving)|(\|lc)|(penalty))"</v>
      </c>
      <c r="U33" s="9" t="str">
        <f>MID(B33,13,4)</f>
        <v>4015</v>
      </c>
      <c r="V33" s="31">
        <f>A33-utc_offset/24</f>
        <v>43031.039814814816</v>
      </c>
      <c r="W33" s="45" t="str">
        <f>DetSubdiv(C33)</f>
        <v>NW</v>
      </c>
      <c r="X33" s="22">
        <f>VALUE(LEFT(C33,LEN(C33)-3))</f>
        <v>1826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{"issue":{"subject":"","project_id":79,"tracker_id":40,"status_id":1,"priority_id":2,"assigned_to_id":338,"start_date":"2017-10-22","description":"","custom_fields":[{"id":1,"name":"Subdivision","value":"NW"},{"id":4,"name":"Milepost","value":"0.0575"},{"id":17,"name":"Train ID","value":"1826-22"},{"id":16,"name":"Locomotive ID","value":"4015"},{"id":130,"name":"Impact","value":""},{"id":150,"name":"Time of Event (Mountain Time)","value":"18:57:20"},{"id":151,"name":"Denver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/c/Users/stu/AppData/Local/Temp/OnboardLogs/RTDC4015 --include="*4015*201710230*"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"%USERPROFILE%\AppData\Local\Temp\OnboardLogs"\RTDC4015\*4015*201710230* &gt;&gt; 2017-10-22-SliceDisagreementCheck.txt</v>
      </c>
      <c r="AE33" s="145" t="str">
        <f t="shared" si="1"/>
        <v>start /low /b %USERPROFILE%\Documents\GitHub\eaglep3\Utilities\DownloadLogsFromS3.py --loco 4015 --day 2017-10-23</v>
      </c>
      <c r="AF33" s="1"/>
    </row>
    <row r="34" spans="1:32" x14ac:dyDescent="0.3">
      <c r="A34" s="31">
        <v>43030.913657407407</v>
      </c>
      <c r="B34" s="30" t="s">
        <v>504</v>
      </c>
      <c r="C34" s="30" t="s">
        <v>670</v>
      </c>
      <c r="D34" s="30" t="s">
        <v>49</v>
      </c>
      <c r="E34" s="30" t="s">
        <v>179</v>
      </c>
      <c r="F34" s="42">
        <v>0</v>
      </c>
      <c r="G34" s="42">
        <v>52</v>
      </c>
      <c r="H34" s="42">
        <v>757</v>
      </c>
      <c r="I34" s="42">
        <v>729</v>
      </c>
      <c r="J34" s="30" t="s">
        <v>180</v>
      </c>
      <c r="K34" s="42">
        <v>575</v>
      </c>
      <c r="L34" s="131" t="s">
        <v>51</v>
      </c>
      <c r="M34" s="132">
        <f>CONVERT((I34-K34)/10000,"mi","ft")*IF(L34="Increasing Mileposts (1)",-1,1)</f>
        <v>81.311999999999998</v>
      </c>
      <c r="N34" s="133" t="str">
        <f>VLOOKUP(C34,'Trips&amp;Operators'!$C$1:$G$99911,5,FALSE)</f>
        <v>HOLCOMB KAMDEN</v>
      </c>
      <c r="O34" s="176" t="s">
        <v>178</v>
      </c>
      <c r="P34" s="134"/>
      <c r="Q34" s="30"/>
      <c r="R34" s="81" t="str">
        <f>VLOOKUP(C34,'Train Runs'!$A$13:$AE$10061,31,0)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S34" s="84" t="str">
        <f>VLOOKUP(C34,'Train Runs'!$A$13:$AE$10061,22,0)</f>
        <v>https://d0f6bd738d7f1b3e5a7ca70fe4ff75f0.us-east-1.aws.found.io/app/kibana#/discover/Steve-Slow-Train-Analysis-(2080s-and-2083s)?_g=(refreshInterval:(display:Off,pause:!f,section:0,value:0),time:(from:'2017-10-22T20:25:37-0600',mode:absolute,to:'2017-10-22T22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/stypes="*4015*201710230*" /stext=" 03:.+((SYSTEM_STATE.+slice.+state.+changed )|(ment ac)|(multiple cpu faults)|(system.+state.+changed )|(\[timeout)|(PRM\|1\|D)|(kpr)|(kdp)|(train st.+moving)|(\|lc)|(penalty))"</v>
      </c>
      <c r="U34" s="9" t="str">
        <f>MID(B34,13,4)</f>
        <v>4015</v>
      </c>
      <c r="V34" s="31">
        <f>A34-utc_offset/24</f>
        <v>43031.163657407407</v>
      </c>
      <c r="W34" s="45" t="str">
        <f>DetSubdiv(C34)</f>
        <v>NW</v>
      </c>
      <c r="X34" s="22">
        <f>VALUE(LEFT(C34,LEN(C34)-3))</f>
        <v>1832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{"issue":{"subject":"","project_id":79,"tracker_id":40,"status_id":1,"priority_id":2,"assigned_to_id":338,"start_date":"2017-10-22","description":"","custom_fields":[{"id":1,"name":"Subdivision","value":"NW"},{"id":4,"name":"Milepost","value":"0.0575"},{"id":17,"name":"Train ID","value":"1832-22"},{"id":16,"name":"Locomotive ID","value":"4015"},{"id":130,"name":"Impact","value":""},{"id":150,"name":"Time of Event (Mountain Time)","value":"21:55:40"},{"id":151,"name":"Denver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/c/Users/stu/AppData/Local/Temp/OnboardLogs/RTDC4015 --include="*4015*201710230*"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"%USERPROFILE%\AppData\Local\Temp\OnboardLogs"\RTDC4015\*4015*201710230* &gt;&gt; 2017-10-22-SliceDisagreementCheck.txt</v>
      </c>
      <c r="AE34" s="145" t="str">
        <f t="shared" si="1"/>
        <v>start /low /b %USERPROFILE%\Documents\GitHub\eaglep3\Utilities\DownloadLogsFromS3.py --loco 4015 --day 2017-10-23</v>
      </c>
      <c r="AF34" s="1"/>
    </row>
    <row r="35" spans="1:32" x14ac:dyDescent="0.3">
      <c r="A35" s="31">
        <v>43030.955868055556</v>
      </c>
      <c r="B35" s="30" t="s">
        <v>504</v>
      </c>
      <c r="C35" s="30" t="s">
        <v>671</v>
      </c>
      <c r="D35" s="30" t="s">
        <v>49</v>
      </c>
      <c r="E35" s="30" t="s">
        <v>179</v>
      </c>
      <c r="F35" s="42">
        <v>0</v>
      </c>
      <c r="G35" s="42">
        <v>37</v>
      </c>
      <c r="H35" s="42">
        <v>677</v>
      </c>
      <c r="I35" s="42">
        <v>659</v>
      </c>
      <c r="J35" s="30" t="s">
        <v>180</v>
      </c>
      <c r="K35" s="42">
        <v>575</v>
      </c>
      <c r="L35" s="131" t="s">
        <v>51</v>
      </c>
      <c r="M35" s="132">
        <f>CONVERT((I35-K35)/10000,"mi","ft")*IF(L35="Increasing Mileposts (1)",-1,1)</f>
        <v>44.351999999999997</v>
      </c>
      <c r="N35" s="133" t="str">
        <f>VLOOKUP(C35,'Trips&amp;Operators'!$C$1:$G$99911,5,FALSE)</f>
        <v>HOLCOMB KAMDEN</v>
      </c>
      <c r="O35" s="176" t="s">
        <v>178</v>
      </c>
      <c r="P35" s="134"/>
      <c r="Q35" s="30"/>
      <c r="R35" s="81" t="str">
        <f>VLOOKUP(C35,'Train Runs'!$A$13:$AE$10061,31,0)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S35" s="84" t="str">
        <f>VLOOKUP(C35,'Train Runs'!$A$13:$AE$10061,22,0)</f>
        <v>https://d0f6bd738d7f1b3e5a7ca70fe4ff75f0.us-east-1.aws.found.io/app/kibana#/discover/Steve-Slow-Train-Analysis-(2080s-and-2083s)?_g=(refreshInterval:(display:Off,pause:!f,section:0,value:0),time:(from:'2017-10-22T21:25:18-0600',mode:absolute,to:'2017-10-22T23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/stypes="*4015*201710230*" /stext=" 04:.+((SYSTEM_STATE.+slice.+state.+changed )|(ment ac)|(multiple cpu faults)|(system.+state.+changed )|(\[timeout)|(PRM\|1\|D)|(kpr)|(kdp)|(train st.+moving)|(\|lc)|(penalty))"</v>
      </c>
      <c r="U35" s="9" t="str">
        <f>MID(B35,13,4)</f>
        <v>4015</v>
      </c>
      <c r="V35" s="31">
        <f>A35-utc_offset/24</f>
        <v>43031.205868055556</v>
      </c>
      <c r="W35" s="45" t="str">
        <f>DetSubdiv(C35)</f>
        <v>NW</v>
      </c>
      <c r="X35" s="22">
        <f>VALUE(LEFT(C35,LEN(C35)-3))</f>
        <v>1834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{"issue":{"subject":"","project_id":79,"tracker_id":40,"status_id":1,"priority_id":2,"assigned_to_id":338,"start_date":"2017-10-22","description":"","custom_fields":[{"id":1,"name":"Subdivision","value":"NW"},{"id":4,"name":"Milepost","value":"0.0575"},{"id":17,"name":"Train ID","value":"1834-22"},{"id":16,"name":"Locomotive ID","value":"4015"},{"id":130,"name":"Impact","value":""},{"id":150,"name":"Time of Event (Mountain Time)","value":"22:56:27"},{"id":151,"name":"Denver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/c/Users/stu/AppData/Local/Temp/OnboardLogs/RTDC4015 --include="*4015*201710230*"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"%USERPROFILE%\AppData\Local\Temp\OnboardLogs"\RTDC4015\*4015*201710230* &gt;&gt; 2017-10-22-SliceDisagreementCheck.txt</v>
      </c>
      <c r="AE35" s="145" t="str">
        <f t="shared" si="1"/>
        <v>start /low /b %USERPROFILE%\Documents\GitHub\eaglep3\Utilities\DownloadLogsFromS3.py --loco 4015 --day 2017-10-23</v>
      </c>
      <c r="AF35" s="1"/>
    </row>
    <row r="36" spans="1:32" x14ac:dyDescent="0.3">
      <c r="A36" s="31">
        <v>43030.682384259257</v>
      </c>
      <c r="B36" s="30" t="s">
        <v>517</v>
      </c>
      <c r="C36" s="30" t="s">
        <v>655</v>
      </c>
      <c r="D36" s="30" t="s">
        <v>49</v>
      </c>
      <c r="E36" s="30" t="s">
        <v>179</v>
      </c>
      <c r="F36" s="42">
        <v>0</v>
      </c>
      <c r="G36" s="42">
        <v>81</v>
      </c>
      <c r="H36" s="42">
        <v>58807</v>
      </c>
      <c r="I36" s="42">
        <v>58890</v>
      </c>
      <c r="J36" s="30" t="s">
        <v>180</v>
      </c>
      <c r="K36" s="42">
        <v>59048</v>
      </c>
      <c r="L36" s="131" t="s">
        <v>50</v>
      </c>
      <c r="M36" s="132">
        <f>CONVERT((I36-K36)/10000,"mi","ft")*IF(L36="Increasing Mileposts (1)",-1,1)</f>
        <v>83.424000000000007</v>
      </c>
      <c r="N36" s="133" t="str">
        <f>VLOOKUP(C36,'Trips&amp;Operators'!$C$1:$G$99911,5,FALSE)</f>
        <v>HOLCOMB KAMDEN</v>
      </c>
      <c r="O36" s="176" t="s">
        <v>178</v>
      </c>
      <c r="P36" s="134"/>
      <c r="Q36" s="30"/>
      <c r="R36" s="81" t="str">
        <f>VLOOKUP(C36,'Train Runs'!$A$13:$AE$10061,31,0)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S36" s="84" t="str">
        <f>VLOOKUP(C36,'Train Runs'!$A$13:$AE$10061,22,0)</f>
        <v>https://d0f6bd738d7f1b3e5a7ca70fe4ff75f0.us-east-1.aws.found.io/app/kibana#/discover/Steve-Slow-Train-Analysis-(2080s-and-2083s)?_g=(refreshInterval:(display:Off,pause:!f,section:0,value:0),time:(from:'2017-10-22T14:27:33-0600',mode:absolute,to:'2017-10-22T17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/stypes="*4016*201710222*" /stext=" 22:.+((SYSTEM_STATE.+slice.+state.+changed )|(ment ac)|(multiple cpu faults)|(system.+state.+changed )|(\[timeout)|(PRM\|1\|D)|(kpr)|(kdp)|(train st.+moving)|(\|lc)|(penalty))"</v>
      </c>
      <c r="U36" s="9" t="str">
        <f>MID(B36,13,4)</f>
        <v>4016</v>
      </c>
      <c r="V36" s="31">
        <f>A36-utc_offset/24</f>
        <v>43030.932384259257</v>
      </c>
      <c r="W36" s="45" t="str">
        <f>DetSubdiv(C36)</f>
        <v>NW</v>
      </c>
      <c r="X36" s="22">
        <f>VALUE(LEFT(C36,LEN(C36)-3))</f>
        <v>1821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{"issue":{"subject":"","project_id":79,"tracker_id":40,"status_id":1,"priority_id":2,"assigned_to_id":338,"start_date":"2017-10-22","description":"","custom_fields":[{"id":1,"name":"Subdivision","value":"NW"},{"id":4,"name":"Milepost","value":"5.9048"},{"id":17,"name":"Train ID","value":"1821-22"},{"id":16,"name":"Locomotive ID","value":"4016"},{"id":130,"name":"Impact","value":""},{"id":150,"name":"Time of Event (Mountain Time)","value":"16:22:38"},{"id":151,"name":"Denver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/c/Users/stu/AppData/Local/Temp/OnboardLogs/RTDC4016 --include="*4016*201710222*"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"%USERPROFILE%\AppData\Local\Temp\OnboardLogs"\RTDC4016\*4016*201710222* &gt;&gt; 2017-10-22-SliceDisagreementCheck.txt</v>
      </c>
      <c r="AE36" s="145" t="str">
        <f t="shared" si="1"/>
        <v>start /low /b %USERPROFILE%\Documents\GitHub\eaglep3\Utilities\DownloadLogsFromS3.py --loco 4016 --day 2017-10-22</v>
      </c>
      <c r="AF36" s="1"/>
    </row>
    <row r="37" spans="1:32" x14ac:dyDescent="0.3">
      <c r="A37" s="31">
        <v>43030.725115740737</v>
      </c>
      <c r="B37" s="30" t="s">
        <v>517</v>
      </c>
      <c r="C37" s="30" t="s">
        <v>662</v>
      </c>
      <c r="D37" s="30" t="s">
        <v>49</v>
      </c>
      <c r="E37" s="30" t="s">
        <v>179</v>
      </c>
      <c r="F37" s="42">
        <v>0</v>
      </c>
      <c r="G37" s="42">
        <v>73</v>
      </c>
      <c r="H37" s="42">
        <v>58801</v>
      </c>
      <c r="I37" s="42">
        <v>58850</v>
      </c>
      <c r="J37" s="30" t="s">
        <v>180</v>
      </c>
      <c r="K37" s="42">
        <v>59048</v>
      </c>
      <c r="L37" s="131" t="s">
        <v>50</v>
      </c>
      <c r="M37" s="132">
        <f>CONVERT((I37-K37)/10000,"mi","ft")*IF(L37="Increasing Mileposts (1)",-1,1)</f>
        <v>104.544</v>
      </c>
      <c r="N37" s="133" t="str">
        <f>VLOOKUP(C37,'Trips&amp;Operators'!$C$1:$G$99911,5,FALSE)</f>
        <v>HOLCOMB KAMDEN</v>
      </c>
      <c r="O37" s="176" t="s">
        <v>178</v>
      </c>
      <c r="P37" s="134"/>
      <c r="Q37" s="30"/>
      <c r="R37" s="81" t="str">
        <f>VLOOKUP(C37,'Train Runs'!$A$13:$AE$10061,31,0)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S37" s="84" t="str">
        <f>VLOOKUP(C37,'Train Runs'!$A$13:$AE$10061,22,0)</f>
        <v>https://d0f6bd738d7f1b3e5a7ca70fe4ff75f0.us-east-1.aws.found.io/app/kibana#/discover/Steve-Slow-Train-Analysis-(2080s-and-2083s)?_g=(refreshInterval:(display:Off,pause:!f,section:0,value:0),time:(from:'2017-10-22T16:06:32-0600',mode:absolute,to:'2017-10-22T18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/stypes="*4016*201710222*" /stext=" 23:.+((SYSTEM_STATE.+slice.+state.+changed )|(ment ac)|(multiple cpu faults)|(system.+state.+changed )|(\[timeout)|(PRM\|1\|D)|(kpr)|(kdp)|(train st.+moving)|(\|lc)|(penalty))"</v>
      </c>
      <c r="U37" s="9" t="str">
        <f>MID(B37,13,4)</f>
        <v>4016</v>
      </c>
      <c r="V37" s="31">
        <f>A37-utc_offset/24</f>
        <v>43030.975115740737</v>
      </c>
      <c r="W37" s="45" t="str">
        <f>DetSubdiv(C37)</f>
        <v>NW</v>
      </c>
      <c r="X37" s="22">
        <f>VALUE(LEFT(C37,LEN(C37)-3))</f>
        <v>1823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{"issue":{"subject":"","project_id":79,"tracker_id":40,"status_id":1,"priority_id":2,"assigned_to_id":338,"start_date":"2017-10-22","description":"","custom_fields":[{"id":1,"name":"Subdivision","value":"NW"},{"id":4,"name":"Milepost","value":"5.9048"},{"id":17,"name":"Train ID","value":"1823-22"},{"id":16,"name":"Locomotive ID","value":"4016"},{"id":130,"name":"Impact","value":""},{"id":150,"name":"Time of Event (Mountain Time)","value":"17:24:10"},{"id":151,"name":"Denver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/c/Users/stu/AppData/Local/Temp/OnboardLogs/RTDC4016 --include="*4016*201710222*"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"%USERPROFILE%\AppData\Local\Temp\OnboardLogs"\RTDC4016\*4016*201710222* &gt;&gt; 2017-10-22-SliceDisagreementCheck.txt</v>
      </c>
      <c r="AE37" s="145" t="str">
        <f t="shared" si="1"/>
        <v>start /low /b %USERPROFILE%\Documents\GitHub\eaglep3\Utilities\DownloadLogsFromS3.py --loco 4016 --day 2017-10-22</v>
      </c>
      <c r="AF37" s="1"/>
    </row>
    <row r="38" spans="1:32" x14ac:dyDescent="0.3">
      <c r="A38" s="31">
        <v>43030.770694444444</v>
      </c>
      <c r="B38" s="30" t="s">
        <v>517</v>
      </c>
      <c r="C38" s="30" t="s">
        <v>665</v>
      </c>
      <c r="D38" s="30" t="s">
        <v>49</v>
      </c>
      <c r="E38" s="30" t="s">
        <v>179</v>
      </c>
      <c r="F38" s="42">
        <v>0</v>
      </c>
      <c r="G38" s="42">
        <v>29</v>
      </c>
      <c r="H38" s="42">
        <v>58978</v>
      </c>
      <c r="I38" s="42">
        <v>58992</v>
      </c>
      <c r="J38" s="30" t="s">
        <v>180</v>
      </c>
      <c r="K38" s="42">
        <v>59048</v>
      </c>
      <c r="L38" s="131" t="s">
        <v>50</v>
      </c>
      <c r="M38" s="132">
        <f>CONVERT((I38-K38)/10000,"mi","ft")*IF(L38="Increasing Mileposts (1)",-1,1)</f>
        <v>29.568000000000001</v>
      </c>
      <c r="N38" s="133" t="str">
        <f>VLOOKUP(C38,'Trips&amp;Operators'!$C$1:$G$99911,5,FALSE)</f>
        <v>HOLCOMB KAMDEN</v>
      </c>
      <c r="O38" s="176" t="s">
        <v>178</v>
      </c>
      <c r="P38" s="134"/>
      <c r="Q38" s="30"/>
      <c r="R38" s="81" t="str">
        <f>VLOOKUP(C38,'Train Runs'!$A$13:$AE$10061,31,0)</f>
        <v>aws s3 cp s3://rtdc.mdm.uploadarchive.raw/RTDC4016/ "%USERPROFILE%\AppData\Local\Temp\OnboardLogs"\RTDC4016\2017-10-22 --exclude "*" --recursive --include "*20171022*" &amp; "%USERPROFILE%\Documents\GitHub\mrs-test-scripts\Headless Mode &amp; Sideloading\WalkAndUnGZ.bat" "%USERPROFILE%\AppData\Local\Temp\OnboardLogs"\RTDC4016\2017-10-22 &amp; 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</v>
      </c>
      <c r="S38" s="84" t="str">
        <f>VLOOKUP(C38,'Train Runs'!$A$13:$AE$10061,22,0)</f>
        <v>https://d0f6bd738d7f1b3e5a7ca70fe4ff75f0.us-east-1.aws.found.io/app/kibana#/discover/Steve-Slow-Train-Analysis-(2080s-and-2083s)?_g=(refreshInterval:(display:Off,pause:!f,section:0,value:0),time:(from:'2017-10-22T17:05:53-0600',mode:absolute,to:'2017-10-22T19:29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/stypes="*4016*201710230*" /stext=" 00:.+((SYSTEM_STATE.+slice.+state.+changed )|(ment ac)|(multiple cpu faults)|(system.+state.+changed )|(\[timeout)|(PRM\|1\|D)|(kpr)|(kdp)|(train st.+moving)|(\|lc)|(penalty))"</v>
      </c>
      <c r="U38" s="9" t="str">
        <f>MID(B38,13,4)</f>
        <v>4016</v>
      </c>
      <c r="V38" s="31">
        <f>A38-utc_offset/24</f>
        <v>43031.020694444444</v>
      </c>
      <c r="W38" s="45" t="str">
        <f>DetSubdiv(C38)</f>
        <v>NW</v>
      </c>
      <c r="X38" s="22">
        <f>VALUE(LEFT(C38,LEN(C38)-3))</f>
        <v>1825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{"issue":{"subject":"","project_id":79,"tracker_id":40,"status_id":1,"priority_id":2,"assigned_to_id":338,"start_date":"2017-10-22","description":"","custom_fields":[{"id":1,"name":"Subdivision","value":"NW"},{"id":4,"name":"Milepost","value":"5.9048"},{"id":17,"name":"Train ID","value":"1825-22"},{"id":16,"name":"Locomotive ID","value":"4016"},{"id":130,"name":"Impact","value":""},{"id":150,"name":"Time of Event (Mountain Time)","value":"18:29:48"},{"id":151,"name":"Denver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/c/Users/stu/AppData/Local/Temp/OnboardLogs/RTDC4016 --include="*4016*201710230*"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"%USERPROFILE%\AppData\Local\Temp\OnboardLogs"\RTDC4016\*4016*201710230* &gt;&gt; 2017-10-22-SliceDisagreementCheck.txt</v>
      </c>
      <c r="AE38" s="145" t="str">
        <f t="shared" si="1"/>
        <v>start /low /b %USERPROFILE%\Documents\GitHub\eaglep3\Utilities\DownloadLogsFromS3.py --loco 4016 --day 2017-10-23</v>
      </c>
      <c r="AF38" s="1"/>
    </row>
    <row r="39" spans="1:32" x14ac:dyDescent="0.3">
      <c r="A39" s="31">
        <v>43030.119201388887</v>
      </c>
      <c r="B39" s="30" t="s">
        <v>637</v>
      </c>
      <c r="C39" s="30" t="s">
        <v>638</v>
      </c>
      <c r="D39" s="30" t="s">
        <v>95</v>
      </c>
      <c r="E39" s="30" t="s">
        <v>410</v>
      </c>
      <c r="F39" s="42">
        <v>0</v>
      </c>
      <c r="G39" s="42">
        <v>97</v>
      </c>
      <c r="H39" s="42">
        <v>4785</v>
      </c>
      <c r="I39" s="42">
        <v>4623</v>
      </c>
      <c r="J39" s="30" t="s">
        <v>411</v>
      </c>
      <c r="K39" s="42">
        <v>4798</v>
      </c>
      <c r="L39" s="131" t="s">
        <v>51</v>
      </c>
      <c r="M39" s="132">
        <f>CONVERT((I39-K39)/10000,"mi","ft")*IF(L39="Increasing Mileposts (1)",-1,1)</f>
        <v>-92.4</v>
      </c>
      <c r="N39" s="133" t="str">
        <f>VLOOKUP(C39,'Trips&amp;Operators'!$C$1:$G$99911,5,FALSE)</f>
        <v>DELGADO DIANAH</v>
      </c>
      <c r="O39" s="176" t="s">
        <v>178</v>
      </c>
      <c r="P39" s="134"/>
      <c r="Q39" s="30"/>
      <c r="R39" s="81" t="e">
        <f>VLOOKUP(C39,'Train Runs'!$A$13:$AE$10061,31,0)</f>
        <v>#N/A</v>
      </c>
      <c r="S39" s="84" t="e">
        <f>VLOOKUP(C39,'Train Runs'!$A$13:$AE$10061,22,0)</f>
        <v>#N/A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/stypes="*4025*201710220*" /stext=" 08:.+((SYSTEM_STATE.+slice.+state.+changed )|(ment ac)|(multiple cpu faults)|(system.+state.+changed )|(\[timeout)|(PRM\|1\|D)|(kpr)|(kdp)|(train st.+moving)|(\|lc)|(penalty))"</v>
      </c>
      <c r="U39" s="9" t="str">
        <f>MID(B39,13,4)</f>
        <v>4025</v>
      </c>
      <c r="V39" s="31">
        <f>A39-utc_offset/24</f>
        <v>43030.369201388887</v>
      </c>
      <c r="W39" s="45" t="str">
        <f>DetSubdiv(C39)</f>
        <v>Other</v>
      </c>
      <c r="X39" s="22">
        <f>VALUE(LEFT(C39,LEN(C39)-3))</f>
        <v>300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{"issue":{"subject":"","project_id":79,"tracker_id":40,"status_id":1,"priority_id":2,"assigned_to_id":338,"start_date":"2017-10-22","description":"","custom_fields":[{"id":1,"name":"Subdivision","value":"Other"},{"id":4,"name":"Milepost","value":"0.4798"},{"id":17,"name":"Train ID","value":"300-22"},{"id":16,"name":"Locomotive ID","value":"4025"},{"id":130,"name":"Impact","value":""},{"id":150,"name":"Time of Event (Mountain Time)","value":"02:51:39"},{"id":151,"name":"Denver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/c/Users/stu/AppData/Local/Temp/OnboardLogs/RTDC4025 --include="*4025*201710220*"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"%USERPROFILE%\AppData\Local\Temp\OnboardLogs"\RTDC4025\*4025*201710220* &gt;&gt; 2017-10-22-SliceDisagreementCheck.txt</v>
      </c>
      <c r="AE39" s="145" t="str">
        <f t="shared" si="1"/>
        <v>start /low /b %USERPROFILE%\Documents\GitHub\eaglep3\Utilities\DownloadLogsFromS3.py --loco 4025 --day 2017-10-22</v>
      </c>
      <c r="AF39" s="1"/>
    </row>
    <row r="40" spans="1:32" x14ac:dyDescent="0.3">
      <c r="A40" s="31">
        <v>43030.981469907405</v>
      </c>
      <c r="B40" s="30" t="s">
        <v>504</v>
      </c>
      <c r="C40" s="30" t="s">
        <v>673</v>
      </c>
      <c r="D40" s="30" t="s">
        <v>49</v>
      </c>
      <c r="E40" s="30" t="s">
        <v>410</v>
      </c>
      <c r="F40" s="42">
        <v>0</v>
      </c>
      <c r="G40" s="42">
        <v>237</v>
      </c>
      <c r="H40" s="42">
        <v>34464</v>
      </c>
      <c r="I40" s="42">
        <v>34011</v>
      </c>
      <c r="J40" s="30" t="s">
        <v>411</v>
      </c>
      <c r="K40" s="42">
        <v>33261</v>
      </c>
      <c r="L40" s="131" t="s">
        <v>51</v>
      </c>
      <c r="M40" s="132">
        <f>CONVERT((I40-K40)/10000,"mi","ft")*IF(L40="Increasing Mileposts (1)",-1,1)</f>
        <v>396</v>
      </c>
      <c r="N40" s="133" t="str">
        <f>VLOOKUP(C40,'Trips&amp;Operators'!$C$1:$G$99911,5,FALSE)</f>
        <v>CASSIDY BRANDON</v>
      </c>
      <c r="O40" s="176" t="s">
        <v>178</v>
      </c>
      <c r="P40" s="134"/>
      <c r="Q40" s="30"/>
      <c r="R40" s="81" t="str">
        <f>VLOOKUP(C40,'Train Runs'!$A$13:$AE$10061,31,0)</f>
        <v>aws s3 cp s3://rtdc.mdm.uploadarchive.raw/RTDC4015/ "%USERPROFILE%\AppData\Local\Temp\OnboardLogs"\RTDC4015\2017-10-22 --exclude "*" --recursive --include "*20171022*" &amp; "%USERPROFILE%\Documents\GitHub\mrs-test-scripts\Headless Mode &amp; Sideloading\WalkAndUnGZ.bat" "%USERPROFILE%\AppData\Local\Temp\OnboardLogs"\RTDC4015\2017-10-22 &amp; 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</v>
      </c>
      <c r="S40" s="84" t="str">
        <f>VLOOKUP(C40,'Train Runs'!$A$13:$AE$10061,22,0)</f>
        <v>https://d0f6bd738d7f1b3e5a7ca70fe4ff75f0.us-east-1.aws.found.io/app/kibana#/discover/Steve-Slow-Train-Analysis-(2080s-and-2083s)?_g=(refreshInterval:(display:Off,pause:!f,section:0,value:0),time:(from:'2017-10-22T22:25:35-0600',mode:absolute,to:'2017-10-23T00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/stypes="*4015*201710230*" /stext=" 05:.+((SYSTEM_STATE.+slice.+state.+changed )|(ment ac)|(multiple cpu faults)|(system.+state.+changed )|(\[timeout)|(PRM\|1\|D)|(kpr)|(kdp)|(train st.+moving)|(\|lc)|(penalty))"</v>
      </c>
      <c r="U40" s="9" t="str">
        <f>MID(B40,13,4)</f>
        <v>4015</v>
      </c>
      <c r="V40" s="31">
        <f>A40-utc_offset/24</f>
        <v>43031.231469907405</v>
      </c>
      <c r="W40" s="45" t="str">
        <f>DetSubdiv(C40)</f>
        <v>Other</v>
      </c>
      <c r="X40" s="22">
        <f>VALUE(LEFT(C40,LEN(C40)-3))</f>
        <v>1902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{"issue":{"subject":"","project_id":79,"tracker_id":40,"status_id":1,"priority_id":2,"assigned_to_id":338,"start_date":"2017-10-22","description":"","custom_fields":[{"id":1,"name":"Subdivision","value":"Other"},{"id":4,"name":"Milepost","value":"3.3261"},{"id":17,"name":"Train ID","value":"1902-22"},{"id":16,"name":"Locomotive ID","value":"4015"},{"id":130,"name":"Impact","value":""},{"id":150,"name":"Time of Event (Mountain Time)","value":"23:33:19"},{"id":151,"name":"Denver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/c/Users/stu/AppData/Local/Temp/OnboardLogs/RTDC4015 --include="*4015*201710230*"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"%USERPROFILE%\AppData\Local\Temp\OnboardLogs"\RTDC4015\*4015*201710230* &gt;&gt; 2017-10-22-SliceDisagreementCheck.txt</v>
      </c>
      <c r="AE40" s="145" t="str">
        <f t="shared" si="1"/>
        <v>start /low /b %USERPROFILE%\Documents\GitHub\eaglep3\Utilities\DownloadLogsFromS3.py --loco 4015 --day 2017-10-23</v>
      </c>
      <c r="AF40" s="1"/>
    </row>
    <row r="41" spans="1:32" x14ac:dyDescent="0.3">
      <c r="A41" s="31">
        <v>43030.458784722221</v>
      </c>
      <c r="B41" s="30" t="s">
        <v>650</v>
      </c>
      <c r="C41" s="30" t="s">
        <v>651</v>
      </c>
      <c r="D41" s="30" t="s">
        <v>95</v>
      </c>
      <c r="E41" s="30" t="s">
        <v>179</v>
      </c>
      <c r="F41" s="42">
        <v>0</v>
      </c>
      <c r="G41" s="42">
        <v>9</v>
      </c>
      <c r="H41" s="42">
        <v>1</v>
      </c>
      <c r="I41" s="42">
        <v>0</v>
      </c>
      <c r="J41" s="30" t="s">
        <v>180</v>
      </c>
      <c r="K41" s="42">
        <v>1</v>
      </c>
      <c r="L41" s="131" t="s">
        <v>51</v>
      </c>
      <c r="M41" s="132">
        <f>CONVERT((I41-K41)/10000,"mi","ft")*IF(L41="Increasing Mileposts (1)",-1,1)</f>
        <v>-0.52800000000000002</v>
      </c>
      <c r="N41" s="133" t="str">
        <f>VLOOKUP(C41,'Trips&amp;Operators'!$C$1:$G$99911,5,FALSE)</f>
        <v>KILLION DAVID</v>
      </c>
      <c r="O41" s="176" t="s">
        <v>178</v>
      </c>
      <c r="P41" s="134"/>
      <c r="Q41" s="30"/>
      <c r="R41" s="81" t="e">
        <f>VLOOKUP(C41,'Train Runs'!$A$13:$AE$10061,31,0)</f>
        <v>#N/A</v>
      </c>
      <c r="S41" s="84" t="e">
        <f>VLOOKUP(C41,'Train Runs'!$A$13:$AE$10061,22,0)</f>
        <v>#N/A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/stypes="*4061*201710221*" /stext=" 17:.+((SYSTEM_STATE.+slice.+state.+changed )|(ment ac)|(multiple cpu faults)|(system.+state.+changed )|(\[timeout)|(PRM\|1\|D)|(kpr)|(kdp)|(train st.+moving)|(\|lc)|(penalty))"</v>
      </c>
      <c r="U41" s="9" t="str">
        <f>MID(B41,13,4)</f>
        <v>4061</v>
      </c>
      <c r="V41" s="31">
        <f>A41-utc_offset/24</f>
        <v>43030.708784722221</v>
      </c>
      <c r="W41" s="45" t="str">
        <f>DetSubdiv(C41)</f>
        <v>Shuttle/Test</v>
      </c>
      <c r="X41" s="22">
        <f>VALUE(LEFT(C41,LEN(C41)-3))</f>
        <v>62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-22","description":"","custom_fields":[{"id":1,"name":"Subdivision","value":"Shuttle/Test"},{"id":4,"name":"Milepost","value":"0.0001"},{"id":17,"name":"Train ID","value":"62-22"},{"id":16,"name":"Locomotive ID","value":"4061"},{"id":130,"name":"Impact","value":""},{"id":150,"name":"Time of Event (Mountain Time)","value":"11:00:39"},{"id":151,"name":"Denver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/c/Users/stu/AppData/Local/Temp/OnboardLogs/RTDC4061 --include="*4061*201710221*"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"%USERPROFILE%\AppData\Local\Temp\OnboardLogs"\RTDC4061\*4061*201710221* &gt;&gt; 2017-10-22-SliceDisagreementCheck.txt</v>
      </c>
      <c r="AE41" s="145" t="str">
        <f t="shared" si="1"/>
        <v>start /low /b %USERPROFILE%\Documents\GitHub\eaglep3\Utilities\DownloadLogsFromS3.py --loco 4061 --day 2017-10-22</v>
      </c>
      <c r="AF41" s="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3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</sheetData>
  <autoFilter ref="A6:AC40">
    <sortState ref="A7:AC41">
      <sortCondition ref="W7:W41"/>
      <sortCondition ref="E7:E41"/>
      <sortCondition ref="K7:K41"/>
      <sortCondition ref="F7:F41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8:O1048576 O7:O41">
    <cfRule type="cellIs" dxfId="15" priority="42" operator="equal">
      <formula>"Y"</formula>
    </cfRule>
  </conditionalFormatting>
  <conditionalFormatting sqref="O2:O3">
    <cfRule type="cellIs" dxfId="14" priority="33" operator="equal">
      <formula>"Y"</formula>
    </cfRule>
  </conditionalFormatting>
  <conditionalFormatting sqref="A7:P41">
    <cfRule type="expression" dxfId="13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2017-10-22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1830</v>
      </c>
      <c r="B3" s="42" t="str">
        <f>A3&amp;"-"&amp;IF(DAY(Variables!$A$2)&lt;10,0,"")&amp;DAY(Variables!$A$2)</f>
        <v>1830-22</v>
      </c>
      <c r="C3" s="135"/>
      <c r="D3" s="225" t="str">
        <f>VLOOKUP(B3,'Trips&amp;Operators'!$C$1:$H$1072,6,FALSE)</f>
        <v>4015</v>
      </c>
      <c r="E3" s="30"/>
      <c r="F3" s="21" t="str">
        <f>VLOOKUP(B3,'Trips&amp;Operators'!$C$2:$E$9912,3,FALSE)</f>
        <v>HOLCOMB</v>
      </c>
      <c r="G3" s="21" t="str">
        <f>VLOOKUP(B3,'Trips&amp;Operators'!$C$1:$F$9912,4,FALSE)</f>
        <v>KAMDEN</v>
      </c>
      <c r="H3" s="29" t="str">
        <f>VLOOKUP(B3,'Trips&amp;Operators'!$C$1:$H$9912,5,FALSE)</f>
        <v>HOLCOMB KAMDEN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221830-22%22)),sort:!(Time.ISO8601,asc))</v>
      </c>
      <c r="J3" s="30" t="str">
        <f>VLOOKUP(B3,'Train Runs'!$A$13:$A$100058,1,FALSE)</f>
        <v>1830-22</v>
      </c>
    </row>
    <row r="4" spans="1:10" x14ac:dyDescent="0.3">
      <c r="A4" s="198"/>
      <c r="B4" s="42" t="str">
        <f>A4&amp;"-"&amp;IF(DAY(Variables!$A$2)&lt;10,0,"")&amp;DAY(Variables!$A$2)</f>
        <v>-22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Runs'!$A$13:$A$100058,1,FALSE)</f>
        <v>#N/A</v>
      </c>
    </row>
    <row r="5" spans="1:10" x14ac:dyDescent="0.3">
      <c r="A5" s="198"/>
      <c r="B5" s="42" t="str">
        <f>A5&amp;"-"&amp;IF(DAY(Variables!$A$2)&lt;10,0,"")&amp;DAY(Variables!$A$2)</f>
        <v>-22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Runs'!$A$13:$A$100058,1,FALSE)</f>
        <v>#N/A</v>
      </c>
    </row>
    <row r="6" spans="1:10" x14ac:dyDescent="0.3">
      <c r="A6" s="198"/>
      <c r="B6" s="42" t="str">
        <f>A6&amp;"-"&amp;IF(DAY(Variables!$A$2)&lt;10,0,"")&amp;DAY(Variables!$A$2)</f>
        <v>-22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Runs'!$A$13:$A$100058,1,FALSE)</f>
        <v>#N/A</v>
      </c>
    </row>
    <row r="7" spans="1:10" x14ac:dyDescent="0.3">
      <c r="A7" s="198"/>
      <c r="B7" s="42" t="str">
        <f>A7&amp;"-"&amp;IF(DAY(Variables!$A$2)&lt;10,0,"")&amp;DAY(Variables!$A$2)</f>
        <v>-22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Runs'!$A$13:$A$100058,1,FALSE)</f>
        <v>#N/A</v>
      </c>
    </row>
    <row r="8" spans="1:10" x14ac:dyDescent="0.3">
      <c r="A8" s="198"/>
      <c r="B8" s="42" t="str">
        <f>A8&amp;"-"&amp;IF(DAY(Variables!$A$2)&lt;10,0,"")&amp;DAY(Variables!$A$2)</f>
        <v>-22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Runs'!$A$13:$A$100058,1,FALSE)</f>
        <v>#N/A</v>
      </c>
    </row>
    <row r="9" spans="1:10" x14ac:dyDescent="0.3">
      <c r="A9" s="198"/>
      <c r="B9" s="42" t="str">
        <f>A9&amp;"-"&amp;IF(DAY(Variables!$A$2)&lt;10,0,"")&amp;DAY(Variables!$A$2)</f>
        <v>-22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Runs'!$A$13:$A$100058,1,FALSE)</f>
        <v>#N/A</v>
      </c>
    </row>
    <row r="10" spans="1:10" x14ac:dyDescent="0.3">
      <c r="A10" s="198"/>
      <c r="B10" s="42" t="str">
        <f>A10&amp;"-"&amp;IF(DAY(Variables!$A$2)&lt;10,0,"")&amp;DAY(Variables!$A$2)</f>
        <v>-22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Runs'!$A$13:$A$100058,1,FALSE)</f>
        <v>#N/A</v>
      </c>
    </row>
    <row r="11" spans="1:10" x14ac:dyDescent="0.3">
      <c r="A11" s="198"/>
      <c r="B11" s="42" t="str">
        <f>A11&amp;"-"&amp;IF(DAY(Variables!$A$2)&lt;10,0,"")&amp;DAY(Variables!$A$2)</f>
        <v>-22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Runs'!$A$13:$A$100058,1,FALSE)</f>
        <v>#N/A</v>
      </c>
    </row>
    <row r="12" spans="1:10" x14ac:dyDescent="0.3">
      <c r="A12" s="198"/>
      <c r="B12" s="42" t="str">
        <f>A12&amp;"-"&amp;IF(DAY(Variables!$A$2)&lt;10,0,"")&amp;DAY(Variables!$A$2)</f>
        <v>-22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Runs'!$A$13:$A$100058,1,FALSE)</f>
        <v>#N/A</v>
      </c>
    </row>
    <row r="13" spans="1:10" x14ac:dyDescent="0.3">
      <c r="A13" s="198"/>
      <c r="B13" s="42" t="str">
        <f>A13&amp;"-"&amp;IF(DAY(Variables!$A$2)&lt;10,0,"")&amp;DAY(Variables!$A$2)</f>
        <v>-22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Runs'!$A$13:$A$100058,1,FALSE)</f>
        <v>#N/A</v>
      </c>
    </row>
    <row r="14" spans="1:10" x14ac:dyDescent="0.3">
      <c r="A14" s="198"/>
      <c r="B14" s="42" t="str">
        <f>A14&amp;"-"&amp;IF(DAY(Variables!$A$2)&lt;10,0,"")&amp;DAY(Variables!$A$2)</f>
        <v>-22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Runs'!$A$13:$A$100058,1,FALSE)</f>
        <v>#N/A</v>
      </c>
    </row>
    <row r="15" spans="1:10" x14ac:dyDescent="0.3">
      <c r="A15" s="198"/>
      <c r="B15" s="42" t="str">
        <f>A15&amp;"-"&amp;IF(DAY(Variables!$A$2)&lt;10,0,"")&amp;DAY(Variables!$A$2)</f>
        <v>-22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Runs'!$A$13:$A$100058,1,FALSE)</f>
        <v>#N/A</v>
      </c>
    </row>
    <row r="16" spans="1:10" x14ac:dyDescent="0.3">
      <c r="A16" s="198"/>
      <c r="B16" s="42" t="str">
        <f>A16&amp;"-"&amp;IF(DAY(Variables!$A$2)&lt;10,0,"")&amp;DAY(Variables!$A$2)</f>
        <v>-22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Runs'!$A$13:$A$100058,1,FALSE)</f>
        <v>#N/A</v>
      </c>
    </row>
    <row r="17" spans="1:10" x14ac:dyDescent="0.3">
      <c r="A17" s="198"/>
      <c r="B17" s="42" t="str">
        <f>A17&amp;"-"&amp;IF(DAY(Variables!$A$2)&lt;10,0,"")&amp;DAY(Variables!$A$2)</f>
        <v>-22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Runs'!$A$13:$A$100058,1,FALSE)</f>
        <v>#N/A</v>
      </c>
    </row>
    <row r="18" spans="1:10" x14ac:dyDescent="0.3">
      <c r="A18" s="198"/>
      <c r="B18" s="42" t="str">
        <f>A18&amp;"-"&amp;IF(DAY(Variables!$A$2)&lt;10,0,"")&amp;DAY(Variables!$A$2)</f>
        <v>-22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Runs'!$A$13:$A$100058,1,FALSE)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89" workbookViewId="0">
      <selection sqref="A1:F227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43030.048275462963</v>
      </c>
      <c r="B2" s="20" t="s">
        <v>456</v>
      </c>
      <c r="C2" s="20" t="s">
        <v>674</v>
      </c>
      <c r="D2" s="138">
        <v>3000000</v>
      </c>
      <c r="E2" s="20" t="s">
        <v>466</v>
      </c>
      <c r="F2" s="20" t="s">
        <v>467</v>
      </c>
      <c r="G2" s="8" t="str">
        <f>E2&amp;" "&amp;F2</f>
        <v>FORTUNATO FRANK</v>
      </c>
      <c r="H2" t="str">
        <f>MID(B2,13,4)</f>
        <v>4018</v>
      </c>
    </row>
    <row r="3" spans="1:8" x14ac:dyDescent="0.3">
      <c r="A3" s="8">
        <v>43030.056030092594</v>
      </c>
      <c r="B3" s="20" t="s">
        <v>427</v>
      </c>
      <c r="C3" s="20" t="s">
        <v>675</v>
      </c>
      <c r="D3" s="138">
        <v>3320000</v>
      </c>
      <c r="E3" s="20" t="s">
        <v>548</v>
      </c>
      <c r="F3" s="20" t="s">
        <v>549</v>
      </c>
      <c r="G3" s="8" t="str">
        <f t="shared" ref="G3:G66" si="0">E3&amp;" "&amp;F3</f>
        <v>NICHOLSON WESLEY</v>
      </c>
      <c r="H3" s="20" t="str">
        <f t="shared" ref="H3:H66" si="1">MID(B3,13,4)</f>
        <v>4059</v>
      </c>
    </row>
    <row r="4" spans="1:8" x14ac:dyDescent="0.3">
      <c r="A4" s="8">
        <v>43030.067546296297</v>
      </c>
      <c r="B4" s="20" t="s">
        <v>676</v>
      </c>
      <c r="C4" s="20" t="s">
        <v>677</v>
      </c>
      <c r="D4" s="138">
        <v>3340000</v>
      </c>
      <c r="E4" s="20" t="s">
        <v>555</v>
      </c>
      <c r="F4" s="20" t="s">
        <v>556</v>
      </c>
      <c r="G4" s="8" t="str">
        <f t="shared" si="0"/>
        <v>ELBAUM MIKE</v>
      </c>
      <c r="H4" s="20" t="str">
        <f t="shared" si="1"/>
        <v>4050</v>
      </c>
    </row>
    <row r="5" spans="1:8" x14ac:dyDescent="0.3">
      <c r="A5" s="8">
        <v>43030.069537037038</v>
      </c>
      <c r="B5" s="20" t="s">
        <v>508</v>
      </c>
      <c r="C5" s="20" t="s">
        <v>678</v>
      </c>
      <c r="D5" s="138">
        <v>3310000</v>
      </c>
      <c r="E5" s="20" t="s">
        <v>380</v>
      </c>
      <c r="F5" s="20" t="s">
        <v>381</v>
      </c>
      <c r="G5" s="8" t="str">
        <f t="shared" si="0"/>
        <v>ANDERS STEVEN</v>
      </c>
      <c r="H5" s="20" t="str">
        <f t="shared" si="1"/>
        <v>4057</v>
      </c>
    </row>
    <row r="6" spans="1:8" x14ac:dyDescent="0.3">
      <c r="A6" s="8">
        <v>43030.093148148146</v>
      </c>
      <c r="B6" s="20" t="s">
        <v>425</v>
      </c>
      <c r="C6" s="20" t="s">
        <v>679</v>
      </c>
      <c r="D6" s="138">
        <v>3320000</v>
      </c>
      <c r="E6" s="20" t="s">
        <v>548</v>
      </c>
      <c r="F6" s="20" t="s">
        <v>549</v>
      </c>
      <c r="G6" s="8" t="str">
        <f t="shared" si="0"/>
        <v>NICHOLSON WESLEY</v>
      </c>
      <c r="H6" s="20" t="str">
        <f t="shared" si="1"/>
        <v>4060</v>
      </c>
    </row>
    <row r="7" spans="1:8" x14ac:dyDescent="0.3">
      <c r="A7" s="8">
        <v>43030.110127314816</v>
      </c>
      <c r="B7" s="20" t="s">
        <v>505</v>
      </c>
      <c r="C7" s="20" t="s">
        <v>680</v>
      </c>
      <c r="D7" s="138">
        <v>3310000</v>
      </c>
      <c r="E7" s="20" t="s">
        <v>380</v>
      </c>
      <c r="F7" s="20" t="s">
        <v>381</v>
      </c>
      <c r="G7" s="8" t="str">
        <f t="shared" si="0"/>
        <v>ANDERS STEVEN</v>
      </c>
      <c r="H7" s="20" t="str">
        <f t="shared" si="1"/>
        <v>4058</v>
      </c>
    </row>
    <row r="8" spans="1:8" x14ac:dyDescent="0.3">
      <c r="A8" s="8">
        <v>43030.11204861111</v>
      </c>
      <c r="B8" s="20" t="s">
        <v>637</v>
      </c>
      <c r="C8" s="20" t="s">
        <v>638</v>
      </c>
      <c r="D8" s="138">
        <v>2370000</v>
      </c>
      <c r="E8" s="20" t="s">
        <v>477</v>
      </c>
      <c r="F8" s="20" t="s">
        <v>478</v>
      </c>
      <c r="G8" s="8" t="str">
        <f t="shared" si="0"/>
        <v>DELGADO DIANAH</v>
      </c>
      <c r="H8" s="20" t="str">
        <f t="shared" si="1"/>
        <v>4025</v>
      </c>
    </row>
    <row r="9" spans="1:8" ht="15" thickBot="1" x14ac:dyDescent="0.35">
      <c r="A9" s="24">
        <v>43030.1246875</v>
      </c>
      <c r="B9" s="20" t="s">
        <v>681</v>
      </c>
      <c r="C9" s="20" t="s">
        <v>682</v>
      </c>
      <c r="D9" s="138">
        <v>2440000</v>
      </c>
      <c r="E9" s="20" t="s">
        <v>583</v>
      </c>
      <c r="F9" s="20" t="s">
        <v>584</v>
      </c>
      <c r="G9" s="8" t="str">
        <f t="shared" si="0"/>
        <v>LOPES KIMBERLY</v>
      </c>
      <c r="H9" s="20" t="str">
        <f t="shared" si="1"/>
        <v>4026</v>
      </c>
    </row>
    <row r="10" spans="1:8" x14ac:dyDescent="0.3">
      <c r="A10" s="8">
        <v>43030.127766203703</v>
      </c>
      <c r="B10" s="20" t="s">
        <v>645</v>
      </c>
      <c r="C10" s="20" t="s">
        <v>683</v>
      </c>
      <c r="D10" s="138">
        <v>2370000</v>
      </c>
      <c r="E10" s="20" t="s">
        <v>477</v>
      </c>
      <c r="F10" s="20" t="s">
        <v>478</v>
      </c>
      <c r="G10" s="8" t="str">
        <f t="shared" si="0"/>
        <v>DELGADO DIANAH</v>
      </c>
      <c r="H10" s="20" t="str">
        <f t="shared" si="1"/>
        <v>4036</v>
      </c>
    </row>
    <row r="11" spans="1:8" x14ac:dyDescent="0.3">
      <c r="A11" s="8">
        <v>43030.139849537038</v>
      </c>
      <c r="B11" s="20" t="s">
        <v>637</v>
      </c>
      <c r="C11" s="20" t="s">
        <v>684</v>
      </c>
      <c r="D11" s="138">
        <v>2440000</v>
      </c>
      <c r="E11" s="20" t="s">
        <v>583</v>
      </c>
      <c r="F11" s="20" t="s">
        <v>584</v>
      </c>
      <c r="G11" s="8" t="str">
        <f t="shared" si="0"/>
        <v>LOPES KIMBERLY</v>
      </c>
      <c r="H11" s="20" t="str">
        <f t="shared" si="1"/>
        <v>4025</v>
      </c>
    </row>
    <row r="12" spans="1:8" x14ac:dyDescent="0.3">
      <c r="A12" s="8">
        <v>43030.141030092593</v>
      </c>
      <c r="B12" s="20" t="s">
        <v>509</v>
      </c>
      <c r="C12" s="20" t="s">
        <v>685</v>
      </c>
      <c r="D12" s="138">
        <v>2010000</v>
      </c>
      <c r="E12" s="20" t="s">
        <v>513</v>
      </c>
      <c r="F12" s="20" t="s">
        <v>514</v>
      </c>
      <c r="G12" s="8" t="str">
        <f t="shared" si="0"/>
        <v>MAELZER KURT</v>
      </c>
      <c r="H12" s="20" t="str">
        <f t="shared" si="1"/>
        <v>4031</v>
      </c>
    </row>
    <row r="13" spans="1:8" x14ac:dyDescent="0.3">
      <c r="A13" s="8">
        <v>43030.152187500003</v>
      </c>
      <c r="B13" s="20" t="s">
        <v>526</v>
      </c>
      <c r="C13" s="20" t="s">
        <v>686</v>
      </c>
      <c r="D13" s="138">
        <v>2010000</v>
      </c>
      <c r="E13" s="20" t="s">
        <v>513</v>
      </c>
      <c r="F13" s="20" t="s">
        <v>514</v>
      </c>
      <c r="G13" s="8" t="str">
        <f t="shared" si="0"/>
        <v>MAELZER KURT</v>
      </c>
      <c r="H13" s="20" t="str">
        <f t="shared" si="1"/>
        <v>4032</v>
      </c>
    </row>
    <row r="14" spans="1:8" x14ac:dyDescent="0.3">
      <c r="A14" s="8">
        <v>43030.160208333335</v>
      </c>
      <c r="B14" s="20" t="s">
        <v>643</v>
      </c>
      <c r="C14" s="20" t="s">
        <v>687</v>
      </c>
      <c r="D14" s="138">
        <v>1990000</v>
      </c>
      <c r="E14" s="20" t="s">
        <v>464</v>
      </c>
      <c r="F14" s="20" t="s">
        <v>465</v>
      </c>
      <c r="G14" s="8" t="str">
        <f t="shared" si="0"/>
        <v>DAVIS WENDY</v>
      </c>
      <c r="H14" s="20" t="str">
        <f t="shared" si="1"/>
        <v>4027</v>
      </c>
    </row>
    <row r="15" spans="1:8" x14ac:dyDescent="0.3">
      <c r="A15" s="8">
        <v>43030.162129629629</v>
      </c>
      <c r="B15" s="20" t="s">
        <v>656</v>
      </c>
      <c r="C15" s="20" t="s">
        <v>688</v>
      </c>
      <c r="D15" s="138">
        <v>2370000</v>
      </c>
      <c r="E15" s="20" t="s">
        <v>477</v>
      </c>
      <c r="F15" s="20" t="s">
        <v>478</v>
      </c>
      <c r="G15" s="8" t="str">
        <f t="shared" si="0"/>
        <v>DELGADO DIANAH</v>
      </c>
      <c r="H15" s="20" t="str">
        <f t="shared" si="1"/>
        <v>4035</v>
      </c>
    </row>
    <row r="16" spans="1:8" x14ac:dyDescent="0.3">
      <c r="A16" s="8">
        <v>43030.167974537035</v>
      </c>
      <c r="B16" s="20" t="s">
        <v>504</v>
      </c>
      <c r="C16" s="20" t="s">
        <v>689</v>
      </c>
      <c r="D16" s="138">
        <v>3510000</v>
      </c>
      <c r="E16" s="20" t="s">
        <v>690</v>
      </c>
      <c r="F16" s="20" t="s">
        <v>691</v>
      </c>
      <c r="G16" s="8" t="str">
        <f t="shared" si="0"/>
        <v>BARRON PERLA</v>
      </c>
      <c r="H16" s="20" t="str">
        <f t="shared" si="1"/>
        <v>4015</v>
      </c>
    </row>
    <row r="17" spans="1:8" x14ac:dyDescent="0.3">
      <c r="A17" s="8">
        <v>43030.172592592593</v>
      </c>
      <c r="B17" s="20" t="s">
        <v>640</v>
      </c>
      <c r="C17" s="20" t="s">
        <v>692</v>
      </c>
      <c r="D17" s="138">
        <v>1990000</v>
      </c>
      <c r="E17" s="20" t="s">
        <v>464</v>
      </c>
      <c r="F17" s="20" t="s">
        <v>465</v>
      </c>
      <c r="G17" s="8" t="str">
        <f t="shared" si="0"/>
        <v>DAVIS WENDY</v>
      </c>
      <c r="H17" s="20" t="str">
        <f t="shared" si="1"/>
        <v>4028</v>
      </c>
    </row>
    <row r="18" spans="1:8" x14ac:dyDescent="0.3">
      <c r="A18" s="8">
        <v>43030.173275462963</v>
      </c>
      <c r="B18" s="20" t="s">
        <v>681</v>
      </c>
      <c r="C18" s="20" t="s">
        <v>693</v>
      </c>
      <c r="D18" s="138">
        <v>2440000</v>
      </c>
      <c r="E18" s="20" t="s">
        <v>583</v>
      </c>
      <c r="F18" s="20" t="s">
        <v>584</v>
      </c>
      <c r="G18" s="8" t="str">
        <f t="shared" si="0"/>
        <v>LOPES KIMBERLY</v>
      </c>
      <c r="H18" s="20" t="str">
        <f t="shared" si="1"/>
        <v>4026</v>
      </c>
    </row>
    <row r="19" spans="1:8" x14ac:dyDescent="0.3">
      <c r="A19" s="8">
        <v>43030.17560185185</v>
      </c>
      <c r="B19" s="20" t="s">
        <v>412</v>
      </c>
      <c r="C19" s="20" t="s">
        <v>694</v>
      </c>
      <c r="D19" s="138">
        <v>1100000</v>
      </c>
      <c r="E19" s="20" t="s">
        <v>468</v>
      </c>
      <c r="F19" s="20" t="s">
        <v>469</v>
      </c>
      <c r="G19" s="8" t="str">
        <f t="shared" si="0"/>
        <v>GEBRETEKLE DAGNEW</v>
      </c>
      <c r="H19" s="20" t="str">
        <f t="shared" si="1"/>
        <v>4001</v>
      </c>
    </row>
    <row r="20" spans="1:8" x14ac:dyDescent="0.3">
      <c r="A20" s="8">
        <v>43030.176030092596</v>
      </c>
      <c r="B20" s="20" t="s">
        <v>637</v>
      </c>
      <c r="C20" s="20" t="s">
        <v>695</v>
      </c>
      <c r="D20" s="138">
        <v>2440000</v>
      </c>
      <c r="E20" s="20" t="s">
        <v>583</v>
      </c>
      <c r="F20" s="20" t="s">
        <v>584</v>
      </c>
      <c r="G20" s="8" t="str">
        <f t="shared" si="0"/>
        <v>LOPES KIMBERLY</v>
      </c>
      <c r="H20" s="20" t="str">
        <f t="shared" si="1"/>
        <v>4025</v>
      </c>
    </row>
    <row r="21" spans="1:8" x14ac:dyDescent="0.3">
      <c r="A21" s="8">
        <v>43030.180243055554</v>
      </c>
      <c r="B21" s="20" t="s">
        <v>681</v>
      </c>
      <c r="C21" s="20" t="s">
        <v>696</v>
      </c>
      <c r="D21" s="138">
        <v>2440000</v>
      </c>
      <c r="E21" s="20" t="s">
        <v>583</v>
      </c>
      <c r="F21" s="20" t="s">
        <v>584</v>
      </c>
      <c r="G21" s="8" t="str">
        <f t="shared" si="0"/>
        <v>LOPES KIMBERLY</v>
      </c>
      <c r="H21" s="20" t="str">
        <f t="shared" si="1"/>
        <v>4026</v>
      </c>
    </row>
    <row r="22" spans="1:8" x14ac:dyDescent="0.3">
      <c r="A22" s="26">
        <v>43030.186851851853</v>
      </c>
      <c r="B22" s="20" t="s">
        <v>509</v>
      </c>
      <c r="C22" s="20" t="s">
        <v>697</v>
      </c>
      <c r="D22" s="138">
        <v>2010000</v>
      </c>
      <c r="E22" s="20" t="s">
        <v>513</v>
      </c>
      <c r="F22" s="20" t="s">
        <v>514</v>
      </c>
      <c r="G22" s="8" t="str">
        <f t="shared" si="0"/>
        <v>MAELZER KURT</v>
      </c>
      <c r="H22" s="20" t="str">
        <f t="shared" si="1"/>
        <v>4031</v>
      </c>
    </row>
    <row r="23" spans="1:8" x14ac:dyDescent="0.3">
      <c r="A23" s="8">
        <v>43030.187083333331</v>
      </c>
      <c r="B23" s="20" t="s">
        <v>457</v>
      </c>
      <c r="C23" s="20" t="s">
        <v>689</v>
      </c>
      <c r="D23" s="138">
        <v>3510000</v>
      </c>
      <c r="E23" s="20" t="s">
        <v>690</v>
      </c>
      <c r="F23" s="20" t="s">
        <v>691</v>
      </c>
      <c r="G23" s="8" t="str">
        <f t="shared" si="0"/>
        <v>BARRON PERLA</v>
      </c>
      <c r="H23" s="20" t="str">
        <f t="shared" si="1"/>
        <v>4005</v>
      </c>
    </row>
    <row r="24" spans="1:8" x14ac:dyDescent="0.3">
      <c r="A24" s="8">
        <v>43030.187789351854</v>
      </c>
      <c r="B24" s="20" t="s">
        <v>457</v>
      </c>
      <c r="C24" s="20" t="s">
        <v>689</v>
      </c>
      <c r="D24" s="138">
        <v>3510000</v>
      </c>
      <c r="E24" s="20" t="s">
        <v>690</v>
      </c>
      <c r="F24" s="20" t="s">
        <v>691</v>
      </c>
      <c r="G24" s="8" t="str">
        <f t="shared" si="0"/>
        <v>BARRON PERLA</v>
      </c>
      <c r="H24" s="20" t="str">
        <f t="shared" si="1"/>
        <v>4005</v>
      </c>
    </row>
    <row r="25" spans="1:8" x14ac:dyDescent="0.3">
      <c r="A25" s="8">
        <v>43030.18886574074</v>
      </c>
      <c r="B25" s="20" t="s">
        <v>457</v>
      </c>
      <c r="C25" s="20" t="s">
        <v>689</v>
      </c>
      <c r="D25" s="138">
        <v>3510000</v>
      </c>
      <c r="E25" s="20" t="s">
        <v>690</v>
      </c>
      <c r="F25" s="20" t="s">
        <v>691</v>
      </c>
      <c r="G25" s="8" t="str">
        <f t="shared" si="0"/>
        <v>BARRON PERLA</v>
      </c>
      <c r="H25" s="20" t="str">
        <f t="shared" si="1"/>
        <v>4005</v>
      </c>
    </row>
    <row r="26" spans="1:8" x14ac:dyDescent="0.3">
      <c r="A26" s="8">
        <v>43030.190740740742</v>
      </c>
      <c r="B26" s="20" t="s">
        <v>457</v>
      </c>
      <c r="C26" s="20" t="s">
        <v>689</v>
      </c>
      <c r="D26" s="138">
        <v>3510000</v>
      </c>
      <c r="E26" s="20" t="s">
        <v>690</v>
      </c>
      <c r="F26" s="20" t="s">
        <v>691</v>
      </c>
      <c r="G26" s="8" t="str">
        <f t="shared" si="0"/>
        <v>BARRON PERLA</v>
      </c>
      <c r="H26" s="20" t="str">
        <f t="shared" si="1"/>
        <v>4005</v>
      </c>
    </row>
    <row r="27" spans="1:8" x14ac:dyDescent="0.3">
      <c r="A27" s="8">
        <v>43030.192777777775</v>
      </c>
      <c r="B27" s="20" t="s">
        <v>457</v>
      </c>
      <c r="C27" s="20" t="s">
        <v>698</v>
      </c>
      <c r="D27" s="138">
        <v>3510000</v>
      </c>
      <c r="E27" s="20" t="s">
        <v>690</v>
      </c>
      <c r="F27" s="20" t="s">
        <v>691</v>
      </c>
      <c r="G27" s="8" t="str">
        <f t="shared" si="0"/>
        <v>BARRON PERLA</v>
      </c>
      <c r="H27" s="20" t="str">
        <f t="shared" si="1"/>
        <v>4005</v>
      </c>
    </row>
    <row r="28" spans="1:8" x14ac:dyDescent="0.3">
      <c r="A28" s="8">
        <v>43030.196539351855</v>
      </c>
      <c r="B28" s="20" t="s">
        <v>413</v>
      </c>
      <c r="C28" s="20" t="s">
        <v>699</v>
      </c>
      <c r="D28" s="138">
        <v>1100000</v>
      </c>
      <c r="E28" s="20" t="s">
        <v>468</v>
      </c>
      <c r="F28" s="20" t="s">
        <v>469</v>
      </c>
      <c r="G28" s="8" t="str">
        <f t="shared" si="0"/>
        <v>GEBRETEKLE DAGNEW</v>
      </c>
      <c r="H28" s="20" t="str">
        <f t="shared" si="1"/>
        <v>4002</v>
      </c>
    </row>
    <row r="29" spans="1:8" x14ac:dyDescent="0.3">
      <c r="A29" s="8">
        <v>43030.199814814812</v>
      </c>
      <c r="B29" s="20" t="s">
        <v>659</v>
      </c>
      <c r="C29" s="20" t="s">
        <v>700</v>
      </c>
      <c r="D29" s="138">
        <v>3040000</v>
      </c>
      <c r="E29" s="20" t="s">
        <v>515</v>
      </c>
      <c r="F29" s="20" t="s">
        <v>516</v>
      </c>
      <c r="G29" s="8" t="str">
        <f t="shared" si="0"/>
        <v>WILLIAMS DONTE</v>
      </c>
      <c r="H29" s="20" t="str">
        <f t="shared" si="1"/>
        <v>4019</v>
      </c>
    </row>
    <row r="30" spans="1:8" x14ac:dyDescent="0.3">
      <c r="A30" s="8">
        <v>43030.203645833331</v>
      </c>
      <c r="B30" s="20" t="s">
        <v>645</v>
      </c>
      <c r="C30" s="20" t="s">
        <v>701</v>
      </c>
      <c r="D30" s="138">
        <v>2370000</v>
      </c>
      <c r="E30" s="20" t="s">
        <v>477</v>
      </c>
      <c r="F30" s="20" t="s">
        <v>478</v>
      </c>
      <c r="G30" s="8" t="str">
        <f t="shared" si="0"/>
        <v>DELGADO DIANAH</v>
      </c>
      <c r="H30" s="20" t="str">
        <f t="shared" si="1"/>
        <v>4036</v>
      </c>
    </row>
    <row r="31" spans="1:8" x14ac:dyDescent="0.3">
      <c r="A31" s="8">
        <v>43030.20416666667</v>
      </c>
      <c r="B31" s="20" t="s">
        <v>643</v>
      </c>
      <c r="C31" s="20" t="s">
        <v>702</v>
      </c>
      <c r="D31" s="138">
        <v>1990000</v>
      </c>
      <c r="E31" s="20" t="s">
        <v>464</v>
      </c>
      <c r="F31" s="20" t="s">
        <v>465</v>
      </c>
      <c r="G31" s="8" t="str">
        <f t="shared" si="0"/>
        <v>DAVIS WENDY</v>
      </c>
      <c r="H31" s="20" t="str">
        <f t="shared" si="1"/>
        <v>4027</v>
      </c>
    </row>
    <row r="32" spans="1:8" x14ac:dyDescent="0.3">
      <c r="A32" s="8">
        <v>43030.215937499997</v>
      </c>
      <c r="B32" s="20" t="s">
        <v>426</v>
      </c>
      <c r="C32" s="20" t="s">
        <v>703</v>
      </c>
      <c r="D32" s="138">
        <v>3040000</v>
      </c>
      <c r="E32" s="20" t="s">
        <v>515</v>
      </c>
      <c r="F32" s="20" t="s">
        <v>516</v>
      </c>
      <c r="G32" s="8" t="str">
        <f t="shared" si="0"/>
        <v>WILLIAMS DONTE</v>
      </c>
      <c r="H32" s="20" t="str">
        <f t="shared" si="1"/>
        <v>4020</v>
      </c>
    </row>
    <row r="33" spans="1:8" x14ac:dyDescent="0.3">
      <c r="A33" s="8">
        <v>43030.21806712963</v>
      </c>
      <c r="B33" s="20" t="s">
        <v>637</v>
      </c>
      <c r="C33" s="20" t="s">
        <v>639</v>
      </c>
      <c r="D33" s="138">
        <v>2440000</v>
      </c>
      <c r="E33" s="20" t="s">
        <v>583</v>
      </c>
      <c r="F33" s="20" t="s">
        <v>584</v>
      </c>
      <c r="G33" s="8" t="str">
        <f t="shared" si="0"/>
        <v>LOPES KIMBERLY</v>
      </c>
      <c r="H33" s="20" t="str">
        <f t="shared" si="1"/>
        <v>4025</v>
      </c>
    </row>
    <row r="34" spans="1:8" x14ac:dyDescent="0.3">
      <c r="A34" s="8">
        <v>43030.221145833333</v>
      </c>
      <c r="B34" s="20" t="s">
        <v>398</v>
      </c>
      <c r="C34" s="20" t="s">
        <v>704</v>
      </c>
      <c r="D34" s="138">
        <v>2560000</v>
      </c>
      <c r="E34" s="20" t="s">
        <v>705</v>
      </c>
      <c r="F34" s="20" t="s">
        <v>706</v>
      </c>
      <c r="G34" s="8" t="str">
        <f t="shared" si="0"/>
        <v>MACDONALD THOMAS</v>
      </c>
      <c r="H34" s="20" t="str">
        <f t="shared" si="1"/>
        <v>4052</v>
      </c>
    </row>
    <row r="35" spans="1:8" x14ac:dyDescent="0.3">
      <c r="A35" s="8">
        <v>43030.223969907405</v>
      </c>
      <c r="B35" s="20" t="s">
        <v>412</v>
      </c>
      <c r="C35" s="20" t="s">
        <v>707</v>
      </c>
      <c r="D35" s="138">
        <v>1100000</v>
      </c>
      <c r="E35" s="20" t="s">
        <v>468</v>
      </c>
      <c r="F35" s="20" t="s">
        <v>469</v>
      </c>
      <c r="G35" s="8" t="str">
        <f t="shared" si="0"/>
        <v>GEBRETEKLE DAGNEW</v>
      </c>
      <c r="H35" s="20" t="str">
        <f t="shared" si="1"/>
        <v>4001</v>
      </c>
    </row>
    <row r="36" spans="1:8" x14ac:dyDescent="0.3">
      <c r="A36" s="8">
        <v>43030.224768518521</v>
      </c>
      <c r="B36" s="20" t="s">
        <v>391</v>
      </c>
      <c r="C36" s="20" t="s">
        <v>708</v>
      </c>
      <c r="D36" s="138">
        <v>3090000</v>
      </c>
      <c r="E36" s="20" t="s">
        <v>709</v>
      </c>
      <c r="F36" s="20" t="s">
        <v>710</v>
      </c>
      <c r="G36" s="8" t="str">
        <f t="shared" si="0"/>
        <v>LAMAR NEKESHA</v>
      </c>
      <c r="H36" s="20" t="str">
        <f t="shared" si="1"/>
        <v>4065</v>
      </c>
    </row>
    <row r="37" spans="1:8" x14ac:dyDescent="0.3">
      <c r="A37" s="8">
        <v>43030.225949074076</v>
      </c>
      <c r="B37" s="20" t="s">
        <v>526</v>
      </c>
      <c r="C37" s="20" t="s">
        <v>711</v>
      </c>
      <c r="D37" s="138">
        <v>2010000</v>
      </c>
      <c r="E37" s="20" t="s">
        <v>513</v>
      </c>
      <c r="F37" s="20" t="s">
        <v>514</v>
      </c>
      <c r="G37" s="8" t="str">
        <f t="shared" si="0"/>
        <v>MAELZER KURT</v>
      </c>
      <c r="H37" s="20" t="str">
        <f t="shared" si="1"/>
        <v>4032</v>
      </c>
    </row>
    <row r="38" spans="1:8" x14ac:dyDescent="0.3">
      <c r="A38" s="8">
        <v>43030.231678240743</v>
      </c>
      <c r="B38" s="20" t="s">
        <v>399</v>
      </c>
      <c r="C38" s="20" t="s">
        <v>712</v>
      </c>
      <c r="D38" s="138">
        <v>2560000</v>
      </c>
      <c r="E38" s="20" t="s">
        <v>705</v>
      </c>
      <c r="F38" s="20" t="s">
        <v>706</v>
      </c>
      <c r="G38" s="8" t="str">
        <f t="shared" si="0"/>
        <v>MACDONALD THOMAS</v>
      </c>
      <c r="H38" s="20" t="str">
        <f t="shared" si="1"/>
        <v>4051</v>
      </c>
    </row>
    <row r="39" spans="1:8" x14ac:dyDescent="0.3">
      <c r="A39" s="8">
        <v>43030.235775462963</v>
      </c>
      <c r="B39" s="20" t="s">
        <v>656</v>
      </c>
      <c r="C39" s="20" t="s">
        <v>713</v>
      </c>
      <c r="D39" s="138">
        <v>2370000</v>
      </c>
      <c r="E39" s="20" t="s">
        <v>477</v>
      </c>
      <c r="F39" s="20" t="s">
        <v>478</v>
      </c>
      <c r="G39" s="8" t="str">
        <f t="shared" si="0"/>
        <v>DELGADO DIANAH</v>
      </c>
      <c r="H39" s="20" t="str">
        <f t="shared" si="1"/>
        <v>4035</v>
      </c>
    </row>
    <row r="40" spans="1:8" x14ac:dyDescent="0.3">
      <c r="A40" s="8">
        <v>43030.236041666663</v>
      </c>
      <c r="B40" s="25" t="s">
        <v>390</v>
      </c>
      <c r="C40" s="20" t="s">
        <v>714</v>
      </c>
      <c r="D40" s="138">
        <v>3090000</v>
      </c>
      <c r="E40" s="20" t="s">
        <v>709</v>
      </c>
      <c r="F40" s="20" t="s">
        <v>710</v>
      </c>
      <c r="G40" s="8" t="str">
        <f t="shared" si="0"/>
        <v>LAMAR NEKESHA</v>
      </c>
      <c r="H40" s="20" t="str">
        <f t="shared" si="1"/>
        <v>4066</v>
      </c>
    </row>
    <row r="41" spans="1:8" x14ac:dyDescent="0.3">
      <c r="A41" s="8">
        <v>43030.244930555556</v>
      </c>
      <c r="B41" s="20" t="s">
        <v>517</v>
      </c>
      <c r="C41" s="20" t="s">
        <v>715</v>
      </c>
      <c r="D41" s="138">
        <v>2270000</v>
      </c>
      <c r="E41" s="20" t="s">
        <v>716</v>
      </c>
      <c r="F41" s="20" t="s">
        <v>717</v>
      </c>
      <c r="G41" s="8" t="str">
        <f t="shared" si="0"/>
        <v>BROWN JACOB</v>
      </c>
      <c r="H41" s="20" t="str">
        <f t="shared" si="1"/>
        <v>4016</v>
      </c>
    </row>
    <row r="42" spans="1:8" x14ac:dyDescent="0.3">
      <c r="A42" s="8">
        <v>43030.24658564815</v>
      </c>
      <c r="B42" s="20" t="s">
        <v>640</v>
      </c>
      <c r="C42" s="20" t="s">
        <v>641</v>
      </c>
      <c r="D42" s="138">
        <v>1990000</v>
      </c>
      <c r="E42" s="20" t="s">
        <v>464</v>
      </c>
      <c r="F42" s="20" t="s">
        <v>465</v>
      </c>
      <c r="G42" s="8" t="str">
        <f t="shared" si="0"/>
        <v>DAVIS WENDY</v>
      </c>
      <c r="H42" s="20" t="str">
        <f t="shared" si="1"/>
        <v>4028</v>
      </c>
    </row>
    <row r="43" spans="1:8" x14ac:dyDescent="0.3">
      <c r="A43" s="8">
        <v>43030.249814814815</v>
      </c>
      <c r="B43" s="20" t="s">
        <v>504</v>
      </c>
      <c r="C43" s="20" t="s">
        <v>718</v>
      </c>
      <c r="D43" s="138">
        <v>2270000</v>
      </c>
      <c r="E43" s="20" t="s">
        <v>716</v>
      </c>
      <c r="F43" s="20" t="s">
        <v>717</v>
      </c>
      <c r="G43" s="8" t="str">
        <f t="shared" si="0"/>
        <v>BROWN JACOB</v>
      </c>
      <c r="H43" s="20" t="str">
        <f t="shared" si="1"/>
        <v>4015</v>
      </c>
    </row>
    <row r="44" spans="1:8" x14ac:dyDescent="0.3">
      <c r="A44" s="8">
        <v>43030.25440972222</v>
      </c>
      <c r="B44" s="20" t="s">
        <v>517</v>
      </c>
      <c r="C44" s="20" t="s">
        <v>719</v>
      </c>
      <c r="D44" s="138">
        <v>2560000</v>
      </c>
      <c r="E44" s="20" t="s">
        <v>705</v>
      </c>
      <c r="F44" s="20" t="s">
        <v>706</v>
      </c>
      <c r="G44" s="8" t="str">
        <f t="shared" si="0"/>
        <v>MACDONALD THOMAS</v>
      </c>
      <c r="H44" s="20" t="str">
        <f t="shared" si="1"/>
        <v>4016</v>
      </c>
    </row>
    <row r="45" spans="1:8" x14ac:dyDescent="0.3">
      <c r="A45" s="8">
        <v>43030.254618055558</v>
      </c>
      <c r="B45" s="20" t="s">
        <v>659</v>
      </c>
      <c r="C45" s="20" t="s">
        <v>720</v>
      </c>
      <c r="D45" s="138">
        <v>3040000</v>
      </c>
      <c r="E45" s="20" t="s">
        <v>515</v>
      </c>
      <c r="F45" s="20" t="s">
        <v>516</v>
      </c>
      <c r="G45" s="8" t="str">
        <f t="shared" si="0"/>
        <v>WILLIAMS DONTE</v>
      </c>
      <c r="H45" s="20" t="str">
        <f t="shared" si="1"/>
        <v>4019</v>
      </c>
    </row>
    <row r="46" spans="1:8" x14ac:dyDescent="0.3">
      <c r="A46" s="8">
        <v>43030.259467592594</v>
      </c>
      <c r="B46" s="20" t="s">
        <v>681</v>
      </c>
      <c r="C46" s="20" t="s">
        <v>721</v>
      </c>
      <c r="D46" s="138">
        <v>3510000</v>
      </c>
      <c r="E46" s="20" t="s">
        <v>690</v>
      </c>
      <c r="F46" s="20" t="s">
        <v>691</v>
      </c>
      <c r="G46" s="8" t="str">
        <f t="shared" si="0"/>
        <v>BARRON PERLA</v>
      </c>
      <c r="H46" s="20" t="str">
        <f t="shared" si="1"/>
        <v>4026</v>
      </c>
    </row>
    <row r="47" spans="1:8" x14ac:dyDescent="0.3">
      <c r="A47" s="8">
        <v>43030.263148148151</v>
      </c>
      <c r="B47" s="20" t="s">
        <v>509</v>
      </c>
      <c r="C47" s="20" t="s">
        <v>642</v>
      </c>
      <c r="D47" s="138">
        <v>2010000</v>
      </c>
      <c r="E47" s="20" t="s">
        <v>513</v>
      </c>
      <c r="F47" s="20" t="s">
        <v>514</v>
      </c>
      <c r="G47" s="8" t="str">
        <f t="shared" si="0"/>
        <v>MAELZER KURT</v>
      </c>
      <c r="H47" s="20" t="str">
        <f t="shared" si="1"/>
        <v>4031</v>
      </c>
    </row>
    <row r="48" spans="1:8" x14ac:dyDescent="0.3">
      <c r="A48" s="8">
        <v>43030.268136574072</v>
      </c>
      <c r="B48" s="20" t="s">
        <v>504</v>
      </c>
      <c r="C48" s="20" t="s">
        <v>722</v>
      </c>
      <c r="D48" s="138">
        <v>2560000</v>
      </c>
      <c r="E48" s="20" t="s">
        <v>705</v>
      </c>
      <c r="F48" s="20" t="s">
        <v>706</v>
      </c>
      <c r="G48" s="8" t="str">
        <f t="shared" si="0"/>
        <v>MACDONALD THOMAS</v>
      </c>
      <c r="H48" s="20" t="str">
        <f t="shared" si="1"/>
        <v>4015</v>
      </c>
    </row>
    <row r="49" spans="1:8" x14ac:dyDescent="0.3">
      <c r="A49" s="8">
        <v>43030.269050925926</v>
      </c>
      <c r="B49" s="20" t="s">
        <v>413</v>
      </c>
      <c r="C49" s="20" t="s">
        <v>723</v>
      </c>
      <c r="D49" s="138">
        <v>1100000</v>
      </c>
      <c r="E49" s="20" t="s">
        <v>468</v>
      </c>
      <c r="F49" s="20" t="s">
        <v>469</v>
      </c>
      <c r="G49" s="8" t="str">
        <f t="shared" si="0"/>
        <v>GEBRETEKLE DAGNEW</v>
      </c>
      <c r="H49" s="20" t="str">
        <f t="shared" si="1"/>
        <v>4002</v>
      </c>
    </row>
    <row r="50" spans="1:8" x14ac:dyDescent="0.3">
      <c r="A50" s="8">
        <v>43030.276041666664</v>
      </c>
      <c r="B50" s="20" t="s">
        <v>645</v>
      </c>
      <c r="C50" s="20" t="s">
        <v>724</v>
      </c>
      <c r="D50" s="138">
        <v>2370000</v>
      </c>
      <c r="E50" s="20" t="s">
        <v>477</v>
      </c>
      <c r="F50" s="20" t="s">
        <v>478</v>
      </c>
      <c r="G50" s="8" t="str">
        <f t="shared" si="0"/>
        <v>DELGADO DIANAH</v>
      </c>
      <c r="H50" s="20" t="str">
        <f t="shared" si="1"/>
        <v>4036</v>
      </c>
    </row>
    <row r="51" spans="1:8" x14ac:dyDescent="0.3">
      <c r="A51" s="8">
        <v>43030.277337962965</v>
      </c>
      <c r="B51" s="20" t="s">
        <v>391</v>
      </c>
      <c r="C51" s="20" t="s">
        <v>725</v>
      </c>
      <c r="D51" s="138">
        <v>3090000</v>
      </c>
      <c r="E51" s="20" t="s">
        <v>709</v>
      </c>
      <c r="F51" s="20" t="s">
        <v>710</v>
      </c>
      <c r="G51" s="8" t="str">
        <f t="shared" si="0"/>
        <v>LAMAR NEKESHA</v>
      </c>
      <c r="H51" s="20" t="str">
        <f t="shared" si="1"/>
        <v>4065</v>
      </c>
    </row>
    <row r="52" spans="1:8" x14ac:dyDescent="0.3">
      <c r="A52" s="8">
        <v>43030.282546296294</v>
      </c>
      <c r="B52" s="20" t="s">
        <v>472</v>
      </c>
      <c r="C52" s="20" t="s">
        <v>726</v>
      </c>
      <c r="D52" s="138">
        <v>3260000</v>
      </c>
      <c r="E52" s="20" t="s">
        <v>470</v>
      </c>
      <c r="F52" s="20" t="s">
        <v>471</v>
      </c>
      <c r="G52" s="8" t="str">
        <f t="shared" si="0"/>
        <v>PAGE MARCUS</v>
      </c>
      <c r="H52" s="20" t="str">
        <f t="shared" si="1"/>
        <v>4006</v>
      </c>
    </row>
    <row r="53" spans="1:8" x14ac:dyDescent="0.3">
      <c r="A53" s="8">
        <v>43030.282685185186</v>
      </c>
      <c r="B53" s="20" t="s">
        <v>643</v>
      </c>
      <c r="C53" s="20" t="s">
        <v>644</v>
      </c>
      <c r="D53" s="138">
        <v>1990000</v>
      </c>
      <c r="E53" s="20" t="s">
        <v>464</v>
      </c>
      <c r="F53" s="20" t="s">
        <v>465</v>
      </c>
      <c r="G53" s="8" t="str">
        <f t="shared" si="0"/>
        <v>DAVIS WENDY</v>
      </c>
      <c r="H53" s="20" t="str">
        <f t="shared" si="1"/>
        <v>4027</v>
      </c>
    </row>
    <row r="54" spans="1:8" x14ac:dyDescent="0.3">
      <c r="A54" s="8">
        <v>43030.287708333337</v>
      </c>
      <c r="B54" s="20" t="s">
        <v>637</v>
      </c>
      <c r="C54" s="20" t="s">
        <v>727</v>
      </c>
      <c r="D54" s="138">
        <v>3510000</v>
      </c>
      <c r="E54" s="20" t="s">
        <v>690</v>
      </c>
      <c r="F54" s="20" t="s">
        <v>691</v>
      </c>
      <c r="G54" s="8" t="str">
        <f t="shared" si="0"/>
        <v>BARRON PERLA</v>
      </c>
      <c r="H54" s="20" t="str">
        <f t="shared" si="1"/>
        <v>4025</v>
      </c>
    </row>
    <row r="55" spans="1:8" x14ac:dyDescent="0.3">
      <c r="A55" s="8">
        <v>43030.288240740738</v>
      </c>
      <c r="B55" s="20" t="s">
        <v>457</v>
      </c>
      <c r="C55" s="20" t="s">
        <v>726</v>
      </c>
      <c r="D55" s="138">
        <v>3260000</v>
      </c>
      <c r="E55" s="20" t="s">
        <v>470</v>
      </c>
      <c r="F55" s="20" t="s">
        <v>471</v>
      </c>
      <c r="G55" s="8" t="str">
        <f t="shared" si="0"/>
        <v>PAGE MARCUS</v>
      </c>
      <c r="H55" s="20" t="str">
        <f t="shared" si="1"/>
        <v>4005</v>
      </c>
    </row>
    <row r="56" spans="1:8" x14ac:dyDescent="0.3">
      <c r="A56" s="8">
        <v>43030.288958333331</v>
      </c>
      <c r="B56" s="20" t="s">
        <v>426</v>
      </c>
      <c r="C56" s="20" t="s">
        <v>728</v>
      </c>
      <c r="D56" s="138">
        <v>3040000</v>
      </c>
      <c r="E56" s="20" t="s">
        <v>515</v>
      </c>
      <c r="F56" s="20" t="s">
        <v>516</v>
      </c>
      <c r="G56" s="8" t="str">
        <f t="shared" si="0"/>
        <v>WILLIAMS DONTE</v>
      </c>
      <c r="H56" s="20" t="str">
        <f t="shared" si="1"/>
        <v>4020</v>
      </c>
    </row>
    <row r="57" spans="1:8" x14ac:dyDescent="0.3">
      <c r="A57" s="8">
        <v>43030.296458333331</v>
      </c>
      <c r="B57" s="20" t="s">
        <v>517</v>
      </c>
      <c r="C57" s="20" t="s">
        <v>729</v>
      </c>
      <c r="D57" s="138">
        <v>2560000</v>
      </c>
      <c r="E57" s="20" t="s">
        <v>705</v>
      </c>
      <c r="F57" s="20" t="s">
        <v>706</v>
      </c>
      <c r="G57" s="8" t="str">
        <f t="shared" si="0"/>
        <v>MACDONALD THOMAS</v>
      </c>
      <c r="H57" s="20" t="str">
        <f t="shared" si="1"/>
        <v>4016</v>
      </c>
    </row>
    <row r="58" spans="1:8" x14ac:dyDescent="0.3">
      <c r="A58" s="8">
        <v>43030.296770833331</v>
      </c>
      <c r="B58" s="20" t="s">
        <v>412</v>
      </c>
      <c r="C58" s="20" t="s">
        <v>730</v>
      </c>
      <c r="D58" s="138">
        <v>1100000</v>
      </c>
      <c r="E58" s="20" t="s">
        <v>468</v>
      </c>
      <c r="F58" s="20" t="s">
        <v>469</v>
      </c>
      <c r="G58" s="8" t="str">
        <f t="shared" si="0"/>
        <v>GEBRETEKLE DAGNEW</v>
      </c>
      <c r="H58" s="20" t="str">
        <f t="shared" si="1"/>
        <v>4001</v>
      </c>
    </row>
    <row r="59" spans="1:8" x14ac:dyDescent="0.3">
      <c r="A59" s="8">
        <v>43030.29855324074</v>
      </c>
      <c r="B59" s="20" t="s">
        <v>526</v>
      </c>
      <c r="C59" s="20" t="s">
        <v>731</v>
      </c>
      <c r="D59" s="138">
        <v>2010000</v>
      </c>
      <c r="E59" s="20" t="s">
        <v>513</v>
      </c>
      <c r="F59" s="20" t="s">
        <v>514</v>
      </c>
      <c r="G59" s="8" t="str">
        <f t="shared" si="0"/>
        <v>MAELZER KURT</v>
      </c>
      <c r="H59" s="20" t="str">
        <f t="shared" si="1"/>
        <v>4032</v>
      </c>
    </row>
    <row r="60" spans="1:8" x14ac:dyDescent="0.3">
      <c r="A60" s="8">
        <v>43030.30672453704</v>
      </c>
      <c r="B60" s="20" t="s">
        <v>656</v>
      </c>
      <c r="C60" s="20" t="s">
        <v>732</v>
      </c>
      <c r="D60" s="138">
        <v>2370000</v>
      </c>
      <c r="E60" s="20" t="s">
        <v>477</v>
      </c>
      <c r="F60" s="20" t="s">
        <v>478</v>
      </c>
      <c r="G60" s="8" t="str">
        <f t="shared" si="0"/>
        <v>DELGADO DIANAH</v>
      </c>
      <c r="H60" s="20" t="str">
        <f t="shared" si="1"/>
        <v>4035</v>
      </c>
    </row>
    <row r="61" spans="1:8" x14ac:dyDescent="0.3">
      <c r="A61" s="8">
        <v>43030.309976851851</v>
      </c>
      <c r="B61" s="20" t="s">
        <v>390</v>
      </c>
      <c r="C61" s="20" t="s">
        <v>733</v>
      </c>
      <c r="D61" s="138">
        <v>2470000</v>
      </c>
      <c r="E61" s="20" t="s">
        <v>734</v>
      </c>
      <c r="F61" s="20" t="s">
        <v>735</v>
      </c>
      <c r="G61" s="8" t="str">
        <f t="shared" si="0"/>
        <v>ROMERO CHAD</v>
      </c>
      <c r="H61" s="20" t="str">
        <f t="shared" si="1"/>
        <v>4066</v>
      </c>
    </row>
    <row r="62" spans="1:8" x14ac:dyDescent="0.3">
      <c r="A62" s="8">
        <v>43030.310752314814</v>
      </c>
      <c r="B62" s="20" t="s">
        <v>504</v>
      </c>
      <c r="C62" s="20" t="s">
        <v>736</v>
      </c>
      <c r="D62" s="138">
        <v>2560000</v>
      </c>
      <c r="E62" s="20" t="s">
        <v>705</v>
      </c>
      <c r="F62" s="20" t="s">
        <v>706</v>
      </c>
      <c r="G62" s="8" t="str">
        <f t="shared" si="0"/>
        <v>MACDONALD THOMAS</v>
      </c>
      <c r="H62" s="20" t="str">
        <f t="shared" si="1"/>
        <v>4015</v>
      </c>
    </row>
    <row r="63" spans="1:8" x14ac:dyDescent="0.3">
      <c r="A63" s="8">
        <v>43030.319768518515</v>
      </c>
      <c r="B63" s="20" t="s">
        <v>640</v>
      </c>
      <c r="C63" s="20" t="s">
        <v>737</v>
      </c>
      <c r="D63" s="138">
        <v>1990000</v>
      </c>
      <c r="E63" s="20" t="s">
        <v>464</v>
      </c>
      <c r="F63" s="20" t="s">
        <v>465</v>
      </c>
      <c r="G63" s="8" t="str">
        <f t="shared" si="0"/>
        <v>DAVIS WENDY</v>
      </c>
      <c r="H63" s="20" t="str">
        <f t="shared" si="1"/>
        <v>4028</v>
      </c>
    </row>
    <row r="64" spans="1:8" x14ac:dyDescent="0.3">
      <c r="A64" s="26">
        <v>43030.327199074076</v>
      </c>
      <c r="B64" s="20" t="s">
        <v>659</v>
      </c>
      <c r="C64" s="20" t="s">
        <v>738</v>
      </c>
      <c r="D64" s="138">
        <v>3040000</v>
      </c>
      <c r="E64" s="20" t="s">
        <v>515</v>
      </c>
      <c r="F64" s="20" t="s">
        <v>516</v>
      </c>
      <c r="G64" s="8" t="str">
        <f t="shared" si="0"/>
        <v>WILLIAMS DONTE</v>
      </c>
      <c r="H64" s="20" t="str">
        <f t="shared" si="1"/>
        <v>4019</v>
      </c>
    </row>
    <row r="65" spans="1:8" x14ac:dyDescent="0.3">
      <c r="A65" s="8">
        <v>43030.328923611109</v>
      </c>
      <c r="B65" s="20" t="s">
        <v>681</v>
      </c>
      <c r="C65" s="20" t="s">
        <v>739</v>
      </c>
      <c r="D65" s="138">
        <v>3510000</v>
      </c>
      <c r="E65" s="20" t="s">
        <v>690</v>
      </c>
      <c r="F65" s="20" t="s">
        <v>691</v>
      </c>
      <c r="G65" s="8" t="str">
        <f t="shared" si="0"/>
        <v>BARRON PERLA</v>
      </c>
      <c r="H65" s="20" t="str">
        <f t="shared" si="1"/>
        <v>4026</v>
      </c>
    </row>
    <row r="66" spans="1:8" x14ac:dyDescent="0.3">
      <c r="A66" s="8">
        <v>43030.33252314815</v>
      </c>
      <c r="B66" s="20" t="s">
        <v>509</v>
      </c>
      <c r="C66" s="20" t="s">
        <v>740</v>
      </c>
      <c r="D66" s="138">
        <v>2010000</v>
      </c>
      <c r="E66" s="20" t="s">
        <v>513</v>
      </c>
      <c r="F66" s="20" t="s">
        <v>514</v>
      </c>
      <c r="G66" s="8" t="str">
        <f t="shared" si="0"/>
        <v>MAELZER KURT</v>
      </c>
      <c r="H66" s="20" t="str">
        <f t="shared" si="1"/>
        <v>4031</v>
      </c>
    </row>
    <row r="67" spans="1:8" x14ac:dyDescent="0.3">
      <c r="A67" s="8">
        <v>43030.339201388888</v>
      </c>
      <c r="B67" s="20" t="s">
        <v>517</v>
      </c>
      <c r="C67" s="20" t="s">
        <v>741</v>
      </c>
      <c r="D67" s="138">
        <v>2560000</v>
      </c>
      <c r="E67" s="20" t="s">
        <v>705</v>
      </c>
      <c r="F67" s="20" t="s">
        <v>706</v>
      </c>
      <c r="G67" s="8" t="str">
        <f t="shared" ref="G67:G130" si="2">E67&amp;" "&amp;F67</f>
        <v>MACDONALD THOMAS</v>
      </c>
      <c r="H67" s="20" t="str">
        <f t="shared" ref="H67:H130" si="3">MID(B67,13,4)</f>
        <v>4016</v>
      </c>
    </row>
    <row r="68" spans="1:8" x14ac:dyDescent="0.3">
      <c r="A68" s="8">
        <v>43030.339872685188</v>
      </c>
      <c r="B68" s="20" t="s">
        <v>517</v>
      </c>
      <c r="C68" s="20" t="s">
        <v>741</v>
      </c>
      <c r="D68" s="138">
        <v>2560000</v>
      </c>
      <c r="E68" s="20" t="s">
        <v>705</v>
      </c>
      <c r="F68" s="20" t="s">
        <v>706</v>
      </c>
      <c r="G68" s="8" t="str">
        <f t="shared" si="2"/>
        <v>MACDONALD THOMAS</v>
      </c>
      <c r="H68" s="20" t="str">
        <f t="shared" si="3"/>
        <v>4016</v>
      </c>
    </row>
    <row r="69" spans="1:8" x14ac:dyDescent="0.3">
      <c r="A69" s="8">
        <v>43030.340266203704</v>
      </c>
      <c r="B69" s="20" t="s">
        <v>391</v>
      </c>
      <c r="C69" s="20" t="s">
        <v>742</v>
      </c>
      <c r="D69" s="138">
        <v>2470000</v>
      </c>
      <c r="E69" s="20" t="s">
        <v>734</v>
      </c>
      <c r="F69" s="20" t="s">
        <v>735</v>
      </c>
      <c r="G69" s="8" t="str">
        <f t="shared" si="2"/>
        <v>ROMERO CHAD</v>
      </c>
      <c r="H69" s="20" t="str">
        <f t="shared" si="3"/>
        <v>4065</v>
      </c>
    </row>
    <row r="70" spans="1:8" x14ac:dyDescent="0.3">
      <c r="A70" s="8">
        <v>43030.340613425928</v>
      </c>
      <c r="B70" s="20" t="s">
        <v>413</v>
      </c>
      <c r="C70" s="20" t="s">
        <v>743</v>
      </c>
      <c r="D70" s="138">
        <v>1100000</v>
      </c>
      <c r="E70" s="20" t="s">
        <v>468</v>
      </c>
      <c r="F70" s="20" t="s">
        <v>469</v>
      </c>
      <c r="G70" s="8" t="str">
        <f t="shared" si="2"/>
        <v>GEBRETEKLE DAGNEW</v>
      </c>
      <c r="H70" s="20" t="str">
        <f t="shared" si="3"/>
        <v>4002</v>
      </c>
    </row>
    <row r="71" spans="1:8" x14ac:dyDescent="0.3">
      <c r="A71" s="8">
        <v>43030.349641203706</v>
      </c>
      <c r="B71" s="20" t="s">
        <v>645</v>
      </c>
      <c r="C71" s="20" t="s">
        <v>646</v>
      </c>
      <c r="D71" s="138">
        <v>2370000</v>
      </c>
      <c r="E71" s="20" t="s">
        <v>477</v>
      </c>
      <c r="F71" s="20" t="s">
        <v>478</v>
      </c>
      <c r="G71" s="8" t="str">
        <f t="shared" si="2"/>
        <v>DELGADO DIANAH</v>
      </c>
      <c r="H71" s="20" t="str">
        <f t="shared" si="3"/>
        <v>4036</v>
      </c>
    </row>
    <row r="72" spans="1:8" x14ac:dyDescent="0.3">
      <c r="A72" s="8">
        <v>43030.351620370369</v>
      </c>
      <c r="B72" s="20" t="s">
        <v>504</v>
      </c>
      <c r="C72" s="20" t="s">
        <v>744</v>
      </c>
      <c r="D72" s="138">
        <v>2560000</v>
      </c>
      <c r="E72" s="20" t="s">
        <v>705</v>
      </c>
      <c r="F72" s="20" t="s">
        <v>706</v>
      </c>
      <c r="G72" s="8" t="str">
        <f t="shared" si="2"/>
        <v>MACDONALD THOMAS</v>
      </c>
      <c r="H72" s="20" t="str">
        <f t="shared" si="3"/>
        <v>4015</v>
      </c>
    </row>
    <row r="73" spans="1:8" x14ac:dyDescent="0.3">
      <c r="A73" s="8">
        <v>43030.359976851854</v>
      </c>
      <c r="B73" s="20" t="s">
        <v>643</v>
      </c>
      <c r="C73" s="20" t="s">
        <v>745</v>
      </c>
      <c r="D73" s="138">
        <v>1990000</v>
      </c>
      <c r="E73" s="20" t="s">
        <v>464</v>
      </c>
      <c r="F73" s="20" t="s">
        <v>465</v>
      </c>
      <c r="G73" s="8" t="str">
        <f t="shared" si="2"/>
        <v>DAVIS WENDY</v>
      </c>
      <c r="H73" s="20" t="str">
        <f t="shared" si="3"/>
        <v>4027</v>
      </c>
    </row>
    <row r="74" spans="1:8" x14ac:dyDescent="0.3">
      <c r="A74" s="8">
        <v>43030.360324074078</v>
      </c>
      <c r="B74" s="20" t="s">
        <v>637</v>
      </c>
      <c r="C74" s="20" t="s">
        <v>746</v>
      </c>
      <c r="D74" s="138">
        <v>3510000</v>
      </c>
      <c r="E74" s="20" t="s">
        <v>690</v>
      </c>
      <c r="F74" s="20" t="s">
        <v>691</v>
      </c>
      <c r="G74" s="8" t="str">
        <f t="shared" si="2"/>
        <v>BARRON PERLA</v>
      </c>
      <c r="H74" s="20" t="str">
        <f t="shared" si="3"/>
        <v>4025</v>
      </c>
    </row>
    <row r="75" spans="1:8" x14ac:dyDescent="0.3">
      <c r="A75" s="8">
        <v>43030.360833333332</v>
      </c>
      <c r="B75" s="20" t="s">
        <v>426</v>
      </c>
      <c r="C75" s="20" t="s">
        <v>747</v>
      </c>
      <c r="D75" s="138">
        <v>3040000</v>
      </c>
      <c r="E75" s="20" t="s">
        <v>515</v>
      </c>
      <c r="F75" s="20" t="s">
        <v>516</v>
      </c>
      <c r="G75" s="8" t="str">
        <f t="shared" si="2"/>
        <v>WILLIAMS DONTE</v>
      </c>
      <c r="H75" s="20" t="str">
        <f t="shared" si="3"/>
        <v>4020</v>
      </c>
    </row>
    <row r="76" spans="1:8" x14ac:dyDescent="0.3">
      <c r="A76" s="8">
        <v>43030.366388888891</v>
      </c>
      <c r="B76" s="20" t="s">
        <v>645</v>
      </c>
      <c r="C76" s="20" t="s">
        <v>646</v>
      </c>
      <c r="D76" s="138">
        <v>2370000</v>
      </c>
      <c r="E76" s="20" t="s">
        <v>477</v>
      </c>
      <c r="F76" s="20" t="s">
        <v>478</v>
      </c>
      <c r="G76" s="8" t="str">
        <f t="shared" si="2"/>
        <v>DELGADO DIANAH</v>
      </c>
      <c r="H76" s="20" t="str">
        <f t="shared" si="3"/>
        <v>4036</v>
      </c>
    </row>
    <row r="77" spans="1:8" x14ac:dyDescent="0.3">
      <c r="A77" s="8">
        <v>43030.369363425925</v>
      </c>
      <c r="B77" s="20" t="s">
        <v>412</v>
      </c>
      <c r="C77" s="20" t="s">
        <v>748</v>
      </c>
      <c r="D77" s="138">
        <v>1100000</v>
      </c>
      <c r="E77" s="20" t="s">
        <v>468</v>
      </c>
      <c r="F77" s="20" t="s">
        <v>469</v>
      </c>
      <c r="G77" s="8" t="str">
        <f t="shared" si="2"/>
        <v>GEBRETEKLE DAGNEW</v>
      </c>
      <c r="H77" s="20" t="str">
        <f t="shared" si="3"/>
        <v>4001</v>
      </c>
    </row>
    <row r="78" spans="1:8" x14ac:dyDescent="0.3">
      <c r="A78" s="8">
        <v>43030.37226851852</v>
      </c>
      <c r="B78" s="20" t="s">
        <v>526</v>
      </c>
      <c r="C78" s="20" t="s">
        <v>749</v>
      </c>
      <c r="D78" s="138">
        <v>2010000</v>
      </c>
      <c r="E78" s="20" t="s">
        <v>513</v>
      </c>
      <c r="F78" s="20" t="s">
        <v>514</v>
      </c>
      <c r="G78" s="8" t="str">
        <f t="shared" si="2"/>
        <v>MAELZER KURT</v>
      </c>
      <c r="H78" s="20" t="str">
        <f t="shared" si="3"/>
        <v>4032</v>
      </c>
    </row>
    <row r="79" spans="1:8" x14ac:dyDescent="0.3">
      <c r="A79" s="8">
        <v>43030.380787037036</v>
      </c>
      <c r="B79" s="20" t="s">
        <v>517</v>
      </c>
      <c r="C79" s="20" t="s">
        <v>750</v>
      </c>
      <c r="D79" s="138">
        <v>2560000</v>
      </c>
      <c r="E79" s="20" t="s">
        <v>705</v>
      </c>
      <c r="F79" s="20" t="s">
        <v>706</v>
      </c>
      <c r="G79" s="8" t="str">
        <f t="shared" si="2"/>
        <v>MACDONALD THOMAS</v>
      </c>
      <c r="H79" s="20" t="str">
        <f t="shared" si="3"/>
        <v>4016</v>
      </c>
    </row>
    <row r="80" spans="1:8" x14ac:dyDescent="0.3">
      <c r="A80" s="8">
        <v>43030.380914351852</v>
      </c>
      <c r="B80" s="20" t="s">
        <v>390</v>
      </c>
      <c r="C80" s="20" t="s">
        <v>751</v>
      </c>
      <c r="D80" s="138">
        <v>3090000</v>
      </c>
      <c r="E80" s="20" t="s">
        <v>709</v>
      </c>
      <c r="F80" s="20" t="s">
        <v>710</v>
      </c>
      <c r="G80" s="8" t="str">
        <f t="shared" si="2"/>
        <v>LAMAR NEKESHA</v>
      </c>
      <c r="H80" s="20" t="str">
        <f t="shared" si="3"/>
        <v>4066</v>
      </c>
    </row>
    <row r="81" spans="1:8" x14ac:dyDescent="0.3">
      <c r="A81" s="8">
        <v>43030.38318287037</v>
      </c>
      <c r="B81" s="20" t="s">
        <v>656</v>
      </c>
      <c r="C81" s="20" t="s">
        <v>752</v>
      </c>
      <c r="D81" s="138">
        <v>2370000</v>
      </c>
      <c r="E81" s="20" t="s">
        <v>477</v>
      </c>
      <c r="F81" s="20" t="s">
        <v>478</v>
      </c>
      <c r="G81" s="8" t="str">
        <f t="shared" si="2"/>
        <v>DELGADO DIANAH</v>
      </c>
      <c r="H81" s="20" t="str">
        <f t="shared" si="3"/>
        <v>4035</v>
      </c>
    </row>
    <row r="82" spans="1:8" x14ac:dyDescent="0.3">
      <c r="A82" s="8">
        <v>43030.392152777778</v>
      </c>
      <c r="B82" s="20" t="s">
        <v>504</v>
      </c>
      <c r="C82" s="20" t="s">
        <v>753</v>
      </c>
      <c r="D82" s="138">
        <v>2560000</v>
      </c>
      <c r="E82" s="20" t="s">
        <v>705</v>
      </c>
      <c r="F82" s="20" t="s">
        <v>706</v>
      </c>
      <c r="G82" s="8" t="str">
        <f t="shared" si="2"/>
        <v>MACDONALD THOMAS</v>
      </c>
      <c r="H82" s="20" t="str">
        <f t="shared" si="3"/>
        <v>4015</v>
      </c>
    </row>
    <row r="83" spans="1:8" x14ac:dyDescent="0.3">
      <c r="A83" s="8">
        <v>43030.394490740742</v>
      </c>
      <c r="B83" s="20" t="s">
        <v>640</v>
      </c>
      <c r="C83" s="20" t="s">
        <v>754</v>
      </c>
      <c r="D83" s="138">
        <v>1990000</v>
      </c>
      <c r="E83" s="20" t="s">
        <v>464</v>
      </c>
      <c r="F83" s="20" t="s">
        <v>465</v>
      </c>
      <c r="G83" s="8" t="str">
        <f t="shared" si="2"/>
        <v>DAVIS WENDY</v>
      </c>
      <c r="H83" s="20" t="str">
        <f t="shared" si="3"/>
        <v>4028</v>
      </c>
    </row>
    <row r="84" spans="1:8" x14ac:dyDescent="0.3">
      <c r="A84" s="8">
        <v>43030.399108796293</v>
      </c>
      <c r="B84" s="20" t="s">
        <v>659</v>
      </c>
      <c r="C84" s="20" t="s">
        <v>755</v>
      </c>
      <c r="D84" s="138">
        <v>3040000</v>
      </c>
      <c r="E84" s="20" t="s">
        <v>515</v>
      </c>
      <c r="F84" s="20" t="s">
        <v>516</v>
      </c>
      <c r="G84" s="8" t="str">
        <f t="shared" si="2"/>
        <v>WILLIAMS DONTE</v>
      </c>
      <c r="H84" s="20" t="str">
        <f t="shared" si="3"/>
        <v>4019</v>
      </c>
    </row>
    <row r="85" spans="1:8" x14ac:dyDescent="0.3">
      <c r="A85" s="8">
        <v>43030.402650462966</v>
      </c>
      <c r="B85" s="20" t="s">
        <v>681</v>
      </c>
      <c r="C85" s="20" t="s">
        <v>756</v>
      </c>
      <c r="D85" s="138">
        <v>3510000</v>
      </c>
      <c r="E85" s="20" t="s">
        <v>690</v>
      </c>
      <c r="F85" s="20" t="s">
        <v>691</v>
      </c>
      <c r="G85" s="8" t="str">
        <f t="shared" si="2"/>
        <v>BARRON PERLA</v>
      </c>
      <c r="H85" s="20" t="str">
        <f t="shared" si="3"/>
        <v>4026</v>
      </c>
    </row>
    <row r="86" spans="1:8" x14ac:dyDescent="0.3">
      <c r="A86" s="8">
        <v>43030.407465277778</v>
      </c>
      <c r="B86" s="20" t="s">
        <v>509</v>
      </c>
      <c r="C86" s="20" t="s">
        <v>648</v>
      </c>
      <c r="D86" s="138">
        <v>2010000</v>
      </c>
      <c r="E86" s="20" t="s">
        <v>513</v>
      </c>
      <c r="F86" s="20" t="s">
        <v>514</v>
      </c>
      <c r="G86" s="8" t="str">
        <f t="shared" si="2"/>
        <v>MAELZER KURT</v>
      </c>
      <c r="H86" s="20" t="str">
        <f t="shared" si="3"/>
        <v>4031</v>
      </c>
    </row>
    <row r="87" spans="1:8" x14ac:dyDescent="0.3">
      <c r="A87" s="8">
        <v>43030.412430555552</v>
      </c>
      <c r="B87" s="20" t="s">
        <v>413</v>
      </c>
      <c r="C87" s="20" t="s">
        <v>757</v>
      </c>
      <c r="D87" s="138">
        <v>1100000</v>
      </c>
      <c r="E87" s="20" t="s">
        <v>468</v>
      </c>
      <c r="F87" s="20" t="s">
        <v>469</v>
      </c>
      <c r="G87" s="8" t="str">
        <f t="shared" si="2"/>
        <v>GEBRETEKLE DAGNEW</v>
      </c>
      <c r="H87" s="20" t="str">
        <f t="shared" si="3"/>
        <v>4002</v>
      </c>
    </row>
    <row r="88" spans="1:8" x14ac:dyDescent="0.3">
      <c r="A88" s="8">
        <v>43030.422291666669</v>
      </c>
      <c r="B88" s="20" t="s">
        <v>645</v>
      </c>
      <c r="C88" s="20" t="s">
        <v>758</v>
      </c>
      <c r="D88" s="138">
        <v>2550000</v>
      </c>
      <c r="E88" s="20" t="s">
        <v>522</v>
      </c>
      <c r="F88" s="20" t="s">
        <v>523</v>
      </c>
      <c r="G88" s="8" t="str">
        <f t="shared" si="2"/>
        <v>BADERTSCHER DIANE</v>
      </c>
      <c r="H88" s="20" t="str">
        <f t="shared" si="3"/>
        <v>4036</v>
      </c>
    </row>
    <row r="89" spans="1:8" x14ac:dyDescent="0.3">
      <c r="A89" s="8">
        <v>43030.422893518517</v>
      </c>
      <c r="B89" s="20" t="s">
        <v>517</v>
      </c>
      <c r="C89" s="20" t="s">
        <v>647</v>
      </c>
      <c r="D89" s="138">
        <v>2560000</v>
      </c>
      <c r="E89" s="20" t="s">
        <v>705</v>
      </c>
      <c r="F89" s="20" t="s">
        <v>706</v>
      </c>
      <c r="G89" s="8" t="str">
        <f t="shared" si="2"/>
        <v>MACDONALD THOMAS</v>
      </c>
      <c r="H89" s="20" t="str">
        <f t="shared" si="3"/>
        <v>4016</v>
      </c>
    </row>
    <row r="90" spans="1:8" x14ac:dyDescent="0.3">
      <c r="A90" s="8">
        <v>43030.423449074071</v>
      </c>
      <c r="B90" s="20" t="s">
        <v>391</v>
      </c>
      <c r="C90" s="20" t="s">
        <v>759</v>
      </c>
      <c r="D90" s="138">
        <v>3090000</v>
      </c>
      <c r="E90" s="20" t="s">
        <v>709</v>
      </c>
      <c r="F90" s="20" t="s">
        <v>710</v>
      </c>
      <c r="G90" s="8" t="str">
        <f t="shared" si="2"/>
        <v>LAMAR NEKESHA</v>
      </c>
      <c r="H90" s="20" t="str">
        <f t="shared" si="3"/>
        <v>4065</v>
      </c>
    </row>
    <row r="91" spans="1:8" x14ac:dyDescent="0.3">
      <c r="A91" s="8">
        <v>43030.427118055559</v>
      </c>
      <c r="B91" s="20" t="s">
        <v>643</v>
      </c>
      <c r="C91" s="20" t="s">
        <v>760</v>
      </c>
      <c r="D91" s="138">
        <v>1990000</v>
      </c>
      <c r="E91" s="20" t="s">
        <v>464</v>
      </c>
      <c r="F91" s="20" t="s">
        <v>465</v>
      </c>
      <c r="G91" s="8" t="str">
        <f t="shared" si="2"/>
        <v>DAVIS WENDY</v>
      </c>
      <c r="H91" s="20" t="str">
        <f t="shared" si="3"/>
        <v>4027</v>
      </c>
    </row>
    <row r="92" spans="1:8" x14ac:dyDescent="0.3">
      <c r="A92" s="8">
        <v>43030.434363425928</v>
      </c>
      <c r="B92" s="20" t="s">
        <v>426</v>
      </c>
      <c r="C92" s="20" t="s">
        <v>761</v>
      </c>
      <c r="D92" s="138">
        <v>3040000</v>
      </c>
      <c r="E92" s="20" t="s">
        <v>515</v>
      </c>
      <c r="F92" s="20" t="s">
        <v>516</v>
      </c>
      <c r="G92" s="8" t="str">
        <f t="shared" si="2"/>
        <v>WILLIAMS DONTE</v>
      </c>
      <c r="H92" s="20" t="str">
        <f t="shared" si="3"/>
        <v>4020</v>
      </c>
    </row>
    <row r="93" spans="1:8" x14ac:dyDescent="0.3">
      <c r="A93" s="8">
        <v>43030.434571759259</v>
      </c>
      <c r="B93" s="20" t="s">
        <v>504</v>
      </c>
      <c r="C93" s="20" t="s">
        <v>649</v>
      </c>
      <c r="D93" s="138">
        <v>2560000</v>
      </c>
      <c r="E93" s="20" t="s">
        <v>705</v>
      </c>
      <c r="F93" s="20" t="s">
        <v>706</v>
      </c>
      <c r="G93" s="8" t="str">
        <f t="shared" si="2"/>
        <v>MACDONALD THOMAS</v>
      </c>
      <c r="H93" s="20" t="str">
        <f t="shared" si="3"/>
        <v>4015</v>
      </c>
    </row>
    <row r="94" spans="1:8" x14ac:dyDescent="0.3">
      <c r="A94" s="8">
        <v>43030.436493055553</v>
      </c>
      <c r="B94" s="20" t="s">
        <v>637</v>
      </c>
      <c r="C94" s="20" t="s">
        <v>762</v>
      </c>
      <c r="D94" s="138">
        <v>3510000</v>
      </c>
      <c r="E94" s="20" t="s">
        <v>690</v>
      </c>
      <c r="F94" s="20" t="s">
        <v>691</v>
      </c>
      <c r="G94" s="8" t="str">
        <f t="shared" si="2"/>
        <v>BARRON PERLA</v>
      </c>
      <c r="H94" s="20" t="str">
        <f t="shared" si="3"/>
        <v>4025</v>
      </c>
    </row>
    <row r="95" spans="1:8" x14ac:dyDescent="0.3">
      <c r="A95" s="8">
        <v>43030.443287037036</v>
      </c>
      <c r="B95" s="20" t="s">
        <v>412</v>
      </c>
      <c r="C95" s="20" t="s">
        <v>652</v>
      </c>
      <c r="D95" s="138">
        <v>1100000</v>
      </c>
      <c r="E95" s="20" t="s">
        <v>468</v>
      </c>
      <c r="F95" s="20" t="s">
        <v>469</v>
      </c>
      <c r="G95" s="8" t="str">
        <f t="shared" si="2"/>
        <v>GEBRETEKLE DAGNEW</v>
      </c>
      <c r="H95" s="20" t="str">
        <f t="shared" si="3"/>
        <v>4001</v>
      </c>
    </row>
    <row r="96" spans="1:8" x14ac:dyDescent="0.3">
      <c r="A96" s="8">
        <v>43030.44363425926</v>
      </c>
      <c r="B96" s="20" t="s">
        <v>526</v>
      </c>
      <c r="C96" s="20" t="s">
        <v>763</v>
      </c>
      <c r="D96" s="138">
        <v>880000</v>
      </c>
      <c r="E96" s="20" t="s">
        <v>400</v>
      </c>
      <c r="F96" s="20" t="s">
        <v>386</v>
      </c>
      <c r="G96" s="8" t="str">
        <f t="shared" si="2"/>
        <v>STEWART MICHAEL</v>
      </c>
      <c r="H96" s="20" t="str">
        <f t="shared" si="3"/>
        <v>4032</v>
      </c>
    </row>
    <row r="97" spans="1:8" x14ac:dyDescent="0.3">
      <c r="A97" s="8">
        <v>43030.448761574073</v>
      </c>
      <c r="B97" s="20" t="s">
        <v>650</v>
      </c>
      <c r="C97" s="20" t="s">
        <v>651</v>
      </c>
      <c r="D97" s="138">
        <v>2030000</v>
      </c>
      <c r="E97" s="20" t="s">
        <v>524</v>
      </c>
      <c r="F97" s="20" t="s">
        <v>525</v>
      </c>
      <c r="G97" s="8" t="str">
        <f t="shared" si="2"/>
        <v>KILLION DAVID</v>
      </c>
      <c r="H97" s="20" t="str">
        <f t="shared" si="3"/>
        <v>4061</v>
      </c>
    </row>
    <row r="98" spans="1:8" x14ac:dyDescent="0.3">
      <c r="A98" s="8">
        <v>43030.456064814818</v>
      </c>
      <c r="B98" s="20" t="s">
        <v>390</v>
      </c>
      <c r="C98" s="20" t="s">
        <v>764</v>
      </c>
      <c r="D98" s="138">
        <v>3090000</v>
      </c>
      <c r="E98" s="20" t="s">
        <v>709</v>
      </c>
      <c r="F98" s="20" t="s">
        <v>710</v>
      </c>
      <c r="G98" s="8" t="str">
        <f t="shared" si="2"/>
        <v>LAMAR NEKESHA</v>
      </c>
      <c r="H98" s="20" t="str">
        <f t="shared" si="3"/>
        <v>4066</v>
      </c>
    </row>
    <row r="99" spans="1:8" x14ac:dyDescent="0.3">
      <c r="A99" s="8">
        <v>43030.461967592593</v>
      </c>
      <c r="B99" s="20" t="s">
        <v>656</v>
      </c>
      <c r="C99" s="20" t="s">
        <v>765</v>
      </c>
      <c r="D99" s="138">
        <v>2550000</v>
      </c>
      <c r="E99" s="20" t="s">
        <v>522</v>
      </c>
      <c r="F99" s="20" t="s">
        <v>523</v>
      </c>
      <c r="G99" s="8" t="str">
        <f t="shared" si="2"/>
        <v>BADERTSCHER DIANE</v>
      </c>
      <c r="H99" s="20" t="str">
        <f t="shared" si="3"/>
        <v>4035</v>
      </c>
    </row>
    <row r="100" spans="1:8" x14ac:dyDescent="0.3">
      <c r="A100" s="8">
        <v>43030.463622685187</v>
      </c>
      <c r="B100" s="20" t="s">
        <v>517</v>
      </c>
      <c r="C100" s="20" t="s">
        <v>766</v>
      </c>
      <c r="D100" s="138">
        <v>2560000</v>
      </c>
      <c r="E100" s="20" t="s">
        <v>705</v>
      </c>
      <c r="F100" s="20" t="s">
        <v>706</v>
      </c>
      <c r="G100" s="8" t="str">
        <f t="shared" si="2"/>
        <v>MACDONALD THOMAS</v>
      </c>
      <c r="H100" s="20" t="str">
        <f t="shared" si="3"/>
        <v>4016</v>
      </c>
    </row>
    <row r="101" spans="1:8" x14ac:dyDescent="0.3">
      <c r="A101" s="8">
        <v>43030.465844907405</v>
      </c>
      <c r="B101" s="20" t="s">
        <v>640</v>
      </c>
      <c r="C101" s="20" t="s">
        <v>767</v>
      </c>
      <c r="D101" s="138">
        <v>2030000</v>
      </c>
      <c r="E101" s="20" t="s">
        <v>524</v>
      </c>
      <c r="F101" s="20" t="s">
        <v>525</v>
      </c>
      <c r="G101" s="8" t="str">
        <f t="shared" si="2"/>
        <v>KILLION DAVID</v>
      </c>
      <c r="H101" s="20" t="str">
        <f t="shared" si="3"/>
        <v>4028</v>
      </c>
    </row>
    <row r="102" spans="1:8" x14ac:dyDescent="0.3">
      <c r="A102" s="8">
        <v>43030.472650462965</v>
      </c>
      <c r="B102" s="20" t="s">
        <v>659</v>
      </c>
      <c r="C102" s="20" t="s">
        <v>768</v>
      </c>
      <c r="D102" s="138">
        <v>3040000</v>
      </c>
      <c r="E102" s="20" t="s">
        <v>515</v>
      </c>
      <c r="F102" s="20" t="s">
        <v>516</v>
      </c>
      <c r="G102" s="8" t="str">
        <f t="shared" si="2"/>
        <v>WILLIAMS DONTE</v>
      </c>
      <c r="H102" s="20" t="str">
        <f t="shared" si="3"/>
        <v>4019</v>
      </c>
    </row>
    <row r="103" spans="1:8" x14ac:dyDescent="0.3">
      <c r="A103" s="8">
        <v>43030.476840277777</v>
      </c>
      <c r="B103" s="20" t="s">
        <v>681</v>
      </c>
      <c r="C103" s="20" t="s">
        <v>769</v>
      </c>
      <c r="D103" s="138">
        <v>2630000</v>
      </c>
      <c r="E103" s="20" t="s">
        <v>770</v>
      </c>
      <c r="F103" s="20" t="s">
        <v>771</v>
      </c>
      <c r="G103" s="8" t="str">
        <f t="shared" si="2"/>
        <v>SAFIEF AEIMEN</v>
      </c>
      <c r="H103" s="20" t="str">
        <f t="shared" si="3"/>
        <v>4026</v>
      </c>
    </row>
    <row r="104" spans="1:8" x14ac:dyDescent="0.3">
      <c r="A104" s="8">
        <v>43030.477881944447</v>
      </c>
      <c r="B104" s="20" t="s">
        <v>504</v>
      </c>
      <c r="C104" s="20" t="s">
        <v>772</v>
      </c>
      <c r="D104" s="138">
        <v>2560000</v>
      </c>
      <c r="E104" s="20" t="s">
        <v>705</v>
      </c>
      <c r="F104" s="20" t="s">
        <v>706</v>
      </c>
      <c r="G104" s="8" t="str">
        <f t="shared" si="2"/>
        <v>MACDONALD THOMAS</v>
      </c>
      <c r="H104" s="20" t="str">
        <f t="shared" si="3"/>
        <v>4015</v>
      </c>
    </row>
    <row r="105" spans="1:8" x14ac:dyDescent="0.3">
      <c r="A105" s="8">
        <v>43030.484224537038</v>
      </c>
      <c r="B105" s="20" t="s">
        <v>509</v>
      </c>
      <c r="C105" s="20" t="s">
        <v>773</v>
      </c>
      <c r="D105" s="138">
        <v>880000</v>
      </c>
      <c r="E105" s="20" t="s">
        <v>400</v>
      </c>
      <c r="F105" s="20" t="s">
        <v>386</v>
      </c>
      <c r="G105" s="8" t="str">
        <f t="shared" si="2"/>
        <v>STEWART MICHAEL</v>
      </c>
      <c r="H105" s="20" t="str">
        <f t="shared" si="3"/>
        <v>4031</v>
      </c>
    </row>
    <row r="106" spans="1:8" x14ac:dyDescent="0.3">
      <c r="A106" s="8">
        <v>43030.485590277778</v>
      </c>
      <c r="B106" s="20" t="s">
        <v>413</v>
      </c>
      <c r="C106" s="20" t="s">
        <v>774</v>
      </c>
      <c r="D106" s="138">
        <v>2970000</v>
      </c>
      <c r="E106" s="20" t="s">
        <v>775</v>
      </c>
      <c r="F106" s="20" t="s">
        <v>776</v>
      </c>
      <c r="G106" s="8" t="str">
        <f t="shared" si="2"/>
        <v>GUZMAN DANNY</v>
      </c>
      <c r="H106" s="20" t="str">
        <f t="shared" si="3"/>
        <v>4002</v>
      </c>
    </row>
    <row r="107" spans="1:8" x14ac:dyDescent="0.3">
      <c r="A107" s="8">
        <v>43030.485763888886</v>
      </c>
      <c r="B107" s="20" t="s">
        <v>391</v>
      </c>
      <c r="C107" s="20" t="s">
        <v>777</v>
      </c>
      <c r="D107" s="138">
        <v>3090000</v>
      </c>
      <c r="E107" s="20" t="s">
        <v>709</v>
      </c>
      <c r="F107" s="20" t="s">
        <v>710</v>
      </c>
      <c r="G107" s="8" t="str">
        <f t="shared" si="2"/>
        <v>LAMAR NEKESHA</v>
      </c>
      <c r="H107" s="20" t="str">
        <f t="shared" si="3"/>
        <v>4065</v>
      </c>
    </row>
    <row r="108" spans="1:8" x14ac:dyDescent="0.3">
      <c r="A108" s="8">
        <v>43030.488043981481</v>
      </c>
      <c r="B108" s="20" t="s">
        <v>778</v>
      </c>
      <c r="C108" s="20" t="s">
        <v>779</v>
      </c>
      <c r="D108" s="138">
        <v>3510000</v>
      </c>
      <c r="E108" s="20" t="s">
        <v>690</v>
      </c>
      <c r="F108" s="20" t="s">
        <v>691</v>
      </c>
      <c r="G108" s="8" t="str">
        <f t="shared" si="2"/>
        <v>BARRON PERLA</v>
      </c>
      <c r="H108" s="20" t="str">
        <f t="shared" si="3"/>
        <v>4062</v>
      </c>
    </row>
    <row r="109" spans="1:8" x14ac:dyDescent="0.3">
      <c r="A109" s="8">
        <v>43030.497407407405</v>
      </c>
      <c r="B109" s="20" t="s">
        <v>645</v>
      </c>
      <c r="C109" s="20" t="s">
        <v>780</v>
      </c>
      <c r="D109" s="138">
        <v>2550000</v>
      </c>
      <c r="E109" s="20" t="s">
        <v>522</v>
      </c>
      <c r="F109" s="20" t="s">
        <v>523</v>
      </c>
      <c r="G109" s="8" t="str">
        <f t="shared" si="2"/>
        <v>BADERTSCHER DIANE</v>
      </c>
      <c r="H109" s="20" t="str">
        <f t="shared" si="3"/>
        <v>4036</v>
      </c>
    </row>
    <row r="110" spans="1:8" x14ac:dyDescent="0.3">
      <c r="A110" s="8">
        <v>43030.5000462963</v>
      </c>
      <c r="B110" s="20" t="s">
        <v>643</v>
      </c>
      <c r="C110" s="20" t="s">
        <v>781</v>
      </c>
      <c r="D110" s="138">
        <v>2030000</v>
      </c>
      <c r="E110" s="20" t="s">
        <v>524</v>
      </c>
      <c r="F110" s="20" t="s">
        <v>525</v>
      </c>
      <c r="G110" s="8" t="str">
        <f t="shared" si="2"/>
        <v>KILLION DAVID</v>
      </c>
      <c r="H110" s="20" t="str">
        <f t="shared" si="3"/>
        <v>4027</v>
      </c>
    </row>
    <row r="111" spans="1:8" x14ac:dyDescent="0.3">
      <c r="A111" s="8">
        <v>43030.505601851852</v>
      </c>
      <c r="B111" s="20" t="s">
        <v>517</v>
      </c>
      <c r="C111" s="20" t="s">
        <v>782</v>
      </c>
      <c r="D111" s="138">
        <v>2560000</v>
      </c>
      <c r="E111" s="20" t="s">
        <v>705</v>
      </c>
      <c r="F111" s="20" t="s">
        <v>706</v>
      </c>
      <c r="G111" s="8" t="str">
        <f t="shared" si="2"/>
        <v>MACDONALD THOMAS</v>
      </c>
      <c r="H111" s="20" t="str">
        <f t="shared" si="3"/>
        <v>4016</v>
      </c>
    </row>
    <row r="112" spans="1:8" x14ac:dyDescent="0.3">
      <c r="A112" s="8">
        <v>43030.50681712963</v>
      </c>
      <c r="B112" s="20" t="s">
        <v>637</v>
      </c>
      <c r="C112" s="20" t="s">
        <v>783</v>
      </c>
      <c r="D112" s="138">
        <v>2630000</v>
      </c>
      <c r="E112" s="20" t="s">
        <v>770</v>
      </c>
      <c r="F112" s="20" t="s">
        <v>771</v>
      </c>
      <c r="G112" s="8" t="str">
        <f t="shared" si="2"/>
        <v>SAFIEF AEIMEN</v>
      </c>
      <c r="H112" s="20" t="str">
        <f t="shared" si="3"/>
        <v>4025</v>
      </c>
    </row>
    <row r="113" spans="1:8" x14ac:dyDescent="0.3">
      <c r="A113" s="8">
        <v>43030.507094907407</v>
      </c>
      <c r="B113" s="20" t="s">
        <v>426</v>
      </c>
      <c r="C113" s="20" t="s">
        <v>784</v>
      </c>
      <c r="D113" s="138">
        <v>2350000</v>
      </c>
      <c r="E113" s="20" t="s">
        <v>473</v>
      </c>
      <c r="F113" s="20" t="s">
        <v>474</v>
      </c>
      <c r="G113" s="8" t="str">
        <f t="shared" si="2"/>
        <v>BERLING GARY</v>
      </c>
      <c r="H113" s="20" t="str">
        <f t="shared" si="3"/>
        <v>4020</v>
      </c>
    </row>
    <row r="114" spans="1:8" x14ac:dyDescent="0.3">
      <c r="A114" s="8">
        <v>43030.515219907407</v>
      </c>
      <c r="B114" s="20" t="s">
        <v>412</v>
      </c>
      <c r="C114" s="20" t="s">
        <v>785</v>
      </c>
      <c r="D114" s="138">
        <v>2970000</v>
      </c>
      <c r="E114" s="20" t="s">
        <v>775</v>
      </c>
      <c r="F114" s="20" t="s">
        <v>776</v>
      </c>
      <c r="G114" s="8" t="str">
        <f t="shared" si="2"/>
        <v>GUZMAN DANNY</v>
      </c>
      <c r="H114" s="20" t="str">
        <f t="shared" si="3"/>
        <v>4001</v>
      </c>
    </row>
    <row r="115" spans="1:8" x14ac:dyDescent="0.3">
      <c r="A115" s="8">
        <v>43030.516597222224</v>
      </c>
      <c r="B115" s="20" t="s">
        <v>526</v>
      </c>
      <c r="C115" s="20" t="s">
        <v>786</v>
      </c>
      <c r="D115" s="138">
        <v>2600000</v>
      </c>
      <c r="E115" s="20" t="s">
        <v>569</v>
      </c>
      <c r="F115" s="20" t="s">
        <v>525</v>
      </c>
      <c r="G115" s="8" t="str">
        <f t="shared" si="2"/>
        <v>DAVIDSON DAVID</v>
      </c>
      <c r="H115" s="20" t="str">
        <f t="shared" si="3"/>
        <v>4032</v>
      </c>
    </row>
    <row r="116" spans="1:8" x14ac:dyDescent="0.3">
      <c r="A116" s="8">
        <v>43030.517743055556</v>
      </c>
      <c r="B116" s="20" t="s">
        <v>504</v>
      </c>
      <c r="C116" s="20" t="s">
        <v>787</v>
      </c>
      <c r="D116" s="138">
        <v>2560000</v>
      </c>
      <c r="E116" s="20" t="s">
        <v>705</v>
      </c>
      <c r="F116" s="20" t="s">
        <v>706</v>
      </c>
      <c r="G116" s="8" t="str">
        <f t="shared" si="2"/>
        <v>MACDONALD THOMAS</v>
      </c>
      <c r="H116" s="20" t="str">
        <f t="shared" si="3"/>
        <v>4015</v>
      </c>
    </row>
    <row r="117" spans="1:8" x14ac:dyDescent="0.3">
      <c r="A117" s="8">
        <v>43030.528009259258</v>
      </c>
      <c r="B117" s="20" t="s">
        <v>390</v>
      </c>
      <c r="C117" s="20" t="s">
        <v>788</v>
      </c>
      <c r="D117" s="138">
        <v>2230000</v>
      </c>
      <c r="E117" s="20" t="s">
        <v>789</v>
      </c>
      <c r="F117" s="20" t="s">
        <v>386</v>
      </c>
      <c r="G117" s="8" t="str">
        <f t="shared" si="2"/>
        <v>SMITH MICHAEL</v>
      </c>
      <c r="H117" s="20" t="str">
        <f t="shared" si="3"/>
        <v>4066</v>
      </c>
    </row>
    <row r="118" spans="1:8" x14ac:dyDescent="0.3">
      <c r="A118" s="8">
        <v>43030.535416666666</v>
      </c>
      <c r="B118" s="20" t="s">
        <v>656</v>
      </c>
      <c r="C118" s="20" t="s">
        <v>790</v>
      </c>
      <c r="D118" s="138">
        <v>2550000</v>
      </c>
      <c r="E118" s="20" t="s">
        <v>522</v>
      </c>
      <c r="F118" s="20" t="s">
        <v>523</v>
      </c>
      <c r="G118" s="8" t="str">
        <f t="shared" si="2"/>
        <v>BADERTSCHER DIANE</v>
      </c>
      <c r="H118" s="20" t="str">
        <f t="shared" si="3"/>
        <v>4035</v>
      </c>
    </row>
    <row r="119" spans="1:8" x14ac:dyDescent="0.3">
      <c r="A119" s="8">
        <v>43030.53696759259</v>
      </c>
      <c r="B119" s="20" t="s">
        <v>640</v>
      </c>
      <c r="C119" s="20" t="s">
        <v>653</v>
      </c>
      <c r="D119" s="138">
        <v>2030000</v>
      </c>
      <c r="E119" s="20" t="s">
        <v>524</v>
      </c>
      <c r="F119" s="20" t="s">
        <v>525</v>
      </c>
      <c r="G119" s="8" t="str">
        <f t="shared" si="2"/>
        <v>KILLION DAVID</v>
      </c>
      <c r="H119" s="20" t="str">
        <f t="shared" si="3"/>
        <v>4028</v>
      </c>
    </row>
    <row r="120" spans="1:8" x14ac:dyDescent="0.3">
      <c r="A120" s="8">
        <v>43030.5469212963</v>
      </c>
      <c r="B120" s="20" t="s">
        <v>659</v>
      </c>
      <c r="C120" s="20" t="s">
        <v>791</v>
      </c>
      <c r="D120" s="138">
        <v>2350000</v>
      </c>
      <c r="E120" s="20" t="s">
        <v>473</v>
      </c>
      <c r="F120" s="20" t="s">
        <v>474</v>
      </c>
      <c r="G120" s="8" t="str">
        <f t="shared" si="2"/>
        <v>BERLING GARY</v>
      </c>
      <c r="H120" s="20" t="str">
        <f t="shared" si="3"/>
        <v>4019</v>
      </c>
    </row>
    <row r="121" spans="1:8" x14ac:dyDescent="0.3">
      <c r="A121" s="8">
        <v>43030.547164351854</v>
      </c>
      <c r="B121" s="20" t="s">
        <v>681</v>
      </c>
      <c r="C121" s="20" t="s">
        <v>792</v>
      </c>
      <c r="D121" s="138">
        <v>2630000</v>
      </c>
      <c r="E121" s="20" t="s">
        <v>770</v>
      </c>
      <c r="F121" s="20" t="s">
        <v>771</v>
      </c>
      <c r="G121" s="8" t="str">
        <f t="shared" si="2"/>
        <v>SAFIEF AEIMEN</v>
      </c>
      <c r="H121" s="20" t="str">
        <f t="shared" si="3"/>
        <v>4026</v>
      </c>
    </row>
    <row r="122" spans="1:8" x14ac:dyDescent="0.3">
      <c r="A122" s="8">
        <v>43030.547627314816</v>
      </c>
      <c r="B122" s="25" t="s">
        <v>517</v>
      </c>
      <c r="C122" s="20" t="s">
        <v>793</v>
      </c>
      <c r="D122" s="138">
        <v>2560000</v>
      </c>
      <c r="E122" s="20" t="s">
        <v>705</v>
      </c>
      <c r="F122" s="20" t="s">
        <v>706</v>
      </c>
      <c r="G122" s="8" t="str">
        <f t="shared" si="2"/>
        <v>MACDONALD THOMAS</v>
      </c>
      <c r="H122" s="20" t="str">
        <f t="shared" si="3"/>
        <v>4016</v>
      </c>
    </row>
    <row r="123" spans="1:8" x14ac:dyDescent="0.3">
      <c r="A123" s="8">
        <v>43030.549039351848</v>
      </c>
      <c r="B123" s="20" t="s">
        <v>509</v>
      </c>
      <c r="C123" s="20" t="s">
        <v>794</v>
      </c>
      <c r="D123" s="138">
        <v>2600000</v>
      </c>
      <c r="E123" s="20" t="s">
        <v>569</v>
      </c>
      <c r="F123" s="20" t="s">
        <v>525</v>
      </c>
      <c r="G123" s="8" t="str">
        <f t="shared" si="2"/>
        <v>DAVIDSON DAVID</v>
      </c>
      <c r="H123" s="20" t="str">
        <f t="shared" si="3"/>
        <v>4031</v>
      </c>
    </row>
    <row r="124" spans="1:8" x14ac:dyDescent="0.3">
      <c r="A124" s="8">
        <v>43030.55810185185</v>
      </c>
      <c r="B124" s="20" t="s">
        <v>413</v>
      </c>
      <c r="C124" s="20" t="s">
        <v>795</v>
      </c>
      <c r="D124" s="138">
        <v>2970000</v>
      </c>
      <c r="E124" s="20" t="s">
        <v>775</v>
      </c>
      <c r="F124" s="20" t="s">
        <v>776</v>
      </c>
      <c r="G124" s="8" t="str">
        <f t="shared" si="2"/>
        <v>GUZMAN DANNY</v>
      </c>
      <c r="H124" s="20" t="str">
        <f t="shared" si="3"/>
        <v>4002</v>
      </c>
    </row>
    <row r="125" spans="1:8" x14ac:dyDescent="0.3">
      <c r="A125" s="8">
        <v>43030.558842592596</v>
      </c>
      <c r="B125" s="20" t="s">
        <v>504</v>
      </c>
      <c r="C125" s="20" t="s">
        <v>796</v>
      </c>
      <c r="D125" s="138">
        <v>2560000</v>
      </c>
      <c r="E125" s="20" t="s">
        <v>705</v>
      </c>
      <c r="F125" s="20" t="s">
        <v>706</v>
      </c>
      <c r="G125" s="8" t="str">
        <f t="shared" si="2"/>
        <v>MACDONALD THOMAS</v>
      </c>
      <c r="H125" s="20" t="str">
        <f t="shared" si="3"/>
        <v>4015</v>
      </c>
    </row>
    <row r="126" spans="1:8" x14ac:dyDescent="0.3">
      <c r="A126" s="8">
        <v>43030.561319444445</v>
      </c>
      <c r="B126" s="20" t="s">
        <v>391</v>
      </c>
      <c r="C126" s="20" t="s">
        <v>797</v>
      </c>
      <c r="D126" s="138">
        <v>2230000</v>
      </c>
      <c r="E126" s="20" t="s">
        <v>789</v>
      </c>
      <c r="F126" s="20" t="s">
        <v>386</v>
      </c>
      <c r="G126" s="8" t="str">
        <f t="shared" si="2"/>
        <v>SMITH MICHAEL</v>
      </c>
      <c r="H126" s="20" t="str">
        <f t="shared" si="3"/>
        <v>4065</v>
      </c>
    </row>
    <row r="127" spans="1:8" x14ac:dyDescent="0.3">
      <c r="A127" s="8">
        <v>43030.569733796299</v>
      </c>
      <c r="B127" s="20" t="s">
        <v>645</v>
      </c>
      <c r="C127" s="20" t="s">
        <v>798</v>
      </c>
      <c r="D127" s="138">
        <v>2550000</v>
      </c>
      <c r="E127" s="20" t="s">
        <v>522</v>
      </c>
      <c r="F127" s="20" t="s">
        <v>523</v>
      </c>
      <c r="G127" s="8" t="str">
        <f t="shared" si="2"/>
        <v>BADERTSCHER DIANE</v>
      </c>
      <c r="H127" s="20" t="str">
        <f t="shared" si="3"/>
        <v>4036</v>
      </c>
    </row>
    <row r="128" spans="1:8" x14ac:dyDescent="0.3">
      <c r="A128" s="8">
        <v>43030.571643518517</v>
      </c>
      <c r="B128" s="20" t="s">
        <v>504</v>
      </c>
      <c r="C128" s="20" t="s">
        <v>796</v>
      </c>
      <c r="D128" s="138">
        <v>2560000</v>
      </c>
      <c r="E128" s="20" t="s">
        <v>705</v>
      </c>
      <c r="F128" s="20" t="s">
        <v>706</v>
      </c>
      <c r="G128" s="8" t="str">
        <f t="shared" si="2"/>
        <v>MACDONALD THOMAS</v>
      </c>
      <c r="H128" s="20" t="str">
        <f t="shared" si="3"/>
        <v>4015</v>
      </c>
    </row>
    <row r="129" spans="1:8" x14ac:dyDescent="0.3">
      <c r="A129" s="8">
        <v>43030.573657407411</v>
      </c>
      <c r="B129" s="20" t="s">
        <v>643</v>
      </c>
      <c r="C129" s="20" t="s">
        <v>799</v>
      </c>
      <c r="D129" s="138">
        <v>2030000</v>
      </c>
      <c r="E129" s="20" t="s">
        <v>524</v>
      </c>
      <c r="F129" s="20" t="s">
        <v>525</v>
      </c>
      <c r="G129" s="8" t="str">
        <f t="shared" si="2"/>
        <v>KILLION DAVID</v>
      </c>
      <c r="H129" s="20" t="str">
        <f t="shared" si="3"/>
        <v>4027</v>
      </c>
    </row>
    <row r="130" spans="1:8" x14ac:dyDescent="0.3">
      <c r="A130" s="8">
        <v>43030.57849537037</v>
      </c>
      <c r="B130" s="20" t="s">
        <v>637</v>
      </c>
      <c r="C130" s="20" t="s">
        <v>800</v>
      </c>
      <c r="D130" s="138">
        <v>2630000</v>
      </c>
      <c r="E130" s="20" t="s">
        <v>770</v>
      </c>
      <c r="F130" s="20" t="s">
        <v>771</v>
      </c>
      <c r="G130" s="8" t="str">
        <f t="shared" si="2"/>
        <v>SAFIEF AEIMEN</v>
      </c>
      <c r="H130" s="20" t="str">
        <f t="shared" si="3"/>
        <v>4025</v>
      </c>
    </row>
    <row r="131" spans="1:8" x14ac:dyDescent="0.3">
      <c r="A131" s="8">
        <v>43030.582013888888</v>
      </c>
      <c r="B131" s="20" t="s">
        <v>426</v>
      </c>
      <c r="C131" s="20" t="s">
        <v>801</v>
      </c>
      <c r="D131" s="138">
        <v>2350000</v>
      </c>
      <c r="E131" s="20" t="s">
        <v>473</v>
      </c>
      <c r="F131" s="20" t="s">
        <v>474</v>
      </c>
      <c r="G131" s="8" t="str">
        <f t="shared" ref="G131:G194" si="4">E131&amp;" "&amp;F131</f>
        <v>BERLING GARY</v>
      </c>
      <c r="H131" s="20" t="str">
        <f t="shared" ref="H131:H194" si="5">MID(B131,13,4)</f>
        <v>4020</v>
      </c>
    </row>
    <row r="132" spans="1:8" x14ac:dyDescent="0.3">
      <c r="A132" s="8">
        <v>43030.586377314816</v>
      </c>
      <c r="B132" s="20" t="s">
        <v>517</v>
      </c>
      <c r="C132" s="20" t="s">
        <v>654</v>
      </c>
      <c r="D132" s="138">
        <v>2420000</v>
      </c>
      <c r="E132" s="20" t="s">
        <v>475</v>
      </c>
      <c r="F132" s="20" t="s">
        <v>476</v>
      </c>
      <c r="G132" s="8" t="str">
        <f t="shared" si="4"/>
        <v>HOLCOMB KAMDEN</v>
      </c>
      <c r="H132" s="20" t="str">
        <f t="shared" si="5"/>
        <v>4016</v>
      </c>
    </row>
    <row r="133" spans="1:8" x14ac:dyDescent="0.3">
      <c r="A133" s="8">
        <v>43030.590081018519</v>
      </c>
      <c r="B133" s="20" t="s">
        <v>526</v>
      </c>
      <c r="C133" s="20" t="s">
        <v>802</v>
      </c>
      <c r="D133" s="138">
        <v>880000</v>
      </c>
      <c r="E133" s="20" t="s">
        <v>400</v>
      </c>
      <c r="F133" s="20" t="s">
        <v>386</v>
      </c>
      <c r="G133" s="8" t="str">
        <f t="shared" si="4"/>
        <v>STEWART MICHAEL</v>
      </c>
      <c r="H133" s="20" t="str">
        <f t="shared" si="5"/>
        <v>4032</v>
      </c>
    </row>
    <row r="134" spans="1:8" x14ac:dyDescent="0.3">
      <c r="A134" s="8">
        <v>43030.599166666667</v>
      </c>
      <c r="B134" s="20" t="s">
        <v>412</v>
      </c>
      <c r="C134" s="20" t="s">
        <v>803</v>
      </c>
      <c r="D134" s="138">
        <v>2970000</v>
      </c>
      <c r="E134" s="20" t="s">
        <v>775</v>
      </c>
      <c r="F134" s="20" t="s">
        <v>776</v>
      </c>
      <c r="G134" s="8" t="str">
        <f t="shared" si="4"/>
        <v>GUZMAN DANNY</v>
      </c>
      <c r="H134" s="20" t="str">
        <f t="shared" si="5"/>
        <v>4001</v>
      </c>
    </row>
    <row r="135" spans="1:8" x14ac:dyDescent="0.3">
      <c r="A135" s="8">
        <v>43030.59951388889</v>
      </c>
      <c r="B135" s="20" t="s">
        <v>390</v>
      </c>
      <c r="C135" s="20" t="s">
        <v>804</v>
      </c>
      <c r="D135" s="138">
        <v>2230000</v>
      </c>
      <c r="E135" s="20" t="s">
        <v>789</v>
      </c>
      <c r="F135" s="20" t="s">
        <v>386</v>
      </c>
      <c r="G135" s="8" t="str">
        <f t="shared" si="4"/>
        <v>SMITH MICHAEL</v>
      </c>
      <c r="H135" s="20" t="str">
        <f t="shared" si="5"/>
        <v>4066</v>
      </c>
    </row>
    <row r="136" spans="1:8" x14ac:dyDescent="0.3">
      <c r="A136" s="8">
        <v>43030.602951388886</v>
      </c>
      <c r="B136" s="20" t="s">
        <v>504</v>
      </c>
      <c r="C136" s="20" t="s">
        <v>805</v>
      </c>
      <c r="D136" s="138">
        <v>2420000</v>
      </c>
      <c r="E136" s="20" t="s">
        <v>475</v>
      </c>
      <c r="F136" s="20" t="s">
        <v>476</v>
      </c>
      <c r="G136" s="8" t="str">
        <f t="shared" si="4"/>
        <v>HOLCOMB KAMDEN</v>
      </c>
      <c r="H136" s="20" t="str">
        <f t="shared" si="5"/>
        <v>4015</v>
      </c>
    </row>
    <row r="137" spans="1:8" x14ac:dyDescent="0.3">
      <c r="A137" s="8">
        <v>43030.608946759261</v>
      </c>
      <c r="B137" s="20" t="s">
        <v>640</v>
      </c>
      <c r="C137" s="20" t="s">
        <v>806</v>
      </c>
      <c r="D137" s="138">
        <v>2030000</v>
      </c>
      <c r="E137" s="20" t="s">
        <v>524</v>
      </c>
      <c r="F137" s="20" t="s">
        <v>525</v>
      </c>
      <c r="G137" s="8" t="str">
        <f t="shared" si="4"/>
        <v>KILLION DAVID</v>
      </c>
      <c r="H137" s="20" t="str">
        <f t="shared" si="5"/>
        <v>4028</v>
      </c>
    </row>
    <row r="138" spans="1:8" x14ac:dyDescent="0.3">
      <c r="A138" s="8">
        <v>43030.609016203707</v>
      </c>
      <c r="B138" s="20" t="s">
        <v>656</v>
      </c>
      <c r="C138" s="20" t="s">
        <v>807</v>
      </c>
      <c r="D138" s="138">
        <v>2550000</v>
      </c>
      <c r="E138" s="20" t="s">
        <v>522</v>
      </c>
      <c r="F138" s="20" t="s">
        <v>523</v>
      </c>
      <c r="G138" s="8" t="str">
        <f t="shared" si="4"/>
        <v>BADERTSCHER DIANE</v>
      </c>
      <c r="H138" s="20" t="str">
        <f t="shared" si="5"/>
        <v>4035</v>
      </c>
    </row>
    <row r="139" spans="1:8" x14ac:dyDescent="0.3">
      <c r="A139" s="8">
        <v>43030.619062500002</v>
      </c>
      <c r="B139" s="20" t="s">
        <v>659</v>
      </c>
      <c r="C139" s="20" t="s">
        <v>808</v>
      </c>
      <c r="D139" s="138">
        <v>2350000</v>
      </c>
      <c r="E139" s="20" t="s">
        <v>473</v>
      </c>
      <c r="F139" s="20" t="s">
        <v>474</v>
      </c>
      <c r="G139" s="8" t="str">
        <f t="shared" si="4"/>
        <v>BERLING GARY</v>
      </c>
      <c r="H139" s="20" t="str">
        <f t="shared" si="5"/>
        <v>4019</v>
      </c>
    </row>
    <row r="140" spans="1:8" x14ac:dyDescent="0.3">
      <c r="A140" s="8">
        <v>43030.622002314813</v>
      </c>
      <c r="B140" s="20" t="s">
        <v>681</v>
      </c>
      <c r="C140" s="20" t="s">
        <v>809</v>
      </c>
      <c r="D140" s="138">
        <v>2630000</v>
      </c>
      <c r="E140" s="20" t="s">
        <v>770</v>
      </c>
      <c r="F140" s="20" t="s">
        <v>771</v>
      </c>
      <c r="G140" s="8" t="str">
        <f t="shared" si="4"/>
        <v>SAFIEF AEIMEN</v>
      </c>
      <c r="H140" s="20" t="str">
        <f t="shared" si="5"/>
        <v>4026</v>
      </c>
    </row>
    <row r="141" spans="1:8" x14ac:dyDescent="0.3">
      <c r="A141" s="8">
        <v>43030.624525462961</v>
      </c>
      <c r="B141" s="20" t="s">
        <v>517</v>
      </c>
      <c r="C141" s="20" t="s">
        <v>810</v>
      </c>
      <c r="D141" s="138">
        <v>2540000</v>
      </c>
      <c r="E141" s="20" t="s">
        <v>392</v>
      </c>
      <c r="F141" s="20" t="s">
        <v>393</v>
      </c>
      <c r="G141" s="8" t="str">
        <f t="shared" si="4"/>
        <v>MCREYNOLDS KYLE</v>
      </c>
      <c r="H141" s="20" t="str">
        <f t="shared" si="5"/>
        <v>4016</v>
      </c>
    </row>
    <row r="142" spans="1:8" x14ac:dyDescent="0.3">
      <c r="A142" s="8">
        <v>43030.631990740738</v>
      </c>
      <c r="B142" s="20" t="s">
        <v>509</v>
      </c>
      <c r="C142" s="20" t="s">
        <v>811</v>
      </c>
      <c r="D142" s="138">
        <v>880000</v>
      </c>
      <c r="E142" s="20" t="s">
        <v>400</v>
      </c>
      <c r="F142" s="20" t="s">
        <v>386</v>
      </c>
      <c r="G142" s="8" t="str">
        <f t="shared" si="4"/>
        <v>STEWART MICHAEL</v>
      </c>
      <c r="H142" s="20" t="str">
        <f t="shared" si="5"/>
        <v>4031</v>
      </c>
    </row>
    <row r="143" spans="1:8" x14ac:dyDescent="0.3">
      <c r="A143" s="8">
        <v>43030.633321759262</v>
      </c>
      <c r="B143" s="20" t="s">
        <v>413</v>
      </c>
      <c r="C143" s="20" t="s">
        <v>812</v>
      </c>
      <c r="D143" s="138">
        <v>2970000</v>
      </c>
      <c r="E143" s="20" t="s">
        <v>775</v>
      </c>
      <c r="F143" s="20" t="s">
        <v>776</v>
      </c>
      <c r="G143" s="8" t="str">
        <f t="shared" si="4"/>
        <v>GUZMAN DANNY</v>
      </c>
      <c r="H143" s="20" t="str">
        <f t="shared" si="5"/>
        <v>4002</v>
      </c>
    </row>
    <row r="144" spans="1:8" x14ac:dyDescent="0.3">
      <c r="A144" s="8">
        <v>43030.637129629627</v>
      </c>
      <c r="B144" s="20" t="s">
        <v>391</v>
      </c>
      <c r="C144" s="20" t="s">
        <v>813</v>
      </c>
      <c r="D144" s="138">
        <v>2230000</v>
      </c>
      <c r="E144" s="20" t="s">
        <v>789</v>
      </c>
      <c r="F144" s="20" t="s">
        <v>386</v>
      </c>
      <c r="G144" s="8" t="str">
        <f t="shared" si="4"/>
        <v>SMITH MICHAEL</v>
      </c>
      <c r="H144" s="20" t="str">
        <f t="shared" si="5"/>
        <v>4065</v>
      </c>
    </row>
    <row r="145" spans="1:8" x14ac:dyDescent="0.3">
      <c r="A145" s="8">
        <v>43030.642546296294</v>
      </c>
      <c r="B145" s="20" t="s">
        <v>645</v>
      </c>
      <c r="C145" s="20" t="s">
        <v>814</v>
      </c>
      <c r="D145" s="138">
        <v>2550000</v>
      </c>
      <c r="E145" s="20" t="s">
        <v>522</v>
      </c>
      <c r="F145" s="20" t="s">
        <v>523</v>
      </c>
      <c r="G145" s="8" t="str">
        <f t="shared" si="4"/>
        <v>BADERTSCHER DIANE</v>
      </c>
      <c r="H145" s="20" t="str">
        <f t="shared" si="5"/>
        <v>4036</v>
      </c>
    </row>
    <row r="146" spans="1:8" x14ac:dyDescent="0.3">
      <c r="A146" s="8">
        <v>43030.644652777781</v>
      </c>
      <c r="B146" s="20" t="s">
        <v>504</v>
      </c>
      <c r="C146" s="20" t="s">
        <v>815</v>
      </c>
      <c r="D146" s="138">
        <v>2540000</v>
      </c>
      <c r="E146" s="20" t="s">
        <v>392</v>
      </c>
      <c r="F146" s="20" t="s">
        <v>393</v>
      </c>
      <c r="G146" s="8" t="str">
        <f t="shared" si="4"/>
        <v>MCREYNOLDS KYLE</v>
      </c>
      <c r="H146" s="20" t="str">
        <f t="shared" si="5"/>
        <v>4015</v>
      </c>
    </row>
    <row r="147" spans="1:8" x14ac:dyDescent="0.3">
      <c r="A147" s="8">
        <v>43030.645891203705</v>
      </c>
      <c r="B147" s="20" t="s">
        <v>643</v>
      </c>
      <c r="C147" s="20" t="s">
        <v>806</v>
      </c>
      <c r="D147" s="138">
        <v>2030000</v>
      </c>
      <c r="E147" s="20" t="s">
        <v>524</v>
      </c>
      <c r="F147" s="20" t="s">
        <v>525</v>
      </c>
      <c r="G147" s="8" t="str">
        <f t="shared" si="4"/>
        <v>KILLION DAVID</v>
      </c>
      <c r="H147" s="20" t="str">
        <f t="shared" si="5"/>
        <v>4027</v>
      </c>
    </row>
    <row r="148" spans="1:8" x14ac:dyDescent="0.3">
      <c r="A148" s="8">
        <v>43030.646469907406</v>
      </c>
      <c r="B148" s="20" t="s">
        <v>643</v>
      </c>
      <c r="C148" s="20" t="s">
        <v>816</v>
      </c>
      <c r="D148" s="138">
        <v>2030000</v>
      </c>
      <c r="E148" s="20" t="s">
        <v>524</v>
      </c>
      <c r="F148" s="20" t="s">
        <v>525</v>
      </c>
      <c r="G148" s="8" t="str">
        <f t="shared" si="4"/>
        <v>KILLION DAVID</v>
      </c>
      <c r="H148" s="20" t="str">
        <f t="shared" si="5"/>
        <v>4027</v>
      </c>
    </row>
    <row r="149" spans="1:8" x14ac:dyDescent="0.3">
      <c r="A149" s="8">
        <v>43030.654502314814</v>
      </c>
      <c r="B149" s="20" t="s">
        <v>426</v>
      </c>
      <c r="C149" s="20" t="s">
        <v>817</v>
      </c>
      <c r="D149" s="138">
        <v>2350000</v>
      </c>
      <c r="E149" s="20" t="s">
        <v>473</v>
      </c>
      <c r="F149" s="20" t="s">
        <v>474</v>
      </c>
      <c r="G149" s="8" t="str">
        <f t="shared" si="4"/>
        <v>BERLING GARY</v>
      </c>
      <c r="H149" s="20" t="str">
        <f t="shared" si="5"/>
        <v>4020</v>
      </c>
    </row>
    <row r="150" spans="1:8" x14ac:dyDescent="0.3">
      <c r="A150" s="8">
        <v>43030.654930555553</v>
      </c>
      <c r="B150" s="20" t="s">
        <v>637</v>
      </c>
      <c r="C150" s="20" t="s">
        <v>818</v>
      </c>
      <c r="D150" s="138">
        <v>2630000</v>
      </c>
      <c r="E150" s="20" t="s">
        <v>770</v>
      </c>
      <c r="F150" s="20" t="s">
        <v>771</v>
      </c>
      <c r="G150" s="8" t="str">
        <f t="shared" si="4"/>
        <v>SAFIEF AEIMEN</v>
      </c>
      <c r="H150" s="20" t="str">
        <f t="shared" si="5"/>
        <v>4025</v>
      </c>
    </row>
    <row r="151" spans="1:8" x14ac:dyDescent="0.3">
      <c r="A151" s="8">
        <v>43030.662291666667</v>
      </c>
      <c r="B151" s="20" t="s">
        <v>412</v>
      </c>
      <c r="C151" s="20" t="s">
        <v>819</v>
      </c>
      <c r="D151" s="138">
        <v>2970000</v>
      </c>
      <c r="E151" s="20" t="s">
        <v>775</v>
      </c>
      <c r="F151" s="20" t="s">
        <v>776</v>
      </c>
      <c r="G151" s="8" t="str">
        <f t="shared" si="4"/>
        <v>GUZMAN DANNY</v>
      </c>
      <c r="H151" s="20" t="str">
        <f t="shared" si="5"/>
        <v>4001</v>
      </c>
    </row>
    <row r="152" spans="1:8" x14ac:dyDescent="0.3">
      <c r="A152" s="8">
        <v>43030.662488425929</v>
      </c>
      <c r="B152" s="20" t="s">
        <v>526</v>
      </c>
      <c r="C152" s="20" t="s">
        <v>820</v>
      </c>
      <c r="D152" s="138">
        <v>880000</v>
      </c>
      <c r="E152" s="20" t="s">
        <v>400</v>
      </c>
      <c r="F152" s="20" t="s">
        <v>386</v>
      </c>
      <c r="G152" s="8" t="str">
        <f t="shared" si="4"/>
        <v>STEWART MICHAEL</v>
      </c>
      <c r="H152" s="20" t="str">
        <f t="shared" si="5"/>
        <v>4032</v>
      </c>
    </row>
    <row r="153" spans="1:8" x14ac:dyDescent="0.3">
      <c r="A153" s="8">
        <v>43030.668946759259</v>
      </c>
      <c r="B153" s="20" t="s">
        <v>517</v>
      </c>
      <c r="C153" s="20" t="s">
        <v>655</v>
      </c>
      <c r="D153" s="138">
        <v>2420000</v>
      </c>
      <c r="E153" s="20" t="s">
        <v>475</v>
      </c>
      <c r="F153" s="20" t="s">
        <v>476</v>
      </c>
      <c r="G153" s="8" t="str">
        <f t="shared" si="4"/>
        <v>HOLCOMB KAMDEN</v>
      </c>
      <c r="H153" s="20" t="str">
        <f t="shared" si="5"/>
        <v>4016</v>
      </c>
    </row>
    <row r="154" spans="1:8" x14ac:dyDescent="0.3">
      <c r="A154" s="8">
        <v>43030.672500000001</v>
      </c>
      <c r="B154" s="20" t="s">
        <v>390</v>
      </c>
      <c r="C154" s="20" t="s">
        <v>821</v>
      </c>
      <c r="D154" s="138">
        <v>2230000</v>
      </c>
      <c r="E154" s="20" t="s">
        <v>789</v>
      </c>
      <c r="F154" s="20" t="s">
        <v>386</v>
      </c>
      <c r="G154" s="8" t="str">
        <f t="shared" si="4"/>
        <v>SMITH MICHAEL</v>
      </c>
      <c r="H154" s="20" t="str">
        <f t="shared" si="5"/>
        <v>4066</v>
      </c>
    </row>
    <row r="155" spans="1:8" x14ac:dyDescent="0.3">
      <c r="A155" s="8">
        <v>43030.681041666663</v>
      </c>
      <c r="B155" s="20" t="s">
        <v>656</v>
      </c>
      <c r="C155" s="20" t="s">
        <v>657</v>
      </c>
      <c r="D155" s="138">
        <v>2550000</v>
      </c>
      <c r="E155" s="20" t="s">
        <v>522</v>
      </c>
      <c r="F155" s="20" t="s">
        <v>523</v>
      </c>
      <c r="G155" s="8" t="str">
        <f t="shared" si="4"/>
        <v>BADERTSCHER DIANE</v>
      </c>
      <c r="H155" s="20" t="str">
        <f t="shared" si="5"/>
        <v>4035</v>
      </c>
    </row>
    <row r="156" spans="1:8" x14ac:dyDescent="0.3">
      <c r="A156" s="8">
        <v>43030.682025462964</v>
      </c>
      <c r="B156" s="20" t="s">
        <v>640</v>
      </c>
      <c r="C156" s="20" t="s">
        <v>661</v>
      </c>
      <c r="D156" s="138">
        <v>2030000</v>
      </c>
      <c r="E156" s="20" t="s">
        <v>524</v>
      </c>
      <c r="F156" s="20" t="s">
        <v>525</v>
      </c>
      <c r="G156" s="8" t="str">
        <f t="shared" si="4"/>
        <v>KILLION DAVID</v>
      </c>
      <c r="H156" s="20" t="str">
        <f t="shared" si="5"/>
        <v>4028</v>
      </c>
    </row>
    <row r="157" spans="1:8" x14ac:dyDescent="0.3">
      <c r="A157" s="8">
        <v>43030.684479166666</v>
      </c>
      <c r="B157" s="20" t="s">
        <v>504</v>
      </c>
      <c r="C157" s="20" t="s">
        <v>658</v>
      </c>
      <c r="D157" s="138">
        <v>2420000</v>
      </c>
      <c r="E157" s="20" t="s">
        <v>475</v>
      </c>
      <c r="F157" s="20" t="s">
        <v>476</v>
      </c>
      <c r="G157" s="8" t="str">
        <f t="shared" si="4"/>
        <v>HOLCOMB KAMDEN</v>
      </c>
      <c r="H157" s="20" t="str">
        <f t="shared" si="5"/>
        <v>4015</v>
      </c>
    </row>
    <row r="158" spans="1:8" x14ac:dyDescent="0.3">
      <c r="A158" s="8">
        <v>43030.684502314813</v>
      </c>
      <c r="B158" s="20" t="s">
        <v>472</v>
      </c>
      <c r="C158" s="20" t="s">
        <v>822</v>
      </c>
      <c r="D158" s="138">
        <v>2540000</v>
      </c>
      <c r="E158" s="20" t="s">
        <v>392</v>
      </c>
      <c r="F158" s="20" t="s">
        <v>393</v>
      </c>
      <c r="G158" s="8" t="str">
        <f t="shared" si="4"/>
        <v>MCREYNOLDS KYLE</v>
      </c>
      <c r="H158" s="20" t="str">
        <f t="shared" si="5"/>
        <v>4006</v>
      </c>
    </row>
    <row r="159" spans="1:8" x14ac:dyDescent="0.3">
      <c r="A159" s="8">
        <v>43030.690266203703</v>
      </c>
      <c r="B159" s="20" t="s">
        <v>659</v>
      </c>
      <c r="C159" s="20" t="s">
        <v>660</v>
      </c>
      <c r="D159" s="138">
        <v>2350000</v>
      </c>
      <c r="E159" s="20" t="s">
        <v>473</v>
      </c>
      <c r="F159" s="20" t="s">
        <v>474</v>
      </c>
      <c r="G159" s="8" t="str">
        <f t="shared" si="4"/>
        <v>BERLING GARY</v>
      </c>
      <c r="H159" s="20" t="str">
        <f t="shared" si="5"/>
        <v>4019</v>
      </c>
    </row>
    <row r="160" spans="1:8" x14ac:dyDescent="0.3">
      <c r="A160" s="8">
        <v>43030.693622685183</v>
      </c>
      <c r="B160" s="20" t="s">
        <v>681</v>
      </c>
      <c r="C160" s="20" t="s">
        <v>823</v>
      </c>
      <c r="D160" s="138">
        <v>2630000</v>
      </c>
      <c r="E160" s="20" t="s">
        <v>770</v>
      </c>
      <c r="F160" s="20" t="s">
        <v>771</v>
      </c>
      <c r="G160" s="8" t="str">
        <f t="shared" si="4"/>
        <v>SAFIEF AEIMEN</v>
      </c>
      <c r="H160" s="20" t="str">
        <f t="shared" si="5"/>
        <v>4026</v>
      </c>
    </row>
    <row r="161" spans="1:8" x14ac:dyDescent="0.3">
      <c r="A161" s="8">
        <v>43030.701666666668</v>
      </c>
      <c r="B161" s="20" t="s">
        <v>509</v>
      </c>
      <c r="C161" s="20" t="s">
        <v>824</v>
      </c>
      <c r="D161" s="138">
        <v>880000</v>
      </c>
      <c r="E161" s="20" t="s">
        <v>400</v>
      </c>
      <c r="F161" s="20" t="s">
        <v>386</v>
      </c>
      <c r="G161" s="8" t="str">
        <f t="shared" si="4"/>
        <v>STEWART MICHAEL</v>
      </c>
      <c r="H161" s="20" t="str">
        <f t="shared" si="5"/>
        <v>4031</v>
      </c>
    </row>
    <row r="162" spans="1:8" x14ac:dyDescent="0.3">
      <c r="A162" s="8">
        <v>43030.706157407411</v>
      </c>
      <c r="B162" s="20" t="s">
        <v>413</v>
      </c>
      <c r="C162" s="20" t="s">
        <v>825</v>
      </c>
      <c r="D162" s="138">
        <v>2970000</v>
      </c>
      <c r="E162" s="20" t="s">
        <v>775</v>
      </c>
      <c r="F162" s="20" t="s">
        <v>776</v>
      </c>
      <c r="G162" s="8" t="str">
        <f t="shared" si="4"/>
        <v>GUZMAN DANNY</v>
      </c>
      <c r="H162" s="20" t="str">
        <f t="shared" si="5"/>
        <v>4002</v>
      </c>
    </row>
    <row r="163" spans="1:8" x14ac:dyDescent="0.3">
      <c r="A163" s="8">
        <v>43030.710231481484</v>
      </c>
      <c r="B163" s="20" t="s">
        <v>391</v>
      </c>
      <c r="C163" s="20" t="s">
        <v>826</v>
      </c>
      <c r="D163" s="138">
        <v>2230000</v>
      </c>
      <c r="E163" s="20" t="s">
        <v>789</v>
      </c>
      <c r="F163" s="20" t="s">
        <v>386</v>
      </c>
      <c r="G163" s="8" t="str">
        <f t="shared" si="4"/>
        <v>SMITH MICHAEL</v>
      </c>
      <c r="H163" s="20" t="str">
        <f t="shared" si="5"/>
        <v>4065</v>
      </c>
    </row>
    <row r="164" spans="1:8" x14ac:dyDescent="0.3">
      <c r="A164" s="8">
        <v>43030.713275462964</v>
      </c>
      <c r="B164" s="20" t="s">
        <v>517</v>
      </c>
      <c r="C164" s="20" t="s">
        <v>662</v>
      </c>
      <c r="D164" s="138">
        <v>2420000</v>
      </c>
      <c r="E164" s="20" t="s">
        <v>475</v>
      </c>
      <c r="F164" s="20" t="s">
        <v>476</v>
      </c>
      <c r="G164" s="8" t="str">
        <f t="shared" si="4"/>
        <v>HOLCOMB KAMDEN</v>
      </c>
      <c r="H164" s="20" t="str">
        <f t="shared" si="5"/>
        <v>4016</v>
      </c>
    </row>
    <row r="165" spans="1:8" x14ac:dyDescent="0.3">
      <c r="A165" s="8">
        <v>43030.714490740742</v>
      </c>
      <c r="B165" s="20" t="s">
        <v>659</v>
      </c>
      <c r="C165" s="20" t="s">
        <v>660</v>
      </c>
      <c r="D165" s="138">
        <v>2350000</v>
      </c>
      <c r="E165" s="20" t="s">
        <v>473</v>
      </c>
      <c r="F165" s="20" t="s">
        <v>474</v>
      </c>
      <c r="G165" s="8" t="str">
        <f t="shared" si="4"/>
        <v>BERLING GARY</v>
      </c>
      <c r="H165" s="20" t="str">
        <f t="shared" si="5"/>
        <v>4019</v>
      </c>
    </row>
    <row r="166" spans="1:8" x14ac:dyDescent="0.3">
      <c r="A166" s="8">
        <v>43030.716921296298</v>
      </c>
      <c r="B166" s="20" t="s">
        <v>645</v>
      </c>
      <c r="C166" s="20" t="s">
        <v>663</v>
      </c>
      <c r="D166" s="138">
        <v>2000000</v>
      </c>
      <c r="E166" s="20" t="s">
        <v>370</v>
      </c>
      <c r="F166" s="20" t="s">
        <v>361</v>
      </c>
      <c r="G166" s="8" t="str">
        <f t="shared" si="4"/>
        <v>STAMBAUGH JAMES</v>
      </c>
      <c r="H166" s="20" t="str">
        <f t="shared" si="5"/>
        <v>4036</v>
      </c>
    </row>
    <row r="167" spans="1:8" x14ac:dyDescent="0.3">
      <c r="A167" s="8">
        <v>43030.71802083333</v>
      </c>
      <c r="B167" s="20" t="s">
        <v>643</v>
      </c>
      <c r="C167" s="20" t="s">
        <v>827</v>
      </c>
      <c r="D167" s="138">
        <v>2030000</v>
      </c>
      <c r="E167" s="20" t="s">
        <v>524</v>
      </c>
      <c r="F167" s="20" t="s">
        <v>525</v>
      </c>
      <c r="G167" s="8" t="str">
        <f t="shared" si="4"/>
        <v>KILLION DAVID</v>
      </c>
      <c r="H167" s="20" t="str">
        <f t="shared" si="5"/>
        <v>4027</v>
      </c>
    </row>
    <row r="168" spans="1:8" x14ac:dyDescent="0.3">
      <c r="A168" s="8">
        <v>43030.719594907408</v>
      </c>
      <c r="B168" s="20" t="s">
        <v>379</v>
      </c>
      <c r="C168" s="20" t="s">
        <v>828</v>
      </c>
      <c r="D168" s="138">
        <v>3330000</v>
      </c>
      <c r="E168" s="20" t="s">
        <v>520</v>
      </c>
      <c r="F168" s="20" t="s">
        <v>521</v>
      </c>
      <c r="G168" s="8" t="str">
        <f t="shared" si="4"/>
        <v>GONZALEZ ARMANDO</v>
      </c>
      <c r="H168" s="20" t="str">
        <f t="shared" si="5"/>
        <v>4040</v>
      </c>
    </row>
    <row r="169" spans="1:8" x14ac:dyDescent="0.3">
      <c r="A169" s="8">
        <v>43030.727118055554</v>
      </c>
      <c r="B169" s="20" t="s">
        <v>504</v>
      </c>
      <c r="C169" s="20" t="s">
        <v>664</v>
      </c>
      <c r="D169" s="138">
        <v>2420000</v>
      </c>
      <c r="E169" s="20" t="s">
        <v>475</v>
      </c>
      <c r="F169" s="20" t="s">
        <v>476</v>
      </c>
      <c r="G169" s="8" t="str">
        <f t="shared" si="4"/>
        <v>HOLCOMB KAMDEN</v>
      </c>
      <c r="H169" s="20" t="str">
        <f t="shared" si="5"/>
        <v>4015</v>
      </c>
    </row>
    <row r="170" spans="1:8" x14ac:dyDescent="0.3">
      <c r="A170" s="8">
        <v>43030.727870370371</v>
      </c>
      <c r="B170" s="20" t="s">
        <v>426</v>
      </c>
      <c r="C170" s="20" t="s">
        <v>829</v>
      </c>
      <c r="D170" s="138">
        <v>2350000</v>
      </c>
      <c r="E170" s="20" t="s">
        <v>473</v>
      </c>
      <c r="F170" s="20" t="s">
        <v>474</v>
      </c>
      <c r="G170" s="8" t="str">
        <f t="shared" si="4"/>
        <v>BERLING GARY</v>
      </c>
      <c r="H170" s="20" t="str">
        <f t="shared" si="5"/>
        <v>4020</v>
      </c>
    </row>
    <row r="171" spans="1:8" x14ac:dyDescent="0.3">
      <c r="A171" s="8">
        <v>43030.735034722224</v>
      </c>
      <c r="B171" s="20" t="s">
        <v>637</v>
      </c>
      <c r="C171" s="20" t="s">
        <v>830</v>
      </c>
      <c r="D171" s="138">
        <v>2630000</v>
      </c>
      <c r="E171" s="20" t="s">
        <v>770</v>
      </c>
      <c r="F171" s="20" t="s">
        <v>771</v>
      </c>
      <c r="G171" s="8" t="str">
        <f t="shared" si="4"/>
        <v>SAFIEF AEIMEN</v>
      </c>
      <c r="H171" s="20" t="str">
        <f t="shared" si="5"/>
        <v>4025</v>
      </c>
    </row>
    <row r="172" spans="1:8" x14ac:dyDescent="0.3">
      <c r="A172" s="8">
        <v>43030.737326388888</v>
      </c>
      <c r="B172" s="20" t="s">
        <v>526</v>
      </c>
      <c r="C172" s="20" t="s">
        <v>831</v>
      </c>
      <c r="D172" s="138">
        <v>890000</v>
      </c>
      <c r="E172" s="20" t="s">
        <v>358</v>
      </c>
      <c r="F172" s="20" t="s">
        <v>359</v>
      </c>
      <c r="G172" s="8" t="str">
        <f t="shared" si="4"/>
        <v>LOZA FIDEL</v>
      </c>
      <c r="H172" s="20" t="str">
        <f t="shared" si="5"/>
        <v>4032</v>
      </c>
    </row>
    <row r="173" spans="1:8" x14ac:dyDescent="0.3">
      <c r="A173" s="8">
        <v>43030.73847222222</v>
      </c>
      <c r="B173" s="20" t="s">
        <v>412</v>
      </c>
      <c r="C173" s="20" t="s">
        <v>832</v>
      </c>
      <c r="D173" s="138">
        <v>2970000</v>
      </c>
      <c r="E173" s="20" t="s">
        <v>775</v>
      </c>
      <c r="F173" s="20" t="s">
        <v>776</v>
      </c>
      <c r="G173" s="8" t="str">
        <f t="shared" si="4"/>
        <v>GUZMAN DANNY</v>
      </c>
      <c r="H173" s="20" t="str">
        <f t="shared" si="5"/>
        <v>4001</v>
      </c>
    </row>
    <row r="174" spans="1:8" x14ac:dyDescent="0.3">
      <c r="A174" s="8">
        <v>43030.741585648146</v>
      </c>
      <c r="B174" s="20" t="s">
        <v>458</v>
      </c>
      <c r="C174" s="20" t="s">
        <v>833</v>
      </c>
      <c r="D174" s="138">
        <v>3490000</v>
      </c>
      <c r="E174" s="20" t="s">
        <v>834</v>
      </c>
      <c r="F174" s="20" t="s">
        <v>835</v>
      </c>
      <c r="G174" s="8" t="str">
        <f t="shared" si="4"/>
        <v>WEST BRYAN</v>
      </c>
      <c r="H174" s="20" t="str">
        <f t="shared" si="5"/>
        <v>4007</v>
      </c>
    </row>
    <row r="175" spans="1:8" x14ac:dyDescent="0.3">
      <c r="A175" s="8">
        <v>43030.745509259257</v>
      </c>
      <c r="B175" s="20" t="s">
        <v>390</v>
      </c>
      <c r="C175" s="20" t="s">
        <v>836</v>
      </c>
      <c r="D175" s="138">
        <v>2230000</v>
      </c>
      <c r="E175" s="20" t="s">
        <v>789</v>
      </c>
      <c r="F175" s="20" t="s">
        <v>386</v>
      </c>
      <c r="G175" s="8" t="str">
        <f t="shared" si="4"/>
        <v>SMITH MICHAEL</v>
      </c>
      <c r="H175" s="20" t="str">
        <f t="shared" si="5"/>
        <v>4066</v>
      </c>
    </row>
    <row r="176" spans="1:8" x14ac:dyDescent="0.3">
      <c r="A176" s="8">
        <v>43030.75341435185</v>
      </c>
      <c r="B176" s="20" t="s">
        <v>656</v>
      </c>
      <c r="C176" s="20" t="s">
        <v>837</v>
      </c>
      <c r="D176" s="138">
        <v>2000000</v>
      </c>
      <c r="E176" s="20" t="s">
        <v>370</v>
      </c>
      <c r="F176" s="20" t="s">
        <v>361</v>
      </c>
      <c r="G176" s="8" t="str">
        <f t="shared" si="4"/>
        <v>STAMBAUGH JAMES</v>
      </c>
      <c r="H176" s="20" t="str">
        <f t="shared" si="5"/>
        <v>4035</v>
      </c>
    </row>
    <row r="177" spans="1:8" x14ac:dyDescent="0.3">
      <c r="A177" s="8">
        <v>43030.754537037035</v>
      </c>
      <c r="B177" s="20" t="s">
        <v>517</v>
      </c>
      <c r="C177" s="20" t="s">
        <v>665</v>
      </c>
      <c r="D177" s="138">
        <v>2420000</v>
      </c>
      <c r="E177" s="20" t="s">
        <v>475</v>
      </c>
      <c r="F177" s="20" t="s">
        <v>476</v>
      </c>
      <c r="G177" s="8" t="str">
        <f t="shared" si="4"/>
        <v>HOLCOMB KAMDEN</v>
      </c>
      <c r="H177" s="20" t="str">
        <f t="shared" si="5"/>
        <v>4016</v>
      </c>
    </row>
    <row r="178" spans="1:8" x14ac:dyDescent="0.3">
      <c r="A178" s="8">
        <v>43030.755601851852</v>
      </c>
      <c r="B178" s="20" t="s">
        <v>640</v>
      </c>
      <c r="C178" s="20" t="s">
        <v>666</v>
      </c>
      <c r="D178" s="138">
        <v>3340000</v>
      </c>
      <c r="E178" s="20" t="s">
        <v>555</v>
      </c>
      <c r="F178" s="20" t="s">
        <v>556</v>
      </c>
      <c r="G178" s="8" t="str">
        <f t="shared" si="4"/>
        <v>ELBAUM MIKE</v>
      </c>
      <c r="H178" s="20" t="str">
        <f t="shared" si="5"/>
        <v>4028</v>
      </c>
    </row>
    <row r="179" spans="1:8" x14ac:dyDescent="0.3">
      <c r="A179" s="8">
        <v>43030.764548611114</v>
      </c>
      <c r="B179" s="20" t="s">
        <v>659</v>
      </c>
      <c r="C179" s="20" t="s">
        <v>838</v>
      </c>
      <c r="D179" s="138">
        <v>2350000</v>
      </c>
      <c r="E179" s="20" t="s">
        <v>473</v>
      </c>
      <c r="F179" s="20" t="s">
        <v>474</v>
      </c>
      <c r="G179" s="8" t="str">
        <f t="shared" si="4"/>
        <v>BERLING GARY</v>
      </c>
      <c r="H179" s="20" t="str">
        <f t="shared" si="5"/>
        <v>4019</v>
      </c>
    </row>
    <row r="180" spans="1:8" x14ac:dyDescent="0.3">
      <c r="A180" s="8">
        <v>43030.766388888886</v>
      </c>
      <c r="B180" s="20" t="s">
        <v>681</v>
      </c>
      <c r="C180" s="20" t="s">
        <v>839</v>
      </c>
      <c r="D180" s="138">
        <v>2680000</v>
      </c>
      <c r="E180" s="20" t="s">
        <v>364</v>
      </c>
      <c r="F180" s="20" t="s">
        <v>365</v>
      </c>
      <c r="G180" s="8" t="str">
        <f t="shared" si="4"/>
        <v>DUNCAN SHEILA</v>
      </c>
      <c r="H180" s="20" t="str">
        <f t="shared" si="5"/>
        <v>4026</v>
      </c>
    </row>
    <row r="181" spans="1:8" x14ac:dyDescent="0.3">
      <c r="A181" s="8">
        <v>43030.774328703701</v>
      </c>
      <c r="B181" s="20" t="s">
        <v>504</v>
      </c>
      <c r="C181" s="20" t="s">
        <v>667</v>
      </c>
      <c r="D181" s="138">
        <v>2420000</v>
      </c>
      <c r="E181" s="20" t="s">
        <v>475</v>
      </c>
      <c r="F181" s="20" t="s">
        <v>476</v>
      </c>
      <c r="G181" s="8" t="str">
        <f t="shared" si="4"/>
        <v>HOLCOMB KAMDEN</v>
      </c>
      <c r="H181" s="20" t="str">
        <f t="shared" si="5"/>
        <v>4015</v>
      </c>
    </row>
    <row r="182" spans="1:8" x14ac:dyDescent="0.3">
      <c r="A182" s="8">
        <v>43030.776354166665</v>
      </c>
      <c r="B182" s="20" t="s">
        <v>413</v>
      </c>
      <c r="C182" s="20" t="s">
        <v>840</v>
      </c>
      <c r="D182" s="138">
        <v>2970000</v>
      </c>
      <c r="E182" s="20" t="s">
        <v>775</v>
      </c>
      <c r="F182" s="20" t="s">
        <v>776</v>
      </c>
      <c r="G182" s="8" t="str">
        <f t="shared" si="4"/>
        <v>GUZMAN DANNY</v>
      </c>
      <c r="H182" s="20" t="str">
        <f t="shared" si="5"/>
        <v>4002</v>
      </c>
    </row>
    <row r="183" spans="1:8" x14ac:dyDescent="0.3">
      <c r="A183" s="8">
        <v>43030.777696759258</v>
      </c>
      <c r="B183" s="20" t="s">
        <v>509</v>
      </c>
      <c r="C183" s="20" t="s">
        <v>841</v>
      </c>
      <c r="D183" s="138">
        <v>890000</v>
      </c>
      <c r="E183" s="20" t="s">
        <v>358</v>
      </c>
      <c r="F183" s="20" t="s">
        <v>359</v>
      </c>
      <c r="G183" s="8" t="str">
        <f t="shared" si="4"/>
        <v>LOZA FIDEL</v>
      </c>
      <c r="H183" s="20" t="str">
        <f t="shared" si="5"/>
        <v>4031</v>
      </c>
    </row>
    <row r="184" spans="1:8" x14ac:dyDescent="0.3">
      <c r="A184" s="8">
        <v>43030.784050925926</v>
      </c>
      <c r="B184" s="20" t="s">
        <v>391</v>
      </c>
      <c r="C184" s="20" t="s">
        <v>842</v>
      </c>
      <c r="D184" s="138">
        <v>2230000</v>
      </c>
      <c r="E184" s="20" t="s">
        <v>789</v>
      </c>
      <c r="F184" s="20" t="s">
        <v>386</v>
      </c>
      <c r="G184" s="8" t="str">
        <f t="shared" si="4"/>
        <v>SMITH MICHAEL</v>
      </c>
      <c r="H184" s="20" t="str">
        <f t="shared" si="5"/>
        <v>4065</v>
      </c>
    </row>
    <row r="185" spans="1:8" x14ac:dyDescent="0.3">
      <c r="A185" s="8">
        <v>43030.788888888892</v>
      </c>
      <c r="B185" s="20" t="s">
        <v>645</v>
      </c>
      <c r="C185" s="20" t="s">
        <v>668</v>
      </c>
      <c r="D185" s="138">
        <v>2000000</v>
      </c>
      <c r="E185" s="20" t="s">
        <v>370</v>
      </c>
      <c r="F185" s="20" t="s">
        <v>361</v>
      </c>
      <c r="G185" s="8" t="str">
        <f t="shared" si="4"/>
        <v>STAMBAUGH JAMES</v>
      </c>
      <c r="H185" s="20" t="str">
        <f t="shared" si="5"/>
        <v>4036</v>
      </c>
    </row>
    <row r="186" spans="1:8" x14ac:dyDescent="0.3">
      <c r="A186" s="8">
        <v>43030.789212962962</v>
      </c>
      <c r="B186" s="20" t="s">
        <v>643</v>
      </c>
      <c r="C186" s="20" t="s">
        <v>843</v>
      </c>
      <c r="D186" s="138">
        <v>3340000</v>
      </c>
      <c r="E186" s="20" t="s">
        <v>555</v>
      </c>
      <c r="F186" s="20" t="s">
        <v>556</v>
      </c>
      <c r="G186" s="8" t="str">
        <f t="shared" si="4"/>
        <v>ELBAUM MIKE</v>
      </c>
      <c r="H186" s="20" t="str">
        <f t="shared" si="5"/>
        <v>4027</v>
      </c>
    </row>
    <row r="187" spans="1:8" x14ac:dyDescent="0.3">
      <c r="A187" s="8">
        <v>43030.794502314813</v>
      </c>
      <c r="B187" s="20" t="s">
        <v>517</v>
      </c>
      <c r="C187" s="20" t="s">
        <v>844</v>
      </c>
      <c r="D187" s="138">
        <v>2420000</v>
      </c>
      <c r="E187" s="20" t="s">
        <v>475</v>
      </c>
      <c r="F187" s="20" t="s">
        <v>476</v>
      </c>
      <c r="G187" s="8" t="str">
        <f t="shared" si="4"/>
        <v>HOLCOMB KAMDEN</v>
      </c>
      <c r="H187" s="20" t="str">
        <f t="shared" si="5"/>
        <v>4016</v>
      </c>
    </row>
    <row r="188" spans="1:8" x14ac:dyDescent="0.3">
      <c r="A188" s="8">
        <v>43030.799004629633</v>
      </c>
      <c r="B188" s="20" t="s">
        <v>426</v>
      </c>
      <c r="C188" s="20" t="s">
        <v>845</v>
      </c>
      <c r="D188" s="138">
        <v>2350000</v>
      </c>
      <c r="E188" s="20" t="s">
        <v>473</v>
      </c>
      <c r="F188" s="20" t="s">
        <v>474</v>
      </c>
      <c r="G188" s="8" t="str">
        <f t="shared" si="4"/>
        <v>BERLING GARY</v>
      </c>
      <c r="H188" s="20" t="str">
        <f t="shared" si="5"/>
        <v>4020</v>
      </c>
    </row>
    <row r="189" spans="1:8" x14ac:dyDescent="0.3">
      <c r="A189" s="8">
        <v>43030.804756944446</v>
      </c>
      <c r="B189" s="20" t="s">
        <v>637</v>
      </c>
      <c r="C189" s="20" t="s">
        <v>846</v>
      </c>
      <c r="D189" s="138">
        <v>2680000</v>
      </c>
      <c r="E189" s="20" t="s">
        <v>364</v>
      </c>
      <c r="F189" s="20" t="s">
        <v>365</v>
      </c>
      <c r="G189" s="8" t="str">
        <f t="shared" si="4"/>
        <v>DUNCAN SHEILA</v>
      </c>
      <c r="H189" s="20" t="str">
        <f t="shared" si="5"/>
        <v>4025</v>
      </c>
    </row>
    <row r="190" spans="1:8" x14ac:dyDescent="0.3">
      <c r="A190" s="8">
        <v>43030.810578703706</v>
      </c>
      <c r="B190" s="20" t="s">
        <v>504</v>
      </c>
      <c r="C190" s="20" t="s">
        <v>847</v>
      </c>
      <c r="D190" s="138">
        <v>2420000</v>
      </c>
      <c r="E190" s="20" t="s">
        <v>475</v>
      </c>
      <c r="F190" s="20" t="s">
        <v>476</v>
      </c>
      <c r="G190" s="8" t="str">
        <f t="shared" si="4"/>
        <v>HOLCOMB KAMDEN</v>
      </c>
      <c r="H190" s="20" t="str">
        <f t="shared" si="5"/>
        <v>4015</v>
      </c>
    </row>
    <row r="191" spans="1:8" x14ac:dyDescent="0.3">
      <c r="A191" s="8">
        <v>43030.811365740738</v>
      </c>
      <c r="B191" s="20" t="s">
        <v>526</v>
      </c>
      <c r="C191" s="20" t="s">
        <v>848</v>
      </c>
      <c r="D191" s="138">
        <v>890000</v>
      </c>
      <c r="E191" s="20" t="s">
        <v>358</v>
      </c>
      <c r="F191" s="20" t="s">
        <v>359</v>
      </c>
      <c r="G191" s="8" t="str">
        <f t="shared" si="4"/>
        <v>LOZA FIDEL</v>
      </c>
      <c r="H191" s="20" t="str">
        <f t="shared" si="5"/>
        <v>4032</v>
      </c>
    </row>
    <row r="192" spans="1:8" x14ac:dyDescent="0.3">
      <c r="A192" s="8">
        <v>43030.817870370367</v>
      </c>
      <c r="B192" s="20" t="s">
        <v>390</v>
      </c>
      <c r="C192" s="20" t="s">
        <v>849</v>
      </c>
      <c r="D192" s="138">
        <v>2230000</v>
      </c>
      <c r="E192" s="20" t="s">
        <v>789</v>
      </c>
      <c r="F192" s="20" t="s">
        <v>386</v>
      </c>
      <c r="G192" s="8" t="str">
        <f t="shared" si="4"/>
        <v>SMITH MICHAEL</v>
      </c>
      <c r="H192" s="20" t="str">
        <f t="shared" si="5"/>
        <v>4066</v>
      </c>
    </row>
    <row r="193" spans="1:8" x14ac:dyDescent="0.3">
      <c r="A193" s="8">
        <v>43030.827164351853</v>
      </c>
      <c r="B193" s="20" t="s">
        <v>656</v>
      </c>
      <c r="C193" s="20" t="s">
        <v>850</v>
      </c>
      <c r="D193" s="138">
        <v>2000000</v>
      </c>
      <c r="E193" s="20" t="s">
        <v>370</v>
      </c>
      <c r="F193" s="20" t="s">
        <v>361</v>
      </c>
      <c r="G193" s="8" t="str">
        <f t="shared" si="4"/>
        <v>STAMBAUGH JAMES</v>
      </c>
      <c r="H193" s="20" t="str">
        <f t="shared" si="5"/>
        <v>4035</v>
      </c>
    </row>
    <row r="194" spans="1:8" x14ac:dyDescent="0.3">
      <c r="A194" s="8">
        <v>43030.827465277776</v>
      </c>
      <c r="B194" s="20" t="s">
        <v>640</v>
      </c>
      <c r="C194" s="20" t="s">
        <v>851</v>
      </c>
      <c r="D194" s="138">
        <v>3340000</v>
      </c>
      <c r="E194" s="20" t="s">
        <v>555</v>
      </c>
      <c r="F194" s="20" t="s">
        <v>556</v>
      </c>
      <c r="G194" s="8" t="str">
        <f t="shared" si="4"/>
        <v>ELBAUM MIKE</v>
      </c>
      <c r="H194" s="20" t="str">
        <f t="shared" si="5"/>
        <v>4028</v>
      </c>
    </row>
    <row r="195" spans="1:8" x14ac:dyDescent="0.3">
      <c r="A195" s="8">
        <v>43030.83798611111</v>
      </c>
      <c r="B195" s="20" t="s">
        <v>517</v>
      </c>
      <c r="C195" s="20" t="s">
        <v>852</v>
      </c>
      <c r="D195" s="138">
        <v>2420000</v>
      </c>
      <c r="E195" s="20" t="s">
        <v>475</v>
      </c>
      <c r="F195" s="20" t="s">
        <v>476</v>
      </c>
      <c r="G195" s="8" t="str">
        <f t="shared" ref="G195:G258" si="6">E195&amp;" "&amp;F195</f>
        <v>HOLCOMB KAMDEN</v>
      </c>
      <c r="H195" s="20" t="str">
        <f t="shared" ref="H195:H258" si="7">MID(B195,13,4)</f>
        <v>4016</v>
      </c>
    </row>
    <row r="196" spans="1:8" x14ac:dyDescent="0.3">
      <c r="A196" s="8">
        <v>43030.839247685188</v>
      </c>
      <c r="B196" s="20" t="s">
        <v>509</v>
      </c>
      <c r="C196" s="20" t="s">
        <v>853</v>
      </c>
      <c r="D196" s="138">
        <v>890000</v>
      </c>
      <c r="E196" s="20" t="s">
        <v>358</v>
      </c>
      <c r="F196" s="20" t="s">
        <v>359</v>
      </c>
      <c r="G196" s="8" t="str">
        <f t="shared" si="6"/>
        <v>LOZA FIDEL</v>
      </c>
      <c r="H196" s="20" t="str">
        <f t="shared" si="7"/>
        <v>4031</v>
      </c>
    </row>
    <row r="197" spans="1:8" x14ac:dyDescent="0.3">
      <c r="A197" s="8">
        <v>43030.841087962966</v>
      </c>
      <c r="B197" s="20" t="s">
        <v>681</v>
      </c>
      <c r="C197" s="20" t="s">
        <v>854</v>
      </c>
      <c r="D197" s="138">
        <v>3320000</v>
      </c>
      <c r="E197" s="20" t="s">
        <v>548</v>
      </c>
      <c r="F197" s="20" t="s">
        <v>549</v>
      </c>
      <c r="G197" s="8" t="str">
        <f t="shared" si="6"/>
        <v>NICHOLSON WESLEY</v>
      </c>
      <c r="H197" s="20" t="str">
        <f t="shared" si="7"/>
        <v>4026</v>
      </c>
    </row>
    <row r="198" spans="1:8" x14ac:dyDescent="0.3">
      <c r="A198" s="8">
        <v>43030.851388888892</v>
      </c>
      <c r="B198" s="20" t="s">
        <v>504</v>
      </c>
      <c r="C198" s="20" t="s">
        <v>855</v>
      </c>
      <c r="D198" s="138">
        <v>2420000</v>
      </c>
      <c r="E198" s="20" t="s">
        <v>475</v>
      </c>
      <c r="F198" s="20" t="s">
        <v>476</v>
      </c>
      <c r="G198" s="8" t="str">
        <f t="shared" si="6"/>
        <v>HOLCOMB KAMDEN</v>
      </c>
      <c r="H198" s="20" t="str">
        <f t="shared" si="7"/>
        <v>4015</v>
      </c>
    </row>
    <row r="199" spans="1:8" x14ac:dyDescent="0.3">
      <c r="A199" s="8">
        <v>43030.858993055554</v>
      </c>
      <c r="B199" s="20" t="s">
        <v>645</v>
      </c>
      <c r="C199" s="20" t="s">
        <v>669</v>
      </c>
      <c r="D199" s="138">
        <v>2000000</v>
      </c>
      <c r="E199" s="20" t="s">
        <v>370</v>
      </c>
      <c r="F199" s="20" t="s">
        <v>361</v>
      </c>
      <c r="G199" s="8" t="str">
        <f t="shared" si="6"/>
        <v>STAMBAUGH JAMES</v>
      </c>
      <c r="H199" s="20" t="str">
        <f t="shared" si="7"/>
        <v>4036</v>
      </c>
    </row>
    <row r="200" spans="1:8" x14ac:dyDescent="0.3">
      <c r="A200" s="8">
        <v>43030.859490740739</v>
      </c>
      <c r="B200" s="20" t="s">
        <v>643</v>
      </c>
      <c r="C200" s="20" t="s">
        <v>856</v>
      </c>
      <c r="D200" s="138">
        <v>3340000</v>
      </c>
      <c r="E200" s="20" t="s">
        <v>555</v>
      </c>
      <c r="F200" s="20" t="s">
        <v>556</v>
      </c>
      <c r="G200" s="8" t="str">
        <f t="shared" si="6"/>
        <v>ELBAUM MIKE</v>
      </c>
      <c r="H200" s="20" t="str">
        <f t="shared" si="7"/>
        <v>4027</v>
      </c>
    </row>
    <row r="201" spans="1:8" x14ac:dyDescent="0.3">
      <c r="A201" s="8">
        <v>43030.881215277775</v>
      </c>
      <c r="B201" s="20" t="s">
        <v>517</v>
      </c>
      <c r="C201" s="20" t="s">
        <v>857</v>
      </c>
      <c r="D201" s="138">
        <v>2420000</v>
      </c>
      <c r="E201" s="20" t="s">
        <v>475</v>
      </c>
      <c r="F201" s="20" t="s">
        <v>476</v>
      </c>
      <c r="G201" s="8" t="str">
        <f t="shared" si="6"/>
        <v>HOLCOMB KAMDEN</v>
      </c>
      <c r="H201" s="20" t="str">
        <f t="shared" si="7"/>
        <v>4016</v>
      </c>
    </row>
    <row r="202" spans="1:8" x14ac:dyDescent="0.3">
      <c r="A202" s="26">
        <v>43030.883784722224</v>
      </c>
      <c r="B202" s="20" t="s">
        <v>637</v>
      </c>
      <c r="C202" s="20" t="s">
        <v>858</v>
      </c>
      <c r="D202" s="138">
        <v>3320000</v>
      </c>
      <c r="E202" s="20" t="s">
        <v>548</v>
      </c>
      <c r="F202" s="20" t="s">
        <v>549</v>
      </c>
      <c r="G202" s="8" t="str">
        <f t="shared" si="6"/>
        <v>NICHOLSON WESLEY</v>
      </c>
      <c r="H202" s="20" t="str">
        <f t="shared" si="7"/>
        <v>4025</v>
      </c>
    </row>
    <row r="203" spans="1:8" x14ac:dyDescent="0.3">
      <c r="A203" s="8">
        <v>43030.884375000001</v>
      </c>
      <c r="B203" s="20" t="s">
        <v>526</v>
      </c>
      <c r="C203" s="20" t="s">
        <v>859</v>
      </c>
      <c r="D203" s="138">
        <v>890000</v>
      </c>
      <c r="E203" s="20" t="s">
        <v>358</v>
      </c>
      <c r="F203" s="20" t="s">
        <v>359</v>
      </c>
      <c r="G203" s="8" t="str">
        <f t="shared" si="6"/>
        <v>LOZA FIDEL</v>
      </c>
      <c r="H203" s="20" t="str">
        <f t="shared" si="7"/>
        <v>4032</v>
      </c>
    </row>
    <row r="204" spans="1:8" x14ac:dyDescent="0.3">
      <c r="A204" s="8">
        <v>43030.893125000002</v>
      </c>
      <c r="B204" s="20" t="s">
        <v>504</v>
      </c>
      <c r="C204" s="20" t="s">
        <v>670</v>
      </c>
      <c r="D204" s="138">
        <v>2420000</v>
      </c>
      <c r="E204" s="20" t="s">
        <v>475</v>
      </c>
      <c r="F204" s="20" t="s">
        <v>476</v>
      </c>
      <c r="G204" s="8" t="str">
        <f t="shared" si="6"/>
        <v>HOLCOMB KAMDEN</v>
      </c>
      <c r="H204" s="20" t="str">
        <f t="shared" si="7"/>
        <v>4015</v>
      </c>
    </row>
    <row r="205" spans="1:8" x14ac:dyDescent="0.3">
      <c r="A205" s="8">
        <v>43030.900358796294</v>
      </c>
      <c r="B205" s="20" t="s">
        <v>640</v>
      </c>
      <c r="C205" s="20" t="s">
        <v>860</v>
      </c>
      <c r="D205" s="138">
        <v>3340000</v>
      </c>
      <c r="E205" s="20" t="s">
        <v>555</v>
      </c>
      <c r="F205" s="20" t="s">
        <v>556</v>
      </c>
      <c r="G205" s="8" t="str">
        <f t="shared" si="6"/>
        <v>ELBAUM MIKE</v>
      </c>
      <c r="H205" s="20" t="str">
        <f t="shared" si="7"/>
        <v>4028</v>
      </c>
    </row>
    <row r="206" spans="1:8" x14ac:dyDescent="0.3">
      <c r="A206" s="8">
        <v>43030.912222222221</v>
      </c>
      <c r="B206" s="20" t="s">
        <v>656</v>
      </c>
      <c r="C206" s="20" t="s">
        <v>861</v>
      </c>
      <c r="D206" s="138">
        <v>2000000</v>
      </c>
      <c r="E206" s="20" t="s">
        <v>370</v>
      </c>
      <c r="F206" s="20" t="s">
        <v>361</v>
      </c>
      <c r="G206" s="8" t="str">
        <f t="shared" si="6"/>
        <v>STAMBAUGH JAMES</v>
      </c>
      <c r="H206" s="20" t="str">
        <f t="shared" si="7"/>
        <v>4035</v>
      </c>
    </row>
    <row r="207" spans="1:8" x14ac:dyDescent="0.3">
      <c r="A207" s="8">
        <v>43030.922719907408</v>
      </c>
      <c r="B207" s="20" t="s">
        <v>681</v>
      </c>
      <c r="C207" s="20" t="s">
        <v>862</v>
      </c>
      <c r="D207" s="138">
        <v>2680000</v>
      </c>
      <c r="E207" s="20" t="s">
        <v>364</v>
      </c>
      <c r="F207" s="20" t="s">
        <v>365</v>
      </c>
      <c r="G207" s="8" t="str">
        <f t="shared" si="6"/>
        <v>DUNCAN SHEILA</v>
      </c>
      <c r="H207" s="20" t="str">
        <f t="shared" si="7"/>
        <v>4026</v>
      </c>
    </row>
    <row r="208" spans="1:8" x14ac:dyDescent="0.3">
      <c r="A208" s="8">
        <v>43030.922893518517</v>
      </c>
      <c r="B208" s="20" t="s">
        <v>517</v>
      </c>
      <c r="C208" s="20" t="s">
        <v>863</v>
      </c>
      <c r="D208" s="138">
        <v>2420000</v>
      </c>
      <c r="E208" s="20" t="s">
        <v>475</v>
      </c>
      <c r="F208" s="20" t="s">
        <v>476</v>
      </c>
      <c r="G208" s="8" t="str">
        <f t="shared" si="6"/>
        <v>HOLCOMB KAMDEN</v>
      </c>
      <c r="H208" s="20" t="str">
        <f t="shared" si="7"/>
        <v>4016</v>
      </c>
    </row>
    <row r="209" spans="1:8" x14ac:dyDescent="0.3">
      <c r="A209" s="8">
        <v>43030.934571759259</v>
      </c>
      <c r="B209" s="20" t="s">
        <v>509</v>
      </c>
      <c r="C209" s="20" t="s">
        <v>864</v>
      </c>
      <c r="D209" s="138">
        <v>890000</v>
      </c>
      <c r="E209" s="20" t="s">
        <v>358</v>
      </c>
      <c r="F209" s="20" t="s">
        <v>359</v>
      </c>
      <c r="G209" s="8" t="str">
        <f t="shared" si="6"/>
        <v>LOZA FIDEL</v>
      </c>
      <c r="H209" s="20" t="str">
        <f t="shared" si="7"/>
        <v>4031</v>
      </c>
    </row>
    <row r="210" spans="1:8" x14ac:dyDescent="0.3">
      <c r="A210" s="8">
        <v>43030.934594907405</v>
      </c>
      <c r="B210" s="20" t="s">
        <v>504</v>
      </c>
      <c r="C210" s="20" t="s">
        <v>671</v>
      </c>
      <c r="D210" s="138">
        <v>2420000</v>
      </c>
      <c r="E210" s="20" t="s">
        <v>475</v>
      </c>
      <c r="F210" s="20" t="s">
        <v>476</v>
      </c>
      <c r="G210" s="8" t="str">
        <f t="shared" si="6"/>
        <v>HOLCOMB KAMDEN</v>
      </c>
      <c r="H210" s="20" t="str">
        <f t="shared" si="7"/>
        <v>4015</v>
      </c>
    </row>
    <row r="211" spans="1:8" x14ac:dyDescent="0.3">
      <c r="A211" s="8">
        <v>43030.942291666666</v>
      </c>
      <c r="B211" s="20" t="s">
        <v>645</v>
      </c>
      <c r="C211" s="20" t="s">
        <v>672</v>
      </c>
      <c r="D211" s="138">
        <v>2000000</v>
      </c>
      <c r="E211" s="20" t="s">
        <v>370</v>
      </c>
      <c r="F211" s="20" t="s">
        <v>361</v>
      </c>
      <c r="G211" s="8" t="str">
        <f t="shared" si="6"/>
        <v>STAMBAUGH JAMES</v>
      </c>
      <c r="H211" s="20" t="str">
        <f t="shared" si="7"/>
        <v>4036</v>
      </c>
    </row>
    <row r="212" spans="1:8" x14ac:dyDescent="0.3">
      <c r="A212" s="8">
        <v>43030.948101851849</v>
      </c>
      <c r="B212" s="20" t="s">
        <v>643</v>
      </c>
      <c r="C212" s="20" t="s">
        <v>865</v>
      </c>
      <c r="D212" s="138">
        <v>3340000</v>
      </c>
      <c r="E212" s="20" t="s">
        <v>555</v>
      </c>
      <c r="F212" s="20" t="s">
        <v>556</v>
      </c>
      <c r="G212" s="8" t="str">
        <f t="shared" si="6"/>
        <v>ELBAUM MIKE</v>
      </c>
      <c r="H212" s="20" t="str">
        <f t="shared" si="7"/>
        <v>4027</v>
      </c>
    </row>
    <row r="213" spans="1:8" x14ac:dyDescent="0.3">
      <c r="A213" s="8">
        <v>43030.951874999999</v>
      </c>
      <c r="B213" s="20" t="s">
        <v>645</v>
      </c>
      <c r="C213" s="20" t="s">
        <v>672</v>
      </c>
      <c r="D213" s="138">
        <v>3320000</v>
      </c>
      <c r="E213" s="20" t="s">
        <v>548</v>
      </c>
      <c r="F213" s="20" t="s">
        <v>549</v>
      </c>
      <c r="G213" s="8" t="str">
        <f t="shared" si="6"/>
        <v>NICHOLSON WESLEY</v>
      </c>
      <c r="H213" s="20" t="str">
        <f t="shared" si="7"/>
        <v>4036</v>
      </c>
    </row>
    <row r="214" spans="1:8" x14ac:dyDescent="0.3">
      <c r="A214" s="8">
        <v>43030.959988425922</v>
      </c>
      <c r="B214" s="20" t="s">
        <v>517</v>
      </c>
      <c r="C214" s="20" t="s">
        <v>866</v>
      </c>
      <c r="D214" s="138">
        <v>3290000</v>
      </c>
      <c r="E214" s="20" t="s">
        <v>867</v>
      </c>
      <c r="F214" s="20" t="s">
        <v>868</v>
      </c>
      <c r="G214" s="8" t="str">
        <f t="shared" si="6"/>
        <v>CASSIDY BRANDON</v>
      </c>
      <c r="H214" s="20" t="str">
        <f t="shared" si="7"/>
        <v>4016</v>
      </c>
    </row>
    <row r="215" spans="1:8" x14ac:dyDescent="0.3">
      <c r="A215" s="8">
        <v>43030.96503472222</v>
      </c>
      <c r="B215" s="20" t="s">
        <v>637</v>
      </c>
      <c r="C215" s="20" t="s">
        <v>869</v>
      </c>
      <c r="D215" s="138">
        <v>2680000</v>
      </c>
      <c r="E215" s="20" t="s">
        <v>364</v>
      </c>
      <c r="F215" s="20" t="s">
        <v>365</v>
      </c>
      <c r="G215" s="8" t="str">
        <f t="shared" si="6"/>
        <v>DUNCAN SHEILA</v>
      </c>
      <c r="H215" s="20" t="str">
        <f t="shared" si="7"/>
        <v>4025</v>
      </c>
    </row>
    <row r="216" spans="1:8" x14ac:dyDescent="0.3">
      <c r="A216" s="8">
        <v>43030.967916666668</v>
      </c>
      <c r="B216" s="20" t="s">
        <v>526</v>
      </c>
      <c r="C216" s="20" t="s">
        <v>870</v>
      </c>
      <c r="D216" s="138">
        <v>890000</v>
      </c>
      <c r="E216" s="20" t="s">
        <v>358</v>
      </c>
      <c r="F216" s="20" t="s">
        <v>359</v>
      </c>
      <c r="G216" s="8" t="str">
        <f t="shared" si="6"/>
        <v>LOZA FIDEL</v>
      </c>
      <c r="H216" s="20" t="str">
        <f t="shared" si="7"/>
        <v>4032</v>
      </c>
    </row>
    <row r="217" spans="1:8" x14ac:dyDescent="0.3">
      <c r="A217" s="8">
        <v>43030.976631944446</v>
      </c>
      <c r="B217" s="20" t="s">
        <v>504</v>
      </c>
      <c r="C217" s="20" t="s">
        <v>673</v>
      </c>
      <c r="D217" s="138">
        <v>3290000</v>
      </c>
      <c r="E217" s="20" t="s">
        <v>867</v>
      </c>
      <c r="F217" s="20" t="s">
        <v>868</v>
      </c>
      <c r="G217" s="8" t="str">
        <f t="shared" si="6"/>
        <v>CASSIDY BRANDON</v>
      </c>
      <c r="H217" s="20" t="str">
        <f t="shared" si="7"/>
        <v>4015</v>
      </c>
    </row>
    <row r="218" spans="1:8" x14ac:dyDescent="0.3">
      <c r="A218" s="8">
        <v>43030.986793981479</v>
      </c>
      <c r="B218" s="20" t="s">
        <v>640</v>
      </c>
      <c r="C218" s="20" t="s">
        <v>871</v>
      </c>
      <c r="D218" s="138">
        <v>3340000</v>
      </c>
      <c r="E218" s="20" t="s">
        <v>555</v>
      </c>
      <c r="F218" s="20" t="s">
        <v>556</v>
      </c>
      <c r="G218" s="8" t="str">
        <f t="shared" si="6"/>
        <v>ELBAUM MIKE</v>
      </c>
      <c r="H218" s="20" t="str">
        <f t="shared" si="7"/>
        <v>4028</v>
      </c>
    </row>
    <row r="219" spans="1:8" x14ac:dyDescent="0.3">
      <c r="A219" s="8">
        <v>43030.990381944444</v>
      </c>
      <c r="B219" s="20" t="s">
        <v>656</v>
      </c>
      <c r="C219" s="20" t="s">
        <v>872</v>
      </c>
      <c r="D219" s="138">
        <v>3320000</v>
      </c>
      <c r="E219" s="20" t="s">
        <v>548</v>
      </c>
      <c r="F219" s="20" t="s">
        <v>549</v>
      </c>
      <c r="G219" s="8" t="str">
        <f t="shared" si="6"/>
        <v>NICHOLSON WESLEY</v>
      </c>
      <c r="H219" s="20" t="str">
        <f t="shared" si="7"/>
        <v>4035</v>
      </c>
    </row>
    <row r="220" spans="1:8" x14ac:dyDescent="0.3">
      <c r="A220" s="8">
        <v>43031.00677083333</v>
      </c>
      <c r="B220" s="20" t="s">
        <v>681</v>
      </c>
      <c r="C220" s="20" t="s">
        <v>873</v>
      </c>
      <c r="D220" s="138">
        <v>2680000</v>
      </c>
      <c r="E220" s="20" t="s">
        <v>364</v>
      </c>
      <c r="F220" s="20" t="s">
        <v>365</v>
      </c>
      <c r="G220" s="8" t="str">
        <f t="shared" si="6"/>
        <v>DUNCAN SHEILA</v>
      </c>
      <c r="H220" s="20" t="str">
        <f t="shared" si="7"/>
        <v>4026</v>
      </c>
    </row>
    <row r="221" spans="1:8" x14ac:dyDescent="0.3">
      <c r="A221" s="8">
        <v>43031.017071759263</v>
      </c>
      <c r="B221" s="20" t="s">
        <v>509</v>
      </c>
      <c r="C221" s="20" t="s">
        <v>874</v>
      </c>
      <c r="D221" s="138">
        <v>890000</v>
      </c>
      <c r="E221" s="20" t="s">
        <v>358</v>
      </c>
      <c r="F221" s="20" t="s">
        <v>359</v>
      </c>
      <c r="G221" s="8" t="str">
        <f t="shared" si="6"/>
        <v>LOZA FIDEL</v>
      </c>
      <c r="H221" s="20" t="str">
        <f t="shared" si="7"/>
        <v>4031</v>
      </c>
    </row>
    <row r="222" spans="1:8" x14ac:dyDescent="0.3">
      <c r="A222" s="8">
        <v>43031.025636574072</v>
      </c>
      <c r="B222" s="20" t="s">
        <v>643</v>
      </c>
      <c r="C222" s="20" t="s">
        <v>875</v>
      </c>
      <c r="D222" s="138">
        <v>3340000</v>
      </c>
      <c r="E222" s="20" t="s">
        <v>555</v>
      </c>
      <c r="F222" s="20" t="s">
        <v>556</v>
      </c>
      <c r="G222" s="8" t="str">
        <f t="shared" si="6"/>
        <v>ELBAUM MIKE</v>
      </c>
      <c r="H222" s="20" t="str">
        <f t="shared" si="7"/>
        <v>4027</v>
      </c>
    </row>
    <row r="223" spans="1:8" x14ac:dyDescent="0.3">
      <c r="A223" s="8">
        <v>43031.027858796297</v>
      </c>
      <c r="B223" s="20" t="s">
        <v>645</v>
      </c>
      <c r="C223" s="20" t="s">
        <v>876</v>
      </c>
      <c r="D223" s="138">
        <v>2000000</v>
      </c>
      <c r="E223" s="20" t="s">
        <v>370</v>
      </c>
      <c r="F223" s="20" t="s">
        <v>361</v>
      </c>
      <c r="G223" s="8" t="str">
        <f t="shared" si="6"/>
        <v>STAMBAUGH JAMES</v>
      </c>
      <c r="H223" s="20" t="str">
        <f t="shared" si="7"/>
        <v>4036</v>
      </c>
    </row>
    <row r="224" spans="1:8" x14ac:dyDescent="0.3">
      <c r="A224" s="8">
        <v>43031.046990740739</v>
      </c>
      <c r="B224" t="s">
        <v>637</v>
      </c>
      <c r="C224" t="s">
        <v>877</v>
      </c>
      <c r="D224" s="138">
        <v>2680000</v>
      </c>
      <c r="E224" t="s">
        <v>364</v>
      </c>
      <c r="F224" s="20" t="s">
        <v>365</v>
      </c>
      <c r="G224" s="8" t="str">
        <f t="shared" si="6"/>
        <v>DUNCAN SHEILA</v>
      </c>
      <c r="H224" s="20" t="str">
        <f t="shared" si="7"/>
        <v>4025</v>
      </c>
    </row>
    <row r="225" spans="1:8" x14ac:dyDescent="0.3">
      <c r="A225" s="8">
        <v>43031.047939814816</v>
      </c>
      <c r="B225" t="s">
        <v>526</v>
      </c>
      <c r="C225" t="s">
        <v>878</v>
      </c>
      <c r="D225" s="138">
        <v>890000</v>
      </c>
      <c r="E225" t="s">
        <v>358</v>
      </c>
      <c r="F225" s="20" t="s">
        <v>359</v>
      </c>
      <c r="G225" s="8" t="str">
        <f t="shared" si="6"/>
        <v>LOZA FIDEL</v>
      </c>
      <c r="H225" s="20" t="str">
        <f t="shared" si="7"/>
        <v>4032</v>
      </c>
    </row>
    <row r="226" spans="1:8" x14ac:dyDescent="0.3">
      <c r="A226" s="8">
        <v>43031.066504629627</v>
      </c>
      <c r="B226" t="s">
        <v>640</v>
      </c>
      <c r="C226" t="s">
        <v>879</v>
      </c>
      <c r="D226" s="138">
        <v>3340000</v>
      </c>
      <c r="E226" t="s">
        <v>555</v>
      </c>
      <c r="F226" s="20" t="s">
        <v>556</v>
      </c>
      <c r="G226" s="8" t="str">
        <f t="shared" si="6"/>
        <v>ELBAUM MIKE</v>
      </c>
      <c r="H226" s="20" t="str">
        <f t="shared" si="7"/>
        <v>4028</v>
      </c>
    </row>
    <row r="227" spans="1:8" x14ac:dyDescent="0.3">
      <c r="A227" s="8">
        <v>43031.087916666664</v>
      </c>
      <c r="B227" t="s">
        <v>681</v>
      </c>
      <c r="C227" t="s">
        <v>880</v>
      </c>
      <c r="D227" s="138">
        <v>2680000</v>
      </c>
      <c r="E227" t="s">
        <v>364</v>
      </c>
      <c r="F227" s="20" t="s">
        <v>365</v>
      </c>
      <c r="G227" s="8" t="str">
        <f t="shared" si="6"/>
        <v>DUNCAN SHEILA</v>
      </c>
      <c r="H227" s="20" t="str">
        <f t="shared" si="7"/>
        <v>4026</v>
      </c>
    </row>
    <row r="228" spans="1:8" x14ac:dyDescent="0.3">
      <c r="A228" s="8">
        <v>43027.682824074072</v>
      </c>
      <c r="B228" t="s">
        <v>458</v>
      </c>
      <c r="C228" t="s">
        <v>527</v>
      </c>
      <c r="D228" s="138">
        <v>2140000</v>
      </c>
      <c r="E228" t="s">
        <v>446</v>
      </c>
      <c r="F228" s="20" t="s">
        <v>447</v>
      </c>
      <c r="G228" s="8" t="str">
        <f t="shared" si="6"/>
        <v>ROBINSON KADDIBA</v>
      </c>
      <c r="H228" s="20" t="str">
        <f t="shared" si="7"/>
        <v>4007</v>
      </c>
    </row>
    <row r="229" spans="1:8" x14ac:dyDescent="0.3">
      <c r="A229" s="8">
        <v>43027.683298611111</v>
      </c>
      <c r="B229" t="s">
        <v>505</v>
      </c>
      <c r="C229" t="s">
        <v>528</v>
      </c>
      <c r="D229" s="138">
        <v>1770000</v>
      </c>
      <c r="E229" t="s">
        <v>444</v>
      </c>
      <c r="F229" s="20" t="s">
        <v>445</v>
      </c>
      <c r="G229" s="8" t="str">
        <f t="shared" si="6"/>
        <v>BRUDER RICHARD</v>
      </c>
      <c r="H229" s="20" t="str">
        <f t="shared" si="7"/>
        <v>4058</v>
      </c>
    </row>
    <row r="230" spans="1:8" x14ac:dyDescent="0.3">
      <c r="A230" s="8">
        <v>43027.686180555553</v>
      </c>
      <c r="B230" t="s">
        <v>462</v>
      </c>
      <c r="C230" t="s">
        <v>529</v>
      </c>
      <c r="D230" s="138">
        <v>1780000</v>
      </c>
      <c r="E230" t="s">
        <v>442</v>
      </c>
      <c r="F230" s="20" t="s">
        <v>443</v>
      </c>
      <c r="G230" s="8" t="str">
        <f t="shared" si="6"/>
        <v>DE LA ROSA ALEX</v>
      </c>
      <c r="H230" s="20" t="str">
        <f t="shared" si="7"/>
        <v>4043</v>
      </c>
    </row>
    <row r="231" spans="1:8" x14ac:dyDescent="0.3">
      <c r="A231" s="8">
        <v>43027.687986111108</v>
      </c>
      <c r="B231" t="s">
        <v>506</v>
      </c>
      <c r="C231" t="s">
        <v>530</v>
      </c>
      <c r="D231" s="138">
        <v>3280000</v>
      </c>
      <c r="E231" t="s">
        <v>450</v>
      </c>
      <c r="F231" s="20" t="s">
        <v>451</v>
      </c>
      <c r="G231" s="8" t="str">
        <f t="shared" si="6"/>
        <v>BIRKHOLZ NADINE</v>
      </c>
      <c r="H231" s="20" t="str">
        <f t="shared" si="7"/>
        <v>4024</v>
      </c>
    </row>
    <row r="232" spans="1:8" x14ac:dyDescent="0.3">
      <c r="A232" s="8">
        <v>43027.689965277779</v>
      </c>
      <c r="B232" t="s">
        <v>518</v>
      </c>
      <c r="C232" t="s">
        <v>531</v>
      </c>
      <c r="D232" s="138">
        <v>1180000</v>
      </c>
      <c r="E232" t="s">
        <v>430</v>
      </c>
      <c r="F232" s="20" t="s">
        <v>431</v>
      </c>
      <c r="G232" s="8" t="str">
        <f t="shared" si="6"/>
        <v>LEVERE CRAIG</v>
      </c>
      <c r="H232" s="20" t="str">
        <f t="shared" si="7"/>
        <v>4013</v>
      </c>
    </row>
    <row r="233" spans="1:8" x14ac:dyDescent="0.3">
      <c r="A233" s="8">
        <v>43027.693796296298</v>
      </c>
      <c r="B233" t="s">
        <v>456</v>
      </c>
      <c r="C233" t="s">
        <v>532</v>
      </c>
      <c r="D233" s="138">
        <v>880000</v>
      </c>
      <c r="E233" t="s">
        <v>400</v>
      </c>
      <c r="F233" s="20" t="s">
        <v>386</v>
      </c>
      <c r="G233" s="8" t="str">
        <f t="shared" si="6"/>
        <v>STEWART MICHAEL</v>
      </c>
      <c r="H233" s="20" t="str">
        <f t="shared" si="7"/>
        <v>4018</v>
      </c>
    </row>
    <row r="234" spans="1:8" x14ac:dyDescent="0.3">
      <c r="A234" s="8">
        <v>43027.695462962962</v>
      </c>
      <c r="B234" t="s">
        <v>457</v>
      </c>
      <c r="C234" t="s">
        <v>533</v>
      </c>
      <c r="D234" s="138">
        <v>2550000</v>
      </c>
      <c r="E234" t="s">
        <v>522</v>
      </c>
      <c r="F234" s="20" t="s">
        <v>523</v>
      </c>
      <c r="G234" s="8" t="str">
        <f t="shared" si="6"/>
        <v>BADERTSCHER DIANE</v>
      </c>
      <c r="H234" s="20" t="str">
        <f t="shared" si="7"/>
        <v>4005</v>
      </c>
    </row>
    <row r="235" spans="1:8" x14ac:dyDescent="0.3">
      <c r="A235" s="8">
        <v>43027.696817129632</v>
      </c>
      <c r="B235" t="s">
        <v>457</v>
      </c>
      <c r="C235" t="s">
        <v>533</v>
      </c>
      <c r="D235" s="138">
        <v>2550000</v>
      </c>
      <c r="E235" t="s">
        <v>522</v>
      </c>
      <c r="F235" s="20" t="s">
        <v>523</v>
      </c>
      <c r="G235" s="8" t="str">
        <f t="shared" si="6"/>
        <v>BADERTSCHER DIANE</v>
      </c>
      <c r="H235" s="20" t="str">
        <f t="shared" si="7"/>
        <v>4005</v>
      </c>
    </row>
    <row r="236" spans="1:8" x14ac:dyDescent="0.3">
      <c r="A236" s="8">
        <v>43027.702488425923</v>
      </c>
      <c r="B236" t="s">
        <v>517</v>
      </c>
      <c r="C236" t="s">
        <v>534</v>
      </c>
      <c r="D236" s="138">
        <v>1300000</v>
      </c>
      <c r="E236" t="s">
        <v>432</v>
      </c>
      <c r="F236" s="20" t="s">
        <v>433</v>
      </c>
      <c r="G236" s="8" t="str">
        <f t="shared" si="6"/>
        <v>LEVIN SCOTT</v>
      </c>
      <c r="H236" s="20" t="str">
        <f t="shared" si="7"/>
        <v>4016</v>
      </c>
    </row>
    <row r="237" spans="1:8" x14ac:dyDescent="0.3">
      <c r="A237" s="8">
        <v>43027.706550925926</v>
      </c>
      <c r="B237" t="s">
        <v>398</v>
      </c>
      <c r="C237" t="s">
        <v>535</v>
      </c>
      <c r="D237" s="138">
        <v>2040000</v>
      </c>
      <c r="E237" t="s">
        <v>448</v>
      </c>
      <c r="F237" s="20" t="s">
        <v>449</v>
      </c>
      <c r="G237" s="8" t="str">
        <f t="shared" si="6"/>
        <v>MOSES BRADLEY</v>
      </c>
      <c r="H237" s="20" t="str">
        <f t="shared" si="7"/>
        <v>4052</v>
      </c>
    </row>
    <row r="238" spans="1:8" x14ac:dyDescent="0.3">
      <c r="A238" s="8">
        <v>43027.707002314812</v>
      </c>
      <c r="B238" t="s">
        <v>507</v>
      </c>
      <c r="C238" t="s">
        <v>536</v>
      </c>
      <c r="D238" s="138">
        <v>3280000</v>
      </c>
      <c r="E238" t="s">
        <v>450</v>
      </c>
      <c r="F238" s="20" t="s">
        <v>451</v>
      </c>
      <c r="G238" s="8" t="str">
        <f t="shared" si="6"/>
        <v>BIRKHOLZ NADINE</v>
      </c>
      <c r="H238" s="20" t="str">
        <f t="shared" si="7"/>
        <v>4023</v>
      </c>
    </row>
    <row r="239" spans="1:8" x14ac:dyDescent="0.3">
      <c r="A239" s="8">
        <v>43027.713194444441</v>
      </c>
      <c r="B239" t="s">
        <v>391</v>
      </c>
      <c r="C239" t="s">
        <v>537</v>
      </c>
      <c r="D239" s="138">
        <v>3130000</v>
      </c>
      <c r="E239" t="s">
        <v>479</v>
      </c>
      <c r="F239" s="20" t="s">
        <v>480</v>
      </c>
      <c r="G239" s="8" t="str">
        <f t="shared" si="6"/>
        <v>ZEWDU DEREJE</v>
      </c>
      <c r="H239" s="20" t="str">
        <f t="shared" si="7"/>
        <v>4065</v>
      </c>
    </row>
    <row r="240" spans="1:8" x14ac:dyDescent="0.3">
      <c r="A240" s="8">
        <v>43027.713576388887</v>
      </c>
      <c r="B240" t="s">
        <v>463</v>
      </c>
      <c r="C240" t="s">
        <v>538</v>
      </c>
      <c r="D240" s="138">
        <v>2000000</v>
      </c>
      <c r="E240" t="s">
        <v>370</v>
      </c>
      <c r="F240" s="20" t="s">
        <v>361</v>
      </c>
      <c r="G240" s="8" t="str">
        <f t="shared" si="6"/>
        <v>STAMBAUGH JAMES</v>
      </c>
      <c r="H240" s="20" t="str">
        <f t="shared" si="7"/>
        <v>4044</v>
      </c>
    </row>
    <row r="241" spans="1:8" x14ac:dyDescent="0.3">
      <c r="A241" s="8">
        <v>43027.714999999997</v>
      </c>
      <c r="B241" t="s">
        <v>423</v>
      </c>
      <c r="C241" t="s">
        <v>539</v>
      </c>
      <c r="D241" s="138">
        <v>2350000</v>
      </c>
      <c r="E241" t="s">
        <v>473</v>
      </c>
      <c r="F241" s="20" t="s">
        <v>474</v>
      </c>
      <c r="G241" s="8" t="str">
        <f t="shared" si="6"/>
        <v>BERLING GARY</v>
      </c>
      <c r="H241" s="20" t="str">
        <f t="shared" si="7"/>
        <v>4008</v>
      </c>
    </row>
    <row r="242" spans="1:8" x14ac:dyDescent="0.3">
      <c r="A242" s="8">
        <v>43027.71947916667</v>
      </c>
      <c r="B242" t="s">
        <v>425</v>
      </c>
      <c r="C242" t="s">
        <v>540</v>
      </c>
      <c r="D242" s="138">
        <v>2140000</v>
      </c>
      <c r="E242" t="s">
        <v>446</v>
      </c>
      <c r="F242" s="20" t="s">
        <v>447</v>
      </c>
      <c r="G242" s="8" t="str">
        <f t="shared" si="6"/>
        <v>ROBINSON KADDIBA</v>
      </c>
      <c r="H242" s="20" t="str">
        <f t="shared" si="7"/>
        <v>4060</v>
      </c>
    </row>
    <row r="243" spans="1:8" x14ac:dyDescent="0.3">
      <c r="A243" s="8">
        <v>43027.721967592595</v>
      </c>
      <c r="B243" t="s">
        <v>508</v>
      </c>
      <c r="C243" t="s">
        <v>541</v>
      </c>
      <c r="D243" s="138">
        <v>1770000</v>
      </c>
      <c r="E243" t="s">
        <v>444</v>
      </c>
      <c r="F243" s="20" t="s">
        <v>445</v>
      </c>
      <c r="G243" s="8" t="str">
        <f t="shared" si="6"/>
        <v>BRUDER RICHARD</v>
      </c>
      <c r="H243" s="20" t="str">
        <f t="shared" si="7"/>
        <v>4057</v>
      </c>
    </row>
    <row r="244" spans="1:8" x14ac:dyDescent="0.3">
      <c r="A244" s="8">
        <v>43027.726064814815</v>
      </c>
      <c r="B244" t="s">
        <v>519</v>
      </c>
      <c r="C244" t="s">
        <v>542</v>
      </c>
      <c r="D244" s="138">
        <v>1180000</v>
      </c>
      <c r="E244" t="s">
        <v>430</v>
      </c>
      <c r="F244" s="20" t="s">
        <v>431</v>
      </c>
      <c r="G244" s="8" t="str">
        <f t="shared" si="6"/>
        <v>LEVERE CRAIG</v>
      </c>
      <c r="H244" s="20" t="str">
        <f t="shared" si="7"/>
        <v>4014</v>
      </c>
    </row>
    <row r="245" spans="1:8" x14ac:dyDescent="0.3">
      <c r="A245" s="8">
        <v>43027.728333333333</v>
      </c>
      <c r="B245" t="s">
        <v>462</v>
      </c>
      <c r="C245" t="s">
        <v>543</v>
      </c>
      <c r="D245" s="138">
        <v>2000000</v>
      </c>
      <c r="E245" t="s">
        <v>370</v>
      </c>
      <c r="F245" s="20" t="s">
        <v>361</v>
      </c>
      <c r="G245" s="8" t="str">
        <f t="shared" si="6"/>
        <v>STAMBAUGH JAMES</v>
      </c>
      <c r="H245" s="20" t="str">
        <f t="shared" si="7"/>
        <v>4043</v>
      </c>
    </row>
    <row r="246" spans="1:8" x14ac:dyDescent="0.3">
      <c r="A246" s="8">
        <v>43027.731342592589</v>
      </c>
      <c r="B246" t="s">
        <v>506</v>
      </c>
      <c r="C246" t="s">
        <v>544</v>
      </c>
      <c r="D246" s="138">
        <v>3280000</v>
      </c>
      <c r="E246" t="s">
        <v>450</v>
      </c>
      <c r="F246" s="20" t="s">
        <v>451</v>
      </c>
      <c r="G246" s="8" t="str">
        <f t="shared" si="6"/>
        <v>BIRKHOLZ NADINE</v>
      </c>
      <c r="H246" s="20" t="str">
        <f t="shared" si="7"/>
        <v>4024</v>
      </c>
    </row>
    <row r="247" spans="1:8" x14ac:dyDescent="0.3">
      <c r="A247" s="8">
        <v>43027.733668981484</v>
      </c>
      <c r="B247" t="s">
        <v>460</v>
      </c>
      <c r="C247" t="s">
        <v>545</v>
      </c>
      <c r="D247" s="138">
        <v>880000</v>
      </c>
      <c r="E247" t="s">
        <v>400</v>
      </c>
      <c r="F247" s="20" t="s">
        <v>386</v>
      </c>
      <c r="G247" s="8" t="str">
        <f t="shared" si="6"/>
        <v>STEWART MICHAEL</v>
      </c>
      <c r="H247" s="20" t="str">
        <f t="shared" si="7"/>
        <v>4017</v>
      </c>
    </row>
    <row r="248" spans="1:8" x14ac:dyDescent="0.3">
      <c r="A248" s="8">
        <v>43027.737650462965</v>
      </c>
      <c r="B248" t="s">
        <v>472</v>
      </c>
      <c r="C248" t="s">
        <v>546</v>
      </c>
      <c r="D248" s="138">
        <v>890000</v>
      </c>
      <c r="E248" t="s">
        <v>358</v>
      </c>
      <c r="F248" s="20" t="s">
        <v>359</v>
      </c>
      <c r="G248" s="8" t="str">
        <f t="shared" si="6"/>
        <v>LOZA FIDEL</v>
      </c>
      <c r="H248" s="20" t="str">
        <f t="shared" si="7"/>
        <v>4006</v>
      </c>
    </row>
    <row r="249" spans="1:8" x14ac:dyDescent="0.3">
      <c r="A249" s="8">
        <v>43027.742488425924</v>
      </c>
      <c r="B249" t="s">
        <v>428</v>
      </c>
      <c r="C249" t="s">
        <v>547</v>
      </c>
      <c r="D249" s="138">
        <v>3320000</v>
      </c>
      <c r="E249" t="s">
        <v>548</v>
      </c>
      <c r="F249" s="20" t="s">
        <v>549</v>
      </c>
      <c r="G249" s="8" t="str">
        <f t="shared" si="6"/>
        <v>NICHOLSON WESLEY</v>
      </c>
      <c r="H249" s="20" t="str">
        <f t="shared" si="7"/>
        <v>4009</v>
      </c>
    </row>
    <row r="250" spans="1:8" x14ac:dyDescent="0.3">
      <c r="A250" s="8">
        <v>43027.746655092589</v>
      </c>
      <c r="B250" t="s">
        <v>504</v>
      </c>
      <c r="C250" t="s">
        <v>550</v>
      </c>
      <c r="D250" s="138">
        <v>1300000</v>
      </c>
      <c r="E250" t="s">
        <v>432</v>
      </c>
      <c r="F250" s="20" t="s">
        <v>433</v>
      </c>
      <c r="G250" s="8" t="str">
        <f t="shared" si="6"/>
        <v>LEVIN SCOTT</v>
      </c>
      <c r="H250" s="20" t="str">
        <f t="shared" si="7"/>
        <v>4015</v>
      </c>
    </row>
    <row r="251" spans="1:8" x14ac:dyDescent="0.3">
      <c r="A251" s="8">
        <v>43027.748310185183</v>
      </c>
      <c r="B251" t="s">
        <v>390</v>
      </c>
      <c r="C251" t="s">
        <v>551</v>
      </c>
      <c r="D251" s="138">
        <v>2420000</v>
      </c>
      <c r="E251" t="s">
        <v>475</v>
      </c>
      <c r="F251" s="20" t="s">
        <v>476</v>
      </c>
      <c r="G251" s="8" t="str">
        <f t="shared" si="6"/>
        <v>HOLCOMB KAMDEN</v>
      </c>
      <c r="H251" s="20" t="str">
        <f t="shared" si="7"/>
        <v>4066</v>
      </c>
    </row>
    <row r="252" spans="1:8" x14ac:dyDescent="0.3">
      <c r="A252" s="8">
        <v>43027.749768518515</v>
      </c>
      <c r="B252" t="s">
        <v>507</v>
      </c>
      <c r="C252" t="s">
        <v>552</v>
      </c>
      <c r="D252" s="138">
        <v>3280000</v>
      </c>
      <c r="E252" t="s">
        <v>450</v>
      </c>
      <c r="F252" s="20" t="s">
        <v>451</v>
      </c>
      <c r="G252" s="8" t="str">
        <f t="shared" si="6"/>
        <v>BIRKHOLZ NADINE</v>
      </c>
      <c r="H252" s="20" t="str">
        <f t="shared" si="7"/>
        <v>4023</v>
      </c>
    </row>
    <row r="253" spans="1:8" x14ac:dyDescent="0.3">
      <c r="A253" s="8">
        <v>43027.753298611111</v>
      </c>
      <c r="B253" t="s">
        <v>458</v>
      </c>
      <c r="C253" t="s">
        <v>553</v>
      </c>
      <c r="D253" s="138">
        <v>2350000</v>
      </c>
      <c r="E253" t="s">
        <v>473</v>
      </c>
      <c r="F253" s="20" t="s">
        <v>474</v>
      </c>
      <c r="G253" s="8" t="str">
        <f t="shared" si="6"/>
        <v>BERLING GARY</v>
      </c>
      <c r="H253" s="20" t="str">
        <f t="shared" si="7"/>
        <v>4007</v>
      </c>
    </row>
    <row r="254" spans="1:8" x14ac:dyDescent="0.3">
      <c r="A254" s="8">
        <v>43027.754791666666</v>
      </c>
      <c r="B254" t="s">
        <v>463</v>
      </c>
      <c r="C254" t="s">
        <v>510</v>
      </c>
      <c r="D254" s="138">
        <v>2000000</v>
      </c>
      <c r="E254" t="s">
        <v>370</v>
      </c>
      <c r="F254" s="20" t="s">
        <v>361</v>
      </c>
      <c r="G254" s="8" t="str">
        <f t="shared" si="6"/>
        <v>STAMBAUGH JAMES</v>
      </c>
      <c r="H254" s="20" t="str">
        <f t="shared" si="7"/>
        <v>4044</v>
      </c>
    </row>
    <row r="255" spans="1:8" x14ac:dyDescent="0.3">
      <c r="A255" s="8">
        <v>43027.756620370368</v>
      </c>
      <c r="B255" t="s">
        <v>505</v>
      </c>
      <c r="C255" t="s">
        <v>554</v>
      </c>
      <c r="D255" s="138">
        <v>3340000</v>
      </c>
      <c r="E255" t="s">
        <v>555</v>
      </c>
      <c r="F255" s="20" t="s">
        <v>556</v>
      </c>
      <c r="G255" s="8" t="str">
        <f t="shared" si="6"/>
        <v>ELBAUM MIKE</v>
      </c>
      <c r="H255" s="20" t="str">
        <f t="shared" si="7"/>
        <v>4058</v>
      </c>
    </row>
    <row r="256" spans="1:8" x14ac:dyDescent="0.3">
      <c r="A256" s="8">
        <v>43027.762291666666</v>
      </c>
      <c r="B256" t="s">
        <v>518</v>
      </c>
      <c r="C256" t="s">
        <v>557</v>
      </c>
      <c r="D256" s="138">
        <v>1180000</v>
      </c>
      <c r="E256" t="s">
        <v>430</v>
      </c>
      <c r="F256" s="20" t="s">
        <v>431</v>
      </c>
      <c r="G256" s="8" t="str">
        <f t="shared" si="6"/>
        <v>LEVERE CRAIG</v>
      </c>
      <c r="H256" s="20" t="str">
        <f t="shared" si="7"/>
        <v>4013</v>
      </c>
    </row>
    <row r="257" spans="1:8" x14ac:dyDescent="0.3">
      <c r="A257" s="8">
        <v>43027.767002314817</v>
      </c>
      <c r="B257" t="s">
        <v>456</v>
      </c>
      <c r="C257" t="s">
        <v>558</v>
      </c>
      <c r="D257" s="138">
        <v>2540000</v>
      </c>
      <c r="E257" t="s">
        <v>392</v>
      </c>
      <c r="F257" s="20" t="s">
        <v>393</v>
      </c>
      <c r="G257" s="8" t="str">
        <f t="shared" si="6"/>
        <v>MCREYNOLDS KYLE</v>
      </c>
      <c r="H257" s="20" t="str">
        <f t="shared" si="7"/>
        <v>4018</v>
      </c>
    </row>
    <row r="258" spans="1:8" x14ac:dyDescent="0.3">
      <c r="A258" s="8">
        <v>43027.768379629626</v>
      </c>
      <c r="B258" t="s">
        <v>462</v>
      </c>
      <c r="C258" t="s">
        <v>559</v>
      </c>
      <c r="D258" s="138">
        <v>2000000</v>
      </c>
      <c r="E258" t="s">
        <v>370</v>
      </c>
      <c r="F258" s="20" t="s">
        <v>361</v>
      </c>
      <c r="G258" s="8" t="str">
        <f t="shared" si="6"/>
        <v>STAMBAUGH JAMES</v>
      </c>
      <c r="H258" s="20" t="str">
        <f t="shared" si="7"/>
        <v>4043</v>
      </c>
    </row>
    <row r="259" spans="1:8" x14ac:dyDescent="0.3">
      <c r="A259" s="8">
        <v>43027.773113425923</v>
      </c>
      <c r="B259" t="s">
        <v>506</v>
      </c>
      <c r="C259" t="s">
        <v>560</v>
      </c>
      <c r="D259" s="138">
        <v>3280000</v>
      </c>
      <c r="E259" t="s">
        <v>450</v>
      </c>
      <c r="F259" s="20" t="s">
        <v>451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457</v>
      </c>
      <c r="C260" t="s">
        <v>561</v>
      </c>
      <c r="D260" s="138">
        <v>890000</v>
      </c>
      <c r="E260" t="s">
        <v>358</v>
      </c>
      <c r="F260" s="20" t="s">
        <v>359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517</v>
      </c>
      <c r="C261" t="s">
        <v>562</v>
      </c>
      <c r="D261" s="138">
        <v>1300000</v>
      </c>
      <c r="E261" t="s">
        <v>432</v>
      </c>
      <c r="F261" s="20" t="s">
        <v>433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391</v>
      </c>
      <c r="C262" t="s">
        <v>511</v>
      </c>
      <c r="D262" s="138">
        <v>2420000</v>
      </c>
      <c r="E262" t="s">
        <v>475</v>
      </c>
      <c r="F262" s="20" t="s">
        <v>476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508</v>
      </c>
      <c r="C263" t="s">
        <v>563</v>
      </c>
      <c r="D263" s="138">
        <v>3340000</v>
      </c>
      <c r="E263" t="s">
        <v>555</v>
      </c>
      <c r="F263" s="20" t="s">
        <v>556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423</v>
      </c>
      <c r="C264" t="s">
        <v>564</v>
      </c>
      <c r="D264" s="138">
        <v>1360000</v>
      </c>
      <c r="E264" t="s">
        <v>565</v>
      </c>
      <c r="F264" s="20" t="s">
        <v>566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507</v>
      </c>
      <c r="C265" t="s">
        <v>567</v>
      </c>
      <c r="D265" s="138">
        <v>3280000</v>
      </c>
      <c r="E265" t="s">
        <v>450</v>
      </c>
      <c r="F265" s="20" t="s">
        <v>451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463</v>
      </c>
      <c r="C266" t="s">
        <v>568</v>
      </c>
      <c r="D266" s="138">
        <v>2600000</v>
      </c>
      <c r="E266" t="s">
        <v>569</v>
      </c>
      <c r="F266" s="20" t="s">
        <v>525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463</v>
      </c>
      <c r="C267" t="s">
        <v>568</v>
      </c>
      <c r="D267" s="138">
        <v>2600000</v>
      </c>
      <c r="E267" t="s">
        <v>569</v>
      </c>
      <c r="F267" s="20" t="s">
        <v>525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463</v>
      </c>
      <c r="C268" t="s">
        <v>570</v>
      </c>
      <c r="D268" s="138">
        <v>2600000</v>
      </c>
      <c r="E268" t="s">
        <v>569</v>
      </c>
      <c r="F268" s="20" t="s">
        <v>525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519</v>
      </c>
      <c r="C269" t="s">
        <v>571</v>
      </c>
      <c r="D269" s="138">
        <v>1180000</v>
      </c>
      <c r="E269" t="s">
        <v>430</v>
      </c>
      <c r="F269" s="20" t="s">
        <v>431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391</v>
      </c>
      <c r="C270" t="s">
        <v>511</v>
      </c>
      <c r="D270" s="138">
        <v>2420000</v>
      </c>
      <c r="E270" t="s">
        <v>475</v>
      </c>
      <c r="F270" s="20" t="s">
        <v>476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460</v>
      </c>
      <c r="C271" t="s">
        <v>572</v>
      </c>
      <c r="D271" s="138">
        <v>2540000</v>
      </c>
      <c r="E271" t="s">
        <v>392</v>
      </c>
      <c r="F271" s="20" t="s">
        <v>393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462</v>
      </c>
      <c r="C272" t="s">
        <v>568</v>
      </c>
      <c r="D272" s="138">
        <v>2600000</v>
      </c>
      <c r="E272" t="s">
        <v>569</v>
      </c>
      <c r="F272" s="20" t="s">
        <v>525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472</v>
      </c>
      <c r="C273" t="s">
        <v>573</v>
      </c>
      <c r="D273" s="138">
        <v>890000</v>
      </c>
      <c r="E273" t="s">
        <v>358</v>
      </c>
      <c r="F273" s="20" t="s">
        <v>359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458</v>
      </c>
      <c r="C274" t="s">
        <v>574</v>
      </c>
      <c r="D274" s="138">
        <v>1360000</v>
      </c>
      <c r="E274" t="s">
        <v>565</v>
      </c>
      <c r="F274" s="20" t="s">
        <v>566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390</v>
      </c>
      <c r="C275" t="s">
        <v>575</v>
      </c>
      <c r="D275" s="138">
        <v>2420000</v>
      </c>
      <c r="E275" t="s">
        <v>475</v>
      </c>
      <c r="F275" s="20" t="s">
        <v>476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429</v>
      </c>
      <c r="C276" t="s">
        <v>535</v>
      </c>
      <c r="D276" s="138">
        <v>3320000</v>
      </c>
      <c r="E276" t="s">
        <v>548</v>
      </c>
      <c r="F276" s="20" t="s">
        <v>549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505</v>
      </c>
      <c r="C277" t="s">
        <v>576</v>
      </c>
      <c r="D277" s="138">
        <v>3340000</v>
      </c>
      <c r="E277" t="s">
        <v>555</v>
      </c>
      <c r="F277" s="20" t="s">
        <v>556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428</v>
      </c>
      <c r="C278" t="s">
        <v>535</v>
      </c>
      <c r="D278" s="138">
        <v>3320000</v>
      </c>
      <c r="E278" t="s">
        <v>548</v>
      </c>
      <c r="F278" s="20" t="s">
        <v>549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463</v>
      </c>
      <c r="C279" t="s">
        <v>577</v>
      </c>
      <c r="D279" s="138">
        <v>3130000</v>
      </c>
      <c r="E279" t="s">
        <v>479</v>
      </c>
      <c r="F279" s="20" t="s">
        <v>480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457</v>
      </c>
      <c r="C280" t="s">
        <v>578</v>
      </c>
      <c r="D280" s="138">
        <v>890000</v>
      </c>
      <c r="E280" t="s">
        <v>358</v>
      </c>
      <c r="F280" s="20" t="s">
        <v>359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429</v>
      </c>
      <c r="C281" t="s">
        <v>579</v>
      </c>
      <c r="D281" s="138">
        <v>2540000</v>
      </c>
      <c r="E281" t="s">
        <v>392</v>
      </c>
      <c r="F281" s="20" t="s">
        <v>393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462</v>
      </c>
      <c r="C282" t="s">
        <v>580</v>
      </c>
      <c r="D282" s="138">
        <v>3130000</v>
      </c>
      <c r="E282" t="s">
        <v>479</v>
      </c>
      <c r="F282" s="20" t="s">
        <v>480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508</v>
      </c>
      <c r="C283" t="s">
        <v>512</v>
      </c>
      <c r="D283" s="138">
        <v>3340000</v>
      </c>
      <c r="E283" t="s">
        <v>555</v>
      </c>
      <c r="F283" s="20" t="s">
        <v>556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423</v>
      </c>
      <c r="C284" t="s">
        <v>581</v>
      </c>
      <c r="D284" s="138">
        <v>3310000</v>
      </c>
      <c r="E284" t="s">
        <v>380</v>
      </c>
      <c r="F284" s="20" t="s">
        <v>381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463</v>
      </c>
      <c r="C285" t="s">
        <v>582</v>
      </c>
      <c r="D285" s="138">
        <v>2440000</v>
      </c>
      <c r="E285" t="s">
        <v>583</v>
      </c>
      <c r="F285" s="20" t="s">
        <v>584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472</v>
      </c>
      <c r="C286" t="s">
        <v>585</v>
      </c>
      <c r="D286" s="138">
        <v>3320000</v>
      </c>
      <c r="E286" t="s">
        <v>548</v>
      </c>
      <c r="F286" s="20" t="s">
        <v>549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428</v>
      </c>
      <c r="C287" t="s">
        <v>586</v>
      </c>
      <c r="D287" s="138">
        <v>2540000</v>
      </c>
      <c r="E287" t="s">
        <v>392</v>
      </c>
      <c r="F287" s="20" t="s">
        <v>393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462</v>
      </c>
      <c r="C288" t="s">
        <v>587</v>
      </c>
      <c r="D288" s="138">
        <v>2440000</v>
      </c>
      <c r="E288" t="s">
        <v>583</v>
      </c>
      <c r="F288" s="20" t="s">
        <v>584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505</v>
      </c>
      <c r="C289" t="s">
        <v>588</v>
      </c>
      <c r="D289" s="138">
        <v>3340000</v>
      </c>
      <c r="E289" t="s">
        <v>555</v>
      </c>
      <c r="F289" s="20" t="s">
        <v>556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456</v>
      </c>
      <c r="C290" t="s">
        <v>535</v>
      </c>
      <c r="D290" s="138">
        <v>2600000</v>
      </c>
      <c r="E290" t="s">
        <v>569</v>
      </c>
      <c r="F290" s="20" t="s">
        <v>525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460</v>
      </c>
      <c r="C291" t="s">
        <v>535</v>
      </c>
      <c r="D291" s="138">
        <v>2600000</v>
      </c>
      <c r="E291" t="s">
        <v>569</v>
      </c>
      <c r="F291" s="20" t="s">
        <v>525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458</v>
      </c>
      <c r="C292" t="s">
        <v>589</v>
      </c>
      <c r="D292" s="138">
        <v>3310000</v>
      </c>
      <c r="E292" t="s">
        <v>380</v>
      </c>
      <c r="F292" s="20" t="s">
        <v>381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463</v>
      </c>
      <c r="C293" t="s">
        <v>590</v>
      </c>
      <c r="D293" s="138">
        <v>3280000</v>
      </c>
      <c r="E293" t="s">
        <v>450</v>
      </c>
      <c r="F293" s="20" t="s">
        <v>451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457</v>
      </c>
      <c r="C294" t="s">
        <v>591</v>
      </c>
      <c r="D294" s="138">
        <v>3320000</v>
      </c>
      <c r="E294" t="s">
        <v>548</v>
      </c>
      <c r="F294" s="20" t="s">
        <v>549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456</v>
      </c>
      <c r="C295" t="s">
        <v>592</v>
      </c>
      <c r="D295" s="138">
        <v>2540000</v>
      </c>
      <c r="E295" t="s">
        <v>392</v>
      </c>
      <c r="F295" s="20" t="s">
        <v>393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462</v>
      </c>
      <c r="C296" t="s">
        <v>593</v>
      </c>
      <c r="D296" s="138">
        <v>3280000</v>
      </c>
      <c r="E296" t="s">
        <v>450</v>
      </c>
      <c r="F296" s="20" t="s">
        <v>451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508</v>
      </c>
      <c r="C297" t="s">
        <v>594</v>
      </c>
      <c r="D297" s="138">
        <v>3340000</v>
      </c>
      <c r="E297" t="s">
        <v>555</v>
      </c>
      <c r="F297" s="20" t="s">
        <v>556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423</v>
      </c>
      <c r="C298" t="s">
        <v>595</v>
      </c>
      <c r="D298" s="138">
        <v>3310000</v>
      </c>
      <c r="E298" t="s">
        <v>380</v>
      </c>
      <c r="F298" s="20" t="s">
        <v>381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463</v>
      </c>
      <c r="C299" t="s">
        <v>596</v>
      </c>
      <c r="D299" s="138">
        <v>3280000</v>
      </c>
      <c r="E299" t="s">
        <v>450</v>
      </c>
      <c r="F299" s="20" t="s">
        <v>451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460</v>
      </c>
      <c r="C300" t="s">
        <v>597</v>
      </c>
      <c r="D300" s="138">
        <v>2540000</v>
      </c>
      <c r="E300" t="s">
        <v>392</v>
      </c>
      <c r="F300" s="20" t="s">
        <v>393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462</v>
      </c>
      <c r="C301" t="s">
        <v>598</v>
      </c>
      <c r="D301" s="138">
        <v>3280000</v>
      </c>
      <c r="E301" t="s">
        <v>450</v>
      </c>
      <c r="F301" s="20" t="s">
        <v>451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472</v>
      </c>
      <c r="C302" t="s">
        <v>599</v>
      </c>
      <c r="D302" s="138">
        <v>890000</v>
      </c>
      <c r="E302" t="s">
        <v>358</v>
      </c>
      <c r="F302" s="20" t="s">
        <v>359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505</v>
      </c>
      <c r="C303" t="s">
        <v>600</v>
      </c>
      <c r="D303" s="138">
        <v>3340000</v>
      </c>
      <c r="E303" t="s">
        <v>555</v>
      </c>
      <c r="F303" s="20" t="s">
        <v>556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458</v>
      </c>
      <c r="C304" t="s">
        <v>601</v>
      </c>
      <c r="D304" s="138">
        <v>3310000</v>
      </c>
      <c r="E304" t="s">
        <v>380</v>
      </c>
      <c r="F304" s="20" t="s">
        <v>381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456</v>
      </c>
      <c r="C305" t="s">
        <v>602</v>
      </c>
      <c r="D305" s="138">
        <v>2540000</v>
      </c>
      <c r="E305" t="s">
        <v>392</v>
      </c>
      <c r="F305" s="20" t="s">
        <v>393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457</v>
      </c>
      <c r="C306" t="s">
        <v>603</v>
      </c>
      <c r="D306" s="138">
        <v>890000</v>
      </c>
      <c r="E306" t="s">
        <v>358</v>
      </c>
      <c r="F306" s="20" t="s">
        <v>359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423</v>
      </c>
      <c r="C307" t="s">
        <v>604</v>
      </c>
      <c r="D307" s="138">
        <v>3310000</v>
      </c>
      <c r="E307" t="s">
        <v>380</v>
      </c>
      <c r="F307" s="20" t="s">
        <v>381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508</v>
      </c>
      <c r="C308" t="s">
        <v>605</v>
      </c>
      <c r="D308" s="138">
        <v>3340000</v>
      </c>
      <c r="E308" t="s">
        <v>555</v>
      </c>
      <c r="F308" s="20" t="s">
        <v>556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472</v>
      </c>
      <c r="C309" t="s">
        <v>606</v>
      </c>
      <c r="D309" s="138">
        <v>890000</v>
      </c>
      <c r="E309" t="s">
        <v>358</v>
      </c>
      <c r="F309" s="20" t="s">
        <v>359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460</v>
      </c>
      <c r="C310" t="s">
        <v>607</v>
      </c>
      <c r="D310" s="138">
        <v>2540000</v>
      </c>
      <c r="E310" t="s">
        <v>392</v>
      </c>
      <c r="F310" s="20" t="s">
        <v>393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505</v>
      </c>
      <c r="C311" t="s">
        <v>608</v>
      </c>
      <c r="D311" s="138">
        <v>3340000</v>
      </c>
      <c r="E311" t="s">
        <v>555</v>
      </c>
      <c r="F311" s="20" t="s">
        <v>556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456</v>
      </c>
      <c r="C312" t="s">
        <v>609</v>
      </c>
      <c r="D312" s="138">
        <v>2540000</v>
      </c>
      <c r="E312" t="s">
        <v>392</v>
      </c>
      <c r="F312" s="20" t="s">
        <v>393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385</v>
      </c>
      <c r="C313" t="s">
        <v>610</v>
      </c>
      <c r="D313" s="138">
        <v>1830000</v>
      </c>
      <c r="E313" t="s">
        <v>373</v>
      </c>
      <c r="F313" s="20" t="s">
        <v>374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3">
      <c r="A2" s="196">
        <v>37.9</v>
      </c>
      <c r="B2" s="196">
        <v>0</v>
      </c>
      <c r="C2" s="196">
        <v>15.49</v>
      </c>
      <c r="D2" s="8">
        <v>43030</v>
      </c>
      <c r="E2" s="196">
        <v>0.4</v>
      </c>
      <c r="F2" s="196" t="s">
        <v>388</v>
      </c>
      <c r="G2" s="196">
        <v>292.88</v>
      </c>
      <c r="H2" s="196">
        <v>0</v>
      </c>
      <c r="I2" s="196">
        <v>0</v>
      </c>
      <c r="J2" s="196">
        <v>1020.43</v>
      </c>
      <c r="K2" s="196" t="s">
        <v>389</v>
      </c>
      <c r="L2" s="196">
        <v>37.9</v>
      </c>
      <c r="M2" s="196">
        <v>1508652000</v>
      </c>
      <c r="N2" s="196">
        <v>0</v>
      </c>
      <c r="O2" s="196">
        <v>3.04</v>
      </c>
      <c r="P2" s="196">
        <v>190</v>
      </c>
      <c r="Q2" s="196">
        <v>5.49</v>
      </c>
      <c r="R2" s="196">
        <v>2.0099999999999998</v>
      </c>
      <c r="S2"/>
      <c r="T2"/>
    </row>
    <row r="3" spans="1:20" x14ac:dyDescent="0.3">
      <c r="A3" s="196">
        <v>37.840000000000003</v>
      </c>
      <c r="B3" s="196">
        <v>0</v>
      </c>
      <c r="C3" s="196">
        <v>15.83</v>
      </c>
      <c r="D3" s="8">
        <v>43030.041666666664</v>
      </c>
      <c r="E3" s="196">
        <v>0.4</v>
      </c>
      <c r="F3" s="196" t="s">
        <v>388</v>
      </c>
      <c r="G3" s="196">
        <v>291.07</v>
      </c>
      <c r="H3" s="196">
        <v>0</v>
      </c>
      <c r="I3" s="196">
        <v>0</v>
      </c>
      <c r="J3" s="196">
        <v>1019.67</v>
      </c>
      <c r="K3" s="196" t="s">
        <v>389</v>
      </c>
      <c r="L3" s="196">
        <v>37.840000000000003</v>
      </c>
      <c r="M3" s="196">
        <v>1508655600</v>
      </c>
      <c r="N3" s="196">
        <v>0</v>
      </c>
      <c r="O3" s="196">
        <v>3.16</v>
      </c>
      <c r="P3" s="196">
        <v>209</v>
      </c>
      <c r="Q3" s="196">
        <v>5.0199999999999996</v>
      </c>
      <c r="R3" s="196">
        <v>1.76</v>
      </c>
      <c r="S3"/>
      <c r="T3"/>
    </row>
    <row r="4" spans="1:20" x14ac:dyDescent="0.3">
      <c r="A4" s="196">
        <v>37.54</v>
      </c>
      <c r="B4" s="196">
        <v>0.02</v>
      </c>
      <c r="C4" s="196">
        <v>16.05</v>
      </c>
      <c r="D4" s="8">
        <v>43030.083333333336</v>
      </c>
      <c r="E4" s="196">
        <v>0.41</v>
      </c>
      <c r="F4" s="196" t="s">
        <v>388</v>
      </c>
      <c r="G4" s="196">
        <v>289.36</v>
      </c>
      <c r="H4" s="196">
        <v>0</v>
      </c>
      <c r="I4" s="196">
        <v>0</v>
      </c>
      <c r="J4" s="196">
        <v>1019.48</v>
      </c>
      <c r="K4" s="196" t="s">
        <v>389</v>
      </c>
      <c r="L4" s="196">
        <v>37.54</v>
      </c>
      <c r="M4" s="196">
        <v>1508659200</v>
      </c>
      <c r="N4" s="196">
        <v>0</v>
      </c>
      <c r="O4" s="196">
        <v>3.34</v>
      </c>
      <c r="P4" s="196">
        <v>171</v>
      </c>
      <c r="Q4" s="196">
        <v>6.69</v>
      </c>
      <c r="R4" s="196">
        <v>2.15</v>
      </c>
      <c r="S4"/>
      <c r="T4"/>
    </row>
    <row r="5" spans="1:20" x14ac:dyDescent="0.3">
      <c r="A5" s="196">
        <v>37.36</v>
      </c>
      <c r="B5" s="196">
        <v>0.02</v>
      </c>
      <c r="C5" s="196">
        <v>16.52</v>
      </c>
      <c r="D5" s="8">
        <v>43030.125</v>
      </c>
      <c r="E5" s="196">
        <v>0.42</v>
      </c>
      <c r="F5" s="196" t="s">
        <v>388</v>
      </c>
      <c r="G5" s="196">
        <v>287.87</v>
      </c>
      <c r="H5" s="196">
        <v>0</v>
      </c>
      <c r="I5" s="196">
        <v>0</v>
      </c>
      <c r="J5" s="196">
        <v>1020.93</v>
      </c>
      <c r="K5" s="196" t="s">
        <v>389</v>
      </c>
      <c r="L5" s="196">
        <v>37.36</v>
      </c>
      <c r="M5" s="196">
        <v>1508662800</v>
      </c>
      <c r="N5" s="196">
        <v>0</v>
      </c>
      <c r="O5" s="196">
        <v>3.12</v>
      </c>
      <c r="P5" s="196">
        <v>179</v>
      </c>
      <c r="Q5" s="196">
        <v>6.45</v>
      </c>
      <c r="R5" s="196">
        <v>1.86</v>
      </c>
      <c r="S5"/>
      <c r="T5"/>
    </row>
    <row r="6" spans="1:20" x14ac:dyDescent="0.3">
      <c r="A6" s="196">
        <v>36.479999999999997</v>
      </c>
      <c r="B6" s="196">
        <v>0.03</v>
      </c>
      <c r="C6" s="196">
        <v>17.22</v>
      </c>
      <c r="D6" s="8">
        <v>43030.166666666664</v>
      </c>
      <c r="E6" s="196">
        <v>0.45</v>
      </c>
      <c r="F6" s="196" t="s">
        <v>388</v>
      </c>
      <c r="G6" s="196">
        <v>286.83999999999997</v>
      </c>
      <c r="H6" s="196">
        <v>0</v>
      </c>
      <c r="I6" s="196">
        <v>0</v>
      </c>
      <c r="J6" s="196">
        <v>1021.05</v>
      </c>
      <c r="K6" s="196" t="s">
        <v>389</v>
      </c>
      <c r="L6" s="196">
        <v>36.479999999999997</v>
      </c>
      <c r="M6" s="196">
        <v>1508666400</v>
      </c>
      <c r="N6" s="196">
        <v>0</v>
      </c>
      <c r="O6" s="196">
        <v>2.86</v>
      </c>
      <c r="P6" s="196">
        <v>167</v>
      </c>
      <c r="Q6" s="196">
        <v>6.37</v>
      </c>
      <c r="R6" s="196">
        <v>2.1</v>
      </c>
      <c r="S6"/>
      <c r="T6"/>
    </row>
    <row r="7" spans="1:20" x14ac:dyDescent="0.3">
      <c r="A7" s="196">
        <v>36.99</v>
      </c>
      <c r="B7" s="196">
        <v>0.03</v>
      </c>
      <c r="C7" s="196">
        <v>17.309999999999999</v>
      </c>
      <c r="D7" s="8">
        <v>43030.208333333336</v>
      </c>
      <c r="E7" s="196">
        <v>0.44</v>
      </c>
      <c r="F7" s="196" t="s">
        <v>388</v>
      </c>
      <c r="G7" s="196">
        <v>286.02</v>
      </c>
      <c r="H7" s="196">
        <v>0</v>
      </c>
      <c r="I7" s="196">
        <v>0</v>
      </c>
      <c r="J7" s="196">
        <v>1019.84</v>
      </c>
      <c r="K7" s="196" t="s">
        <v>389</v>
      </c>
      <c r="L7" s="196">
        <v>36.99</v>
      </c>
      <c r="M7" s="196">
        <v>1508670000</v>
      </c>
      <c r="N7" s="196">
        <v>0</v>
      </c>
      <c r="O7" s="196">
        <v>3.13</v>
      </c>
      <c r="P7" s="196">
        <v>170</v>
      </c>
      <c r="Q7" s="196">
        <v>7.05</v>
      </c>
      <c r="R7" s="196">
        <v>2.42</v>
      </c>
      <c r="S7"/>
      <c r="T7"/>
    </row>
    <row r="8" spans="1:20" x14ac:dyDescent="0.3">
      <c r="A8" s="196">
        <v>36.869999999999997</v>
      </c>
      <c r="B8" s="196">
        <v>0.02</v>
      </c>
      <c r="C8" s="196">
        <v>18.329999999999998</v>
      </c>
      <c r="D8" s="8">
        <v>43030.25</v>
      </c>
      <c r="E8" s="196">
        <v>0.47</v>
      </c>
      <c r="F8" s="196" t="s">
        <v>388</v>
      </c>
      <c r="G8" s="196">
        <v>283.94</v>
      </c>
      <c r="H8" s="196">
        <v>0</v>
      </c>
      <c r="I8" s="196">
        <v>0</v>
      </c>
      <c r="J8" s="196">
        <v>1019.66</v>
      </c>
      <c r="K8" s="196" t="s">
        <v>389</v>
      </c>
      <c r="L8" s="196">
        <v>36.869999999999997</v>
      </c>
      <c r="M8" s="196">
        <v>1508673600</v>
      </c>
      <c r="N8" s="196">
        <v>0</v>
      </c>
      <c r="O8" s="196">
        <v>3.99</v>
      </c>
      <c r="P8" s="196">
        <v>176</v>
      </c>
      <c r="Q8" s="196">
        <v>5.82</v>
      </c>
      <c r="R8" s="196">
        <v>2.2200000000000002</v>
      </c>
      <c r="S8"/>
      <c r="T8"/>
    </row>
    <row r="9" spans="1:20" x14ac:dyDescent="0.3">
      <c r="A9" s="196">
        <v>36.33</v>
      </c>
      <c r="B9" s="196">
        <v>0.06</v>
      </c>
      <c r="C9" s="196">
        <v>19.3</v>
      </c>
      <c r="D9" s="8">
        <v>43030.291666666664</v>
      </c>
      <c r="E9" s="196">
        <v>0.5</v>
      </c>
      <c r="F9" s="196" t="s">
        <v>388</v>
      </c>
      <c r="G9" s="196">
        <v>283.23</v>
      </c>
      <c r="H9" s="196">
        <v>0</v>
      </c>
      <c r="I9" s="196">
        <v>0</v>
      </c>
      <c r="J9" s="196">
        <v>1020.49</v>
      </c>
      <c r="K9" s="196" t="s">
        <v>389</v>
      </c>
      <c r="L9" s="196">
        <v>36.33</v>
      </c>
      <c r="M9" s="196">
        <v>1508677200</v>
      </c>
      <c r="N9" s="196">
        <v>0</v>
      </c>
      <c r="O9" s="196">
        <v>3.82</v>
      </c>
      <c r="P9" s="196">
        <v>182</v>
      </c>
      <c r="Q9" s="196">
        <v>4.91</v>
      </c>
      <c r="R9" s="196">
        <v>1.1200000000000001</v>
      </c>
      <c r="S9"/>
      <c r="T9"/>
    </row>
    <row r="10" spans="1:20" x14ac:dyDescent="0.3">
      <c r="A10" s="196">
        <v>37.43</v>
      </c>
      <c r="B10" s="196">
        <v>0.14000000000000001</v>
      </c>
      <c r="C10" s="196">
        <v>20.32</v>
      </c>
      <c r="D10" s="8">
        <v>43030.333333333336</v>
      </c>
      <c r="E10" s="196">
        <v>0.5</v>
      </c>
      <c r="F10" s="196" t="s">
        <v>403</v>
      </c>
      <c r="G10" s="196">
        <v>282.64999999999998</v>
      </c>
      <c r="H10" s="196">
        <v>0</v>
      </c>
      <c r="I10" s="196">
        <v>0</v>
      </c>
      <c r="J10" s="196">
        <v>1021.07</v>
      </c>
      <c r="K10" s="196" t="s">
        <v>389</v>
      </c>
      <c r="L10" s="196">
        <v>37.43</v>
      </c>
      <c r="M10" s="196">
        <v>1508680800</v>
      </c>
      <c r="N10" s="196">
        <v>0</v>
      </c>
      <c r="O10" s="196">
        <v>3.95</v>
      </c>
      <c r="P10" s="196">
        <v>183</v>
      </c>
      <c r="Q10" s="196">
        <v>5.39</v>
      </c>
      <c r="R10" s="196">
        <v>1.54</v>
      </c>
      <c r="S10"/>
      <c r="T10"/>
    </row>
    <row r="11" spans="1:20" x14ac:dyDescent="0.3">
      <c r="A11" s="196">
        <v>42.69</v>
      </c>
      <c r="B11" s="196">
        <v>0.14000000000000001</v>
      </c>
      <c r="C11" s="196">
        <v>22.83</v>
      </c>
      <c r="D11" s="8">
        <v>43030.375</v>
      </c>
      <c r="E11" s="196">
        <v>0.45</v>
      </c>
      <c r="F11" s="196" t="s">
        <v>403</v>
      </c>
      <c r="G11" s="196">
        <v>282.18</v>
      </c>
      <c r="H11" s="196">
        <v>0</v>
      </c>
      <c r="I11" s="196">
        <v>0</v>
      </c>
      <c r="J11" s="196">
        <v>1021.31</v>
      </c>
      <c r="K11" s="196" t="s">
        <v>389</v>
      </c>
      <c r="L11" s="196">
        <v>42.69</v>
      </c>
      <c r="M11" s="196">
        <v>1508684400</v>
      </c>
      <c r="N11" s="196">
        <v>1</v>
      </c>
      <c r="O11" s="196">
        <v>3.79</v>
      </c>
      <c r="P11" s="196">
        <v>171</v>
      </c>
      <c r="Q11" s="196">
        <v>5.46</v>
      </c>
      <c r="R11" s="196">
        <v>1.97</v>
      </c>
      <c r="S11"/>
      <c r="T11"/>
    </row>
    <row r="12" spans="1:20" x14ac:dyDescent="0.3">
      <c r="A12" s="196">
        <v>50.87</v>
      </c>
      <c r="B12" s="196">
        <v>0.08</v>
      </c>
      <c r="C12" s="196">
        <v>25.26</v>
      </c>
      <c r="D12" s="8">
        <v>43030.416666666664</v>
      </c>
      <c r="E12" s="196">
        <v>0.37</v>
      </c>
      <c r="F12" s="196" t="s">
        <v>403</v>
      </c>
      <c r="G12" s="196">
        <v>281.70999999999998</v>
      </c>
      <c r="H12" s="196">
        <v>0</v>
      </c>
      <c r="I12" s="196">
        <v>0</v>
      </c>
      <c r="J12" s="196">
        <v>1020.72</v>
      </c>
      <c r="K12" s="196" t="s">
        <v>389</v>
      </c>
      <c r="L12" s="196">
        <v>50.87</v>
      </c>
      <c r="M12" s="196">
        <v>1508688000</v>
      </c>
      <c r="N12" s="196">
        <v>2</v>
      </c>
      <c r="O12" s="196">
        <v>4.62</v>
      </c>
      <c r="P12" s="196">
        <v>195</v>
      </c>
      <c r="Q12" s="196">
        <v>6.82</v>
      </c>
      <c r="R12" s="196">
        <v>1.87</v>
      </c>
      <c r="S12"/>
      <c r="T12"/>
    </row>
    <row r="13" spans="1:20" x14ac:dyDescent="0.3">
      <c r="A13" s="196">
        <v>59.56</v>
      </c>
      <c r="B13" s="196">
        <v>0.08</v>
      </c>
      <c r="C13" s="196">
        <v>27.29</v>
      </c>
      <c r="D13" s="8">
        <v>43030.458333333336</v>
      </c>
      <c r="E13" s="196">
        <v>0.28999999999999998</v>
      </c>
      <c r="F13" s="196" t="s">
        <v>403</v>
      </c>
      <c r="G13" s="196">
        <v>281.13</v>
      </c>
      <c r="H13" s="196">
        <v>0</v>
      </c>
      <c r="I13" s="196">
        <v>0</v>
      </c>
      <c r="J13" s="196">
        <v>1019.42</v>
      </c>
      <c r="K13" s="196" t="s">
        <v>389</v>
      </c>
      <c r="L13" s="196">
        <v>59.56</v>
      </c>
      <c r="M13" s="196">
        <v>1508691600</v>
      </c>
      <c r="N13" s="196">
        <v>3</v>
      </c>
      <c r="O13" s="196">
        <v>4.55</v>
      </c>
      <c r="P13" s="196">
        <v>247</v>
      </c>
      <c r="Q13" s="196">
        <v>14.08</v>
      </c>
      <c r="R13" s="196">
        <v>3.47</v>
      </c>
      <c r="S13"/>
      <c r="T13"/>
    </row>
    <row r="14" spans="1:20" x14ac:dyDescent="0.3">
      <c r="A14" s="196">
        <v>64.099999999999994</v>
      </c>
      <c r="B14" s="196">
        <v>0.09</v>
      </c>
      <c r="C14" s="196">
        <v>28.22</v>
      </c>
      <c r="D14" s="8">
        <v>43030.5</v>
      </c>
      <c r="E14" s="196">
        <v>0.26</v>
      </c>
      <c r="F14" s="196" t="s">
        <v>403</v>
      </c>
      <c r="G14" s="196">
        <v>274.58</v>
      </c>
      <c r="H14" s="196">
        <v>0</v>
      </c>
      <c r="I14" s="196">
        <v>0</v>
      </c>
      <c r="J14" s="196">
        <v>1017.5</v>
      </c>
      <c r="K14" s="196" t="s">
        <v>389</v>
      </c>
      <c r="L14" s="196">
        <v>64.099999999999994</v>
      </c>
      <c r="M14" s="196">
        <v>1508695200</v>
      </c>
      <c r="N14" s="196">
        <v>4</v>
      </c>
      <c r="O14" s="196">
        <v>4.41</v>
      </c>
      <c r="P14" s="196">
        <v>267</v>
      </c>
      <c r="Q14" s="196">
        <v>13.17</v>
      </c>
      <c r="R14" s="196">
        <v>4.5599999999999996</v>
      </c>
      <c r="S14"/>
      <c r="T14"/>
    </row>
    <row r="15" spans="1:20" x14ac:dyDescent="0.3">
      <c r="A15" s="196">
        <v>66</v>
      </c>
      <c r="B15" s="196">
        <v>0.06</v>
      </c>
      <c r="C15" s="196">
        <v>27.16</v>
      </c>
      <c r="D15" s="8">
        <v>43030.541666666664</v>
      </c>
      <c r="E15" s="196">
        <v>0.23</v>
      </c>
      <c r="F15" s="196" t="s">
        <v>403</v>
      </c>
      <c r="G15" s="196">
        <v>274.08999999999997</v>
      </c>
      <c r="H15" s="196">
        <v>0</v>
      </c>
      <c r="I15" s="196">
        <v>0</v>
      </c>
      <c r="J15" s="196">
        <v>1016.9</v>
      </c>
      <c r="K15" s="196" t="s">
        <v>389</v>
      </c>
      <c r="L15" s="196">
        <v>66</v>
      </c>
      <c r="M15" s="196">
        <v>1508698800</v>
      </c>
      <c r="N15" s="196">
        <v>4</v>
      </c>
      <c r="O15" s="196">
        <v>4.6500000000000004</v>
      </c>
      <c r="P15" s="196">
        <v>282</v>
      </c>
      <c r="Q15" s="196">
        <v>17.309999999999999</v>
      </c>
      <c r="R15" s="196">
        <v>6.64</v>
      </c>
      <c r="S15"/>
      <c r="T15"/>
    </row>
    <row r="16" spans="1:20" x14ac:dyDescent="0.3">
      <c r="A16" s="196">
        <v>65.3</v>
      </c>
      <c r="B16" s="196">
        <v>0.08</v>
      </c>
      <c r="C16" s="196">
        <v>25.2</v>
      </c>
      <c r="D16" s="8">
        <v>43030.583333333336</v>
      </c>
      <c r="E16" s="196">
        <v>0.22</v>
      </c>
      <c r="F16" s="196" t="s">
        <v>403</v>
      </c>
      <c r="G16" s="196">
        <v>274.45</v>
      </c>
      <c r="H16" s="196">
        <v>0</v>
      </c>
      <c r="I16" s="196">
        <v>0</v>
      </c>
      <c r="J16" s="196">
        <v>1015.93</v>
      </c>
      <c r="K16" s="196" t="s">
        <v>389</v>
      </c>
      <c r="L16" s="196">
        <v>65.3</v>
      </c>
      <c r="M16" s="196">
        <v>1508702400</v>
      </c>
      <c r="N16" s="196">
        <v>3</v>
      </c>
      <c r="O16" s="196">
        <v>4.82</v>
      </c>
      <c r="P16" s="196">
        <v>280</v>
      </c>
      <c r="Q16" s="196">
        <v>16.059999999999999</v>
      </c>
      <c r="R16" s="196">
        <v>6.07</v>
      </c>
      <c r="S16"/>
      <c r="T16"/>
    </row>
    <row r="17" spans="1:20" x14ac:dyDescent="0.3">
      <c r="A17" s="196">
        <v>65.819999999999993</v>
      </c>
      <c r="B17" s="196">
        <v>0.09</v>
      </c>
      <c r="C17" s="196">
        <v>23.53</v>
      </c>
      <c r="D17" s="8">
        <v>43030.625</v>
      </c>
      <c r="E17" s="196">
        <v>0.2</v>
      </c>
      <c r="F17" s="196" t="s">
        <v>403</v>
      </c>
      <c r="G17" s="196">
        <v>274.82</v>
      </c>
      <c r="H17" s="196">
        <v>0</v>
      </c>
      <c r="I17" s="196">
        <v>0</v>
      </c>
      <c r="J17" s="196">
        <v>1016.41</v>
      </c>
      <c r="K17" s="196" t="s">
        <v>389</v>
      </c>
      <c r="L17" s="196">
        <v>65.819999999999993</v>
      </c>
      <c r="M17" s="196">
        <v>1508706000</v>
      </c>
      <c r="N17" s="196">
        <v>2</v>
      </c>
      <c r="O17" s="196">
        <v>4.82</v>
      </c>
      <c r="P17" s="196">
        <v>276</v>
      </c>
      <c r="Q17" s="196">
        <v>13.26</v>
      </c>
      <c r="R17" s="196">
        <v>4.82</v>
      </c>
      <c r="S17"/>
      <c r="T17"/>
    </row>
    <row r="18" spans="1:20" x14ac:dyDescent="0.3">
      <c r="A18" s="196">
        <v>65.819999999999993</v>
      </c>
      <c r="B18" s="196">
        <v>0.06</v>
      </c>
      <c r="C18" s="196">
        <v>22.98</v>
      </c>
      <c r="D18" s="8">
        <v>43030.666666666664</v>
      </c>
      <c r="E18" s="196">
        <v>0.19</v>
      </c>
      <c r="F18" s="196" t="s">
        <v>403</v>
      </c>
      <c r="G18" s="196">
        <v>274.81</v>
      </c>
      <c r="H18" s="196">
        <v>0</v>
      </c>
      <c r="I18" s="196">
        <v>0</v>
      </c>
      <c r="J18" s="196">
        <v>1015.88</v>
      </c>
      <c r="K18" s="196" t="s">
        <v>389</v>
      </c>
      <c r="L18" s="196">
        <v>65.819999999999993</v>
      </c>
      <c r="M18" s="196">
        <v>1508709600</v>
      </c>
      <c r="N18" s="196">
        <v>1</v>
      </c>
      <c r="O18" s="196">
        <v>4.68</v>
      </c>
      <c r="P18" s="196">
        <v>287</v>
      </c>
      <c r="Q18" s="196">
        <v>10.79</v>
      </c>
      <c r="R18" s="196">
        <v>3.75</v>
      </c>
      <c r="S18"/>
      <c r="T18"/>
    </row>
    <row r="19" spans="1:20" x14ac:dyDescent="0.3">
      <c r="A19" s="196">
        <v>66.39</v>
      </c>
      <c r="B19" s="196">
        <v>0.09</v>
      </c>
      <c r="C19" s="196">
        <v>23.58</v>
      </c>
      <c r="D19" s="8">
        <v>43030.708333333336</v>
      </c>
      <c r="E19" s="196">
        <v>0.2</v>
      </c>
      <c r="F19" s="196" t="s">
        <v>403</v>
      </c>
      <c r="G19" s="196">
        <v>274.58</v>
      </c>
      <c r="H19" s="196">
        <v>0</v>
      </c>
      <c r="I19" s="196">
        <v>0</v>
      </c>
      <c r="J19" s="196">
        <v>1015.85</v>
      </c>
      <c r="K19" s="196" t="s">
        <v>389</v>
      </c>
      <c r="L19" s="196">
        <v>66.39</v>
      </c>
      <c r="M19" s="196">
        <v>1508713200</v>
      </c>
      <c r="N19" s="196">
        <v>1</v>
      </c>
      <c r="O19" s="196">
        <v>4.6100000000000003</v>
      </c>
      <c r="P19" s="196">
        <v>294</v>
      </c>
      <c r="Q19" s="196">
        <v>8.5399999999999991</v>
      </c>
      <c r="R19" s="196">
        <v>1.91</v>
      </c>
      <c r="S19"/>
      <c r="T19"/>
    </row>
    <row r="20" spans="1:20" x14ac:dyDescent="0.3">
      <c r="A20" s="196">
        <v>65.2</v>
      </c>
      <c r="B20" s="196">
        <v>0.08</v>
      </c>
      <c r="C20" s="196">
        <v>25.61</v>
      </c>
      <c r="D20" s="8">
        <v>43030.75</v>
      </c>
      <c r="E20" s="196">
        <v>0.22</v>
      </c>
      <c r="F20" s="196" t="s">
        <v>403</v>
      </c>
      <c r="G20" s="196">
        <v>277.10000000000002</v>
      </c>
      <c r="H20" s="196">
        <v>0</v>
      </c>
      <c r="I20" s="196">
        <v>0</v>
      </c>
      <c r="J20" s="196">
        <v>1015.79</v>
      </c>
      <c r="K20" s="196" t="s">
        <v>389</v>
      </c>
      <c r="L20" s="196">
        <v>65.2</v>
      </c>
      <c r="M20" s="196">
        <v>1508716800</v>
      </c>
      <c r="N20" s="196">
        <v>0</v>
      </c>
      <c r="O20" s="196">
        <v>4.79</v>
      </c>
      <c r="P20" s="196">
        <v>294</v>
      </c>
      <c r="Q20" s="196">
        <v>8.36</v>
      </c>
      <c r="R20" s="196">
        <v>2.0699999999999998</v>
      </c>
      <c r="S20"/>
      <c r="T20"/>
    </row>
    <row r="21" spans="1:20" x14ac:dyDescent="0.3">
      <c r="A21" s="196">
        <v>62.84</v>
      </c>
      <c r="B21" s="196">
        <v>7.0000000000000007E-2</v>
      </c>
      <c r="C21" s="196">
        <v>25.83</v>
      </c>
      <c r="D21" s="8">
        <v>43030.791666666664</v>
      </c>
      <c r="E21" s="196">
        <v>0.24</v>
      </c>
      <c r="F21" s="196" t="s">
        <v>388</v>
      </c>
      <c r="G21" s="196">
        <v>277.08999999999997</v>
      </c>
      <c r="H21" s="196">
        <v>0</v>
      </c>
      <c r="I21" s="196">
        <v>0</v>
      </c>
      <c r="J21" s="196">
        <v>1016.8</v>
      </c>
      <c r="K21" s="196" t="s">
        <v>389</v>
      </c>
      <c r="L21" s="196">
        <v>62.84</v>
      </c>
      <c r="M21" s="196">
        <v>1508720400</v>
      </c>
      <c r="N21" s="196">
        <v>0</v>
      </c>
      <c r="O21" s="196">
        <v>4.3899999999999997</v>
      </c>
      <c r="P21" s="196">
        <v>266</v>
      </c>
      <c r="Q21" s="196">
        <v>8.07</v>
      </c>
      <c r="R21" s="196">
        <v>2.12</v>
      </c>
      <c r="S21"/>
      <c r="T21"/>
    </row>
    <row r="22" spans="1:20" x14ac:dyDescent="0.3">
      <c r="A22" s="196">
        <v>63.03</v>
      </c>
      <c r="B22" s="196">
        <v>0.12</v>
      </c>
      <c r="C22" s="196">
        <v>26.51</v>
      </c>
      <c r="D22" s="8">
        <v>43030.833333333336</v>
      </c>
      <c r="E22" s="196">
        <v>0.25</v>
      </c>
      <c r="F22" s="196" t="s">
        <v>388</v>
      </c>
      <c r="G22" s="196">
        <v>276.74</v>
      </c>
      <c r="H22" s="196">
        <v>0</v>
      </c>
      <c r="I22" s="196">
        <v>0</v>
      </c>
      <c r="J22" s="196">
        <v>1017.16</v>
      </c>
      <c r="K22" s="196" t="s">
        <v>389</v>
      </c>
      <c r="L22" s="196">
        <v>63.03</v>
      </c>
      <c r="M22" s="196">
        <v>1508724000</v>
      </c>
      <c r="N22" s="196">
        <v>0</v>
      </c>
      <c r="O22" s="196">
        <v>3.83</v>
      </c>
      <c r="P22" s="196">
        <v>254</v>
      </c>
      <c r="Q22" s="196">
        <v>10.28</v>
      </c>
      <c r="R22" s="196">
        <v>2.64</v>
      </c>
      <c r="S22"/>
      <c r="T22"/>
    </row>
    <row r="23" spans="1:20" x14ac:dyDescent="0.3">
      <c r="A23" s="196">
        <v>61.81</v>
      </c>
      <c r="B23" s="196">
        <v>0.14000000000000001</v>
      </c>
      <c r="C23" s="196">
        <v>26.84</v>
      </c>
      <c r="D23" s="8">
        <v>43030.875</v>
      </c>
      <c r="E23" s="196">
        <v>0.26</v>
      </c>
      <c r="F23" s="196" t="s">
        <v>388</v>
      </c>
      <c r="G23" s="196">
        <v>276.26</v>
      </c>
      <c r="H23" s="196">
        <v>0</v>
      </c>
      <c r="I23" s="196">
        <v>0</v>
      </c>
      <c r="J23" s="196">
        <v>1017.04</v>
      </c>
      <c r="K23" s="196" t="s">
        <v>389</v>
      </c>
      <c r="L23" s="196">
        <v>61.81</v>
      </c>
      <c r="M23" s="196">
        <v>1508727600</v>
      </c>
      <c r="N23" s="196">
        <v>0</v>
      </c>
      <c r="O23" s="196">
        <v>3.49</v>
      </c>
      <c r="P23" s="196">
        <v>265</v>
      </c>
      <c r="Q23" s="196">
        <v>8.2899999999999991</v>
      </c>
      <c r="R23" s="196">
        <v>2.0299999999999998</v>
      </c>
      <c r="S23"/>
      <c r="T23"/>
    </row>
    <row r="24" spans="1:20" x14ac:dyDescent="0.3">
      <c r="A24" s="196">
        <v>61.12</v>
      </c>
      <c r="B24" s="196">
        <v>0.03</v>
      </c>
      <c r="C24" s="196">
        <v>27.26</v>
      </c>
      <c r="D24" s="8">
        <v>43030.916666666664</v>
      </c>
      <c r="E24" s="196">
        <v>0.27</v>
      </c>
      <c r="F24" s="196" t="s">
        <v>388</v>
      </c>
      <c r="G24" s="196">
        <v>275.89999999999998</v>
      </c>
      <c r="H24" s="196">
        <v>0</v>
      </c>
      <c r="I24" s="196">
        <v>0</v>
      </c>
      <c r="J24" s="196">
        <v>1016.92</v>
      </c>
      <c r="K24" s="196" t="s">
        <v>389</v>
      </c>
      <c r="L24" s="196">
        <v>61.12</v>
      </c>
      <c r="M24" s="196">
        <v>1508731200</v>
      </c>
      <c r="N24" s="196">
        <v>0</v>
      </c>
      <c r="O24" s="196">
        <v>3.58</v>
      </c>
      <c r="P24" s="196">
        <v>269</v>
      </c>
      <c r="Q24" s="196">
        <v>9.1999999999999993</v>
      </c>
      <c r="R24" s="196">
        <v>2.17</v>
      </c>
      <c r="S24"/>
      <c r="T24"/>
    </row>
    <row r="25" spans="1:20" x14ac:dyDescent="0.3">
      <c r="A25" s="196">
        <v>61.67</v>
      </c>
      <c r="B25" s="196">
        <v>0.09</v>
      </c>
      <c r="C25" s="196">
        <v>27.3</v>
      </c>
      <c r="D25" s="8">
        <v>43030.958333333336</v>
      </c>
      <c r="E25" s="196">
        <v>0.27</v>
      </c>
      <c r="F25" s="196" t="s">
        <v>388</v>
      </c>
      <c r="G25" s="196">
        <v>275.54000000000002</v>
      </c>
      <c r="H25" s="196">
        <v>0</v>
      </c>
      <c r="I25" s="196">
        <v>0</v>
      </c>
      <c r="J25" s="196">
        <v>1016.5</v>
      </c>
      <c r="K25" s="196" t="s">
        <v>389</v>
      </c>
      <c r="L25" s="196">
        <v>61.67</v>
      </c>
      <c r="M25" s="196">
        <v>1508734800</v>
      </c>
      <c r="N25" s="196">
        <v>0</v>
      </c>
      <c r="O25" s="196">
        <v>3.49</v>
      </c>
      <c r="P25" s="196">
        <v>273</v>
      </c>
      <c r="Q25" s="196">
        <v>13.78</v>
      </c>
      <c r="R25" s="196">
        <v>3.7</v>
      </c>
      <c r="S25"/>
      <c r="T25"/>
    </row>
    <row r="26" spans="1:20" x14ac:dyDescent="0.3">
      <c r="A26" s="196">
        <v>60.24</v>
      </c>
      <c r="B26" s="196">
        <v>0.05</v>
      </c>
      <c r="C26" s="196">
        <v>27.57</v>
      </c>
      <c r="D26" s="8">
        <v>43031</v>
      </c>
      <c r="E26" s="196">
        <v>0.28999999999999998</v>
      </c>
      <c r="F26" s="196" t="s">
        <v>388</v>
      </c>
      <c r="G26" s="196">
        <v>274.94</v>
      </c>
      <c r="H26" s="196">
        <v>0</v>
      </c>
      <c r="I26" s="196">
        <v>0</v>
      </c>
      <c r="J26" s="196">
        <v>1016.07</v>
      </c>
      <c r="K26" s="196" t="s">
        <v>389</v>
      </c>
      <c r="L26" s="196">
        <v>60.24</v>
      </c>
      <c r="M26" s="196">
        <v>1508738400</v>
      </c>
      <c r="N26" s="196">
        <v>0</v>
      </c>
      <c r="O26" s="196">
        <v>3.49</v>
      </c>
      <c r="P26" s="196">
        <v>288</v>
      </c>
      <c r="Q26" s="196">
        <v>10.220000000000001</v>
      </c>
      <c r="R26" s="196">
        <v>3.13</v>
      </c>
      <c r="S26"/>
      <c r="T26"/>
    </row>
    <row r="27" spans="1:20" x14ac:dyDescent="0.3">
      <c r="A27" s="196">
        <v>60.51</v>
      </c>
      <c r="B27" s="196">
        <v>0.04</v>
      </c>
      <c r="C27" s="196">
        <v>27.61</v>
      </c>
      <c r="D27" s="8">
        <v>43031.041666666664</v>
      </c>
      <c r="E27" s="196">
        <v>0.28000000000000003</v>
      </c>
      <c r="F27" s="196" t="s">
        <v>388</v>
      </c>
      <c r="G27" s="196">
        <v>274.57</v>
      </c>
      <c r="H27" s="196">
        <v>0</v>
      </c>
      <c r="I27" s="196">
        <v>0</v>
      </c>
      <c r="J27" s="196">
        <v>1017.41</v>
      </c>
      <c r="K27" s="196" t="s">
        <v>389</v>
      </c>
      <c r="L27" s="196">
        <v>60.51</v>
      </c>
      <c r="M27" s="196">
        <v>1508742000</v>
      </c>
      <c r="N27" s="196">
        <v>0</v>
      </c>
      <c r="O27" s="196">
        <v>4.9000000000000004</v>
      </c>
      <c r="P27" s="196">
        <v>282</v>
      </c>
      <c r="Q27" s="196">
        <v>11.42</v>
      </c>
      <c r="R27" s="196">
        <v>3.35</v>
      </c>
      <c r="S27"/>
      <c r="T27"/>
    </row>
    <row r="28" spans="1:20" x14ac:dyDescent="0.3">
      <c r="A28" s="196">
        <v>60.41</v>
      </c>
      <c r="B28" s="196">
        <v>0.03</v>
      </c>
      <c r="C28" s="196">
        <v>27.79</v>
      </c>
      <c r="D28" s="8">
        <v>43031.083333333336</v>
      </c>
      <c r="E28" s="196">
        <v>0.28999999999999998</v>
      </c>
      <c r="F28" s="196" t="s">
        <v>388</v>
      </c>
      <c r="G28" s="196">
        <v>274.08999999999997</v>
      </c>
      <c r="H28" s="196">
        <v>0</v>
      </c>
      <c r="I28" s="196">
        <v>0</v>
      </c>
      <c r="J28" s="196">
        <v>1017.07</v>
      </c>
      <c r="K28" s="196" t="s">
        <v>389</v>
      </c>
      <c r="L28" s="196">
        <v>60.41</v>
      </c>
      <c r="M28" s="196">
        <v>1508745600</v>
      </c>
      <c r="N28" s="196">
        <v>0</v>
      </c>
      <c r="O28" s="196">
        <v>3.31</v>
      </c>
      <c r="P28" s="196">
        <v>302</v>
      </c>
      <c r="Q28" s="196">
        <v>15.62</v>
      </c>
      <c r="R28" s="196">
        <v>4.57</v>
      </c>
      <c r="S28"/>
      <c r="T28"/>
    </row>
    <row r="29" spans="1:20" x14ac:dyDescent="0.3">
      <c r="A29" s="196">
        <v>60.47</v>
      </c>
      <c r="B29" s="196">
        <v>0.05</v>
      </c>
      <c r="C29" s="196">
        <v>27.94</v>
      </c>
      <c r="D29" s="8">
        <v>43031.125</v>
      </c>
      <c r="E29" s="196">
        <v>0.28999999999999998</v>
      </c>
      <c r="F29" s="196" t="s">
        <v>388</v>
      </c>
      <c r="G29" s="196">
        <v>273.24</v>
      </c>
      <c r="H29" s="196">
        <v>0</v>
      </c>
      <c r="I29" s="196">
        <v>0</v>
      </c>
      <c r="J29" s="196">
        <v>1018.8</v>
      </c>
      <c r="K29" s="196" t="s">
        <v>389</v>
      </c>
      <c r="L29" s="196">
        <v>60.47</v>
      </c>
      <c r="M29" s="196">
        <v>1508749200</v>
      </c>
      <c r="N29" s="196">
        <v>0</v>
      </c>
      <c r="O29" s="196">
        <v>3.29</v>
      </c>
      <c r="P29" s="196">
        <v>303</v>
      </c>
      <c r="Q29" s="196">
        <v>10.7</v>
      </c>
      <c r="R29" s="196">
        <v>3.73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43030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1028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1029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1030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1031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1032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1033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1034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1035</v>
      </c>
      <c r="J25" s="140" t="s">
        <v>144</v>
      </c>
      <c r="M25" s="154" t="b">
        <v>1</v>
      </c>
    </row>
    <row r="26" spans="3:24" x14ac:dyDescent="0.3">
      <c r="C26" t="s">
        <v>1036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%USERPROFILE%\Documents\GitHub\eaglep3-reporting\EC\2017-10-22-refined-times.txt</v>
      </c>
    </row>
    <row r="27" spans="3:24" x14ac:dyDescent="0.3">
      <c r="C27" t="s">
        <v>1037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%USERPROFILE%\Documents\GitHub\eaglep3-reporting\EC\2017-10-22-Enforcements.txt</v>
      </c>
    </row>
    <row r="28" spans="3:24" x14ac:dyDescent="0.3">
      <c r="C28" t="s">
        <v>1038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%USERPROFILE%\Documents\GitHub\eaglep3-reporting\EC\2017-10-22-Runs-refined.txt</v>
      </c>
    </row>
    <row r="29" spans="3:24" x14ac:dyDescent="0.3">
      <c r="C29" t="s">
        <v>1039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%USERPROFILE%\Documents\GitHub\eaglep3-reporting\EC\2017-10-22-Trips.txt</v>
      </c>
    </row>
    <row r="30" spans="3:24" x14ac:dyDescent="0.3">
      <c r="C30" t="s">
        <v>1040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%USERPROFILE%\Documents\GitHub\eaglep3-reporting\EC\2017-10-22-Weather.txt</v>
      </c>
    </row>
    <row r="31" spans="3:24" x14ac:dyDescent="0.3">
      <c r="C31" t="s">
        <v>1041</v>
      </c>
      <c r="J31" s="140" t="s">
        <v>190</v>
      </c>
      <c r="M31" s="154" t="s">
        <v>191</v>
      </c>
    </row>
    <row r="32" spans="3:24" x14ac:dyDescent="0.3">
      <c r="C32" t="s">
        <v>1042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395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12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2017-10-24T15:20:30Z</dcterms:modified>
</cp:coreProperties>
</file>