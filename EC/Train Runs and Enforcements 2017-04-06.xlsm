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Enforcements!$A$6:$AC$62</definedName>
    <definedName name="_xlnm._FilterDatabase" localSheetId="2" hidden="1">'Missing Trips'!$A$2:$J$86</definedName>
    <definedName name="_xlnm._FilterDatabase" localSheetId="0" hidden="1">'Train Runs'!$A$12:$AG$262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27" i="1" l="1"/>
  <c r="M227" i="1"/>
  <c r="Y227" i="1"/>
  <c r="Z227" i="1"/>
  <c r="AB227" i="1"/>
  <c r="AC227" i="1"/>
  <c r="AD227" i="1"/>
  <c r="T227" i="1" s="1"/>
  <c r="AE227" i="1"/>
  <c r="AM227" i="1"/>
  <c r="K14" i="1"/>
  <c r="M14" i="1"/>
  <c r="N14" i="1" s="1"/>
  <c r="Y14" i="1"/>
  <c r="Z14" i="1"/>
  <c r="AB14" i="1"/>
  <c r="AC14" i="1"/>
  <c r="AD14" i="1"/>
  <c r="AE14" i="1"/>
  <c r="AM14" i="1"/>
  <c r="K15" i="1"/>
  <c r="M15" i="1"/>
  <c r="N15" i="1" s="1"/>
  <c r="Y15" i="1"/>
  <c r="Z15" i="1"/>
  <c r="AB15" i="1"/>
  <c r="AC15" i="1"/>
  <c r="AD15" i="1"/>
  <c r="T15" i="1" s="1"/>
  <c r="AE15" i="1"/>
  <c r="AM15" i="1"/>
  <c r="K16" i="1"/>
  <c r="M16" i="1"/>
  <c r="N16" i="1" s="1"/>
  <c r="Y16" i="1"/>
  <c r="Z16" i="1"/>
  <c r="AB16" i="1"/>
  <c r="AC16" i="1"/>
  <c r="AD16" i="1"/>
  <c r="AG16" i="1" s="1"/>
  <c r="AE16" i="1"/>
  <c r="AM16" i="1"/>
  <c r="K17" i="1"/>
  <c r="M17" i="1"/>
  <c r="N17" i="1" s="1"/>
  <c r="Y17" i="1"/>
  <c r="Z17" i="1"/>
  <c r="AB17" i="1"/>
  <c r="AC17" i="1"/>
  <c r="AD17" i="1"/>
  <c r="X17" i="1" s="1"/>
  <c r="AE17" i="1"/>
  <c r="AM17" i="1"/>
  <c r="K18" i="1"/>
  <c r="M18" i="1"/>
  <c r="N18" i="1" s="1"/>
  <c r="Y18" i="1"/>
  <c r="Z18" i="1"/>
  <c r="AB18" i="1"/>
  <c r="AC18" i="1"/>
  <c r="AD18" i="1"/>
  <c r="AE18" i="1"/>
  <c r="AM18" i="1"/>
  <c r="K19" i="1"/>
  <c r="M19" i="1"/>
  <c r="N19" i="1" s="1"/>
  <c r="Y19" i="1"/>
  <c r="Z19" i="1"/>
  <c r="AB19" i="1"/>
  <c r="AC19" i="1"/>
  <c r="AD19" i="1"/>
  <c r="AE19" i="1"/>
  <c r="AM19" i="1"/>
  <c r="K20" i="1"/>
  <c r="M20" i="1"/>
  <c r="N20" i="1" s="1"/>
  <c r="Y20" i="1"/>
  <c r="Z20" i="1"/>
  <c r="AB20" i="1"/>
  <c r="AC20" i="1"/>
  <c r="AD20" i="1"/>
  <c r="AE20" i="1"/>
  <c r="AM20" i="1"/>
  <c r="K21" i="1"/>
  <c r="M21" i="1"/>
  <c r="N21" i="1" s="1"/>
  <c r="Y21" i="1"/>
  <c r="Z21" i="1"/>
  <c r="AB21" i="1"/>
  <c r="AC21" i="1"/>
  <c r="AD21" i="1"/>
  <c r="T21" i="1" s="1"/>
  <c r="AE21" i="1"/>
  <c r="AM21" i="1"/>
  <c r="K22" i="1"/>
  <c r="M22" i="1"/>
  <c r="N22" i="1" s="1"/>
  <c r="Y22" i="1"/>
  <c r="Z22" i="1"/>
  <c r="AB22" i="1"/>
  <c r="AC22" i="1"/>
  <c r="AD22" i="1"/>
  <c r="AE22" i="1"/>
  <c r="AM22" i="1"/>
  <c r="K23" i="1"/>
  <c r="M23" i="1"/>
  <c r="N23" i="1" s="1"/>
  <c r="Y23" i="1"/>
  <c r="Z23" i="1"/>
  <c r="AB23" i="1"/>
  <c r="AC23" i="1"/>
  <c r="AD23" i="1"/>
  <c r="T23" i="1" s="1"/>
  <c r="AE23" i="1"/>
  <c r="AM23" i="1"/>
  <c r="K24" i="1"/>
  <c r="M24" i="1"/>
  <c r="N24" i="1" s="1"/>
  <c r="Y24" i="1"/>
  <c r="Z24" i="1"/>
  <c r="AB24" i="1"/>
  <c r="AC24" i="1"/>
  <c r="AD24" i="1"/>
  <c r="AG24" i="1" s="1"/>
  <c r="AE24" i="1"/>
  <c r="AM24" i="1"/>
  <c r="K25" i="1"/>
  <c r="M25" i="1"/>
  <c r="Y25" i="1"/>
  <c r="AA25" i="1" s="1"/>
  <c r="AB25" i="1"/>
  <c r="AC25" i="1"/>
  <c r="AD25" i="1"/>
  <c r="T25" i="1" s="1"/>
  <c r="AE25" i="1"/>
  <c r="AM25" i="1"/>
  <c r="K26" i="1"/>
  <c r="M26" i="1"/>
  <c r="Y26" i="1"/>
  <c r="AA26" i="1" s="1"/>
  <c r="AB26" i="1"/>
  <c r="AC26" i="1"/>
  <c r="AD26" i="1"/>
  <c r="AE26" i="1"/>
  <c r="R21" i="3" s="1"/>
  <c r="AM26" i="1"/>
  <c r="K27" i="1"/>
  <c r="M27" i="1"/>
  <c r="N27" i="1" s="1"/>
  <c r="Y27" i="1"/>
  <c r="Z27" i="1"/>
  <c r="AB27" i="1"/>
  <c r="AC27" i="1"/>
  <c r="AD27" i="1"/>
  <c r="T27" i="1" s="1"/>
  <c r="AE27" i="1"/>
  <c r="AM27" i="1"/>
  <c r="K28" i="1"/>
  <c r="M28" i="1"/>
  <c r="N28" i="1" s="1"/>
  <c r="Y28" i="1"/>
  <c r="Z28" i="1"/>
  <c r="AB28" i="1"/>
  <c r="AC28" i="1"/>
  <c r="AD28" i="1"/>
  <c r="AG28" i="1" s="1"/>
  <c r="AE28" i="1"/>
  <c r="AM28" i="1"/>
  <c r="K29" i="1"/>
  <c r="M29" i="1"/>
  <c r="N29" i="1" s="1"/>
  <c r="Y29" i="1"/>
  <c r="Z29" i="1"/>
  <c r="AB29" i="1"/>
  <c r="AC29" i="1"/>
  <c r="AD29" i="1"/>
  <c r="T29" i="1" s="1"/>
  <c r="AE29" i="1"/>
  <c r="AM29" i="1"/>
  <c r="K30" i="1"/>
  <c r="M30" i="1"/>
  <c r="N30" i="1" s="1"/>
  <c r="Y30" i="1"/>
  <c r="Z30" i="1"/>
  <c r="AB30" i="1"/>
  <c r="AC30" i="1"/>
  <c r="AD30" i="1"/>
  <c r="AE30" i="1"/>
  <c r="AM30" i="1"/>
  <c r="K31" i="1"/>
  <c r="M31" i="1"/>
  <c r="N31" i="1" s="1"/>
  <c r="Y31" i="1"/>
  <c r="Z31" i="1"/>
  <c r="AB31" i="1"/>
  <c r="AC31" i="1"/>
  <c r="AD31" i="1"/>
  <c r="T31" i="1" s="1"/>
  <c r="AE31" i="1"/>
  <c r="AM31" i="1"/>
  <c r="K32" i="1"/>
  <c r="M32" i="1"/>
  <c r="N32" i="1" s="1"/>
  <c r="Y32" i="1"/>
  <c r="Z32" i="1"/>
  <c r="AB32" i="1"/>
  <c r="AC32" i="1"/>
  <c r="AD32" i="1"/>
  <c r="T32" i="1" s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B34" i="1"/>
  <c r="AC34" i="1"/>
  <c r="AD34" i="1"/>
  <c r="AE34" i="1"/>
  <c r="AM34" i="1"/>
  <c r="K35" i="1"/>
  <c r="M35" i="1"/>
  <c r="N35" i="1" s="1"/>
  <c r="Y35" i="1"/>
  <c r="Z35" i="1"/>
  <c r="AB35" i="1"/>
  <c r="AC35" i="1"/>
  <c r="AD35" i="1"/>
  <c r="T35" i="1" s="1"/>
  <c r="AE35" i="1"/>
  <c r="AM35" i="1"/>
  <c r="K36" i="1"/>
  <c r="M36" i="1"/>
  <c r="N36" i="1" s="1"/>
  <c r="Y36" i="1"/>
  <c r="Z36" i="1"/>
  <c r="AB36" i="1"/>
  <c r="AC36" i="1"/>
  <c r="AD36" i="1"/>
  <c r="AE36" i="1"/>
  <c r="AM36" i="1"/>
  <c r="K37" i="1"/>
  <c r="M37" i="1"/>
  <c r="N37" i="1" s="1"/>
  <c r="Y37" i="1"/>
  <c r="Z37" i="1"/>
  <c r="AB37" i="1"/>
  <c r="AC37" i="1"/>
  <c r="AD37" i="1"/>
  <c r="T37" i="1" s="1"/>
  <c r="AE37" i="1"/>
  <c r="AM37" i="1"/>
  <c r="K38" i="1"/>
  <c r="M38" i="1"/>
  <c r="N38" i="1" s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Z41" i="1"/>
  <c r="AB41" i="1"/>
  <c r="AC41" i="1"/>
  <c r="AD41" i="1"/>
  <c r="T41" i="1" s="1"/>
  <c r="AE41" i="1"/>
  <c r="AM41" i="1"/>
  <c r="K42" i="1"/>
  <c r="M42" i="1"/>
  <c r="N42" i="1" s="1"/>
  <c r="Y42" i="1"/>
  <c r="Z42" i="1"/>
  <c r="AB42" i="1"/>
  <c r="AC42" i="1"/>
  <c r="AD42" i="1"/>
  <c r="AE42" i="1"/>
  <c r="AM42" i="1"/>
  <c r="K43" i="1"/>
  <c r="M43" i="1"/>
  <c r="N43" i="1" s="1"/>
  <c r="Y43" i="1"/>
  <c r="Z43" i="1"/>
  <c r="AB43" i="1"/>
  <c r="AC43" i="1"/>
  <c r="AD43" i="1"/>
  <c r="T43" i="1" s="1"/>
  <c r="AE43" i="1"/>
  <c r="R14" i="3" s="1"/>
  <c r="AM43" i="1"/>
  <c r="K44" i="1"/>
  <c r="M44" i="1"/>
  <c r="N44" i="1" s="1"/>
  <c r="Y44" i="1"/>
  <c r="Z44" i="1"/>
  <c r="AB44" i="1"/>
  <c r="AC44" i="1"/>
  <c r="AD44" i="1"/>
  <c r="AG44" i="1" s="1"/>
  <c r="AE44" i="1"/>
  <c r="AM44" i="1"/>
  <c r="K45" i="1"/>
  <c r="M45" i="1"/>
  <c r="N45" i="1" s="1"/>
  <c r="Y45" i="1"/>
  <c r="Z45" i="1"/>
  <c r="AB45" i="1"/>
  <c r="AC45" i="1"/>
  <c r="AD45" i="1"/>
  <c r="AG45" i="1" s="1"/>
  <c r="AE45" i="1"/>
  <c r="AM45" i="1"/>
  <c r="K46" i="1"/>
  <c r="M46" i="1"/>
  <c r="N46" i="1" s="1"/>
  <c r="Y46" i="1"/>
  <c r="Z46" i="1"/>
  <c r="AB46" i="1"/>
  <c r="AC46" i="1"/>
  <c r="AD46" i="1"/>
  <c r="T46" i="1" s="1"/>
  <c r="AE46" i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AG49" i="1" s="1"/>
  <c r="AE49" i="1"/>
  <c r="R19" i="3" s="1"/>
  <c r="AM49" i="1"/>
  <c r="K50" i="1"/>
  <c r="M50" i="1"/>
  <c r="N50" i="1" s="1"/>
  <c r="Y50" i="1"/>
  <c r="Z50" i="1"/>
  <c r="AB50" i="1"/>
  <c r="AC50" i="1"/>
  <c r="AD50" i="1"/>
  <c r="T50" i="1" s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B52" i="1"/>
  <c r="AC52" i="1"/>
  <c r="AD52" i="1"/>
  <c r="T52" i="1" s="1"/>
  <c r="AE52" i="1"/>
  <c r="AM52" i="1"/>
  <c r="K53" i="1"/>
  <c r="M53" i="1"/>
  <c r="N53" i="1" s="1"/>
  <c r="Y53" i="1"/>
  <c r="Z53" i="1"/>
  <c r="AB53" i="1"/>
  <c r="AC53" i="1"/>
  <c r="AD53" i="1"/>
  <c r="AE53" i="1"/>
  <c r="AM53" i="1"/>
  <c r="K54" i="1"/>
  <c r="M54" i="1"/>
  <c r="N54" i="1" s="1"/>
  <c r="Y54" i="1"/>
  <c r="Z54" i="1"/>
  <c r="AB54" i="1"/>
  <c r="AC54" i="1"/>
  <c r="AD54" i="1"/>
  <c r="T54" i="1" s="1"/>
  <c r="AE54" i="1"/>
  <c r="R13" i="3" s="1"/>
  <c r="AM54" i="1"/>
  <c r="K55" i="1"/>
  <c r="M55" i="1"/>
  <c r="N55" i="1" s="1"/>
  <c r="Y55" i="1"/>
  <c r="Z55" i="1"/>
  <c r="AB55" i="1"/>
  <c r="AC55" i="1"/>
  <c r="AD55" i="1"/>
  <c r="T55" i="1" s="1"/>
  <c r="AE55" i="1"/>
  <c r="R11" i="3" s="1"/>
  <c r="AM55" i="1"/>
  <c r="K56" i="1"/>
  <c r="M56" i="1"/>
  <c r="N56" i="1" s="1"/>
  <c r="Y56" i="1"/>
  <c r="Z56" i="1"/>
  <c r="AB56" i="1"/>
  <c r="AC56" i="1"/>
  <c r="AD56" i="1"/>
  <c r="AE56" i="1"/>
  <c r="AM56" i="1"/>
  <c r="K57" i="1"/>
  <c r="M57" i="1"/>
  <c r="N57" i="1" s="1"/>
  <c r="Y57" i="1"/>
  <c r="Z57" i="1"/>
  <c r="AA57" i="1" s="1"/>
  <c r="AB57" i="1"/>
  <c r="AC57" i="1"/>
  <c r="AD57" i="1"/>
  <c r="T57" i="1" s="1"/>
  <c r="AE57" i="1"/>
  <c r="AM57" i="1"/>
  <c r="K58" i="1"/>
  <c r="M58" i="1"/>
  <c r="N58" i="1" s="1"/>
  <c r="Y58" i="1"/>
  <c r="Z58" i="1"/>
  <c r="AB58" i="1"/>
  <c r="AC58" i="1"/>
  <c r="AD58" i="1"/>
  <c r="T58" i="1" s="1"/>
  <c r="AE58" i="1"/>
  <c r="AM58" i="1"/>
  <c r="K59" i="1"/>
  <c r="M59" i="1"/>
  <c r="N59" i="1" s="1"/>
  <c r="Y59" i="1"/>
  <c r="Z59" i="1"/>
  <c r="AB59" i="1"/>
  <c r="AC59" i="1"/>
  <c r="AD59" i="1"/>
  <c r="T59" i="1" s="1"/>
  <c r="AE59" i="1"/>
  <c r="R9" i="3" s="1"/>
  <c r="AM59" i="1"/>
  <c r="K60" i="1"/>
  <c r="M60" i="1"/>
  <c r="N60" i="1" s="1"/>
  <c r="Y60" i="1"/>
  <c r="Z60" i="1"/>
  <c r="AB60" i="1"/>
  <c r="AC60" i="1"/>
  <c r="AD60" i="1"/>
  <c r="AE60" i="1"/>
  <c r="AM60" i="1"/>
  <c r="K61" i="1"/>
  <c r="M61" i="1"/>
  <c r="N61" i="1" s="1"/>
  <c r="Y61" i="1"/>
  <c r="Z61" i="1"/>
  <c r="AB61" i="1"/>
  <c r="AC61" i="1"/>
  <c r="AD61" i="1"/>
  <c r="T61" i="1" s="1"/>
  <c r="AE61" i="1"/>
  <c r="AM61" i="1"/>
  <c r="K62" i="1"/>
  <c r="M62" i="1"/>
  <c r="N62" i="1" s="1"/>
  <c r="Y62" i="1"/>
  <c r="Z62" i="1"/>
  <c r="AB62" i="1"/>
  <c r="AC62" i="1"/>
  <c r="AD62" i="1"/>
  <c r="T62" i="1" s="1"/>
  <c r="AE62" i="1"/>
  <c r="AM62" i="1"/>
  <c r="K63" i="1"/>
  <c r="M63" i="1"/>
  <c r="N63" i="1" s="1"/>
  <c r="Y63" i="1"/>
  <c r="Z63" i="1"/>
  <c r="AB63" i="1"/>
  <c r="AC63" i="1"/>
  <c r="AD63" i="1"/>
  <c r="AG63" i="1" s="1"/>
  <c r="AE63" i="1"/>
  <c r="AM63" i="1"/>
  <c r="K64" i="1"/>
  <c r="M64" i="1"/>
  <c r="N64" i="1" s="1"/>
  <c r="Y64" i="1"/>
  <c r="Z64" i="1"/>
  <c r="AB64" i="1"/>
  <c r="AC64" i="1"/>
  <c r="AD64" i="1"/>
  <c r="T64" i="1" s="1"/>
  <c r="AE64" i="1"/>
  <c r="AM64" i="1"/>
  <c r="K65" i="1"/>
  <c r="M65" i="1"/>
  <c r="N65" i="1" s="1"/>
  <c r="Y65" i="1"/>
  <c r="Z65" i="1"/>
  <c r="AB65" i="1"/>
  <c r="AC65" i="1"/>
  <c r="AD65" i="1"/>
  <c r="T65" i="1" s="1"/>
  <c r="AE65" i="1"/>
  <c r="AM65" i="1"/>
  <c r="K66" i="1"/>
  <c r="M66" i="1"/>
  <c r="N66" i="1" s="1"/>
  <c r="Y66" i="1"/>
  <c r="Z66" i="1"/>
  <c r="AB66" i="1"/>
  <c r="AC66" i="1"/>
  <c r="AD66" i="1"/>
  <c r="T66" i="1" s="1"/>
  <c r="AE66" i="1"/>
  <c r="AM66" i="1"/>
  <c r="K67" i="1"/>
  <c r="M67" i="1"/>
  <c r="N67" i="1" s="1"/>
  <c r="Y67" i="1"/>
  <c r="Z67" i="1"/>
  <c r="AB67" i="1"/>
  <c r="AC67" i="1"/>
  <c r="AD67" i="1"/>
  <c r="T67" i="1" s="1"/>
  <c r="AE67" i="1"/>
  <c r="AM67" i="1"/>
  <c r="K68" i="1"/>
  <c r="M68" i="1"/>
  <c r="N68" i="1" s="1"/>
  <c r="Y68" i="1"/>
  <c r="Z68" i="1"/>
  <c r="AB68" i="1"/>
  <c r="AC68" i="1"/>
  <c r="AD68" i="1"/>
  <c r="T68" i="1" s="1"/>
  <c r="AE68" i="1"/>
  <c r="R15" i="3" s="1"/>
  <c r="AM68" i="1"/>
  <c r="K69" i="1"/>
  <c r="M69" i="1"/>
  <c r="N69" i="1" s="1"/>
  <c r="Y69" i="1"/>
  <c r="Z69" i="1"/>
  <c r="AB69" i="1"/>
  <c r="AC69" i="1"/>
  <c r="AD69" i="1"/>
  <c r="T69" i="1" s="1"/>
  <c r="AE69" i="1"/>
  <c r="AM69" i="1"/>
  <c r="K70" i="1"/>
  <c r="M70" i="1"/>
  <c r="N70" i="1" s="1"/>
  <c r="Y70" i="1"/>
  <c r="Z70" i="1"/>
  <c r="AB70" i="1"/>
  <c r="AC70" i="1"/>
  <c r="AD70" i="1"/>
  <c r="T70" i="1" s="1"/>
  <c r="AE70" i="1"/>
  <c r="AM70" i="1"/>
  <c r="K71" i="1"/>
  <c r="M71" i="1"/>
  <c r="N71" i="1" s="1"/>
  <c r="Y71" i="1"/>
  <c r="Z71" i="1"/>
  <c r="AB71" i="1"/>
  <c r="AC71" i="1"/>
  <c r="AD71" i="1"/>
  <c r="T71" i="1" s="1"/>
  <c r="AE71" i="1"/>
  <c r="AM71" i="1"/>
  <c r="K72" i="1"/>
  <c r="M72" i="1"/>
  <c r="N72" i="1" s="1"/>
  <c r="Y72" i="1"/>
  <c r="Z72" i="1"/>
  <c r="AB72" i="1"/>
  <c r="AC72" i="1"/>
  <c r="AD72" i="1"/>
  <c r="AE72" i="1"/>
  <c r="AM72" i="1"/>
  <c r="K73" i="1"/>
  <c r="M73" i="1"/>
  <c r="N73" i="1" s="1"/>
  <c r="Y73" i="1"/>
  <c r="Z73" i="1"/>
  <c r="AB73" i="1"/>
  <c r="AC73" i="1"/>
  <c r="AD73" i="1"/>
  <c r="T73" i="1" s="1"/>
  <c r="AE73" i="1"/>
  <c r="R22" i="3" s="1"/>
  <c r="AM73" i="1"/>
  <c r="K74" i="1"/>
  <c r="M74" i="1"/>
  <c r="N74" i="1" s="1"/>
  <c r="Y74" i="1"/>
  <c r="Z74" i="1"/>
  <c r="AB74" i="1"/>
  <c r="AC74" i="1"/>
  <c r="AD74" i="1"/>
  <c r="T74" i="1" s="1"/>
  <c r="AE74" i="1"/>
  <c r="AM74" i="1"/>
  <c r="K75" i="1"/>
  <c r="M75" i="1"/>
  <c r="N75" i="1" s="1"/>
  <c r="Y75" i="1"/>
  <c r="Z75" i="1"/>
  <c r="AB75" i="1"/>
  <c r="AC75" i="1"/>
  <c r="AD75" i="1"/>
  <c r="T75" i="1" s="1"/>
  <c r="AE75" i="1"/>
  <c r="AM75" i="1"/>
  <c r="K76" i="1"/>
  <c r="M76" i="1"/>
  <c r="N76" i="1" s="1"/>
  <c r="Y76" i="1"/>
  <c r="Z76" i="1"/>
  <c r="AB76" i="1"/>
  <c r="AC76" i="1"/>
  <c r="AD76" i="1"/>
  <c r="AE76" i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Y78" i="1"/>
  <c r="Z78" i="1"/>
  <c r="AB78" i="1"/>
  <c r="AC78" i="1"/>
  <c r="AD78" i="1"/>
  <c r="T78" i="1" s="1"/>
  <c r="AE78" i="1"/>
  <c r="AM78" i="1"/>
  <c r="K79" i="1"/>
  <c r="M79" i="1"/>
  <c r="N79" i="1" s="1"/>
  <c r="Y79" i="1"/>
  <c r="Z79" i="1"/>
  <c r="AB79" i="1"/>
  <c r="AC79" i="1"/>
  <c r="AD79" i="1"/>
  <c r="AG79" i="1" s="1"/>
  <c r="AE79" i="1"/>
  <c r="AM79" i="1"/>
  <c r="K80" i="1"/>
  <c r="M80" i="1"/>
  <c r="N80" i="1" s="1"/>
  <c r="Y80" i="1"/>
  <c r="Z80" i="1"/>
  <c r="AB80" i="1"/>
  <c r="AC80" i="1"/>
  <c r="AD80" i="1"/>
  <c r="T80" i="1" s="1"/>
  <c r="AE80" i="1"/>
  <c r="AM80" i="1"/>
  <c r="K81" i="1"/>
  <c r="M81" i="1"/>
  <c r="P81" i="1" s="1"/>
  <c r="Y81" i="1"/>
  <c r="Z81" i="1"/>
  <c r="AB81" i="1"/>
  <c r="AC81" i="1"/>
  <c r="AD81" i="1"/>
  <c r="T81" i="1" s="1"/>
  <c r="AE81" i="1"/>
  <c r="AM81" i="1"/>
  <c r="K82" i="1"/>
  <c r="M82" i="1"/>
  <c r="N82" i="1" s="1"/>
  <c r="Y82" i="1"/>
  <c r="Z82" i="1"/>
  <c r="AB82" i="1"/>
  <c r="AC82" i="1"/>
  <c r="AD82" i="1"/>
  <c r="T82" i="1" s="1"/>
  <c r="AE82" i="1"/>
  <c r="AM82" i="1"/>
  <c r="K83" i="1"/>
  <c r="M83" i="1"/>
  <c r="N83" i="1" s="1"/>
  <c r="Y83" i="1"/>
  <c r="Z83" i="1"/>
  <c r="AB83" i="1"/>
  <c r="AC83" i="1"/>
  <c r="AD83" i="1"/>
  <c r="T83" i="1" s="1"/>
  <c r="AE83" i="1"/>
  <c r="AM83" i="1"/>
  <c r="K84" i="1"/>
  <c r="M84" i="1"/>
  <c r="N84" i="1" s="1"/>
  <c r="Y84" i="1"/>
  <c r="Z84" i="1"/>
  <c r="AB84" i="1"/>
  <c r="AC84" i="1"/>
  <c r="AD84" i="1"/>
  <c r="AE84" i="1"/>
  <c r="AM84" i="1"/>
  <c r="K85" i="1"/>
  <c r="M85" i="1"/>
  <c r="N85" i="1" s="1"/>
  <c r="Y85" i="1"/>
  <c r="Z85" i="1"/>
  <c r="AB85" i="1"/>
  <c r="AC85" i="1"/>
  <c r="AD85" i="1"/>
  <c r="T85" i="1" s="1"/>
  <c r="AE85" i="1"/>
  <c r="AM85" i="1"/>
  <c r="K86" i="1"/>
  <c r="M86" i="1"/>
  <c r="N86" i="1" s="1"/>
  <c r="Y86" i="1"/>
  <c r="Z86" i="1"/>
  <c r="AB86" i="1"/>
  <c r="AC86" i="1"/>
  <c r="AD86" i="1"/>
  <c r="AG86" i="1" s="1"/>
  <c r="AE86" i="1"/>
  <c r="AM86" i="1"/>
  <c r="K87" i="1"/>
  <c r="M87" i="1"/>
  <c r="N87" i="1" s="1"/>
  <c r="Y87" i="1"/>
  <c r="Z87" i="1"/>
  <c r="AB87" i="1"/>
  <c r="AC87" i="1"/>
  <c r="AD87" i="1"/>
  <c r="T87" i="1" s="1"/>
  <c r="AE87" i="1"/>
  <c r="AM87" i="1"/>
  <c r="K88" i="1"/>
  <c r="M88" i="1"/>
  <c r="N88" i="1" s="1"/>
  <c r="Y88" i="1"/>
  <c r="Z88" i="1"/>
  <c r="AB88" i="1"/>
  <c r="AC88" i="1"/>
  <c r="AD88" i="1"/>
  <c r="AE88" i="1"/>
  <c r="AM88" i="1"/>
  <c r="K89" i="1"/>
  <c r="M89" i="1"/>
  <c r="N89" i="1" s="1"/>
  <c r="Y89" i="1"/>
  <c r="Z89" i="1"/>
  <c r="AB89" i="1"/>
  <c r="AC89" i="1"/>
  <c r="AD89" i="1"/>
  <c r="AE89" i="1"/>
  <c r="R23" i="3" s="1"/>
  <c r="AM89" i="1"/>
  <c r="K90" i="1"/>
  <c r="M90" i="1"/>
  <c r="N90" i="1" s="1"/>
  <c r="Y90" i="1"/>
  <c r="Z90" i="1"/>
  <c r="AB90" i="1"/>
  <c r="AC90" i="1"/>
  <c r="AD90" i="1"/>
  <c r="AG90" i="1" s="1"/>
  <c r="AE90" i="1"/>
  <c r="AM90" i="1"/>
  <c r="K91" i="1"/>
  <c r="M91" i="1"/>
  <c r="N91" i="1" s="1"/>
  <c r="Y91" i="1"/>
  <c r="Z91" i="1"/>
  <c r="AB91" i="1"/>
  <c r="AC91" i="1"/>
  <c r="AD91" i="1"/>
  <c r="AE91" i="1"/>
  <c r="AM91" i="1"/>
  <c r="K92" i="1"/>
  <c r="M92" i="1"/>
  <c r="N92" i="1" s="1"/>
  <c r="Y92" i="1"/>
  <c r="Z92" i="1"/>
  <c r="AB92" i="1"/>
  <c r="AC92" i="1"/>
  <c r="AD92" i="1"/>
  <c r="T92" i="1" s="1"/>
  <c r="AE92" i="1"/>
  <c r="AM92" i="1"/>
  <c r="K93" i="1"/>
  <c r="M93" i="1"/>
  <c r="N93" i="1" s="1"/>
  <c r="Y93" i="1"/>
  <c r="Z93" i="1"/>
  <c r="AB93" i="1"/>
  <c r="AC93" i="1"/>
  <c r="AD93" i="1"/>
  <c r="T93" i="1" s="1"/>
  <c r="AE93" i="1"/>
  <c r="AM93" i="1"/>
  <c r="K94" i="1"/>
  <c r="M94" i="1"/>
  <c r="N94" i="1" s="1"/>
  <c r="Y94" i="1"/>
  <c r="Z94" i="1"/>
  <c r="AB94" i="1"/>
  <c r="AC94" i="1"/>
  <c r="AD94" i="1"/>
  <c r="AG94" i="1" s="1"/>
  <c r="AE94" i="1"/>
  <c r="AM94" i="1"/>
  <c r="K95" i="1"/>
  <c r="M95" i="1"/>
  <c r="N95" i="1" s="1"/>
  <c r="Y95" i="1"/>
  <c r="Z95" i="1"/>
  <c r="AB95" i="1"/>
  <c r="AC95" i="1"/>
  <c r="AD95" i="1"/>
  <c r="T95" i="1" s="1"/>
  <c r="AE95" i="1"/>
  <c r="AM95" i="1"/>
  <c r="K96" i="1"/>
  <c r="M96" i="1"/>
  <c r="N96" i="1" s="1"/>
  <c r="Y96" i="1"/>
  <c r="Z96" i="1"/>
  <c r="AB96" i="1"/>
  <c r="AC96" i="1"/>
  <c r="AD96" i="1"/>
  <c r="T96" i="1" s="1"/>
  <c r="AE96" i="1"/>
  <c r="R16" i="3" s="1"/>
  <c r="AM96" i="1"/>
  <c r="K97" i="1"/>
  <c r="M97" i="1"/>
  <c r="N97" i="1" s="1"/>
  <c r="Y97" i="1"/>
  <c r="Z97" i="1"/>
  <c r="AB97" i="1"/>
  <c r="AC97" i="1"/>
  <c r="AD97" i="1"/>
  <c r="T97" i="1" s="1"/>
  <c r="AE97" i="1"/>
  <c r="AM97" i="1"/>
  <c r="K98" i="1"/>
  <c r="M98" i="1"/>
  <c r="N98" i="1" s="1"/>
  <c r="Y98" i="1"/>
  <c r="Z98" i="1"/>
  <c r="AB98" i="1"/>
  <c r="AC98" i="1"/>
  <c r="AD98" i="1"/>
  <c r="AG98" i="1" s="1"/>
  <c r="AE98" i="1"/>
  <c r="AM98" i="1"/>
  <c r="K99" i="1"/>
  <c r="M99" i="1"/>
  <c r="N99" i="1" s="1"/>
  <c r="Y99" i="1"/>
  <c r="Z99" i="1"/>
  <c r="AB99" i="1"/>
  <c r="AC99" i="1"/>
  <c r="AD99" i="1"/>
  <c r="T99" i="1" s="1"/>
  <c r="AE99" i="1"/>
  <c r="AM99" i="1"/>
  <c r="K100" i="1"/>
  <c r="M100" i="1"/>
  <c r="N100" i="1" s="1"/>
  <c r="Y100" i="1"/>
  <c r="Z100" i="1"/>
  <c r="AB100" i="1"/>
  <c r="AC100" i="1"/>
  <c r="AD100" i="1"/>
  <c r="AE100" i="1"/>
  <c r="AM100" i="1"/>
  <c r="K101" i="1"/>
  <c r="M101" i="1"/>
  <c r="N101" i="1" s="1"/>
  <c r="Y101" i="1"/>
  <c r="Z101" i="1"/>
  <c r="AB101" i="1"/>
  <c r="AC101" i="1"/>
  <c r="AD101" i="1"/>
  <c r="T101" i="1" s="1"/>
  <c r="AE101" i="1"/>
  <c r="AM101" i="1"/>
  <c r="K102" i="1"/>
  <c r="M102" i="1"/>
  <c r="N102" i="1" s="1"/>
  <c r="Y102" i="1"/>
  <c r="Z102" i="1"/>
  <c r="AB102" i="1"/>
  <c r="AC102" i="1"/>
  <c r="AD102" i="1"/>
  <c r="AG102" i="1" s="1"/>
  <c r="AE102" i="1"/>
  <c r="AM102" i="1"/>
  <c r="K103" i="1"/>
  <c r="M103" i="1"/>
  <c r="N103" i="1" s="1"/>
  <c r="Y103" i="1"/>
  <c r="Z103" i="1"/>
  <c r="AB103" i="1"/>
  <c r="AC103" i="1"/>
  <c r="AD103" i="1"/>
  <c r="AE103" i="1"/>
  <c r="AM103" i="1"/>
  <c r="K104" i="1"/>
  <c r="M104" i="1"/>
  <c r="N104" i="1" s="1"/>
  <c r="Y104" i="1"/>
  <c r="Z104" i="1"/>
  <c r="AB104" i="1"/>
  <c r="AC104" i="1"/>
  <c r="AD104" i="1"/>
  <c r="T104" i="1" s="1"/>
  <c r="AE104" i="1"/>
  <c r="AM104" i="1"/>
  <c r="K105" i="1"/>
  <c r="M105" i="1"/>
  <c r="N105" i="1" s="1"/>
  <c r="Y105" i="1"/>
  <c r="Z105" i="1"/>
  <c r="AB105" i="1"/>
  <c r="AC105" i="1"/>
  <c r="AD105" i="1"/>
  <c r="T105" i="1" s="1"/>
  <c r="AE105" i="1"/>
  <c r="AM105" i="1"/>
  <c r="K106" i="1"/>
  <c r="M106" i="1"/>
  <c r="N106" i="1" s="1"/>
  <c r="Y106" i="1"/>
  <c r="Z106" i="1"/>
  <c r="AB106" i="1"/>
  <c r="AC106" i="1"/>
  <c r="AD106" i="1"/>
  <c r="AG106" i="1" s="1"/>
  <c r="AE106" i="1"/>
  <c r="R27" i="3" s="1"/>
  <c r="AM106" i="1"/>
  <c r="K107" i="1"/>
  <c r="M107" i="1"/>
  <c r="N107" i="1" s="1"/>
  <c r="Y107" i="1"/>
  <c r="Z107" i="1"/>
  <c r="AB107" i="1"/>
  <c r="AC107" i="1"/>
  <c r="AD107" i="1"/>
  <c r="T107" i="1" s="1"/>
  <c r="AE107" i="1"/>
  <c r="AM107" i="1"/>
  <c r="K108" i="1"/>
  <c r="M108" i="1"/>
  <c r="N108" i="1" s="1"/>
  <c r="Y108" i="1"/>
  <c r="Z108" i="1"/>
  <c r="AB108" i="1"/>
  <c r="AC108" i="1"/>
  <c r="AD108" i="1"/>
  <c r="AE108" i="1"/>
  <c r="AM108" i="1"/>
  <c r="K109" i="1"/>
  <c r="M109" i="1"/>
  <c r="N109" i="1" s="1"/>
  <c r="Y109" i="1"/>
  <c r="Z109" i="1"/>
  <c r="AB109" i="1"/>
  <c r="AC109" i="1"/>
  <c r="AD109" i="1"/>
  <c r="AE109" i="1"/>
  <c r="AM109" i="1"/>
  <c r="K110" i="1"/>
  <c r="M110" i="1"/>
  <c r="N110" i="1" s="1"/>
  <c r="Y110" i="1"/>
  <c r="Z110" i="1"/>
  <c r="AB110" i="1"/>
  <c r="AC110" i="1"/>
  <c r="AD110" i="1"/>
  <c r="AG110" i="1" s="1"/>
  <c r="AE110" i="1"/>
  <c r="AM110" i="1"/>
  <c r="K111" i="1"/>
  <c r="M111" i="1"/>
  <c r="N111" i="1" s="1"/>
  <c r="Y111" i="1"/>
  <c r="Z111" i="1"/>
  <c r="AB111" i="1"/>
  <c r="AC111" i="1"/>
  <c r="AD111" i="1"/>
  <c r="T111" i="1" s="1"/>
  <c r="AE111" i="1"/>
  <c r="AM111" i="1"/>
  <c r="K112" i="1"/>
  <c r="M112" i="1"/>
  <c r="N112" i="1" s="1"/>
  <c r="Y112" i="1"/>
  <c r="Z112" i="1"/>
  <c r="AB112" i="1"/>
  <c r="AC112" i="1"/>
  <c r="AD112" i="1"/>
  <c r="AE112" i="1"/>
  <c r="AM112" i="1"/>
  <c r="K113" i="1"/>
  <c r="M113" i="1"/>
  <c r="N113" i="1" s="1"/>
  <c r="Y113" i="1"/>
  <c r="Z113" i="1"/>
  <c r="AB113" i="1"/>
  <c r="AC113" i="1"/>
  <c r="AD113" i="1"/>
  <c r="AE113" i="1"/>
  <c r="AM113" i="1"/>
  <c r="K114" i="1"/>
  <c r="M114" i="1"/>
  <c r="N114" i="1" s="1"/>
  <c r="Y114" i="1"/>
  <c r="Z114" i="1"/>
  <c r="AB114" i="1"/>
  <c r="AC114" i="1"/>
  <c r="AD114" i="1"/>
  <c r="AG114" i="1" s="1"/>
  <c r="AE114" i="1"/>
  <c r="R28" i="3" s="1"/>
  <c r="AM114" i="1"/>
  <c r="K115" i="1"/>
  <c r="M115" i="1"/>
  <c r="N115" i="1" s="1"/>
  <c r="Y115" i="1"/>
  <c r="Z115" i="1"/>
  <c r="AB115" i="1"/>
  <c r="AC115" i="1"/>
  <c r="AD115" i="1"/>
  <c r="AE115" i="1"/>
  <c r="AM115" i="1"/>
  <c r="K116" i="1"/>
  <c r="M116" i="1"/>
  <c r="N116" i="1" s="1"/>
  <c r="Y116" i="1"/>
  <c r="Z116" i="1"/>
  <c r="AB116" i="1"/>
  <c r="AC116" i="1"/>
  <c r="AD116" i="1"/>
  <c r="AE116" i="1"/>
  <c r="AM116" i="1"/>
  <c r="K117" i="1"/>
  <c r="M117" i="1"/>
  <c r="N117" i="1" s="1"/>
  <c r="Y117" i="1"/>
  <c r="Z117" i="1"/>
  <c r="AB117" i="1"/>
  <c r="AC117" i="1"/>
  <c r="AD117" i="1"/>
  <c r="T117" i="1" s="1"/>
  <c r="AE117" i="1"/>
  <c r="AM117" i="1"/>
  <c r="K118" i="1"/>
  <c r="M118" i="1"/>
  <c r="N118" i="1" s="1"/>
  <c r="Y118" i="1"/>
  <c r="Z118" i="1"/>
  <c r="AA118" i="1" s="1"/>
  <c r="W118" i="1" s="1"/>
  <c r="AB118" i="1"/>
  <c r="AC118" i="1"/>
  <c r="AD118" i="1"/>
  <c r="AG118" i="1" s="1"/>
  <c r="AE118" i="1"/>
  <c r="AM118" i="1"/>
  <c r="K119" i="1"/>
  <c r="M119" i="1"/>
  <c r="N119" i="1" s="1"/>
  <c r="Y119" i="1"/>
  <c r="Z119" i="1"/>
  <c r="AB119" i="1"/>
  <c r="AC119" i="1"/>
  <c r="AD119" i="1"/>
  <c r="AG119" i="1" s="1"/>
  <c r="AE119" i="1"/>
  <c r="AM119" i="1"/>
  <c r="K120" i="1"/>
  <c r="M120" i="1"/>
  <c r="N120" i="1" s="1"/>
  <c r="Y120" i="1"/>
  <c r="Z120" i="1"/>
  <c r="AB120" i="1"/>
  <c r="AC120" i="1"/>
  <c r="AD120" i="1"/>
  <c r="T120" i="1" s="1"/>
  <c r="AE120" i="1"/>
  <c r="AM120" i="1"/>
  <c r="K121" i="1"/>
  <c r="M121" i="1"/>
  <c r="N121" i="1" s="1"/>
  <c r="Y121" i="1"/>
  <c r="Z121" i="1"/>
  <c r="AB121" i="1"/>
  <c r="AC121" i="1"/>
  <c r="AD121" i="1"/>
  <c r="AE121" i="1"/>
  <c r="AM121" i="1"/>
  <c r="K122" i="1"/>
  <c r="M122" i="1"/>
  <c r="N122" i="1" s="1"/>
  <c r="Y122" i="1"/>
  <c r="Z122" i="1"/>
  <c r="AB122" i="1"/>
  <c r="AC122" i="1"/>
  <c r="AD122" i="1"/>
  <c r="AG122" i="1" s="1"/>
  <c r="AE122" i="1"/>
  <c r="R29" i="3" s="1"/>
  <c r="AM122" i="1"/>
  <c r="K123" i="1"/>
  <c r="M123" i="1"/>
  <c r="N123" i="1" s="1"/>
  <c r="Y123" i="1"/>
  <c r="Z123" i="1"/>
  <c r="AB123" i="1"/>
  <c r="AC123" i="1"/>
  <c r="AD123" i="1"/>
  <c r="AG123" i="1" s="1"/>
  <c r="AE123" i="1"/>
  <c r="AM123" i="1"/>
  <c r="K124" i="1"/>
  <c r="M124" i="1"/>
  <c r="N124" i="1" s="1"/>
  <c r="Y124" i="1"/>
  <c r="Z124" i="1"/>
  <c r="AB124" i="1"/>
  <c r="AC124" i="1"/>
  <c r="AD124" i="1"/>
  <c r="T124" i="1" s="1"/>
  <c r="AE124" i="1"/>
  <c r="AM124" i="1"/>
  <c r="K125" i="1"/>
  <c r="M125" i="1"/>
  <c r="N125" i="1" s="1"/>
  <c r="Y125" i="1"/>
  <c r="Z125" i="1"/>
  <c r="AB125" i="1"/>
  <c r="AC125" i="1"/>
  <c r="AD125" i="1"/>
  <c r="T125" i="1" s="1"/>
  <c r="AE125" i="1"/>
  <c r="AM125" i="1"/>
  <c r="K126" i="1"/>
  <c r="M126" i="1"/>
  <c r="N126" i="1" s="1"/>
  <c r="Y126" i="1"/>
  <c r="Z126" i="1"/>
  <c r="AB126" i="1"/>
  <c r="AC126" i="1"/>
  <c r="AD126" i="1"/>
  <c r="AE126" i="1"/>
  <c r="AM126" i="1"/>
  <c r="K127" i="1"/>
  <c r="M127" i="1"/>
  <c r="N127" i="1" s="1"/>
  <c r="Y127" i="1"/>
  <c r="Z127" i="1"/>
  <c r="AB127" i="1"/>
  <c r="AC127" i="1"/>
  <c r="AD127" i="1"/>
  <c r="T127" i="1" s="1"/>
  <c r="AE127" i="1"/>
  <c r="AM127" i="1"/>
  <c r="K128" i="1"/>
  <c r="M128" i="1"/>
  <c r="N128" i="1" s="1"/>
  <c r="Y128" i="1"/>
  <c r="Z128" i="1"/>
  <c r="AB128" i="1"/>
  <c r="AC128" i="1"/>
  <c r="AD128" i="1"/>
  <c r="T128" i="1" s="1"/>
  <c r="AE128" i="1"/>
  <c r="AM128" i="1"/>
  <c r="K129" i="1"/>
  <c r="M129" i="1"/>
  <c r="N129" i="1" s="1"/>
  <c r="Y129" i="1"/>
  <c r="Z129" i="1"/>
  <c r="AB129" i="1"/>
  <c r="AC129" i="1"/>
  <c r="AD129" i="1"/>
  <c r="T129" i="1" s="1"/>
  <c r="AE129" i="1"/>
  <c r="AM129" i="1"/>
  <c r="K130" i="1"/>
  <c r="M130" i="1"/>
  <c r="N130" i="1" s="1"/>
  <c r="Y130" i="1"/>
  <c r="Z130" i="1"/>
  <c r="AB130" i="1"/>
  <c r="AC130" i="1"/>
  <c r="AD130" i="1"/>
  <c r="T130" i="1" s="1"/>
  <c r="AE130" i="1"/>
  <c r="AM130" i="1"/>
  <c r="K131" i="1"/>
  <c r="M131" i="1"/>
  <c r="N131" i="1" s="1"/>
  <c r="Y131" i="1"/>
  <c r="Z131" i="1"/>
  <c r="AB131" i="1"/>
  <c r="AC131" i="1"/>
  <c r="AD131" i="1"/>
  <c r="AG131" i="1" s="1"/>
  <c r="AE131" i="1"/>
  <c r="AM131" i="1"/>
  <c r="K132" i="1"/>
  <c r="M132" i="1"/>
  <c r="N132" i="1" s="1"/>
  <c r="Y132" i="1"/>
  <c r="Z132" i="1"/>
  <c r="AB132" i="1"/>
  <c r="AC132" i="1"/>
  <c r="AD132" i="1"/>
  <c r="T132" i="1" s="1"/>
  <c r="AE132" i="1"/>
  <c r="AM132" i="1"/>
  <c r="K133" i="1"/>
  <c r="M133" i="1"/>
  <c r="N133" i="1"/>
  <c r="Y133" i="1"/>
  <c r="Z133" i="1"/>
  <c r="AB133" i="1"/>
  <c r="AC133" i="1"/>
  <c r="AD133" i="1"/>
  <c r="AE133" i="1"/>
  <c r="AM133" i="1"/>
  <c r="K134" i="1"/>
  <c r="M134" i="1"/>
  <c r="N134" i="1" s="1"/>
  <c r="Y134" i="1"/>
  <c r="Z134" i="1"/>
  <c r="AB134" i="1"/>
  <c r="AC134" i="1"/>
  <c r="AD134" i="1"/>
  <c r="T134" i="1" s="1"/>
  <c r="AE134" i="1"/>
  <c r="AM134" i="1"/>
  <c r="K135" i="1"/>
  <c r="M135" i="1"/>
  <c r="N135" i="1" s="1"/>
  <c r="Y135" i="1"/>
  <c r="Z135" i="1"/>
  <c r="AB135" i="1"/>
  <c r="AC135" i="1"/>
  <c r="AD135" i="1"/>
  <c r="AG135" i="1" s="1"/>
  <c r="AE135" i="1"/>
  <c r="AM135" i="1"/>
  <c r="K136" i="1"/>
  <c r="M136" i="1"/>
  <c r="N136" i="1" s="1"/>
  <c r="Y136" i="1"/>
  <c r="Z136" i="1"/>
  <c r="AB136" i="1"/>
  <c r="AC136" i="1"/>
  <c r="AD136" i="1"/>
  <c r="T136" i="1" s="1"/>
  <c r="AE136" i="1"/>
  <c r="AM136" i="1"/>
  <c r="K137" i="1"/>
  <c r="M137" i="1"/>
  <c r="N137" i="1" s="1"/>
  <c r="Y137" i="1"/>
  <c r="Z137" i="1"/>
  <c r="AB137" i="1"/>
  <c r="AC137" i="1"/>
  <c r="AD137" i="1"/>
  <c r="AE137" i="1"/>
  <c r="AM137" i="1"/>
  <c r="K138" i="1"/>
  <c r="M138" i="1"/>
  <c r="N138" i="1" s="1"/>
  <c r="Y138" i="1"/>
  <c r="Z138" i="1"/>
  <c r="AB138" i="1"/>
  <c r="AC138" i="1"/>
  <c r="AD138" i="1"/>
  <c r="T138" i="1" s="1"/>
  <c r="AE138" i="1"/>
  <c r="AM138" i="1"/>
  <c r="K139" i="1"/>
  <c r="M139" i="1"/>
  <c r="N139" i="1" s="1"/>
  <c r="Y139" i="1"/>
  <c r="Z139" i="1"/>
  <c r="AB139" i="1"/>
  <c r="AC139" i="1"/>
  <c r="AD139" i="1"/>
  <c r="AG139" i="1" s="1"/>
  <c r="AE139" i="1"/>
  <c r="AM139" i="1"/>
  <c r="K140" i="1"/>
  <c r="M140" i="1"/>
  <c r="N140" i="1" s="1"/>
  <c r="Y140" i="1"/>
  <c r="Z140" i="1"/>
  <c r="AB140" i="1"/>
  <c r="AC140" i="1"/>
  <c r="AD140" i="1"/>
  <c r="T140" i="1" s="1"/>
  <c r="AE140" i="1"/>
  <c r="AG140" i="1"/>
  <c r="AM140" i="1"/>
  <c r="K141" i="1"/>
  <c r="M141" i="1"/>
  <c r="N141" i="1" s="1"/>
  <c r="Y141" i="1"/>
  <c r="Z141" i="1"/>
  <c r="AB141" i="1"/>
  <c r="AC141" i="1"/>
  <c r="AD141" i="1"/>
  <c r="AE141" i="1"/>
  <c r="AM141" i="1"/>
  <c r="K142" i="1"/>
  <c r="M142" i="1"/>
  <c r="N142" i="1" s="1"/>
  <c r="Y142" i="1"/>
  <c r="Z142" i="1"/>
  <c r="AB142" i="1"/>
  <c r="AC142" i="1"/>
  <c r="AD142" i="1"/>
  <c r="T142" i="1" s="1"/>
  <c r="AE142" i="1"/>
  <c r="AM142" i="1"/>
  <c r="K143" i="1"/>
  <c r="M143" i="1"/>
  <c r="N143" i="1" s="1"/>
  <c r="Y143" i="1"/>
  <c r="Z143" i="1"/>
  <c r="AB143" i="1"/>
  <c r="AC143" i="1"/>
  <c r="AD143" i="1"/>
  <c r="AG143" i="1" s="1"/>
  <c r="AE143" i="1"/>
  <c r="AM143" i="1"/>
  <c r="K144" i="1"/>
  <c r="M144" i="1"/>
  <c r="N144" i="1" s="1"/>
  <c r="Y144" i="1"/>
  <c r="Z144" i="1"/>
  <c r="AB144" i="1"/>
  <c r="AC144" i="1"/>
  <c r="AD144" i="1"/>
  <c r="T144" i="1" s="1"/>
  <c r="AE144" i="1"/>
  <c r="AM144" i="1"/>
  <c r="K145" i="1"/>
  <c r="M145" i="1"/>
  <c r="N145" i="1" s="1"/>
  <c r="Y145" i="1"/>
  <c r="Z145" i="1"/>
  <c r="AB145" i="1"/>
  <c r="AC145" i="1"/>
  <c r="AD145" i="1"/>
  <c r="AE145" i="1"/>
  <c r="AM145" i="1"/>
  <c r="K146" i="1"/>
  <c r="M146" i="1"/>
  <c r="N146" i="1" s="1"/>
  <c r="Y146" i="1"/>
  <c r="Z146" i="1"/>
  <c r="AB146" i="1"/>
  <c r="AC146" i="1"/>
  <c r="AD146" i="1"/>
  <c r="AG146" i="1" s="1"/>
  <c r="AE146" i="1"/>
  <c r="AM146" i="1"/>
  <c r="K147" i="1"/>
  <c r="M147" i="1"/>
  <c r="N147" i="1" s="1"/>
  <c r="Y147" i="1"/>
  <c r="Z147" i="1"/>
  <c r="AB147" i="1"/>
  <c r="AC147" i="1"/>
  <c r="AD147" i="1"/>
  <c r="AG147" i="1" s="1"/>
  <c r="AE147" i="1"/>
  <c r="AM147" i="1"/>
  <c r="K148" i="1"/>
  <c r="M148" i="1"/>
  <c r="N148" i="1" s="1"/>
  <c r="Y148" i="1"/>
  <c r="Z148" i="1"/>
  <c r="AB148" i="1"/>
  <c r="AC148" i="1"/>
  <c r="AD148" i="1"/>
  <c r="T148" i="1" s="1"/>
  <c r="AE148" i="1"/>
  <c r="AM148" i="1"/>
  <c r="K149" i="1"/>
  <c r="M149" i="1"/>
  <c r="N149" i="1" s="1"/>
  <c r="Y149" i="1"/>
  <c r="Z149" i="1"/>
  <c r="AB149" i="1"/>
  <c r="AC149" i="1"/>
  <c r="AD149" i="1"/>
  <c r="AE149" i="1"/>
  <c r="AM149" i="1"/>
  <c r="K150" i="1"/>
  <c r="M150" i="1"/>
  <c r="N150" i="1" s="1"/>
  <c r="Y150" i="1"/>
  <c r="Z150" i="1"/>
  <c r="AB150" i="1"/>
  <c r="AC150" i="1"/>
  <c r="AD150" i="1"/>
  <c r="AG150" i="1" s="1"/>
  <c r="AE150" i="1"/>
  <c r="AM150" i="1"/>
  <c r="K151" i="1"/>
  <c r="M151" i="1"/>
  <c r="N151" i="1" s="1"/>
  <c r="Y151" i="1"/>
  <c r="Z151" i="1"/>
  <c r="AA151" i="1" s="1"/>
  <c r="AB151" i="1"/>
  <c r="AC151" i="1"/>
  <c r="AD151" i="1"/>
  <c r="AG151" i="1" s="1"/>
  <c r="AE151" i="1"/>
  <c r="AM151" i="1"/>
  <c r="K152" i="1"/>
  <c r="M152" i="1"/>
  <c r="N152" i="1" s="1"/>
  <c r="Y152" i="1"/>
  <c r="Z152" i="1"/>
  <c r="AB152" i="1"/>
  <c r="AC152" i="1"/>
  <c r="AD152" i="1"/>
  <c r="T152" i="1" s="1"/>
  <c r="AE152" i="1"/>
  <c r="AM152" i="1"/>
  <c r="K153" i="1"/>
  <c r="M153" i="1"/>
  <c r="N153" i="1" s="1"/>
  <c r="Y153" i="1"/>
  <c r="Z153" i="1"/>
  <c r="AB153" i="1"/>
  <c r="AC153" i="1"/>
  <c r="AD153" i="1"/>
  <c r="AE153" i="1"/>
  <c r="AM153" i="1"/>
  <c r="K154" i="1"/>
  <c r="M154" i="1"/>
  <c r="N154" i="1" s="1"/>
  <c r="Y154" i="1"/>
  <c r="Z154" i="1"/>
  <c r="AB154" i="1"/>
  <c r="AC154" i="1"/>
  <c r="AD154" i="1"/>
  <c r="T154" i="1" s="1"/>
  <c r="AE154" i="1"/>
  <c r="AM154" i="1"/>
  <c r="K155" i="1"/>
  <c r="M155" i="1"/>
  <c r="N155" i="1" s="1"/>
  <c r="Y155" i="1"/>
  <c r="Z155" i="1"/>
  <c r="AB155" i="1"/>
  <c r="AC155" i="1"/>
  <c r="AD155" i="1"/>
  <c r="AG155" i="1" s="1"/>
  <c r="AE155" i="1"/>
  <c r="AM155" i="1"/>
  <c r="K203" i="1"/>
  <c r="M203" i="1"/>
  <c r="N203" i="1" s="1"/>
  <c r="Y203" i="1"/>
  <c r="Z203" i="1"/>
  <c r="AB203" i="1"/>
  <c r="AC203" i="1"/>
  <c r="AD203" i="1"/>
  <c r="T203" i="1" s="1"/>
  <c r="AE203" i="1"/>
  <c r="AM156" i="1"/>
  <c r="K204" i="1"/>
  <c r="M204" i="1"/>
  <c r="N204" i="1" s="1"/>
  <c r="Y204" i="1"/>
  <c r="Z204" i="1"/>
  <c r="AB204" i="1"/>
  <c r="AC204" i="1"/>
  <c r="AD204" i="1"/>
  <c r="AE204" i="1"/>
  <c r="AM157" i="1"/>
  <c r="K205" i="1"/>
  <c r="M205" i="1"/>
  <c r="N205" i="1" s="1"/>
  <c r="Y205" i="1"/>
  <c r="Z205" i="1"/>
  <c r="AB205" i="1"/>
  <c r="AC205" i="1"/>
  <c r="AD205" i="1"/>
  <c r="AG205" i="1" s="1"/>
  <c r="AE205" i="1"/>
  <c r="AM158" i="1"/>
  <c r="K206" i="1"/>
  <c r="M206" i="1"/>
  <c r="N206" i="1" s="1"/>
  <c r="Y206" i="1"/>
  <c r="Z206" i="1"/>
  <c r="AB206" i="1"/>
  <c r="AC206" i="1"/>
  <c r="AD206" i="1"/>
  <c r="AG206" i="1" s="1"/>
  <c r="AE206" i="1"/>
  <c r="AM159" i="1"/>
  <c r="K207" i="1"/>
  <c r="M207" i="1"/>
  <c r="N207" i="1" s="1"/>
  <c r="Y207" i="1"/>
  <c r="Z207" i="1"/>
  <c r="AB207" i="1"/>
  <c r="AC207" i="1"/>
  <c r="AD207" i="1"/>
  <c r="T207" i="1" s="1"/>
  <c r="AE207" i="1"/>
  <c r="AM160" i="1"/>
  <c r="K208" i="1"/>
  <c r="M208" i="1"/>
  <c r="N208" i="1" s="1"/>
  <c r="Y208" i="1"/>
  <c r="Z208" i="1"/>
  <c r="AB208" i="1"/>
  <c r="AC208" i="1"/>
  <c r="AD208" i="1"/>
  <c r="AE208" i="1"/>
  <c r="AM161" i="1"/>
  <c r="K209" i="1"/>
  <c r="M209" i="1"/>
  <c r="N209" i="1" s="1"/>
  <c r="Y209" i="1"/>
  <c r="Z209" i="1"/>
  <c r="AB209" i="1"/>
  <c r="AC209" i="1"/>
  <c r="AD209" i="1"/>
  <c r="T209" i="1" s="1"/>
  <c r="AE209" i="1"/>
  <c r="AM162" i="1"/>
  <c r="K210" i="1"/>
  <c r="M210" i="1"/>
  <c r="N210" i="1" s="1"/>
  <c r="Y210" i="1"/>
  <c r="Z210" i="1"/>
  <c r="AI210" i="1" s="1"/>
  <c r="AB210" i="1"/>
  <c r="AC210" i="1"/>
  <c r="AD210" i="1"/>
  <c r="AG210" i="1" s="1"/>
  <c r="AE210" i="1"/>
  <c r="AM163" i="1"/>
  <c r="K211" i="1"/>
  <c r="M211" i="1"/>
  <c r="N211" i="1" s="1"/>
  <c r="Y211" i="1"/>
  <c r="Z211" i="1"/>
  <c r="AB211" i="1"/>
  <c r="AC211" i="1"/>
  <c r="AD211" i="1"/>
  <c r="T211" i="1" s="1"/>
  <c r="AE211" i="1"/>
  <c r="AM164" i="1"/>
  <c r="K212" i="1"/>
  <c r="M212" i="1"/>
  <c r="N212" i="1" s="1"/>
  <c r="Y212" i="1"/>
  <c r="Z212" i="1"/>
  <c r="AB212" i="1"/>
  <c r="AC212" i="1"/>
  <c r="AD212" i="1"/>
  <c r="AE212" i="1"/>
  <c r="AM165" i="1"/>
  <c r="K213" i="1"/>
  <c r="M213" i="1"/>
  <c r="N213" i="1" s="1"/>
  <c r="Y213" i="1"/>
  <c r="Z213" i="1"/>
  <c r="AB213" i="1"/>
  <c r="AC213" i="1"/>
  <c r="AD213" i="1"/>
  <c r="T213" i="1" s="1"/>
  <c r="AE213" i="1"/>
  <c r="AM166" i="1"/>
  <c r="K214" i="1"/>
  <c r="M214" i="1"/>
  <c r="N214" i="1" s="1"/>
  <c r="Y214" i="1"/>
  <c r="Z214" i="1"/>
  <c r="AI214" i="1" s="1"/>
  <c r="AB214" i="1"/>
  <c r="AC214" i="1"/>
  <c r="AD214" i="1"/>
  <c r="AG214" i="1" s="1"/>
  <c r="AE214" i="1"/>
  <c r="AM167" i="1"/>
  <c r="K222" i="1"/>
  <c r="M222" i="1"/>
  <c r="N222" i="1" s="1"/>
  <c r="Y222" i="1"/>
  <c r="Z222" i="1"/>
  <c r="AB222" i="1"/>
  <c r="AC222" i="1"/>
  <c r="AD222" i="1"/>
  <c r="T222" i="1" s="1"/>
  <c r="AE222" i="1"/>
  <c r="AM168" i="1"/>
  <c r="K223" i="1"/>
  <c r="M223" i="1"/>
  <c r="N223" i="1" s="1"/>
  <c r="Y223" i="1"/>
  <c r="Z223" i="1"/>
  <c r="AB223" i="1"/>
  <c r="AC223" i="1"/>
  <c r="AD223" i="1"/>
  <c r="AE223" i="1"/>
  <c r="AM169" i="1"/>
  <c r="K224" i="1"/>
  <c r="M224" i="1"/>
  <c r="N224" i="1" s="1"/>
  <c r="Y224" i="1"/>
  <c r="Z224" i="1"/>
  <c r="AB224" i="1"/>
  <c r="AC224" i="1"/>
  <c r="AD224" i="1"/>
  <c r="AE224" i="1"/>
  <c r="AM170" i="1"/>
  <c r="K225" i="1"/>
  <c r="M225" i="1"/>
  <c r="N225" i="1" s="1"/>
  <c r="Y225" i="1"/>
  <c r="Z225" i="1"/>
  <c r="AB225" i="1"/>
  <c r="AC225" i="1"/>
  <c r="AD225" i="1"/>
  <c r="AE225" i="1"/>
  <c r="AM171" i="1"/>
  <c r="K226" i="1"/>
  <c r="M226" i="1"/>
  <c r="N226" i="1" s="1"/>
  <c r="Y226" i="1"/>
  <c r="Z226" i="1"/>
  <c r="AB226" i="1"/>
  <c r="AC226" i="1"/>
  <c r="AD226" i="1"/>
  <c r="T226" i="1" s="1"/>
  <c r="AE226" i="1"/>
  <c r="AM172" i="1"/>
  <c r="K228" i="1"/>
  <c r="M228" i="1"/>
  <c r="N228" i="1" s="1"/>
  <c r="Y228" i="1"/>
  <c r="Z228" i="1"/>
  <c r="AB228" i="1"/>
  <c r="AC228" i="1"/>
  <c r="AD228" i="1"/>
  <c r="X228" i="1" s="1"/>
  <c r="AE228" i="1"/>
  <c r="AM173" i="1"/>
  <c r="K229" i="1"/>
  <c r="M229" i="1"/>
  <c r="N229" i="1" s="1"/>
  <c r="Y229" i="1"/>
  <c r="Z229" i="1"/>
  <c r="AB229" i="1"/>
  <c r="AC229" i="1"/>
  <c r="AD229" i="1"/>
  <c r="T229" i="1" s="1"/>
  <c r="AE229" i="1"/>
  <c r="AM174" i="1"/>
  <c r="K230" i="1"/>
  <c r="M230" i="1"/>
  <c r="N230" i="1" s="1"/>
  <c r="Y230" i="1"/>
  <c r="Z230" i="1"/>
  <c r="AB230" i="1"/>
  <c r="AC230" i="1"/>
  <c r="AD230" i="1"/>
  <c r="T230" i="1" s="1"/>
  <c r="AE230" i="1"/>
  <c r="AM175" i="1"/>
  <c r="K231" i="1"/>
  <c r="M231" i="1"/>
  <c r="N231" i="1" s="1"/>
  <c r="Y231" i="1"/>
  <c r="Z231" i="1"/>
  <c r="AI231" i="1" s="1"/>
  <c r="AB231" i="1"/>
  <c r="AC231" i="1"/>
  <c r="AD231" i="1"/>
  <c r="AG231" i="1" s="1"/>
  <c r="AE231" i="1"/>
  <c r="AM176" i="1"/>
  <c r="K232" i="1"/>
  <c r="M232" i="1"/>
  <c r="N232" i="1"/>
  <c r="Y232" i="1"/>
  <c r="Z232" i="1"/>
  <c r="AB232" i="1"/>
  <c r="AC232" i="1"/>
  <c r="AD232" i="1"/>
  <c r="AG232" i="1" s="1"/>
  <c r="AE232" i="1"/>
  <c r="AM177" i="1"/>
  <c r="K233" i="1"/>
  <c r="M233" i="1"/>
  <c r="N233" i="1" s="1"/>
  <c r="Y233" i="1"/>
  <c r="Z233" i="1"/>
  <c r="AB233" i="1"/>
  <c r="AC233" i="1"/>
  <c r="AD233" i="1"/>
  <c r="T233" i="1" s="1"/>
  <c r="AE233" i="1"/>
  <c r="AM178" i="1"/>
  <c r="K234" i="1"/>
  <c r="M234" i="1"/>
  <c r="N234" i="1" s="1"/>
  <c r="Y234" i="1"/>
  <c r="Z234" i="1"/>
  <c r="AB234" i="1"/>
  <c r="AC234" i="1"/>
  <c r="AD234" i="1"/>
  <c r="AE234" i="1"/>
  <c r="AM179" i="1"/>
  <c r="K235" i="1"/>
  <c r="M235" i="1"/>
  <c r="N235" i="1" s="1"/>
  <c r="Y235" i="1"/>
  <c r="Z235" i="1"/>
  <c r="AB235" i="1"/>
  <c r="AC235" i="1"/>
  <c r="AD235" i="1"/>
  <c r="T235" i="1" s="1"/>
  <c r="AE235" i="1"/>
  <c r="AM180" i="1"/>
  <c r="K236" i="1"/>
  <c r="M236" i="1"/>
  <c r="N236" i="1" s="1"/>
  <c r="Y236" i="1"/>
  <c r="Z236" i="1"/>
  <c r="AB236" i="1"/>
  <c r="AC236" i="1"/>
  <c r="AD236" i="1"/>
  <c r="AG236" i="1" s="1"/>
  <c r="AE236" i="1"/>
  <c r="AM181" i="1"/>
  <c r="K237" i="1"/>
  <c r="M237" i="1"/>
  <c r="N237" i="1" s="1"/>
  <c r="Y237" i="1"/>
  <c r="Z237" i="1"/>
  <c r="AB237" i="1"/>
  <c r="AC237" i="1"/>
  <c r="AD237" i="1"/>
  <c r="AG237" i="1" s="1"/>
  <c r="AE237" i="1"/>
  <c r="AM182" i="1"/>
  <c r="K238" i="1"/>
  <c r="M238" i="1"/>
  <c r="N238" i="1" s="1"/>
  <c r="Y238" i="1"/>
  <c r="Z238" i="1"/>
  <c r="AB238" i="1"/>
  <c r="AC238" i="1"/>
  <c r="AD238" i="1"/>
  <c r="AG238" i="1" s="1"/>
  <c r="AE238" i="1"/>
  <c r="AM183" i="1"/>
  <c r="K239" i="1"/>
  <c r="M239" i="1"/>
  <c r="N239" i="1" s="1"/>
  <c r="Y239" i="1"/>
  <c r="Z239" i="1"/>
  <c r="AB239" i="1"/>
  <c r="AC239" i="1"/>
  <c r="AD239" i="1"/>
  <c r="T239" i="1" s="1"/>
  <c r="AE239" i="1"/>
  <c r="AM184" i="1"/>
  <c r="K156" i="1"/>
  <c r="M156" i="1"/>
  <c r="N156" i="1" s="1"/>
  <c r="Y156" i="1"/>
  <c r="Z156" i="1"/>
  <c r="AB156" i="1"/>
  <c r="AC156" i="1"/>
  <c r="AD156" i="1"/>
  <c r="AG156" i="1" s="1"/>
  <c r="AE156" i="1"/>
  <c r="AM185" i="1"/>
  <c r="K157" i="1"/>
  <c r="M157" i="1"/>
  <c r="N157" i="1" s="1"/>
  <c r="Y157" i="1"/>
  <c r="Z157" i="1"/>
  <c r="AB157" i="1"/>
  <c r="AC157" i="1"/>
  <c r="AD157" i="1"/>
  <c r="AG157" i="1" s="1"/>
  <c r="AE157" i="1"/>
  <c r="AM186" i="1"/>
  <c r="K158" i="1"/>
  <c r="M158" i="1"/>
  <c r="N158" i="1" s="1"/>
  <c r="Y158" i="1"/>
  <c r="Z158" i="1"/>
  <c r="AB158" i="1"/>
  <c r="AC158" i="1"/>
  <c r="AD158" i="1"/>
  <c r="AE158" i="1"/>
  <c r="AM187" i="1"/>
  <c r="K159" i="1"/>
  <c r="M159" i="1"/>
  <c r="N159" i="1" s="1"/>
  <c r="Y159" i="1"/>
  <c r="Z159" i="1"/>
  <c r="AB159" i="1"/>
  <c r="AC159" i="1"/>
  <c r="AD159" i="1"/>
  <c r="T159" i="1" s="1"/>
  <c r="AE159" i="1"/>
  <c r="AM188" i="1"/>
  <c r="K160" i="1"/>
  <c r="M160" i="1"/>
  <c r="N160" i="1" s="1"/>
  <c r="Y160" i="1"/>
  <c r="Z160" i="1"/>
  <c r="AB160" i="1"/>
  <c r="AC160" i="1"/>
  <c r="AD160" i="1"/>
  <c r="AG160" i="1" s="1"/>
  <c r="AE160" i="1"/>
  <c r="AM189" i="1"/>
  <c r="K161" i="1"/>
  <c r="M161" i="1"/>
  <c r="N161" i="1" s="1"/>
  <c r="Y161" i="1"/>
  <c r="Z161" i="1"/>
  <c r="AB161" i="1"/>
  <c r="AC161" i="1"/>
  <c r="AD161" i="1"/>
  <c r="AG161" i="1" s="1"/>
  <c r="AE161" i="1"/>
  <c r="AM190" i="1"/>
  <c r="K162" i="1"/>
  <c r="M162" i="1"/>
  <c r="N162" i="1" s="1"/>
  <c r="Y162" i="1"/>
  <c r="Z162" i="1"/>
  <c r="AB162" i="1"/>
  <c r="AC162" i="1"/>
  <c r="AD162" i="1"/>
  <c r="T162" i="1" s="1"/>
  <c r="AE162" i="1"/>
  <c r="AM191" i="1"/>
  <c r="K163" i="1"/>
  <c r="M163" i="1"/>
  <c r="N163" i="1" s="1"/>
  <c r="Y163" i="1"/>
  <c r="Z163" i="1"/>
  <c r="AB163" i="1"/>
  <c r="AC163" i="1"/>
  <c r="AD163" i="1"/>
  <c r="T163" i="1" s="1"/>
  <c r="AE163" i="1"/>
  <c r="AM192" i="1"/>
  <c r="K164" i="1"/>
  <c r="M164" i="1"/>
  <c r="N164" i="1" s="1"/>
  <c r="Y164" i="1"/>
  <c r="Z164" i="1"/>
  <c r="AB164" i="1"/>
  <c r="AC164" i="1"/>
  <c r="AD164" i="1"/>
  <c r="AG164" i="1" s="1"/>
  <c r="AE164" i="1"/>
  <c r="R32" i="3" s="1"/>
  <c r="AM193" i="1"/>
  <c r="K165" i="1"/>
  <c r="M165" i="1"/>
  <c r="N165" i="1" s="1"/>
  <c r="Y165" i="1"/>
  <c r="Z165" i="1"/>
  <c r="AB165" i="1"/>
  <c r="AC165" i="1"/>
  <c r="AD165" i="1"/>
  <c r="AG165" i="1" s="1"/>
  <c r="AE165" i="1"/>
  <c r="AM194" i="1"/>
  <c r="K240" i="1"/>
  <c r="M240" i="1"/>
  <c r="N240" i="1" s="1"/>
  <c r="Y240" i="1"/>
  <c r="Z240" i="1"/>
  <c r="AB240" i="1"/>
  <c r="AC240" i="1"/>
  <c r="AD240" i="1"/>
  <c r="AE240" i="1"/>
  <c r="AM195" i="1"/>
  <c r="K241" i="1"/>
  <c r="M241" i="1"/>
  <c r="N241" i="1" s="1"/>
  <c r="Y241" i="1"/>
  <c r="Z241" i="1"/>
  <c r="AB241" i="1"/>
  <c r="AC241" i="1"/>
  <c r="AD241" i="1"/>
  <c r="T241" i="1" s="1"/>
  <c r="AE241" i="1"/>
  <c r="AM196" i="1"/>
  <c r="K166" i="1"/>
  <c r="M166" i="1"/>
  <c r="N166" i="1" s="1"/>
  <c r="Y166" i="1"/>
  <c r="Z166" i="1"/>
  <c r="AB166" i="1"/>
  <c r="AC166" i="1"/>
  <c r="AD166" i="1"/>
  <c r="AG166" i="1" s="1"/>
  <c r="AE166" i="1"/>
  <c r="AM197" i="1"/>
  <c r="K167" i="1"/>
  <c r="M167" i="1"/>
  <c r="N167" i="1" s="1"/>
  <c r="Y167" i="1"/>
  <c r="Z167" i="1"/>
  <c r="AA167" i="1" s="1"/>
  <c r="AB167" i="1"/>
  <c r="AC167" i="1"/>
  <c r="AD167" i="1"/>
  <c r="T167" i="1" s="1"/>
  <c r="AE167" i="1"/>
  <c r="AM198" i="1"/>
  <c r="K168" i="1"/>
  <c r="M168" i="1"/>
  <c r="N168" i="1" s="1"/>
  <c r="Y168" i="1"/>
  <c r="Z168" i="1"/>
  <c r="AB168" i="1"/>
  <c r="AC168" i="1"/>
  <c r="AD168" i="1"/>
  <c r="AE168" i="1"/>
  <c r="R31" i="3" s="1"/>
  <c r="AM199" i="1"/>
  <c r="K169" i="1"/>
  <c r="M169" i="1"/>
  <c r="N169" i="1" s="1"/>
  <c r="Y169" i="1"/>
  <c r="Z169" i="1"/>
  <c r="AB169" i="1"/>
  <c r="AC169" i="1"/>
  <c r="AD169" i="1"/>
  <c r="T169" i="1" s="1"/>
  <c r="AE169" i="1"/>
  <c r="AM200" i="1"/>
  <c r="K170" i="1"/>
  <c r="M170" i="1"/>
  <c r="N170" i="1" s="1"/>
  <c r="Y170" i="1"/>
  <c r="Z170" i="1"/>
  <c r="AB170" i="1"/>
  <c r="AC170" i="1"/>
  <c r="AD170" i="1"/>
  <c r="AG170" i="1" s="1"/>
  <c r="AE170" i="1"/>
  <c r="AM201" i="1"/>
  <c r="K171" i="1"/>
  <c r="M171" i="1"/>
  <c r="N171" i="1" s="1"/>
  <c r="Y171" i="1"/>
  <c r="Z171" i="1"/>
  <c r="AB171" i="1"/>
  <c r="AC171" i="1"/>
  <c r="AD171" i="1"/>
  <c r="AG171" i="1" s="1"/>
  <c r="AE171" i="1"/>
  <c r="AM202" i="1"/>
  <c r="K172" i="1"/>
  <c r="M172" i="1"/>
  <c r="N172" i="1" s="1"/>
  <c r="Y172" i="1"/>
  <c r="Z172" i="1"/>
  <c r="AB172" i="1"/>
  <c r="AC172" i="1"/>
  <c r="AD172" i="1"/>
  <c r="AE172" i="1"/>
  <c r="AM203" i="1"/>
  <c r="K173" i="1"/>
  <c r="M173" i="1"/>
  <c r="N173" i="1" s="1"/>
  <c r="Y173" i="1"/>
  <c r="Z173" i="1"/>
  <c r="AB173" i="1"/>
  <c r="AC173" i="1"/>
  <c r="AD173" i="1"/>
  <c r="T173" i="1" s="1"/>
  <c r="AE173" i="1"/>
  <c r="AM204" i="1"/>
  <c r="K174" i="1"/>
  <c r="M174" i="1"/>
  <c r="N174" i="1" s="1"/>
  <c r="Y174" i="1"/>
  <c r="Z174" i="1"/>
  <c r="AB174" i="1"/>
  <c r="AC174" i="1"/>
  <c r="AD174" i="1"/>
  <c r="AG174" i="1" s="1"/>
  <c r="AE174" i="1"/>
  <c r="AM205" i="1"/>
  <c r="K175" i="1"/>
  <c r="M175" i="1"/>
  <c r="N175" i="1" s="1"/>
  <c r="Y175" i="1"/>
  <c r="Z175" i="1"/>
  <c r="AB175" i="1"/>
  <c r="AC175" i="1"/>
  <c r="AD175" i="1"/>
  <c r="AG175" i="1" s="1"/>
  <c r="AE175" i="1"/>
  <c r="AM206" i="1"/>
  <c r="K242" i="1"/>
  <c r="M242" i="1"/>
  <c r="N242" i="1" s="1"/>
  <c r="Y242" i="1"/>
  <c r="Z242" i="1"/>
  <c r="AB242" i="1"/>
  <c r="AC242" i="1"/>
  <c r="AD242" i="1"/>
  <c r="T242" i="1" s="1"/>
  <c r="AE242" i="1"/>
  <c r="AM207" i="1"/>
  <c r="K243" i="1"/>
  <c r="M243" i="1"/>
  <c r="N243" i="1" s="1"/>
  <c r="Y243" i="1"/>
  <c r="Z243" i="1"/>
  <c r="AB243" i="1"/>
  <c r="AC243" i="1"/>
  <c r="AD243" i="1"/>
  <c r="T243" i="1" s="1"/>
  <c r="AE243" i="1"/>
  <c r="AM208" i="1"/>
  <c r="K176" i="1"/>
  <c r="M176" i="1"/>
  <c r="N176" i="1" s="1"/>
  <c r="Y176" i="1"/>
  <c r="Z176" i="1"/>
  <c r="AB176" i="1"/>
  <c r="AC176" i="1"/>
  <c r="AD176" i="1"/>
  <c r="AG176" i="1" s="1"/>
  <c r="AE176" i="1"/>
  <c r="AM209" i="1"/>
  <c r="K177" i="1"/>
  <c r="M177" i="1"/>
  <c r="N177" i="1" s="1"/>
  <c r="Y177" i="1"/>
  <c r="Z177" i="1"/>
  <c r="AB177" i="1"/>
  <c r="AC177" i="1"/>
  <c r="AD177" i="1"/>
  <c r="AG177" i="1" s="1"/>
  <c r="AE177" i="1"/>
  <c r="AM210" i="1"/>
  <c r="K178" i="1"/>
  <c r="M178" i="1"/>
  <c r="N178" i="1" s="1"/>
  <c r="Y178" i="1"/>
  <c r="Z178" i="1"/>
  <c r="AB178" i="1"/>
  <c r="AC178" i="1"/>
  <c r="AD178" i="1"/>
  <c r="T178" i="1" s="1"/>
  <c r="AE178" i="1"/>
  <c r="AM211" i="1"/>
  <c r="K179" i="1"/>
  <c r="M179" i="1"/>
  <c r="N179" i="1" s="1"/>
  <c r="Y179" i="1"/>
  <c r="Z179" i="1"/>
  <c r="AB179" i="1"/>
  <c r="AC179" i="1"/>
  <c r="AD179" i="1"/>
  <c r="T179" i="1" s="1"/>
  <c r="AE179" i="1"/>
  <c r="AM212" i="1"/>
  <c r="K180" i="1"/>
  <c r="M180" i="1"/>
  <c r="N180" i="1" s="1"/>
  <c r="Y180" i="1"/>
  <c r="Z180" i="1"/>
  <c r="AB180" i="1"/>
  <c r="AC180" i="1"/>
  <c r="AD180" i="1"/>
  <c r="AG180" i="1" s="1"/>
  <c r="AE180" i="1"/>
  <c r="AM213" i="1"/>
  <c r="K181" i="1"/>
  <c r="M181" i="1"/>
  <c r="N181" i="1" s="1"/>
  <c r="Y181" i="1"/>
  <c r="Z181" i="1"/>
  <c r="AB181" i="1"/>
  <c r="AC181" i="1"/>
  <c r="AD181" i="1"/>
  <c r="T181" i="1" s="1"/>
  <c r="AE181" i="1"/>
  <c r="AM214" i="1"/>
  <c r="K182" i="1"/>
  <c r="M182" i="1"/>
  <c r="N182" i="1" s="1"/>
  <c r="Y182" i="1"/>
  <c r="Z182" i="1"/>
  <c r="AB182" i="1"/>
  <c r="AC182" i="1"/>
  <c r="AD182" i="1"/>
  <c r="AE182" i="1"/>
  <c r="AM215" i="1"/>
  <c r="K183" i="1"/>
  <c r="M183" i="1"/>
  <c r="N183" i="1" s="1"/>
  <c r="Y183" i="1"/>
  <c r="Z183" i="1"/>
  <c r="AB183" i="1"/>
  <c r="AC183" i="1"/>
  <c r="AD183" i="1"/>
  <c r="T183" i="1" s="1"/>
  <c r="AE183" i="1"/>
  <c r="AM216" i="1"/>
  <c r="K184" i="1"/>
  <c r="M184" i="1"/>
  <c r="N184" i="1" s="1"/>
  <c r="Y184" i="1"/>
  <c r="Z184" i="1"/>
  <c r="AB184" i="1"/>
  <c r="AC184" i="1"/>
  <c r="AD184" i="1"/>
  <c r="AG184" i="1" s="1"/>
  <c r="AE184" i="1"/>
  <c r="AM217" i="1"/>
  <c r="K185" i="1"/>
  <c r="M185" i="1"/>
  <c r="N185" i="1" s="1"/>
  <c r="Y185" i="1"/>
  <c r="Z185" i="1"/>
  <c r="AB185" i="1"/>
  <c r="AC185" i="1"/>
  <c r="AD185" i="1"/>
  <c r="T185" i="1" s="1"/>
  <c r="AE185" i="1"/>
  <c r="AM218" i="1"/>
  <c r="K186" i="1"/>
  <c r="M186" i="1"/>
  <c r="N186" i="1" s="1"/>
  <c r="Y186" i="1"/>
  <c r="Z186" i="1"/>
  <c r="AB186" i="1"/>
  <c r="AC186" i="1"/>
  <c r="AD186" i="1"/>
  <c r="AE186" i="1"/>
  <c r="AM219" i="1"/>
  <c r="K187" i="1"/>
  <c r="M187" i="1"/>
  <c r="N187" i="1" s="1"/>
  <c r="Y187" i="1"/>
  <c r="Z187" i="1"/>
  <c r="AB187" i="1"/>
  <c r="AC187" i="1"/>
  <c r="AD187" i="1"/>
  <c r="T187" i="1" s="1"/>
  <c r="AE187" i="1"/>
  <c r="AM220" i="1"/>
  <c r="K188" i="1"/>
  <c r="M188" i="1"/>
  <c r="N188" i="1" s="1"/>
  <c r="Y188" i="1"/>
  <c r="Z188" i="1"/>
  <c r="AB188" i="1"/>
  <c r="AC188" i="1"/>
  <c r="AD188" i="1"/>
  <c r="AG188" i="1" s="1"/>
  <c r="AE188" i="1"/>
  <c r="AM221" i="1"/>
  <c r="K189" i="1"/>
  <c r="M189" i="1"/>
  <c r="N189" i="1" s="1"/>
  <c r="Y189" i="1"/>
  <c r="Z189" i="1"/>
  <c r="AB189" i="1"/>
  <c r="AC189" i="1"/>
  <c r="AD189" i="1"/>
  <c r="AG189" i="1" s="1"/>
  <c r="AE189" i="1"/>
  <c r="AM222" i="1"/>
  <c r="K190" i="1"/>
  <c r="M190" i="1"/>
  <c r="N190" i="1" s="1"/>
  <c r="Y190" i="1"/>
  <c r="Z190" i="1"/>
  <c r="AB190" i="1"/>
  <c r="AC190" i="1"/>
  <c r="AD190" i="1"/>
  <c r="AE190" i="1"/>
  <c r="AM223" i="1"/>
  <c r="K191" i="1"/>
  <c r="M191" i="1"/>
  <c r="N191" i="1" s="1"/>
  <c r="Y191" i="1"/>
  <c r="Z191" i="1"/>
  <c r="AB191" i="1"/>
  <c r="AC191" i="1"/>
  <c r="AD191" i="1"/>
  <c r="T191" i="1" s="1"/>
  <c r="AE191" i="1"/>
  <c r="AM224" i="1"/>
  <c r="K192" i="1"/>
  <c r="M192" i="1"/>
  <c r="N192" i="1" s="1"/>
  <c r="Y192" i="1"/>
  <c r="Z192" i="1"/>
  <c r="AB192" i="1"/>
  <c r="AC192" i="1"/>
  <c r="AD192" i="1"/>
  <c r="AG192" i="1" s="1"/>
  <c r="AE192" i="1"/>
  <c r="AM225" i="1"/>
  <c r="K193" i="1"/>
  <c r="M193" i="1"/>
  <c r="N193" i="1" s="1"/>
  <c r="Y193" i="1"/>
  <c r="Z193" i="1"/>
  <c r="AB193" i="1"/>
  <c r="AC193" i="1"/>
  <c r="AD193" i="1"/>
  <c r="AG193" i="1" s="1"/>
  <c r="AE193" i="1"/>
  <c r="AM226" i="1"/>
  <c r="K194" i="1"/>
  <c r="M194" i="1"/>
  <c r="N194" i="1" s="1"/>
  <c r="Y194" i="1"/>
  <c r="Z194" i="1"/>
  <c r="AB194" i="1"/>
  <c r="AC194" i="1"/>
  <c r="AD194" i="1"/>
  <c r="AE194" i="1"/>
  <c r="AM228" i="1"/>
  <c r="K195" i="1"/>
  <c r="M195" i="1"/>
  <c r="N195" i="1" s="1"/>
  <c r="Y195" i="1"/>
  <c r="Z195" i="1"/>
  <c r="AB195" i="1"/>
  <c r="AC195" i="1"/>
  <c r="AD195" i="1"/>
  <c r="T195" i="1" s="1"/>
  <c r="AE195" i="1"/>
  <c r="AM229" i="1"/>
  <c r="K196" i="1"/>
  <c r="M196" i="1"/>
  <c r="N196" i="1" s="1"/>
  <c r="Y196" i="1"/>
  <c r="Z196" i="1"/>
  <c r="AB196" i="1"/>
  <c r="AC196" i="1"/>
  <c r="AD196" i="1"/>
  <c r="AG196" i="1" s="1"/>
  <c r="AE196" i="1"/>
  <c r="AM230" i="1"/>
  <c r="K197" i="1"/>
  <c r="M197" i="1"/>
  <c r="N197" i="1" s="1"/>
  <c r="Y197" i="1"/>
  <c r="Z197" i="1"/>
  <c r="AB197" i="1"/>
  <c r="AC197" i="1"/>
  <c r="AD197" i="1"/>
  <c r="T197" i="1" s="1"/>
  <c r="AE197" i="1"/>
  <c r="AM231" i="1"/>
  <c r="K198" i="1"/>
  <c r="M198" i="1"/>
  <c r="N198" i="1" s="1"/>
  <c r="Y198" i="1"/>
  <c r="Z198" i="1"/>
  <c r="AB198" i="1"/>
  <c r="AC198" i="1"/>
  <c r="AD198" i="1"/>
  <c r="X198" i="1" s="1"/>
  <c r="AE198" i="1"/>
  <c r="AM232" i="1"/>
  <c r="K199" i="1"/>
  <c r="M199" i="1"/>
  <c r="N199" i="1" s="1"/>
  <c r="Y199" i="1"/>
  <c r="Z199" i="1"/>
  <c r="AB199" i="1"/>
  <c r="AC199" i="1"/>
  <c r="AD199" i="1"/>
  <c r="T199" i="1" s="1"/>
  <c r="AE199" i="1"/>
  <c r="AM233" i="1"/>
  <c r="K200" i="1"/>
  <c r="M200" i="1"/>
  <c r="N200" i="1" s="1"/>
  <c r="Y200" i="1"/>
  <c r="Z200" i="1"/>
  <c r="AB200" i="1"/>
  <c r="AC200" i="1"/>
  <c r="AD200" i="1"/>
  <c r="AG200" i="1" s="1"/>
  <c r="AE200" i="1"/>
  <c r="AM234" i="1"/>
  <c r="K201" i="1"/>
  <c r="M201" i="1"/>
  <c r="N201" i="1" s="1"/>
  <c r="Y201" i="1"/>
  <c r="Z201" i="1"/>
  <c r="AB201" i="1"/>
  <c r="AC201" i="1"/>
  <c r="AD201" i="1"/>
  <c r="T201" i="1" s="1"/>
  <c r="AE201" i="1"/>
  <c r="AM235" i="1"/>
  <c r="K202" i="1"/>
  <c r="M202" i="1"/>
  <c r="N202" i="1" s="1"/>
  <c r="Y202" i="1"/>
  <c r="Z202" i="1"/>
  <c r="AB202" i="1"/>
  <c r="AC202" i="1"/>
  <c r="AD202" i="1"/>
  <c r="AE202" i="1"/>
  <c r="AM236" i="1"/>
  <c r="K215" i="1"/>
  <c r="M215" i="1"/>
  <c r="N215" i="1" s="1"/>
  <c r="Y215" i="1"/>
  <c r="Z215" i="1"/>
  <c r="AB215" i="1"/>
  <c r="AC215" i="1"/>
  <c r="AD215" i="1"/>
  <c r="T215" i="1" s="1"/>
  <c r="AE215" i="1"/>
  <c r="AM237" i="1"/>
  <c r="K216" i="1"/>
  <c r="M216" i="1"/>
  <c r="N216" i="1" s="1"/>
  <c r="Y216" i="1"/>
  <c r="Z216" i="1"/>
  <c r="AB216" i="1"/>
  <c r="AC216" i="1"/>
  <c r="AD216" i="1"/>
  <c r="AG216" i="1" s="1"/>
  <c r="AE216" i="1"/>
  <c r="AM238" i="1"/>
  <c r="K217" i="1"/>
  <c r="M217" i="1"/>
  <c r="N217" i="1" s="1"/>
  <c r="Y217" i="1"/>
  <c r="Z217" i="1"/>
  <c r="AB217" i="1"/>
  <c r="AC217" i="1"/>
  <c r="AD217" i="1"/>
  <c r="T217" i="1" s="1"/>
  <c r="AE217" i="1"/>
  <c r="AM239" i="1"/>
  <c r="K218" i="1"/>
  <c r="M218" i="1"/>
  <c r="N218" i="1" s="1"/>
  <c r="Y218" i="1"/>
  <c r="Z218" i="1"/>
  <c r="AB218" i="1"/>
  <c r="AC218" i="1"/>
  <c r="AD218" i="1"/>
  <c r="T218" i="1" s="1"/>
  <c r="AE218" i="1"/>
  <c r="AM240" i="1"/>
  <c r="K219" i="1"/>
  <c r="M219" i="1"/>
  <c r="N219" i="1" s="1"/>
  <c r="Y219" i="1"/>
  <c r="Z219" i="1"/>
  <c r="AB219" i="1"/>
  <c r="AC219" i="1"/>
  <c r="AD219" i="1"/>
  <c r="T219" i="1" s="1"/>
  <c r="AE219" i="1"/>
  <c r="AM241" i="1"/>
  <c r="K220" i="1"/>
  <c r="M220" i="1"/>
  <c r="N220" i="1" s="1"/>
  <c r="Y220" i="1"/>
  <c r="Z220" i="1"/>
  <c r="AB220" i="1"/>
  <c r="AC220" i="1"/>
  <c r="AD220" i="1"/>
  <c r="AG220" i="1" s="1"/>
  <c r="AE220" i="1"/>
  <c r="AM242" i="1"/>
  <c r="K221" i="1"/>
  <c r="M221" i="1"/>
  <c r="N221" i="1" s="1"/>
  <c r="Y221" i="1"/>
  <c r="Z221" i="1"/>
  <c r="AB221" i="1"/>
  <c r="AC221" i="1"/>
  <c r="AD221" i="1"/>
  <c r="AG221" i="1" s="1"/>
  <c r="AE221" i="1"/>
  <c r="AM243" i="1"/>
  <c r="M44" i="3"/>
  <c r="R44" i="3"/>
  <c r="U44" i="3"/>
  <c r="W44" i="3"/>
  <c r="X44" i="3"/>
  <c r="M42" i="3"/>
  <c r="R42" i="3"/>
  <c r="U42" i="3"/>
  <c r="W42" i="3"/>
  <c r="X42" i="3"/>
  <c r="M20" i="3"/>
  <c r="U20" i="3"/>
  <c r="W20" i="3"/>
  <c r="Y20" i="3" s="1"/>
  <c r="X20" i="3"/>
  <c r="M21" i="3"/>
  <c r="U21" i="3"/>
  <c r="W21" i="3"/>
  <c r="X21" i="3"/>
  <c r="M12" i="3"/>
  <c r="R12" i="3"/>
  <c r="U12" i="3"/>
  <c r="W12" i="3"/>
  <c r="X12" i="3"/>
  <c r="M32" i="3"/>
  <c r="U32" i="3"/>
  <c r="W32" i="3"/>
  <c r="X32" i="3"/>
  <c r="M7" i="3"/>
  <c r="R7" i="3"/>
  <c r="U7" i="3"/>
  <c r="W7" i="3"/>
  <c r="X7" i="3"/>
  <c r="M33" i="3"/>
  <c r="R33" i="3"/>
  <c r="U33" i="3"/>
  <c r="W33" i="3"/>
  <c r="X33" i="3"/>
  <c r="M14" i="3"/>
  <c r="U14" i="3"/>
  <c r="W14" i="3"/>
  <c r="X14" i="3"/>
  <c r="M31" i="3"/>
  <c r="U31" i="3"/>
  <c r="W31" i="3"/>
  <c r="X31" i="3"/>
  <c r="M13" i="3"/>
  <c r="U13" i="3"/>
  <c r="W13" i="3"/>
  <c r="X13" i="3"/>
  <c r="M37" i="3"/>
  <c r="R37" i="3"/>
  <c r="U37" i="3"/>
  <c r="W37" i="3"/>
  <c r="Y37" i="3" s="1"/>
  <c r="X37" i="3"/>
  <c r="M19" i="3"/>
  <c r="U19" i="3"/>
  <c r="W19" i="3"/>
  <c r="X19" i="3"/>
  <c r="M26" i="3"/>
  <c r="R26" i="3"/>
  <c r="U26" i="3"/>
  <c r="W26" i="3"/>
  <c r="X26" i="3"/>
  <c r="M11" i="3"/>
  <c r="U11" i="3"/>
  <c r="W11" i="3"/>
  <c r="Y11" i="3" s="1"/>
  <c r="X11" i="3"/>
  <c r="M8" i="3"/>
  <c r="U8" i="3"/>
  <c r="W8" i="3"/>
  <c r="X8" i="3"/>
  <c r="M15" i="3"/>
  <c r="U15" i="3"/>
  <c r="W15" i="3"/>
  <c r="X15" i="3"/>
  <c r="M9" i="3"/>
  <c r="U9" i="3"/>
  <c r="W9" i="3"/>
  <c r="X9" i="3"/>
  <c r="M38" i="3"/>
  <c r="R38" i="3"/>
  <c r="U38" i="3"/>
  <c r="W38" i="3"/>
  <c r="Y38" i="3" s="1"/>
  <c r="X38" i="3"/>
  <c r="M22" i="3"/>
  <c r="U22" i="3"/>
  <c r="W22" i="3"/>
  <c r="X22" i="3"/>
  <c r="M18" i="3"/>
  <c r="R18" i="3"/>
  <c r="U18" i="3"/>
  <c r="W18" i="3"/>
  <c r="X18" i="3"/>
  <c r="M16" i="3"/>
  <c r="U16" i="3"/>
  <c r="W16" i="3"/>
  <c r="Y16" i="3" s="1"/>
  <c r="X16" i="3"/>
  <c r="M23" i="3"/>
  <c r="U23" i="3"/>
  <c r="W23" i="3"/>
  <c r="X23" i="3"/>
  <c r="M39" i="3"/>
  <c r="R39" i="3"/>
  <c r="U39" i="3"/>
  <c r="W39" i="3"/>
  <c r="X39" i="3"/>
  <c r="M27" i="3"/>
  <c r="U27" i="3"/>
  <c r="W27" i="3"/>
  <c r="X27" i="3"/>
  <c r="M40" i="3"/>
  <c r="R40" i="3"/>
  <c r="U40" i="3"/>
  <c r="W40" i="3"/>
  <c r="X40" i="3"/>
  <c r="M34" i="3"/>
  <c r="R34" i="3"/>
  <c r="U34" i="3"/>
  <c r="W34" i="3"/>
  <c r="X34" i="3"/>
  <c r="M10" i="3"/>
  <c r="R10" i="3"/>
  <c r="U10" i="3"/>
  <c r="W10" i="3"/>
  <c r="Y10" i="3" s="1"/>
  <c r="X10" i="3"/>
  <c r="M28" i="3"/>
  <c r="U28" i="3"/>
  <c r="W28" i="3"/>
  <c r="X28" i="3"/>
  <c r="M35" i="3"/>
  <c r="R35" i="3"/>
  <c r="U35" i="3"/>
  <c r="W35" i="3"/>
  <c r="X35" i="3"/>
  <c r="M43" i="3"/>
  <c r="R43" i="3"/>
  <c r="U43" i="3"/>
  <c r="W43" i="3"/>
  <c r="X43" i="3"/>
  <c r="M24" i="3"/>
  <c r="R24" i="3"/>
  <c r="U24" i="3"/>
  <c r="W24" i="3"/>
  <c r="X24" i="3"/>
  <c r="M29" i="3"/>
  <c r="U29" i="3"/>
  <c r="W29" i="3"/>
  <c r="X29" i="3"/>
  <c r="M17" i="3"/>
  <c r="R17" i="3"/>
  <c r="U17" i="3"/>
  <c r="W17" i="3"/>
  <c r="X17" i="3"/>
  <c r="M30" i="3"/>
  <c r="R30" i="3"/>
  <c r="U30" i="3"/>
  <c r="W30" i="3"/>
  <c r="X30" i="3"/>
  <c r="M25" i="3"/>
  <c r="R25" i="3"/>
  <c r="U25" i="3"/>
  <c r="W25" i="3"/>
  <c r="X25" i="3"/>
  <c r="M36" i="3"/>
  <c r="R36" i="3"/>
  <c r="U36" i="3"/>
  <c r="W36" i="3"/>
  <c r="X36" i="3"/>
  <c r="AA169" i="1" l="1"/>
  <c r="AA103" i="1"/>
  <c r="AA75" i="1"/>
  <c r="X40" i="1"/>
  <c r="X36" i="1"/>
  <c r="R20" i="3"/>
  <c r="AG169" i="1"/>
  <c r="AA164" i="1"/>
  <c r="W164" i="1" s="1"/>
  <c r="AA156" i="1"/>
  <c r="AA139" i="1"/>
  <c r="AI170" i="1"/>
  <c r="T238" i="1"/>
  <c r="T205" i="1"/>
  <c r="AA106" i="1"/>
  <c r="AA218" i="1"/>
  <c r="W218" i="1" s="1"/>
  <c r="AI206" i="1"/>
  <c r="AG57" i="1"/>
  <c r="AI57" i="1" s="1"/>
  <c r="X47" i="1"/>
  <c r="AG46" i="1"/>
  <c r="AI46" i="1" s="1"/>
  <c r="AA227" i="1"/>
  <c r="AA27" i="1"/>
  <c r="AA217" i="1"/>
  <c r="AG152" i="1"/>
  <c r="T147" i="1"/>
  <c r="AA105" i="1"/>
  <c r="AA55" i="1"/>
  <c r="AI45" i="1"/>
  <c r="AA41" i="1"/>
  <c r="X38" i="1"/>
  <c r="Y30" i="3"/>
  <c r="Y9" i="3"/>
  <c r="Y42" i="3"/>
  <c r="X172" i="1"/>
  <c r="X240" i="1"/>
  <c r="T224" i="1"/>
  <c r="AG224" i="1"/>
  <c r="AI224" i="1" s="1"/>
  <c r="X186" i="1"/>
  <c r="AA189" i="1"/>
  <c r="AG225" i="1"/>
  <c r="AI225" i="1" s="1"/>
  <c r="X225" i="1"/>
  <c r="AA205" i="1"/>
  <c r="AG124" i="1"/>
  <c r="AA124" i="1"/>
  <c r="AA204" i="1"/>
  <c r="AA146" i="1"/>
  <c r="W146" i="1" s="1"/>
  <c r="T109" i="1"/>
  <c r="AG109" i="1"/>
  <c r="AI119" i="1"/>
  <c r="AA119" i="1"/>
  <c r="W119" i="1" s="1"/>
  <c r="AA109" i="1"/>
  <c r="AA107" i="1"/>
  <c r="X100" i="1"/>
  <c r="AI90" i="1"/>
  <c r="AI86" i="1"/>
  <c r="T53" i="1"/>
  <c r="AG53" i="1"/>
  <c r="W53" i="1" s="1"/>
  <c r="AA66" i="1"/>
  <c r="AA53" i="1"/>
  <c r="X39" i="1"/>
  <c r="X20" i="1"/>
  <c r="X18" i="1"/>
  <c r="AA32" i="1"/>
  <c r="AA28" i="1"/>
  <c r="AA24" i="1"/>
  <c r="T19" i="1"/>
  <c r="X19" i="1"/>
  <c r="X218" i="1"/>
  <c r="AA216" i="1"/>
  <c r="W216" i="1" s="1"/>
  <c r="T177" i="1"/>
  <c r="AA176" i="1"/>
  <c r="AA165" i="1"/>
  <c r="AA157" i="1"/>
  <c r="W157" i="1" s="1"/>
  <c r="AA237" i="1"/>
  <c r="W237" i="1" s="1"/>
  <c r="AA235" i="1"/>
  <c r="AA233" i="1"/>
  <c r="AA89" i="1"/>
  <c r="AG154" i="1"/>
  <c r="AI154" i="1" s="1"/>
  <c r="AA142" i="1"/>
  <c r="AA126" i="1"/>
  <c r="AG120" i="1"/>
  <c r="X120" i="1"/>
  <c r="AG68" i="1"/>
  <c r="X68" i="1"/>
  <c r="AA51" i="1"/>
  <c r="AA49" i="1"/>
  <c r="W49" i="1" s="1"/>
  <c r="X37" i="1"/>
  <c r="AA175" i="1"/>
  <c r="W175" i="1" s="1"/>
  <c r="X158" i="1"/>
  <c r="AA236" i="1"/>
  <c r="W236" i="1" s="1"/>
  <c r="X112" i="1"/>
  <c r="X107" i="1"/>
  <c r="X88" i="1"/>
  <c r="AA31" i="1"/>
  <c r="P25" i="1"/>
  <c r="W169" i="1"/>
  <c r="AA154" i="1"/>
  <c r="W154" i="1" s="1"/>
  <c r="T139" i="1"/>
  <c r="AA127" i="1"/>
  <c r="W127" i="1" s="1"/>
  <c r="AA120" i="1"/>
  <c r="W120" i="1" s="1"/>
  <c r="X76" i="1"/>
  <c r="X72" i="1"/>
  <c r="AA68" i="1"/>
  <c r="AA50" i="1"/>
  <c r="X24" i="1"/>
  <c r="AA20" i="1"/>
  <c r="X35" i="1"/>
  <c r="AG227" i="1"/>
  <c r="W227" i="1" s="1"/>
  <c r="X227" i="1"/>
  <c r="AA181" i="1"/>
  <c r="Y23" i="3"/>
  <c r="X194" i="1"/>
  <c r="X182" i="1"/>
  <c r="T165" i="1"/>
  <c r="X233" i="1"/>
  <c r="T119" i="1"/>
  <c r="AG217" i="1"/>
  <c r="AI217" i="1" s="1"/>
  <c r="AG195" i="1"/>
  <c r="Y21" i="3"/>
  <c r="T186" i="1"/>
  <c r="AI140" i="1"/>
  <c r="Y13" i="3"/>
  <c r="Y7" i="3"/>
  <c r="Y32" i="3"/>
  <c r="Y44" i="3"/>
  <c r="X221" i="1"/>
  <c r="AG218" i="1"/>
  <c r="AI218" i="1" s="1"/>
  <c r="X202" i="1"/>
  <c r="AA197" i="1"/>
  <c r="AA193" i="1"/>
  <c r="W193" i="1" s="1"/>
  <c r="T189" i="1"/>
  <c r="AA188" i="1"/>
  <c r="W188" i="1" s="1"/>
  <c r="AA185" i="1"/>
  <c r="AA177" i="1"/>
  <c r="AA172" i="1"/>
  <c r="T172" i="1"/>
  <c r="AA171" i="1"/>
  <c r="W171" i="1" s="1"/>
  <c r="AA240" i="1"/>
  <c r="T240" i="1"/>
  <c r="AG159" i="1"/>
  <c r="X157" i="1"/>
  <c r="AA239" i="1"/>
  <c r="AG222" i="1"/>
  <c r="AI222" i="1" s="1"/>
  <c r="AA214" i="1"/>
  <c r="W214" i="1" s="1"/>
  <c r="AA211" i="1"/>
  <c r="AA209" i="1"/>
  <c r="X206" i="1"/>
  <c r="AA152" i="1"/>
  <c r="W152" i="1" s="1"/>
  <c r="AA150" i="1"/>
  <c r="W150" i="1" s="1"/>
  <c r="AG142" i="1"/>
  <c r="AI142" i="1" s="1"/>
  <c r="X135" i="1"/>
  <c r="AG134" i="1"/>
  <c r="AI134" i="1" s="1"/>
  <c r="AA132" i="1"/>
  <c r="AG125" i="1"/>
  <c r="AA102" i="1"/>
  <c r="W102" i="1" s="1"/>
  <c r="X99" i="1"/>
  <c r="AA97" i="1"/>
  <c r="AA95" i="1"/>
  <c r="AA85" i="1"/>
  <c r="W85" i="1" s="1"/>
  <c r="AA83" i="1"/>
  <c r="AG73" i="1"/>
  <c r="AI73" i="1" s="1"/>
  <c r="AA42" i="1"/>
  <c r="AA37" i="1"/>
  <c r="AA18" i="1"/>
  <c r="AA16" i="1"/>
  <c r="W16" i="1" s="1"/>
  <c r="X60" i="1"/>
  <c r="X55" i="1"/>
  <c r="AG172" i="1"/>
  <c r="W172" i="1" s="1"/>
  <c r="AG240" i="1"/>
  <c r="AA159" i="1"/>
  <c r="AG239" i="1"/>
  <c r="AI239" i="1" s="1"/>
  <c r="AA224" i="1"/>
  <c r="AG203" i="1"/>
  <c r="AA141" i="1"/>
  <c r="AA134" i="1"/>
  <c r="AA125" i="1"/>
  <c r="AA111" i="1"/>
  <c r="X103" i="1"/>
  <c r="AA101" i="1"/>
  <c r="AA99" i="1"/>
  <c r="AA98" i="1"/>
  <c r="W98" i="1" s="1"/>
  <c r="AA94" i="1"/>
  <c r="W94" i="1" s="1"/>
  <c r="X91" i="1"/>
  <c r="AG85" i="1"/>
  <c r="AI85" i="1" s="1"/>
  <c r="AA82" i="1"/>
  <c r="AA73" i="1"/>
  <c r="AA71" i="1"/>
  <c r="AA67" i="1"/>
  <c r="AA59" i="1"/>
  <c r="X56" i="1"/>
  <c r="X51" i="1"/>
  <c r="AA46" i="1"/>
  <c r="W46" i="1" s="1"/>
  <c r="AA40" i="1"/>
  <c r="X33" i="1"/>
  <c r="X32" i="1"/>
  <c r="AG29" i="1"/>
  <c r="AI29" i="1" s="1"/>
  <c r="X29" i="1"/>
  <c r="AI24" i="1"/>
  <c r="AA19" i="1"/>
  <c r="AA15" i="1"/>
  <c r="AG25" i="1"/>
  <c r="W25" i="1" s="1"/>
  <c r="X25" i="1"/>
  <c r="W205" i="1"/>
  <c r="W142" i="1"/>
  <c r="Y8" i="3"/>
  <c r="R8" i="3"/>
  <c r="Y24" i="3"/>
  <c r="Y34" i="3"/>
  <c r="AA221" i="1"/>
  <c r="W221" i="1" s="1"/>
  <c r="AA215" i="1"/>
  <c r="AA201" i="1"/>
  <c r="AA198" i="1"/>
  <c r="T198" i="1"/>
  <c r="AG197" i="1"/>
  <c r="AA194" i="1"/>
  <c r="T194" i="1"/>
  <c r="T193" i="1"/>
  <c r="AA192" i="1"/>
  <c r="W192" i="1" s="1"/>
  <c r="AA186" i="1"/>
  <c r="AA182" i="1"/>
  <c r="T182" i="1"/>
  <c r="AG178" i="1"/>
  <c r="AI178" i="1" s="1"/>
  <c r="X178" i="1"/>
  <c r="AI176" i="1"/>
  <c r="AG243" i="1"/>
  <c r="AI243" i="1" s="1"/>
  <c r="T171" i="1"/>
  <c r="AA170" i="1"/>
  <c r="W170" i="1" s="1"/>
  <c r="AG163" i="1"/>
  <c r="AI163" i="1" s="1"/>
  <c r="AA160" i="1"/>
  <c r="X234" i="1"/>
  <c r="AG233" i="1"/>
  <c r="W233" i="1" s="1"/>
  <c r="X224" i="1"/>
  <c r="AA222" i="1"/>
  <c r="T214" i="1"/>
  <c r="AG213" i="1"/>
  <c r="AI213" i="1" s="1"/>
  <c r="AA210" i="1"/>
  <c r="W210" i="1" s="1"/>
  <c r="X210" i="1"/>
  <c r="T151" i="1"/>
  <c r="T131" i="1"/>
  <c r="AA38" i="1"/>
  <c r="AA23" i="1"/>
  <c r="T17" i="1"/>
  <c r="W177" i="1"/>
  <c r="W165" i="1"/>
  <c r="X143" i="1"/>
  <c r="AA140" i="1"/>
  <c r="W140" i="1" s="1"/>
  <c r="AG138" i="1"/>
  <c r="AI138" i="1" s="1"/>
  <c r="AG132" i="1"/>
  <c r="AI132" i="1" s="1"/>
  <c r="AA131" i="1"/>
  <c r="W131" i="1" s="1"/>
  <c r="AA130" i="1"/>
  <c r="AA123" i="1"/>
  <c r="W123" i="1" s="1"/>
  <c r="AA117" i="1"/>
  <c r="AA115" i="1"/>
  <c r="AA112" i="1"/>
  <c r="T112" i="1"/>
  <c r="AG111" i="1"/>
  <c r="AI111" i="1" s="1"/>
  <c r="AG96" i="1"/>
  <c r="X96" i="1"/>
  <c r="AA87" i="1"/>
  <c r="AA81" i="1"/>
  <c r="AA79" i="1"/>
  <c r="W79" i="1" s="1"/>
  <c r="AA76" i="1"/>
  <c r="T76" i="1"/>
  <c r="AG75" i="1"/>
  <c r="AI75" i="1" s="1"/>
  <c r="AG67" i="1"/>
  <c r="AA65" i="1"/>
  <c r="AA63" i="1"/>
  <c r="W63" i="1" s="1"/>
  <c r="AA60" i="1"/>
  <c r="T60" i="1"/>
  <c r="AG59" i="1"/>
  <c r="AI59" i="1" s="1"/>
  <c r="AA54" i="1"/>
  <c r="X46" i="1"/>
  <c r="AG43" i="1"/>
  <c r="AG215" i="1"/>
  <c r="AG198" i="1"/>
  <c r="AI198" i="1" s="1"/>
  <c r="AG194" i="1"/>
  <c r="AI194" i="1" s="1"/>
  <c r="AA191" i="1"/>
  <c r="AA187" i="1"/>
  <c r="AG185" i="1"/>
  <c r="AG182" i="1"/>
  <c r="AI182" i="1" s="1"/>
  <c r="AA178" i="1"/>
  <c r="AA243" i="1"/>
  <c r="X168" i="1"/>
  <c r="AI166" i="1"/>
  <c r="AA163" i="1"/>
  <c r="AA161" i="1"/>
  <c r="W161" i="1" s="1"/>
  <c r="AA238" i="1"/>
  <c r="W238" i="1" s="1"/>
  <c r="AA213" i="1"/>
  <c r="AA207" i="1"/>
  <c r="AA148" i="1"/>
  <c r="W124" i="1"/>
  <c r="W109" i="1"/>
  <c r="W106" i="1"/>
  <c r="W57" i="1"/>
  <c r="AA39" i="1"/>
  <c r="AA36" i="1"/>
  <c r="AA35" i="1"/>
  <c r="AG17" i="1"/>
  <c r="AI17" i="1" s="1"/>
  <c r="T210" i="1"/>
  <c r="AA147" i="1"/>
  <c r="W147" i="1" s="1"/>
  <c r="T146" i="1"/>
  <c r="AA145" i="1"/>
  <c r="AA138" i="1"/>
  <c r="AA133" i="1"/>
  <c r="AG130" i="1"/>
  <c r="AI130" i="1" s="1"/>
  <c r="AA122" i="1"/>
  <c r="W122" i="1" s="1"/>
  <c r="AG117" i="1"/>
  <c r="AI117" i="1" s="1"/>
  <c r="AG112" i="1"/>
  <c r="AA110" i="1"/>
  <c r="AA96" i="1"/>
  <c r="AG95" i="1"/>
  <c r="AI95" i="1" s="1"/>
  <c r="AA91" i="1"/>
  <c r="X87" i="1"/>
  <c r="X84" i="1"/>
  <c r="AG81" i="1"/>
  <c r="AI81" i="1" s="1"/>
  <c r="AG76" i="1"/>
  <c r="AA74" i="1"/>
  <c r="AG65" i="1"/>
  <c r="AG60" i="1"/>
  <c r="AI60" i="1" s="1"/>
  <c r="AA58" i="1"/>
  <c r="T49" i="1"/>
  <c r="AA45" i="1"/>
  <c r="W45" i="1" s="1"/>
  <c r="AA44" i="1"/>
  <c r="W44" i="1" s="1"/>
  <c r="X42" i="1"/>
  <c r="AI146" i="1"/>
  <c r="T221" i="1"/>
  <c r="AA220" i="1"/>
  <c r="AA219" i="1"/>
  <c r="AA202" i="1"/>
  <c r="T202" i="1"/>
  <c r="AG201" i="1"/>
  <c r="AG199" i="1"/>
  <c r="X190" i="1"/>
  <c r="AG190" i="1"/>
  <c r="AI190" i="1" s="1"/>
  <c r="T190" i="1"/>
  <c r="AI150" i="1"/>
  <c r="AI123" i="1"/>
  <c r="AG219" i="1"/>
  <c r="AG202" i="1"/>
  <c r="AI202" i="1" s="1"/>
  <c r="AA200" i="1"/>
  <c r="W200" i="1" s="1"/>
  <c r="AA199" i="1"/>
  <c r="AG191" i="1"/>
  <c r="AI191" i="1" s="1"/>
  <c r="AG186" i="1"/>
  <c r="AI186" i="1" s="1"/>
  <c r="AG181" i="1"/>
  <c r="X161" i="1"/>
  <c r="T157" i="1"/>
  <c r="X237" i="1"/>
  <c r="AG235" i="1"/>
  <c r="AI235" i="1" s="1"/>
  <c r="AA232" i="1"/>
  <c r="W232" i="1" s="1"/>
  <c r="AG229" i="1"/>
  <c r="AI229" i="1" s="1"/>
  <c r="AG226" i="1"/>
  <c r="AI226" i="1" s="1"/>
  <c r="AA225" i="1"/>
  <c r="W225" i="1" s="1"/>
  <c r="T225" i="1"/>
  <c r="AA223" i="1"/>
  <c r="X214" i="1"/>
  <c r="AG209" i="1"/>
  <c r="AG207" i="1"/>
  <c r="AI207" i="1" s="1"/>
  <c r="AA206" i="1"/>
  <c r="T206" i="1"/>
  <c r="X205" i="1"/>
  <c r="AA203" i="1"/>
  <c r="W203" i="1" s="1"/>
  <c r="AA153" i="1"/>
  <c r="X151" i="1"/>
  <c r="AG144" i="1"/>
  <c r="AA143" i="1"/>
  <c r="W143" i="1" s="1"/>
  <c r="T143" i="1"/>
  <c r="X142" i="1"/>
  <c r="X139" i="1"/>
  <c r="AG136" i="1"/>
  <c r="AI136" i="1" s="1"/>
  <c r="AA135" i="1"/>
  <c r="T135" i="1"/>
  <c r="X134" i="1"/>
  <c r="X131" i="1"/>
  <c r="AG128" i="1"/>
  <c r="AI128" i="1" s="1"/>
  <c r="AG127" i="1"/>
  <c r="T116" i="1"/>
  <c r="X116" i="1"/>
  <c r="AG116" i="1"/>
  <c r="AI116" i="1" s="1"/>
  <c r="AA196" i="1"/>
  <c r="W196" i="1" s="1"/>
  <c r="AA195" i="1"/>
  <c r="AA190" i="1"/>
  <c r="AG187" i="1"/>
  <c r="AA184" i="1"/>
  <c r="W184" i="1" s="1"/>
  <c r="AA183" i="1"/>
  <c r="X181" i="1"/>
  <c r="AG179" i="1"/>
  <c r="AG242" i="1"/>
  <c r="AI242" i="1" s="1"/>
  <c r="X242" i="1"/>
  <c r="T175" i="1"/>
  <c r="AA174" i="1"/>
  <c r="W174" i="1" s="1"/>
  <c r="AA173" i="1"/>
  <c r="AA168" i="1"/>
  <c r="T168" i="1"/>
  <c r="AG167" i="1"/>
  <c r="AG241" i="1"/>
  <c r="AG162" i="1"/>
  <c r="AI162" i="1" s="1"/>
  <c r="X162" i="1"/>
  <c r="AA158" i="1"/>
  <c r="T158" i="1"/>
  <c r="X238" i="1"/>
  <c r="AA234" i="1"/>
  <c r="T234" i="1"/>
  <c r="AA231" i="1"/>
  <c r="W231" i="1" s="1"/>
  <c r="AA228" i="1"/>
  <c r="AA212" i="1"/>
  <c r="AA155" i="1"/>
  <c r="W155" i="1" s="1"/>
  <c r="T155" i="1"/>
  <c r="X154" i="1"/>
  <c r="T150" i="1"/>
  <c r="AA149" i="1"/>
  <c r="X147" i="1"/>
  <c r="AA137" i="1"/>
  <c r="AA129" i="1"/>
  <c r="X127" i="1"/>
  <c r="X124" i="1"/>
  <c r="X108" i="1"/>
  <c r="AG108" i="1"/>
  <c r="AI108" i="1" s="1"/>
  <c r="T108" i="1"/>
  <c r="T161" i="1"/>
  <c r="T237" i="1"/>
  <c r="X213" i="1"/>
  <c r="AA208" i="1"/>
  <c r="X150" i="1"/>
  <c r="X138" i="1"/>
  <c r="T123" i="1"/>
  <c r="T121" i="1"/>
  <c r="AG121" i="1"/>
  <c r="AG115" i="1"/>
  <c r="W115" i="1" s="1"/>
  <c r="T115" i="1"/>
  <c r="AI79" i="1"/>
  <c r="AI63" i="1"/>
  <c r="W189" i="1"/>
  <c r="X185" i="1"/>
  <c r="AG183" i="1"/>
  <c r="AI183" i="1" s="1"/>
  <c r="AA180" i="1"/>
  <c r="W180" i="1" s="1"/>
  <c r="AA179" i="1"/>
  <c r="AA242" i="1"/>
  <c r="AG173" i="1"/>
  <c r="AG168" i="1"/>
  <c r="AI168" i="1" s="1"/>
  <c r="AA166" i="1"/>
  <c r="W166" i="1" s="1"/>
  <c r="AA241" i="1"/>
  <c r="AA162" i="1"/>
  <c r="AG158" i="1"/>
  <c r="AI158" i="1" s="1"/>
  <c r="AG234" i="1"/>
  <c r="AI234" i="1" s="1"/>
  <c r="AG230" i="1"/>
  <c r="AI230" i="1" s="1"/>
  <c r="X230" i="1"/>
  <c r="AA229" i="1"/>
  <c r="AA226" i="1"/>
  <c r="AG211" i="1"/>
  <c r="X209" i="1"/>
  <c r="X155" i="1"/>
  <c r="AG148" i="1"/>
  <c r="X146" i="1"/>
  <c r="AA144" i="1"/>
  <c r="AA136" i="1"/>
  <c r="X130" i="1"/>
  <c r="AA128" i="1"/>
  <c r="T113" i="1"/>
  <c r="AG113" i="1"/>
  <c r="AI113" i="1" s="1"/>
  <c r="AI28" i="1"/>
  <c r="AA114" i="1"/>
  <c r="W114" i="1" s="1"/>
  <c r="AA113" i="1"/>
  <c r="AA108" i="1"/>
  <c r="AG107" i="1"/>
  <c r="AG104" i="1"/>
  <c r="AI104" i="1" s="1"/>
  <c r="X104" i="1"/>
  <c r="AA100" i="1"/>
  <c r="T100" i="1"/>
  <c r="AG99" i="1"/>
  <c r="X95" i="1"/>
  <c r="AG92" i="1"/>
  <c r="AI92" i="1" s="1"/>
  <c r="X92" i="1"/>
  <c r="X90" i="1"/>
  <c r="AG87" i="1"/>
  <c r="AA86" i="1"/>
  <c r="W86" i="1" s="1"/>
  <c r="AA84" i="1"/>
  <c r="T84" i="1"/>
  <c r="AG83" i="1"/>
  <c r="AG80" i="1"/>
  <c r="AI80" i="1" s="1"/>
  <c r="X80" i="1"/>
  <c r="T79" i="1"/>
  <c r="AA78" i="1"/>
  <c r="AA77" i="1"/>
  <c r="AA72" i="1"/>
  <c r="T72" i="1"/>
  <c r="AG71" i="1"/>
  <c r="AG69" i="1"/>
  <c r="AI69" i="1" s="1"/>
  <c r="AG64" i="1"/>
  <c r="AI64" i="1" s="1"/>
  <c r="X64" i="1"/>
  <c r="T63" i="1"/>
  <c r="AA62" i="1"/>
  <c r="AA61" i="1"/>
  <c r="AA56" i="1"/>
  <c r="T56" i="1"/>
  <c r="AG55" i="1"/>
  <c r="AG52" i="1"/>
  <c r="AI52" i="1" s="1"/>
  <c r="X52" i="1"/>
  <c r="T45" i="1"/>
  <c r="X43" i="1"/>
  <c r="AA34" i="1"/>
  <c r="AA33" i="1"/>
  <c r="T33" i="1"/>
  <c r="AG32" i="1"/>
  <c r="AI32" i="1" s="1"/>
  <c r="X28" i="1"/>
  <c r="AG21" i="1"/>
  <c r="X21" i="1"/>
  <c r="X16" i="1"/>
  <c r="T103" i="1"/>
  <c r="T91" i="1"/>
  <c r="T51" i="1"/>
  <c r="T42" i="1"/>
  <c r="T38" i="1"/>
  <c r="W28" i="1"/>
  <c r="W24" i="1"/>
  <c r="T20" i="1"/>
  <c r="AA14" i="1"/>
  <c r="AA121" i="1"/>
  <c r="AA116" i="1"/>
  <c r="AA104" i="1"/>
  <c r="AG103" i="1"/>
  <c r="AG100" i="1"/>
  <c r="AA93" i="1"/>
  <c r="AA92" i="1"/>
  <c r="AG91" i="1"/>
  <c r="AA90" i="1"/>
  <c r="W90" i="1" s="1"/>
  <c r="T90" i="1"/>
  <c r="AA88" i="1"/>
  <c r="X86" i="1"/>
  <c r="AG84" i="1"/>
  <c r="AA80" i="1"/>
  <c r="AG77" i="1"/>
  <c r="AG72" i="1"/>
  <c r="AI72" i="1" s="1"/>
  <c r="AA70" i="1"/>
  <c r="AA69" i="1"/>
  <c r="AA64" i="1"/>
  <c r="AG61" i="1"/>
  <c r="AG56" i="1"/>
  <c r="AA52" i="1"/>
  <c r="AG51" i="1"/>
  <c r="AI49" i="1"/>
  <c r="AA48" i="1"/>
  <c r="X45" i="1"/>
  <c r="AG42" i="1"/>
  <c r="T39" i="1"/>
  <c r="AG38" i="1"/>
  <c r="AI38" i="1" s="1"/>
  <c r="AG33" i="1"/>
  <c r="T28" i="1"/>
  <c r="T24" i="1"/>
  <c r="AA22" i="1"/>
  <c r="AG20" i="1"/>
  <c r="AA17" i="1"/>
  <c r="T16" i="1"/>
  <c r="AI67" i="1"/>
  <c r="W60" i="1"/>
  <c r="X49" i="1"/>
  <c r="AG39" i="1"/>
  <c r="AI39" i="1" s="1"/>
  <c r="AA30" i="1"/>
  <c r="AI238" i="1"/>
  <c r="AI221" i="1"/>
  <c r="W176" i="1"/>
  <c r="W156" i="1"/>
  <c r="AI193" i="1"/>
  <c r="AI185" i="1"/>
  <c r="AI177" i="1"/>
  <c r="W220" i="1"/>
  <c r="AI205" i="1"/>
  <c r="W160" i="1"/>
  <c r="AI201" i="1"/>
  <c r="AI189" i="1"/>
  <c r="X220" i="1"/>
  <c r="T220" i="1"/>
  <c r="X216" i="1"/>
  <c r="T216" i="1"/>
  <c r="AI237" i="1"/>
  <c r="X200" i="1"/>
  <c r="T200" i="1"/>
  <c r="X196" i="1"/>
  <c r="T196" i="1"/>
  <c r="X192" i="1"/>
  <c r="T192" i="1"/>
  <c r="X188" i="1"/>
  <c r="T188" i="1"/>
  <c r="AI220" i="1"/>
  <c r="X184" i="1"/>
  <c r="T184" i="1"/>
  <c r="AI216" i="1"/>
  <c r="X180" i="1"/>
  <c r="T180" i="1"/>
  <c r="X176" i="1"/>
  <c r="T176" i="1"/>
  <c r="X174" i="1"/>
  <c r="T174" i="1"/>
  <c r="X170" i="1"/>
  <c r="T170" i="1"/>
  <c r="AI200" i="1"/>
  <c r="X166" i="1"/>
  <c r="T166" i="1"/>
  <c r="AI196" i="1"/>
  <c r="X164" i="1"/>
  <c r="T164" i="1"/>
  <c r="AI192" i="1"/>
  <c r="X160" i="1"/>
  <c r="T160" i="1"/>
  <c r="AI188" i="1"/>
  <c r="X156" i="1"/>
  <c r="T156" i="1"/>
  <c r="AI184" i="1"/>
  <c r="X236" i="1"/>
  <c r="T236" i="1"/>
  <c r="AI180" i="1"/>
  <c r="X232" i="1"/>
  <c r="T232" i="1"/>
  <c r="AA230" i="1"/>
  <c r="AI174" i="1"/>
  <c r="X229" i="1"/>
  <c r="T228" i="1"/>
  <c r="AG228" i="1"/>
  <c r="AI228" i="1" s="1"/>
  <c r="AI171" i="1"/>
  <c r="W206" i="1"/>
  <c r="AI147" i="1"/>
  <c r="W135" i="1"/>
  <c r="X217" i="1"/>
  <c r="X201" i="1"/>
  <c r="X197" i="1"/>
  <c r="X193" i="1"/>
  <c r="X189" i="1"/>
  <c r="X177" i="1"/>
  <c r="X175" i="1"/>
  <c r="X171" i="1"/>
  <c r="X167" i="1"/>
  <c r="X165" i="1"/>
  <c r="T231" i="1"/>
  <c r="X231" i="1"/>
  <c r="W226" i="1"/>
  <c r="AI159" i="1"/>
  <c r="AI143" i="1"/>
  <c r="AI135" i="1"/>
  <c r="AI175" i="1"/>
  <c r="AI172" i="1"/>
  <c r="AI155" i="1"/>
  <c r="W151" i="1"/>
  <c r="W139" i="1"/>
  <c r="X219" i="1"/>
  <c r="AI240" i="1"/>
  <c r="X215" i="1"/>
  <c r="AI236" i="1"/>
  <c r="X199" i="1"/>
  <c r="AI232" i="1"/>
  <c r="X195" i="1"/>
  <c r="X191" i="1"/>
  <c r="X187" i="1"/>
  <c r="X183" i="1"/>
  <c r="X179" i="1"/>
  <c r="X243" i="1"/>
  <c r="X173" i="1"/>
  <c r="AI203" i="1"/>
  <c r="X169" i="1"/>
  <c r="X241" i="1"/>
  <c r="AI195" i="1"/>
  <c r="X163" i="1"/>
  <c r="X159" i="1"/>
  <c r="X239" i="1"/>
  <c r="X235" i="1"/>
  <c r="AI151" i="1"/>
  <c r="AI139" i="1"/>
  <c r="AI131" i="1"/>
  <c r="X226" i="1"/>
  <c r="AG223" i="1"/>
  <c r="W223" i="1" s="1"/>
  <c r="X222" i="1"/>
  <c r="AG212" i="1"/>
  <c r="AI212" i="1" s="1"/>
  <c r="X211" i="1"/>
  <c r="AG208" i="1"/>
  <c r="AI208" i="1" s="1"/>
  <c r="X207" i="1"/>
  <c r="AG204" i="1"/>
  <c r="X203" i="1"/>
  <c r="AG153" i="1"/>
  <c r="X152" i="1"/>
  <c r="AG149" i="1"/>
  <c r="X148" i="1"/>
  <c r="AG145" i="1"/>
  <c r="W145" i="1" s="1"/>
  <c r="X144" i="1"/>
  <c r="AG141" i="1"/>
  <c r="X140" i="1"/>
  <c r="AG137" i="1"/>
  <c r="X136" i="1"/>
  <c r="AG133" i="1"/>
  <c r="X132" i="1"/>
  <c r="AG129" i="1"/>
  <c r="X128" i="1"/>
  <c r="AG126" i="1"/>
  <c r="T126" i="1"/>
  <c r="X126" i="1"/>
  <c r="AI118" i="1"/>
  <c r="AI106" i="1"/>
  <c r="AI98" i="1"/>
  <c r="X223" i="1"/>
  <c r="T223" i="1"/>
  <c r="X212" i="1"/>
  <c r="T212" i="1"/>
  <c r="AI164" i="1"/>
  <c r="X208" i="1"/>
  <c r="T208" i="1"/>
  <c r="AI160" i="1"/>
  <c r="X204" i="1"/>
  <c r="T204" i="1"/>
  <c r="AI156" i="1"/>
  <c r="X153" i="1"/>
  <c r="T153" i="1"/>
  <c r="AI152" i="1"/>
  <c r="X149" i="1"/>
  <c r="T149" i="1"/>
  <c r="X145" i="1"/>
  <c r="T145" i="1"/>
  <c r="X141" i="1"/>
  <c r="T141" i="1"/>
  <c r="X137" i="1"/>
  <c r="T137" i="1"/>
  <c r="X133" i="1"/>
  <c r="T133" i="1"/>
  <c r="X129" i="1"/>
  <c r="AI114" i="1"/>
  <c r="W110" i="1"/>
  <c r="AI110" i="1"/>
  <c r="AI102" i="1"/>
  <c r="AI122" i="1"/>
  <c r="AI94" i="1"/>
  <c r="X122" i="1"/>
  <c r="T122" i="1"/>
  <c r="X118" i="1"/>
  <c r="T118" i="1"/>
  <c r="X114" i="1"/>
  <c r="T114" i="1"/>
  <c r="X110" i="1"/>
  <c r="T110" i="1"/>
  <c r="AI109" i="1"/>
  <c r="X106" i="1"/>
  <c r="T106" i="1"/>
  <c r="X102" i="1"/>
  <c r="T102" i="1"/>
  <c r="X98" i="1"/>
  <c r="T98" i="1"/>
  <c r="X94" i="1"/>
  <c r="T94" i="1"/>
  <c r="T86" i="1"/>
  <c r="X123" i="1"/>
  <c r="X119" i="1"/>
  <c r="X115" i="1"/>
  <c r="X111" i="1"/>
  <c r="AG105" i="1"/>
  <c r="AG101" i="1"/>
  <c r="AG97" i="1"/>
  <c r="AG93" i="1"/>
  <c r="T89" i="1"/>
  <c r="X89" i="1"/>
  <c r="T88" i="1"/>
  <c r="X125" i="1"/>
  <c r="AI124" i="1"/>
  <c r="X121" i="1"/>
  <c r="X117" i="1"/>
  <c r="X113" i="1"/>
  <c r="X109" i="1"/>
  <c r="X105" i="1"/>
  <c r="X101" i="1"/>
  <c r="AI100" i="1"/>
  <c r="X97" i="1"/>
  <c r="AI96" i="1"/>
  <c r="X93" i="1"/>
  <c r="AG89" i="1"/>
  <c r="W89" i="1" s="1"/>
  <c r="AG88" i="1"/>
  <c r="X83" i="1"/>
  <c r="X79" i="1"/>
  <c r="X75" i="1"/>
  <c r="X71" i="1"/>
  <c r="X67" i="1"/>
  <c r="X63" i="1"/>
  <c r="X59" i="1"/>
  <c r="AA47" i="1"/>
  <c r="T44" i="1"/>
  <c r="X44" i="1"/>
  <c r="AA43" i="1"/>
  <c r="W43" i="1" s="1"/>
  <c r="T40" i="1"/>
  <c r="AG40" i="1"/>
  <c r="AA29" i="1"/>
  <c r="W29" i="1" s="1"/>
  <c r="T26" i="1"/>
  <c r="X26" i="1"/>
  <c r="AG26" i="1"/>
  <c r="W26" i="1" s="1"/>
  <c r="AI21" i="1"/>
  <c r="T48" i="1"/>
  <c r="X48" i="1"/>
  <c r="T47" i="1"/>
  <c r="T30" i="1"/>
  <c r="X30" i="1"/>
  <c r="AG30" i="1"/>
  <c r="X85" i="1"/>
  <c r="AI84" i="1"/>
  <c r="AG82" i="1"/>
  <c r="X81" i="1"/>
  <c r="AG78" i="1"/>
  <c r="X77" i="1"/>
  <c r="AG74" i="1"/>
  <c r="X73" i="1"/>
  <c r="AG70" i="1"/>
  <c r="X69" i="1"/>
  <c r="AI68" i="1"/>
  <c r="AG66" i="1"/>
  <c r="X65" i="1"/>
  <c r="AG62" i="1"/>
  <c r="X61" i="1"/>
  <c r="AG58" i="1"/>
  <c r="X57" i="1"/>
  <c r="AI56" i="1"/>
  <c r="AG54" i="1"/>
  <c r="X53" i="1"/>
  <c r="AG50" i="1"/>
  <c r="AG48" i="1"/>
  <c r="W48" i="1" s="1"/>
  <c r="AG47" i="1"/>
  <c r="AI43" i="1"/>
  <c r="T34" i="1"/>
  <c r="X34" i="1"/>
  <c r="AG34" i="1"/>
  <c r="W34" i="1" s="1"/>
  <c r="AA21" i="1"/>
  <c r="T18" i="1"/>
  <c r="AG18" i="1"/>
  <c r="T14" i="1"/>
  <c r="AG14" i="1"/>
  <c r="W14" i="1" s="1"/>
  <c r="X82" i="1"/>
  <c r="X78" i="1"/>
  <c r="X74" i="1"/>
  <c r="X70" i="1"/>
  <c r="X66" i="1"/>
  <c r="AI65" i="1"/>
  <c r="X62" i="1"/>
  <c r="AI61" i="1"/>
  <c r="X58" i="1"/>
  <c r="X54" i="1"/>
  <c r="X50" i="1"/>
  <c r="AI44" i="1"/>
  <c r="T36" i="1"/>
  <c r="AG36" i="1"/>
  <c r="W36" i="1" s="1"/>
  <c r="T22" i="1"/>
  <c r="X22" i="1"/>
  <c r="AG22" i="1"/>
  <c r="AI16" i="1"/>
  <c r="AG41" i="1"/>
  <c r="AG37" i="1"/>
  <c r="AG35" i="1"/>
  <c r="AG31" i="1"/>
  <c r="AG27" i="1"/>
  <c r="AG23" i="1"/>
  <c r="AG19" i="1"/>
  <c r="AG15" i="1"/>
  <c r="X41" i="1"/>
  <c r="X31" i="1"/>
  <c r="X27" i="1"/>
  <c r="X23" i="1"/>
  <c r="X15" i="1"/>
  <c r="Y25" i="3"/>
  <c r="Y17" i="3"/>
  <c r="Y35" i="3"/>
  <c r="Y39" i="3"/>
  <c r="Y26" i="3"/>
  <c r="Y31" i="3"/>
  <c r="Y43" i="3"/>
  <c r="Y40" i="3"/>
  <c r="Y22" i="3"/>
  <c r="Y33" i="3"/>
  <c r="Y36" i="3"/>
  <c r="Y14" i="3"/>
  <c r="Y18" i="3"/>
  <c r="Y15" i="3"/>
  <c r="Y19" i="3"/>
  <c r="Y12" i="3"/>
  <c r="Y29" i="3"/>
  <c r="Y28" i="3"/>
  <c r="Y27" i="3"/>
  <c r="AI53" i="1" l="1"/>
  <c r="W162" i="1"/>
  <c r="AI233" i="1"/>
  <c r="W107" i="1"/>
  <c r="W117" i="1"/>
  <c r="W134" i="1"/>
  <c r="W204" i="1"/>
  <c r="W222" i="1"/>
  <c r="W185" i="1"/>
  <c r="W197" i="1"/>
  <c r="W62" i="1"/>
  <c r="W105" i="1"/>
  <c r="W30" i="1"/>
  <c r="W97" i="1"/>
  <c r="W224" i="1"/>
  <c r="W217" i="1"/>
  <c r="W71" i="1"/>
  <c r="W178" i="1"/>
  <c r="W81" i="1"/>
  <c r="W182" i="1"/>
  <c r="W68" i="1"/>
  <c r="W17" i="1"/>
  <c r="W163" i="1"/>
  <c r="W191" i="1"/>
  <c r="W132" i="1"/>
  <c r="W194" i="1"/>
  <c r="W21" i="1"/>
  <c r="W88" i="1"/>
  <c r="AI120" i="1"/>
  <c r="AI199" i="1"/>
  <c r="W195" i="1"/>
  <c r="W96" i="1"/>
  <c r="W65" i="1"/>
  <c r="W73" i="1"/>
  <c r="W159" i="1"/>
  <c r="W239" i="1"/>
  <c r="W240" i="1"/>
  <c r="AI227" i="1"/>
  <c r="AI77" i="1"/>
  <c r="W74" i="1"/>
  <c r="W40" i="1"/>
  <c r="W93" i="1"/>
  <c r="AI125" i="1"/>
  <c r="AI215" i="1"/>
  <c r="AI241" i="1"/>
  <c r="W76" i="1"/>
  <c r="W215" i="1"/>
  <c r="W32" i="1"/>
  <c r="W125" i="1"/>
  <c r="AI148" i="1"/>
  <c r="W136" i="1"/>
  <c r="W207" i="1"/>
  <c r="AI25" i="1"/>
  <c r="AI121" i="1"/>
  <c r="W121" i="1"/>
  <c r="W108" i="1"/>
  <c r="W190" i="1"/>
  <c r="W213" i="1"/>
  <c r="W67" i="1"/>
  <c r="AI144" i="1"/>
  <c r="AI211" i="1"/>
  <c r="AI219" i="1"/>
  <c r="AI181" i="1"/>
  <c r="W112" i="1"/>
  <c r="W209" i="1"/>
  <c r="W181" i="1"/>
  <c r="AI223" i="1"/>
  <c r="W128" i="1"/>
  <c r="W229" i="1"/>
  <c r="W243" i="1"/>
  <c r="W54" i="1"/>
  <c r="AI112" i="1"/>
  <c r="AI209" i="1"/>
  <c r="W144" i="1"/>
  <c r="W138" i="1"/>
  <c r="W130" i="1"/>
  <c r="W59" i="1"/>
  <c r="AI76" i="1"/>
  <c r="AI33" i="1"/>
  <c r="W33" i="1"/>
  <c r="AI179" i="1"/>
  <c r="AI187" i="1"/>
  <c r="W230" i="1"/>
  <c r="W116" i="1"/>
  <c r="W179" i="1"/>
  <c r="W187" i="1"/>
  <c r="W235" i="1"/>
  <c r="W198" i="1"/>
  <c r="W95" i="1"/>
  <c r="W111" i="1"/>
  <c r="AI167" i="1"/>
  <c r="AI197" i="1"/>
  <c r="W77" i="1"/>
  <c r="W75" i="1"/>
  <c r="AI42" i="1"/>
  <c r="AI91" i="1"/>
  <c r="AI103" i="1"/>
  <c r="AI55" i="1"/>
  <c r="W100" i="1"/>
  <c r="W42" i="1"/>
  <c r="W173" i="1"/>
  <c r="W103" i="1"/>
  <c r="W167" i="1"/>
  <c r="AI51" i="1"/>
  <c r="W64" i="1"/>
  <c r="W92" i="1"/>
  <c r="W104" i="1"/>
  <c r="AI71" i="1"/>
  <c r="AI83" i="1"/>
  <c r="AI87" i="1"/>
  <c r="W113" i="1"/>
  <c r="W241" i="1"/>
  <c r="W242" i="1"/>
  <c r="W55" i="1"/>
  <c r="W87" i="1"/>
  <c r="W158" i="1"/>
  <c r="W38" i="1"/>
  <c r="W199" i="1"/>
  <c r="AI204" i="1"/>
  <c r="W52" i="1"/>
  <c r="W69" i="1"/>
  <c r="W80" i="1"/>
  <c r="W39" i="1"/>
  <c r="W56" i="1"/>
  <c r="AI99" i="1"/>
  <c r="W91" i="1"/>
  <c r="AI115" i="1"/>
  <c r="W148" i="1"/>
  <c r="W234" i="1"/>
  <c r="W51" i="1"/>
  <c r="AI127" i="1"/>
  <c r="W202" i="1"/>
  <c r="W186" i="1"/>
  <c r="W47" i="1"/>
  <c r="AI20" i="1"/>
  <c r="W61" i="1"/>
  <c r="W72" i="1"/>
  <c r="W84" i="1"/>
  <c r="AI107" i="1"/>
  <c r="W20" i="1"/>
  <c r="W99" i="1"/>
  <c r="W211" i="1"/>
  <c r="W168" i="1"/>
  <c r="W183" i="1"/>
  <c r="W83" i="1"/>
  <c r="W219" i="1"/>
  <c r="W201" i="1"/>
  <c r="W15" i="1"/>
  <c r="AI15" i="1"/>
  <c r="AI70" i="1"/>
  <c r="AI19" i="1"/>
  <c r="AI35" i="1"/>
  <c r="AI22" i="1"/>
  <c r="AI66" i="1"/>
  <c r="AI88" i="1"/>
  <c r="AI126" i="1"/>
  <c r="AI133" i="1"/>
  <c r="AI141" i="1"/>
  <c r="AI149" i="1"/>
  <c r="AI165" i="1"/>
  <c r="W126" i="1"/>
  <c r="W133" i="1"/>
  <c r="W141" i="1"/>
  <c r="AI173" i="1"/>
  <c r="AI31" i="1"/>
  <c r="W31" i="1"/>
  <c r="AI18" i="1"/>
  <c r="AI48" i="1"/>
  <c r="AI54" i="1"/>
  <c r="W22" i="1"/>
  <c r="AI34" i="1"/>
  <c r="AI50" i="1"/>
  <c r="AI82" i="1"/>
  <c r="W18" i="1"/>
  <c r="AI101" i="1"/>
  <c r="W50" i="1"/>
  <c r="AI157" i="1"/>
  <c r="W23" i="1"/>
  <c r="AI23" i="1"/>
  <c r="W37" i="1"/>
  <c r="AI37" i="1"/>
  <c r="AI62" i="1"/>
  <c r="AI78" i="1"/>
  <c r="AI26" i="1"/>
  <c r="AI40" i="1"/>
  <c r="W82" i="1"/>
  <c r="AI89" i="1"/>
  <c r="AI105" i="1"/>
  <c r="W35" i="1"/>
  <c r="W228" i="1"/>
  <c r="AI27" i="1"/>
  <c r="W27" i="1"/>
  <c r="AI41" i="1"/>
  <c r="AI36" i="1"/>
  <c r="AI14" i="1"/>
  <c r="AI47" i="1"/>
  <c r="AI58" i="1"/>
  <c r="AI74" i="1"/>
  <c r="W66" i="1"/>
  <c r="AI93" i="1"/>
  <c r="W19" i="1"/>
  <c r="W58" i="1"/>
  <c r="W78" i="1"/>
  <c r="AI129" i="1"/>
  <c r="AI137" i="1"/>
  <c r="AI145" i="1"/>
  <c r="AI153" i="1"/>
  <c r="AI161" i="1"/>
  <c r="AI169" i="1"/>
  <c r="W129" i="1"/>
  <c r="W137" i="1"/>
  <c r="W149" i="1"/>
  <c r="W212" i="1"/>
  <c r="W153" i="1"/>
  <c r="AI30" i="1"/>
  <c r="W70" i="1"/>
  <c r="AI97" i="1"/>
  <c r="W41" i="1"/>
  <c r="W101" i="1"/>
  <c r="W208" i="1"/>
  <c r="R41" i="3"/>
  <c r="M41" i="3"/>
  <c r="U41" i="3"/>
  <c r="W41" i="3"/>
  <c r="X41" i="3"/>
  <c r="Y41" i="3" l="1"/>
  <c r="M28" i="5" l="1"/>
  <c r="M23" i="5" l="1"/>
  <c r="AN22" i="1" l="1"/>
  <c r="V23" i="1"/>
  <c r="AN24" i="1"/>
  <c r="V25" i="1"/>
  <c r="V27" i="1"/>
  <c r="AN28" i="1"/>
  <c r="V29" i="1"/>
  <c r="AN30" i="1"/>
  <c r="V31" i="1"/>
  <c r="AN32" i="1"/>
  <c r="V33" i="1"/>
  <c r="AN46" i="1"/>
  <c r="V47" i="1"/>
  <c r="AN48" i="1"/>
  <c r="V49" i="1"/>
  <c r="S19" i="3" s="1"/>
  <c r="AN50" i="1"/>
  <c r="V51" i="1"/>
  <c r="AN52" i="1"/>
  <c r="V53" i="1"/>
  <c r="AN57" i="1"/>
  <c r="V58" i="1"/>
  <c r="AN59" i="1"/>
  <c r="V60" i="1"/>
  <c r="S26" i="3" s="1"/>
  <c r="AN61" i="1"/>
  <c r="V62" i="1"/>
  <c r="AN63" i="1"/>
  <c r="V64" i="1"/>
  <c r="AN65" i="1"/>
  <c r="V66" i="1"/>
  <c r="V22" i="1"/>
  <c r="AN23" i="1"/>
  <c r="V24" i="1"/>
  <c r="AN27" i="1"/>
  <c r="V28" i="1"/>
  <c r="AN29" i="1"/>
  <c r="V30" i="1"/>
  <c r="AN31" i="1"/>
  <c r="V32" i="1"/>
  <c r="S12" i="3" s="1"/>
  <c r="AN33" i="1"/>
  <c r="V45" i="1"/>
  <c r="AN47" i="1"/>
  <c r="V48" i="1"/>
  <c r="S7" i="3" s="1"/>
  <c r="AN49" i="1"/>
  <c r="V50" i="1"/>
  <c r="AN51" i="1"/>
  <c r="V52" i="1"/>
  <c r="AN58" i="1"/>
  <c r="V59" i="1"/>
  <c r="S9" i="3" s="1"/>
  <c r="AN60" i="1"/>
  <c r="V61" i="1"/>
  <c r="AN62" i="1"/>
  <c r="V63" i="1"/>
  <c r="AN64" i="1"/>
  <c r="V65" i="1"/>
  <c r="AN66" i="1"/>
  <c r="V67" i="1"/>
  <c r="AN68" i="1"/>
  <c r="V69" i="1"/>
  <c r="AN70" i="1"/>
  <c r="V71" i="1"/>
  <c r="V227" i="1"/>
  <c r="AN14" i="1"/>
  <c r="V15" i="1"/>
  <c r="AN16" i="1"/>
  <c r="V17" i="1"/>
  <c r="AN18" i="1"/>
  <c r="V19" i="1"/>
  <c r="AN20" i="1"/>
  <c r="V21" i="1"/>
  <c r="AN26" i="1"/>
  <c r="V34" i="1"/>
  <c r="AN35" i="1"/>
  <c r="V36" i="1"/>
  <c r="AN37" i="1"/>
  <c r="V38" i="1"/>
  <c r="V16" i="1"/>
  <c r="V20" i="1"/>
  <c r="V37" i="1"/>
  <c r="AN40" i="1"/>
  <c r="V41" i="1"/>
  <c r="AN44" i="1"/>
  <c r="AN55" i="1"/>
  <c r="V56" i="1"/>
  <c r="V78" i="1"/>
  <c r="AN79" i="1"/>
  <c r="V80" i="1"/>
  <c r="AN81" i="1"/>
  <c r="V82" i="1"/>
  <c r="AN83" i="1"/>
  <c r="V84" i="1"/>
  <c r="AN85" i="1"/>
  <c r="V86" i="1"/>
  <c r="AN87" i="1"/>
  <c r="V88" i="1"/>
  <c r="AN89" i="1"/>
  <c r="V90" i="1"/>
  <c r="AN91" i="1"/>
  <c r="V92" i="1"/>
  <c r="AN106" i="1"/>
  <c r="V107" i="1"/>
  <c r="AN108" i="1"/>
  <c r="V109" i="1"/>
  <c r="S10" i="3" s="1"/>
  <c r="AN15" i="1"/>
  <c r="AN19" i="1"/>
  <c r="V26" i="1"/>
  <c r="AN36" i="1"/>
  <c r="AN41" i="1"/>
  <c r="V42" i="1"/>
  <c r="AN56" i="1"/>
  <c r="V57" i="1"/>
  <c r="V68" i="1"/>
  <c r="S15" i="3" s="1"/>
  <c r="V70" i="1"/>
  <c r="AN72" i="1"/>
  <c r="V73" i="1"/>
  <c r="S22" i="3" s="1"/>
  <c r="AN74" i="1"/>
  <c r="V75" i="1"/>
  <c r="AN76" i="1"/>
  <c r="V77" i="1"/>
  <c r="AN93" i="1"/>
  <c r="V94" i="1"/>
  <c r="AN95" i="1"/>
  <c r="V96" i="1"/>
  <c r="S16" i="3" s="1"/>
  <c r="AN97" i="1"/>
  <c r="V98" i="1"/>
  <c r="AN227" i="1"/>
  <c r="V14" i="1"/>
  <c r="V18" i="1"/>
  <c r="AN25" i="1"/>
  <c r="V35" i="1"/>
  <c r="V39" i="1"/>
  <c r="AN42" i="1"/>
  <c r="V43" i="1"/>
  <c r="S14" i="3" s="1"/>
  <c r="AN45" i="1"/>
  <c r="V46" i="1"/>
  <c r="AN53" i="1"/>
  <c r="V54" i="1"/>
  <c r="S13" i="3" s="1"/>
  <c r="AN67" i="1"/>
  <c r="AN69" i="1"/>
  <c r="AN78" i="1"/>
  <c r="V79" i="1"/>
  <c r="S18" i="3" s="1"/>
  <c r="AN80" i="1"/>
  <c r="V81" i="1"/>
  <c r="AN82" i="1"/>
  <c r="V83" i="1"/>
  <c r="AN84" i="1"/>
  <c r="V85" i="1"/>
  <c r="AN86" i="1"/>
  <c r="V87" i="1"/>
  <c r="AN88" i="1"/>
  <c r="V89" i="1"/>
  <c r="S23" i="3" s="1"/>
  <c r="AN90" i="1"/>
  <c r="V91" i="1"/>
  <c r="AN92" i="1"/>
  <c r="V106" i="1"/>
  <c r="S27" i="3" s="1"/>
  <c r="AN107" i="1"/>
  <c r="V108" i="1"/>
  <c r="AN124" i="1"/>
  <c r="V125" i="1"/>
  <c r="AN17" i="1"/>
  <c r="AN21" i="1"/>
  <c r="AN34" i="1"/>
  <c r="AN38" i="1"/>
  <c r="AN39" i="1"/>
  <c r="V40" i="1"/>
  <c r="AN43" i="1"/>
  <c r="V44" i="1"/>
  <c r="AN54" i="1"/>
  <c r="V55" i="1"/>
  <c r="AN71" i="1"/>
  <c r="V72" i="1"/>
  <c r="AN73" i="1"/>
  <c r="V74" i="1"/>
  <c r="AN75" i="1"/>
  <c r="V76" i="1"/>
  <c r="AN77" i="1"/>
  <c r="V93" i="1"/>
  <c r="AN94" i="1"/>
  <c r="V95" i="1"/>
  <c r="AN96" i="1"/>
  <c r="V97" i="1"/>
  <c r="AN98" i="1"/>
  <c r="V99" i="1"/>
  <c r="AN100" i="1"/>
  <c r="V101" i="1"/>
  <c r="V100" i="1"/>
  <c r="AN103" i="1"/>
  <c r="V104" i="1"/>
  <c r="AN111" i="1"/>
  <c r="V112" i="1"/>
  <c r="AN115" i="1"/>
  <c r="V116" i="1"/>
  <c r="AN119" i="1"/>
  <c r="V120" i="1"/>
  <c r="AN123" i="1"/>
  <c r="V124" i="1"/>
  <c r="V126" i="1"/>
  <c r="AN127" i="1"/>
  <c r="V128" i="1"/>
  <c r="AN129" i="1"/>
  <c r="V130" i="1"/>
  <c r="AN99" i="1"/>
  <c r="AN104" i="1"/>
  <c r="V105" i="1"/>
  <c r="AN112" i="1"/>
  <c r="V113" i="1"/>
  <c r="AN116" i="1"/>
  <c r="V117" i="1"/>
  <c r="AN120" i="1"/>
  <c r="V121" i="1"/>
  <c r="AN125" i="1"/>
  <c r="AN133" i="1"/>
  <c r="V134" i="1"/>
  <c r="AN135" i="1"/>
  <c r="V136" i="1"/>
  <c r="AN137" i="1"/>
  <c r="V138" i="1"/>
  <c r="AN140" i="1"/>
  <c r="V141" i="1"/>
  <c r="AN142" i="1"/>
  <c r="V143" i="1"/>
  <c r="AN144" i="1"/>
  <c r="V145" i="1"/>
  <c r="AN146" i="1"/>
  <c r="AN153" i="1"/>
  <c r="V154" i="1"/>
  <c r="AN155" i="1"/>
  <c r="V203" i="1"/>
  <c r="AN157" i="1"/>
  <c r="V214" i="1"/>
  <c r="V102" i="1"/>
  <c r="AN105" i="1"/>
  <c r="AN109" i="1"/>
  <c r="V110" i="1"/>
  <c r="AN113" i="1"/>
  <c r="V114" i="1"/>
  <c r="S28" i="3" s="1"/>
  <c r="AN117" i="1"/>
  <c r="V118" i="1"/>
  <c r="AN121" i="1"/>
  <c r="V122" i="1"/>
  <c r="S29" i="3" s="1"/>
  <c r="AN126" i="1"/>
  <c r="V127" i="1"/>
  <c r="S17" i="3" s="1"/>
  <c r="AN128" i="1"/>
  <c r="V129" i="1"/>
  <c r="S25" i="3" s="1"/>
  <c r="AN130" i="1"/>
  <c r="V131" i="1"/>
  <c r="AN132" i="1"/>
  <c r="AN139" i="1"/>
  <c r="V140" i="1"/>
  <c r="V147" i="1"/>
  <c r="AN148" i="1"/>
  <c r="V149" i="1"/>
  <c r="AN150" i="1"/>
  <c r="V151" i="1"/>
  <c r="V205" i="1"/>
  <c r="AN159" i="1"/>
  <c r="V207" i="1"/>
  <c r="AN161" i="1"/>
  <c r="V209" i="1"/>
  <c r="AN163" i="1"/>
  <c r="V211" i="1"/>
  <c r="AN101" i="1"/>
  <c r="AN102" i="1"/>
  <c r="V103" i="1"/>
  <c r="AN110" i="1"/>
  <c r="V111" i="1"/>
  <c r="AN114" i="1"/>
  <c r="V115" i="1"/>
  <c r="S24" i="3" s="1"/>
  <c r="AN118" i="1"/>
  <c r="V119" i="1"/>
  <c r="AN122" i="1"/>
  <c r="V123" i="1"/>
  <c r="V133" i="1"/>
  <c r="AN134" i="1"/>
  <c r="V135" i="1"/>
  <c r="AN136" i="1"/>
  <c r="V137" i="1"/>
  <c r="AN138" i="1"/>
  <c r="AN141" i="1"/>
  <c r="V142" i="1"/>
  <c r="AN143" i="1"/>
  <c r="V144" i="1"/>
  <c r="AN145" i="1"/>
  <c r="V146" i="1"/>
  <c r="AN152" i="1"/>
  <c r="V153" i="1"/>
  <c r="AN154" i="1"/>
  <c r="V155" i="1"/>
  <c r="AN156" i="1"/>
  <c r="V204" i="1"/>
  <c r="AN167" i="1"/>
  <c r="V222" i="1"/>
  <c r="S42" i="3" s="1"/>
  <c r="AN169" i="1"/>
  <c r="V224" i="1"/>
  <c r="AN149" i="1"/>
  <c r="V208" i="1"/>
  <c r="V232" i="1"/>
  <c r="AN178" i="1"/>
  <c r="V234" i="1"/>
  <c r="AN180" i="1"/>
  <c r="V236" i="1"/>
  <c r="S43" i="3" s="1"/>
  <c r="AN182" i="1"/>
  <c r="AN201" i="1"/>
  <c r="V171" i="1"/>
  <c r="AN203" i="1"/>
  <c r="V173" i="1"/>
  <c r="AN205" i="1"/>
  <c r="V175" i="1"/>
  <c r="S38" i="3" s="1"/>
  <c r="AN207" i="1"/>
  <c r="V243" i="1"/>
  <c r="AN209" i="1"/>
  <c r="V177" i="1"/>
  <c r="AN211" i="1"/>
  <c r="V179" i="1"/>
  <c r="AN214" i="1"/>
  <c r="V182" i="1"/>
  <c r="AN216" i="1"/>
  <c r="V184" i="1"/>
  <c r="S34" i="3" s="1"/>
  <c r="AN218" i="1"/>
  <c r="V186" i="1"/>
  <c r="AN220" i="1"/>
  <c r="V188" i="1"/>
  <c r="AN222" i="1"/>
  <c r="V190" i="1"/>
  <c r="S35" i="3" s="1"/>
  <c r="AN224" i="1"/>
  <c r="V192" i="1"/>
  <c r="AN226" i="1"/>
  <c r="V194" i="1"/>
  <c r="V132" i="1"/>
  <c r="S30" i="3" s="1"/>
  <c r="V148" i="1"/>
  <c r="V152" i="1"/>
  <c r="AN160" i="1"/>
  <c r="AN164" i="1"/>
  <c r="V212" i="1"/>
  <c r="V223" i="1"/>
  <c r="AN171" i="1"/>
  <c r="V226" i="1"/>
  <c r="S41" i="3" s="1"/>
  <c r="AN173" i="1"/>
  <c r="V229" i="1"/>
  <c r="S44" i="3" s="1"/>
  <c r="AN175" i="1"/>
  <c r="V231" i="1"/>
  <c r="V238" i="1"/>
  <c r="AN184" i="1"/>
  <c r="V156" i="1"/>
  <c r="AN186" i="1"/>
  <c r="V158" i="1"/>
  <c r="AN188" i="1"/>
  <c r="V160" i="1"/>
  <c r="AN190" i="1"/>
  <c r="V162" i="1"/>
  <c r="AN192" i="1"/>
  <c r="V164" i="1"/>
  <c r="S32" i="3" s="1"/>
  <c r="AN194" i="1"/>
  <c r="V240" i="1"/>
  <c r="AN196" i="1"/>
  <c r="V166" i="1"/>
  <c r="S33" i="3" s="1"/>
  <c r="AN198" i="1"/>
  <c r="V168" i="1"/>
  <c r="S31" i="3" s="1"/>
  <c r="AN213" i="1"/>
  <c r="V181" i="1"/>
  <c r="S39" i="3" s="1"/>
  <c r="AN131" i="1"/>
  <c r="AN147" i="1"/>
  <c r="AN151" i="1"/>
  <c r="V206" i="1"/>
  <c r="V210" i="1"/>
  <c r="AN165" i="1"/>
  <c r="V213" i="1"/>
  <c r="AN168" i="1"/>
  <c r="AN177" i="1"/>
  <c r="V233" i="1"/>
  <c r="AN179" i="1"/>
  <c r="V235" i="1"/>
  <c r="AN181" i="1"/>
  <c r="V237" i="1"/>
  <c r="AN200" i="1"/>
  <c r="V170" i="1"/>
  <c r="AN202" i="1"/>
  <c r="V172" i="1"/>
  <c r="AN204" i="1"/>
  <c r="V174" i="1"/>
  <c r="AN206" i="1"/>
  <c r="V242" i="1"/>
  <c r="AN208" i="1"/>
  <c r="V176" i="1"/>
  <c r="AN210" i="1"/>
  <c r="V178" i="1"/>
  <c r="AN212" i="1"/>
  <c r="AN215" i="1"/>
  <c r="V183" i="1"/>
  <c r="S40" i="3" s="1"/>
  <c r="AN217" i="1"/>
  <c r="V185" i="1"/>
  <c r="AN219" i="1"/>
  <c r="V187" i="1"/>
  <c r="AN221" i="1"/>
  <c r="V189" i="1"/>
  <c r="AN223" i="1"/>
  <c r="V191" i="1"/>
  <c r="AN225" i="1"/>
  <c r="V193" i="1"/>
  <c r="AN228" i="1"/>
  <c r="V195" i="1"/>
  <c r="AN230" i="1"/>
  <c r="V197" i="1"/>
  <c r="AN232" i="1"/>
  <c r="V199" i="1"/>
  <c r="V218" i="1"/>
  <c r="V139" i="1"/>
  <c r="V150" i="1"/>
  <c r="AN158" i="1"/>
  <c r="AN162" i="1"/>
  <c r="AN166" i="1"/>
  <c r="AN170" i="1"/>
  <c r="V225" i="1"/>
  <c r="AN172" i="1"/>
  <c r="V228" i="1"/>
  <c r="AN174" i="1"/>
  <c r="V230" i="1"/>
  <c r="AN176" i="1"/>
  <c r="AN183" i="1"/>
  <c r="V239" i="1"/>
  <c r="AN185" i="1"/>
  <c r="V157" i="1"/>
  <c r="AN187" i="1"/>
  <c r="V159" i="1"/>
  <c r="AN189" i="1"/>
  <c r="V161" i="1"/>
  <c r="AN191" i="1"/>
  <c r="V163" i="1"/>
  <c r="AN193" i="1"/>
  <c r="V165" i="1"/>
  <c r="AN195" i="1"/>
  <c r="V241" i="1"/>
  <c r="AN197" i="1"/>
  <c r="V167" i="1"/>
  <c r="AN199" i="1"/>
  <c r="V169" i="1"/>
  <c r="S37" i="3" s="1"/>
  <c r="V180" i="1"/>
  <c r="AN229" i="1"/>
  <c r="AN231" i="1"/>
  <c r="AN233" i="1"/>
  <c r="V200" i="1"/>
  <c r="AN238" i="1"/>
  <c r="V217" i="1"/>
  <c r="AN241" i="1"/>
  <c r="V220" i="1"/>
  <c r="AN236" i="1"/>
  <c r="V215" i="1"/>
  <c r="AN239" i="1"/>
  <c r="AN243" i="1"/>
  <c r="V44" i="3"/>
  <c r="AE44" i="3" s="1"/>
  <c r="V21" i="3"/>
  <c r="AE21" i="3" s="1"/>
  <c r="AC32" i="3"/>
  <c r="V19" i="3"/>
  <c r="AE19" i="3" s="1"/>
  <c r="V15" i="3"/>
  <c r="AE15" i="3" s="1"/>
  <c r="V18" i="3"/>
  <c r="AE18" i="3" s="1"/>
  <c r="AD32" i="3"/>
  <c r="V40" i="3"/>
  <c r="AE40" i="3" s="1"/>
  <c r="V24" i="3"/>
  <c r="AE24" i="3" s="1"/>
  <c r="AC17" i="3"/>
  <c r="V30" i="3"/>
  <c r="AE30" i="3" s="1"/>
  <c r="V36" i="3"/>
  <c r="AE36" i="3" s="1"/>
  <c r="V23" i="3"/>
  <c r="AE23" i="3" s="1"/>
  <c r="V17" i="3"/>
  <c r="AE17" i="3" s="1"/>
  <c r="V8" i="3"/>
  <c r="AE8" i="3" s="1"/>
  <c r="AC9" i="3"/>
  <c r="V38" i="3"/>
  <c r="AE38" i="3" s="1"/>
  <c r="V16" i="3"/>
  <c r="AE16" i="3" s="1"/>
  <c r="V10" i="3"/>
  <c r="AE10" i="3" s="1"/>
  <c r="V42" i="3"/>
  <c r="AE42" i="3" s="1"/>
  <c r="AD20" i="3"/>
  <c r="V26" i="3"/>
  <c r="AE26" i="3" s="1"/>
  <c r="V35" i="3"/>
  <c r="AE35" i="3" s="1"/>
  <c r="V29" i="3"/>
  <c r="AE29" i="3" s="1"/>
  <c r="AD44" i="3"/>
  <c r="AN234" i="1"/>
  <c r="V201" i="1"/>
  <c r="AN237" i="1"/>
  <c r="V216" i="1"/>
  <c r="AN240" i="1"/>
  <c r="V219" i="1"/>
  <c r="AN242" i="1"/>
  <c r="V221" i="1"/>
  <c r="V32" i="3"/>
  <c r="AE32" i="3" s="1"/>
  <c r="V7" i="3"/>
  <c r="AE7" i="3" s="1"/>
  <c r="V37" i="3"/>
  <c r="AE37" i="3" s="1"/>
  <c r="V11" i="3"/>
  <c r="AE11" i="3" s="1"/>
  <c r="V22" i="3"/>
  <c r="AE22" i="3" s="1"/>
  <c r="AC16" i="3"/>
  <c r="V27" i="3"/>
  <c r="AE27" i="3" s="1"/>
  <c r="V28" i="3"/>
  <c r="AE28" i="3" s="1"/>
  <c r="AC42" i="3"/>
  <c r="V20" i="3"/>
  <c r="AE20" i="3" s="1"/>
  <c r="AD12" i="3"/>
  <c r="V14" i="3"/>
  <c r="AE14" i="3" s="1"/>
  <c r="AC31" i="3"/>
  <c r="AC26" i="3"/>
  <c r="AC35" i="3"/>
  <c r="V43" i="3"/>
  <c r="AE43" i="3" s="1"/>
  <c r="V25" i="3"/>
  <c r="AE25" i="3" s="1"/>
  <c r="V12" i="3"/>
  <c r="AE12" i="3" s="1"/>
  <c r="V9" i="3"/>
  <c r="AE9" i="3" s="1"/>
  <c r="V196" i="1"/>
  <c r="V198" i="1"/>
  <c r="S36" i="3" s="1"/>
  <c r="AN235" i="1"/>
  <c r="V202" i="1"/>
  <c r="V33" i="3"/>
  <c r="AE33" i="3" s="1"/>
  <c r="V31" i="3"/>
  <c r="AE31" i="3" s="1"/>
  <c r="V13" i="3"/>
  <c r="AE13" i="3" s="1"/>
  <c r="V39" i="3"/>
  <c r="AE39" i="3" s="1"/>
  <c r="AC40" i="3"/>
  <c r="V34" i="3"/>
  <c r="AE34" i="3" s="1"/>
  <c r="AD42" i="3"/>
  <c r="AD34" i="3"/>
  <c r="AC12" i="3"/>
  <c r="AC8" i="3"/>
  <c r="AC29" i="3"/>
  <c r="AC28" i="3"/>
  <c r="AC37" i="3"/>
  <c r="AC24" i="3"/>
  <c r="AC30" i="3"/>
  <c r="AD22" i="3"/>
  <c r="AC18" i="3"/>
  <c r="AC15" i="3"/>
  <c r="AC14" i="3"/>
  <c r="AC39" i="3"/>
  <c r="AD38" i="3"/>
  <c r="AC27" i="3"/>
  <c r="AC7" i="3"/>
  <c r="AD17" i="3"/>
  <c r="AD28" i="3"/>
  <c r="AD16" i="3"/>
  <c r="AD36" i="3"/>
  <c r="AD33" i="3"/>
  <c r="AD25" i="3"/>
  <c r="AC43" i="3"/>
  <c r="AC23" i="3"/>
  <c r="AC11" i="3"/>
  <c r="AD35" i="3"/>
  <c r="AD19" i="3"/>
  <c r="AD14" i="3"/>
  <c r="AD37" i="3"/>
  <c r="AC21" i="3"/>
  <c r="AC19" i="3"/>
  <c r="AC25" i="3"/>
  <c r="AC20" i="3"/>
  <c r="AC22" i="3"/>
  <c r="AD26" i="3"/>
  <c r="AD9" i="3"/>
  <c r="AD24" i="3"/>
  <c r="AD39" i="3"/>
  <c r="AD23" i="3"/>
  <c r="AC44" i="3"/>
  <c r="AC36" i="3"/>
  <c r="AC33" i="3"/>
  <c r="AC10" i="3"/>
  <c r="AC13" i="3"/>
  <c r="AD40" i="3"/>
  <c r="AD30" i="3"/>
  <c r="AD8" i="3"/>
  <c r="AD29" i="3"/>
  <c r="AD21" i="3"/>
  <c r="AD13" i="3"/>
  <c r="AC34" i="3"/>
  <c r="AC38" i="3"/>
  <c r="AD43" i="3"/>
  <c r="AD27" i="3"/>
  <c r="AD11" i="3"/>
  <c r="AD18" i="3"/>
  <c r="AD10" i="3"/>
  <c r="AD31" i="3"/>
  <c r="AD15" i="3"/>
  <c r="V41" i="3"/>
  <c r="AE41" i="3" s="1"/>
  <c r="AD41" i="3"/>
  <c r="AC41" i="3"/>
  <c r="AD7" i="3"/>
  <c r="AN13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S11" i="3" l="1"/>
  <c r="S8" i="3"/>
  <c r="S20" i="3"/>
  <c r="S21" i="3"/>
  <c r="K22" i="10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P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L203" i="1" s="1"/>
  <c r="G9" i="4"/>
  <c r="L226" i="1" s="1"/>
  <c r="G10" i="4"/>
  <c r="G11" i="4"/>
  <c r="L205" i="1" s="1"/>
  <c r="G12" i="4"/>
  <c r="G13" i="4"/>
  <c r="L14" i="1" s="1"/>
  <c r="G14" i="4"/>
  <c r="L207" i="1" s="1"/>
  <c r="G15" i="4"/>
  <c r="L209" i="1" s="1"/>
  <c r="G16" i="4"/>
  <c r="G17" i="4"/>
  <c r="L16" i="1" s="1"/>
  <c r="G18" i="4"/>
  <c r="G19" i="4"/>
  <c r="G20" i="4"/>
  <c r="L211" i="1" s="1"/>
  <c r="G21" i="4"/>
  <c r="L17" i="1" s="1"/>
  <c r="G22" i="4"/>
  <c r="L15" i="1" s="1"/>
  <c r="G23" i="4"/>
  <c r="L19" i="1" s="1"/>
  <c r="G24" i="4"/>
  <c r="L215" i="1" s="1"/>
  <c r="G25" i="4"/>
  <c r="L21" i="1" s="1"/>
  <c r="G26" i="4"/>
  <c r="L23" i="1" s="1"/>
  <c r="G27" i="4"/>
  <c r="L156" i="1" s="1"/>
  <c r="G28" i="4"/>
  <c r="L18" i="1" s="1"/>
  <c r="G29" i="4"/>
  <c r="G30" i="4"/>
  <c r="G31" i="4"/>
  <c r="L28" i="1" s="1"/>
  <c r="G32" i="4"/>
  <c r="L157" i="1" s="1"/>
  <c r="G33" i="4"/>
  <c r="G34" i="4"/>
  <c r="G35" i="4"/>
  <c r="G36" i="4"/>
  <c r="L20" i="1" s="1"/>
  <c r="G37" i="4"/>
  <c r="L30" i="1" s="1"/>
  <c r="G38" i="4"/>
  <c r="L22" i="1" s="1"/>
  <c r="G39" i="4"/>
  <c r="G40" i="4"/>
  <c r="L216" i="1" s="1"/>
  <c r="G41" i="4"/>
  <c r="G42" i="4"/>
  <c r="L24" i="1" s="1"/>
  <c r="G43" i="4"/>
  <c r="L158" i="1" s="1"/>
  <c r="G44" i="4"/>
  <c r="G45" i="4"/>
  <c r="L159" i="1" s="1"/>
  <c r="G46" i="4"/>
  <c r="L231" i="1" s="1"/>
  <c r="G47" i="4"/>
  <c r="L34" i="1" s="1"/>
  <c r="G48" i="4"/>
  <c r="L27" i="1" s="1"/>
  <c r="G49" i="4"/>
  <c r="L29" i="1" s="1"/>
  <c r="G50" i="4"/>
  <c r="L161" i="1" s="1"/>
  <c r="G51" i="4"/>
  <c r="L160" i="1" s="1"/>
  <c r="G52" i="4"/>
  <c r="L36" i="1" s="1"/>
  <c r="G53" i="4"/>
  <c r="L31" i="1" s="1"/>
  <c r="G54" i="4"/>
  <c r="L38" i="1" s="1"/>
  <c r="G55" i="4"/>
  <c r="L163" i="1" s="1"/>
  <c r="G56" i="4"/>
  <c r="L33" i="1" s="1"/>
  <c r="G57" i="4"/>
  <c r="L162" i="1" s="1"/>
  <c r="G58" i="4"/>
  <c r="L35" i="1" s="1"/>
  <c r="G59" i="4"/>
  <c r="L40" i="1" s="1"/>
  <c r="G60" i="4"/>
  <c r="L232" i="1" s="1"/>
  <c r="G61" i="4"/>
  <c r="L37" i="1" s="1"/>
  <c r="G62" i="4"/>
  <c r="G63" i="4"/>
  <c r="L233" i="1" s="1"/>
  <c r="G64" i="4"/>
  <c r="G65" i="4"/>
  <c r="L42" i="1" s="1"/>
  <c r="G66" i="4"/>
  <c r="G67" i="4"/>
  <c r="L165" i="1" s="1"/>
  <c r="G68" i="4"/>
  <c r="G69" i="4"/>
  <c r="L44" i="1" s="1"/>
  <c r="G70" i="4"/>
  <c r="L39" i="1" s="1"/>
  <c r="G71" i="4"/>
  <c r="L46" i="1" s="1"/>
  <c r="G72" i="4"/>
  <c r="G73" i="4"/>
  <c r="L41" i="1" s="1"/>
  <c r="G74" i="4"/>
  <c r="G75" i="4"/>
  <c r="G76" i="4"/>
  <c r="L167" i="1" s="1"/>
  <c r="G77" i="4"/>
  <c r="L50" i="1" s="1"/>
  <c r="G78" i="4"/>
  <c r="L217" i="1" s="1"/>
  <c r="G79" i="4"/>
  <c r="G80" i="4"/>
  <c r="L45" i="1" s="1"/>
  <c r="G81" i="4"/>
  <c r="L52" i="1" s="1"/>
  <c r="G82" i="4"/>
  <c r="L47" i="1" s="1"/>
  <c r="G83" i="4"/>
  <c r="G84" i="4"/>
  <c r="G85" i="4"/>
  <c r="L51" i="1" s="1"/>
  <c r="G86" i="4"/>
  <c r="G87" i="4"/>
  <c r="L56" i="1" s="1"/>
  <c r="G88" i="4"/>
  <c r="L58" i="1" s="1"/>
  <c r="G89" i="4"/>
  <c r="L53" i="1" s="1"/>
  <c r="G90" i="4"/>
  <c r="L170" i="1" s="1"/>
  <c r="G91" i="4"/>
  <c r="G92" i="4"/>
  <c r="L55" i="1" s="1"/>
  <c r="G93" i="4"/>
  <c r="L62" i="1" s="1"/>
  <c r="G94" i="4"/>
  <c r="L57" i="1" s="1"/>
  <c r="G95" i="4"/>
  <c r="L171" i="1" s="1"/>
  <c r="G96" i="4"/>
  <c r="L64" i="1" s="1"/>
  <c r="G97" i="4"/>
  <c r="G98" i="4"/>
  <c r="L227" i="1" s="1"/>
  <c r="G99" i="4"/>
  <c r="L66" i="1" s="1"/>
  <c r="G100" i="4"/>
  <c r="L61" i="1" s="1"/>
  <c r="G101" i="4"/>
  <c r="L172" i="1" s="1"/>
  <c r="G102" i="4"/>
  <c r="L69" i="1" s="1"/>
  <c r="G103" i="4"/>
  <c r="G104" i="4"/>
  <c r="L63" i="1" s="1"/>
  <c r="G105" i="4"/>
  <c r="L65" i="1" s="1"/>
  <c r="G106" i="4"/>
  <c r="L70" i="1" s="1"/>
  <c r="G107" i="4"/>
  <c r="L67" i="1" s="1"/>
  <c r="G108" i="4"/>
  <c r="L72" i="1" s="1"/>
  <c r="G109" i="4"/>
  <c r="L173" i="1" s="1"/>
  <c r="G110" i="4"/>
  <c r="L74" i="1" s="1"/>
  <c r="G111" i="4"/>
  <c r="G112" i="4"/>
  <c r="L174" i="1" s="1"/>
  <c r="G113" i="4"/>
  <c r="G114" i="4"/>
  <c r="L76" i="1" s="1"/>
  <c r="G115" i="4"/>
  <c r="L71" i="1" s="1"/>
  <c r="G116" i="4"/>
  <c r="L78" i="1" s="1"/>
  <c r="G117" i="4"/>
  <c r="G118" i="4"/>
  <c r="G119" i="4"/>
  <c r="L234" i="1" s="1"/>
  <c r="G120" i="4"/>
  <c r="L80" i="1" s="1"/>
  <c r="G121" i="4"/>
  <c r="L228" i="1" s="1"/>
  <c r="G122" i="4"/>
  <c r="L75" i="1" s="1"/>
  <c r="G123" i="4"/>
  <c r="L82" i="1" s="1"/>
  <c r="G124" i="4"/>
  <c r="L77" i="1" s="1"/>
  <c r="G125" i="4"/>
  <c r="G126" i="4"/>
  <c r="L84" i="1" s="1"/>
  <c r="G127" i="4"/>
  <c r="G128" i="4"/>
  <c r="L86" i="1" s="1"/>
  <c r="G129" i="4"/>
  <c r="L177" i="1" s="1"/>
  <c r="G130" i="4"/>
  <c r="L81" i="1" s="1"/>
  <c r="G131" i="4"/>
  <c r="L88" i="1" s="1"/>
  <c r="G132" i="4"/>
  <c r="L83" i="1" s="1"/>
  <c r="G133" i="4"/>
  <c r="L90" i="1" s="1"/>
  <c r="G134" i="4"/>
  <c r="L85" i="1" s="1"/>
  <c r="G135" i="4"/>
  <c r="L178" i="1" s="1"/>
  <c r="G136" i="4"/>
  <c r="L92" i="1" s="1"/>
  <c r="G137" i="4"/>
  <c r="L94" i="1" s="1"/>
  <c r="G138" i="4"/>
  <c r="L87" i="1" s="1"/>
  <c r="G139" i="4"/>
  <c r="G140" i="4"/>
  <c r="G141" i="4"/>
  <c r="L179" i="1" s="1"/>
  <c r="G142" i="4"/>
  <c r="L91" i="1" s="1"/>
  <c r="G143" i="4"/>
  <c r="L98" i="1" s="1"/>
  <c r="G144" i="4"/>
  <c r="L93" i="1" s="1"/>
  <c r="G145" i="4"/>
  <c r="L180" i="1" s="1"/>
  <c r="G146" i="4"/>
  <c r="L100" i="1" s="1"/>
  <c r="G147" i="4"/>
  <c r="L95" i="1" s="1"/>
  <c r="G148" i="4"/>
  <c r="L230" i="1" s="1"/>
  <c r="G149" i="4"/>
  <c r="L102" i="1" s="1"/>
  <c r="G150" i="4"/>
  <c r="L97" i="1" s="1"/>
  <c r="G151" i="4"/>
  <c r="L104" i="1" s="1"/>
  <c r="G152" i="4"/>
  <c r="G153" i="4"/>
  <c r="L218" i="1" s="1"/>
  <c r="G154" i="4"/>
  <c r="L99" i="1" s="1"/>
  <c r="G155" i="4"/>
  <c r="G156" i="4"/>
  <c r="L101" i="1" s="1"/>
  <c r="G157" i="4"/>
  <c r="L182" i="1" s="1"/>
  <c r="G158" i="4"/>
  <c r="L103" i="1" s="1"/>
  <c r="G159" i="4"/>
  <c r="G160" i="4"/>
  <c r="L108" i="1" s="1"/>
  <c r="G161" i="4"/>
  <c r="L105" i="1" s="1"/>
  <c r="G162" i="4"/>
  <c r="L110" i="1" s="1"/>
  <c r="G163" i="4"/>
  <c r="G164" i="4"/>
  <c r="L112" i="1" s="1"/>
  <c r="G165" i="4"/>
  <c r="L185" i="1" s="1"/>
  <c r="G166" i="4"/>
  <c r="L107" i="1" s="1"/>
  <c r="G167" i="4"/>
  <c r="L235" i="1" s="1"/>
  <c r="G168" i="4"/>
  <c r="G169" i="4"/>
  <c r="G170" i="4"/>
  <c r="G171" i="4"/>
  <c r="G172" i="4"/>
  <c r="L186" i="1" s="1"/>
  <c r="G173" i="4"/>
  <c r="L116" i="1" s="1"/>
  <c r="G174" i="4"/>
  <c r="L187" i="1" s="1"/>
  <c r="G175" i="4"/>
  <c r="L111" i="1" s="1"/>
  <c r="G176" i="4"/>
  <c r="L118" i="1" s="1"/>
  <c r="G177" i="4"/>
  <c r="L113" i="1" s="1"/>
  <c r="G178" i="4"/>
  <c r="L188" i="1" s="1"/>
  <c r="G179" i="4"/>
  <c r="L120" i="1" s="1"/>
  <c r="G180" i="4"/>
  <c r="L189" i="1" s="1"/>
  <c r="G181" i="4"/>
  <c r="G182" i="4"/>
  <c r="G183" i="4"/>
  <c r="L117" i="1" s="1"/>
  <c r="G184" i="4"/>
  <c r="L239" i="1" s="1"/>
  <c r="G185" i="4"/>
  <c r="G186" i="4"/>
  <c r="L124" i="1" s="1"/>
  <c r="G187" i="4"/>
  <c r="L119" i="1" s="1"/>
  <c r="G188" i="4"/>
  <c r="G189" i="4"/>
  <c r="L191" i="1" s="1"/>
  <c r="G190" i="4"/>
  <c r="L126" i="1" s="1"/>
  <c r="G191" i="4"/>
  <c r="L121" i="1" s="1"/>
  <c r="G192" i="4"/>
  <c r="L192" i="1" s="1"/>
  <c r="G193" i="4"/>
  <c r="L128" i="1" s="1"/>
  <c r="G194" i="4"/>
  <c r="L193" i="1" s="1"/>
  <c r="G195" i="4"/>
  <c r="G196" i="4"/>
  <c r="L123" i="1" s="1"/>
  <c r="G197" i="4"/>
  <c r="L130" i="1" s="1"/>
  <c r="G198" i="4"/>
  <c r="L125" i="1" s="1"/>
  <c r="G199" i="4"/>
  <c r="L194" i="1" s="1"/>
  <c r="G200" i="4"/>
  <c r="L195" i="1" s="1"/>
  <c r="G201" i="4"/>
  <c r="L204" i="1" s="1"/>
  <c r="G202" i="4"/>
  <c r="G203" i="4"/>
  <c r="G204" i="4"/>
  <c r="G205" i="4"/>
  <c r="G206" i="4"/>
  <c r="G207" i="4"/>
  <c r="L197" i="1" s="1"/>
  <c r="G208" i="4"/>
  <c r="L219" i="1" s="1"/>
  <c r="G209" i="4"/>
  <c r="L206" i="1" s="1"/>
  <c r="G210" i="4"/>
  <c r="L131" i="1" s="1"/>
  <c r="G211" i="4"/>
  <c r="L134" i="1" s="1"/>
  <c r="G212" i="4"/>
  <c r="G213" i="4"/>
  <c r="L196" i="1" s="1"/>
  <c r="G214" i="4"/>
  <c r="L208" i="1" s="1"/>
  <c r="G215" i="4"/>
  <c r="L136" i="1" s="1"/>
  <c r="G216" i="4"/>
  <c r="L133" i="1" s="1"/>
  <c r="G217" i="4"/>
  <c r="L135" i="1" s="1"/>
  <c r="G218" i="4"/>
  <c r="L199" i="1" s="1"/>
  <c r="G219" i="4"/>
  <c r="G220" i="4"/>
  <c r="L138" i="1" s="1"/>
  <c r="G221" i="4"/>
  <c r="G222" i="4"/>
  <c r="L137" i="1" s="1"/>
  <c r="G223" i="4"/>
  <c r="L140" i="1" s="1"/>
  <c r="G224" i="4"/>
  <c r="L201" i="1" s="1"/>
  <c r="G225" i="4"/>
  <c r="L139" i="1" s="1"/>
  <c r="G226" i="4"/>
  <c r="L142" i="1" s="1"/>
  <c r="G227" i="4"/>
  <c r="G228" i="4"/>
  <c r="L200" i="1" s="1"/>
  <c r="G229" i="4"/>
  <c r="L144" i="1" s="1"/>
  <c r="G230" i="4"/>
  <c r="L141" i="1" s="1"/>
  <c r="G231" i="4"/>
  <c r="L202" i="1" s="1"/>
  <c r="G232" i="4"/>
  <c r="L146" i="1" s="1"/>
  <c r="G233" i="4"/>
  <c r="L143" i="1" s="1"/>
  <c r="G234" i="4"/>
  <c r="G235" i="4"/>
  <c r="G236" i="4"/>
  <c r="L145" i="1" s="1"/>
  <c r="G237" i="4"/>
  <c r="G238" i="4"/>
  <c r="G239" i="4"/>
  <c r="L148" i="1" s="1"/>
  <c r="G240" i="4"/>
  <c r="L147" i="1" s="1"/>
  <c r="G241" i="4"/>
  <c r="L150" i="1" s="1"/>
  <c r="G242" i="4"/>
  <c r="L152" i="1" s="1"/>
  <c r="G243" i="4"/>
  <c r="L149" i="1" s="1"/>
  <c r="G244" i="4"/>
  <c r="L154" i="1" s="1"/>
  <c r="G245" i="4"/>
  <c r="L151" i="1" s="1"/>
  <c r="G246" i="4"/>
  <c r="L214" i="1" s="1"/>
  <c r="G247" i="4"/>
  <c r="L153" i="1" s="1"/>
  <c r="G248" i="4"/>
  <c r="L210" i="1" s="1"/>
  <c r="G249" i="4"/>
  <c r="L155" i="1" s="1"/>
  <c r="G250" i="4"/>
  <c r="L212" i="1" s="1"/>
  <c r="G251" i="4"/>
  <c r="L213" i="1" s="1"/>
  <c r="G252" i="4"/>
  <c r="G253" i="4"/>
  <c r="G254" i="4"/>
  <c r="G255" i="4"/>
  <c r="G256" i="4"/>
  <c r="G257" i="4"/>
  <c r="G258" i="4"/>
  <c r="G2" i="4"/>
  <c r="N25" i="3" l="1"/>
  <c r="L129" i="1"/>
  <c r="N17" i="3"/>
  <c r="L127" i="1"/>
  <c r="N29" i="3"/>
  <c r="L122" i="1"/>
  <c r="N38" i="3"/>
  <c r="L175" i="1"/>
  <c r="N19" i="3"/>
  <c r="L49" i="1"/>
  <c r="N14" i="3"/>
  <c r="L43" i="1"/>
  <c r="L25" i="1"/>
  <c r="L26" i="1"/>
  <c r="N36" i="3"/>
  <c r="L198" i="1"/>
  <c r="N30" i="3"/>
  <c r="L132" i="1"/>
  <c r="N35" i="3"/>
  <c r="L190" i="1"/>
  <c r="N24" i="3"/>
  <c r="L115" i="1"/>
  <c r="N41" i="3"/>
  <c r="L176" i="1"/>
  <c r="N22" i="3"/>
  <c r="L73" i="1"/>
  <c r="N9" i="3"/>
  <c r="L59" i="1"/>
  <c r="L242" i="1"/>
  <c r="L243" i="1"/>
  <c r="N43" i="3"/>
  <c r="L237" i="1"/>
  <c r="L236" i="1"/>
  <c r="L238" i="1"/>
  <c r="N28" i="3"/>
  <c r="L114" i="1"/>
  <c r="N39" i="3"/>
  <c r="L181" i="1"/>
  <c r="N16" i="3"/>
  <c r="L96" i="1"/>
  <c r="N37" i="3"/>
  <c r="L169" i="1"/>
  <c r="N33" i="3"/>
  <c r="L166" i="1"/>
  <c r="N32" i="3"/>
  <c r="L164" i="1"/>
  <c r="N12" i="3"/>
  <c r="L32" i="1"/>
  <c r="N42" i="3"/>
  <c r="L222" i="1"/>
  <c r="L223" i="1"/>
  <c r="L224" i="1"/>
  <c r="L225" i="1"/>
  <c r="L221" i="1"/>
  <c r="L220" i="1"/>
  <c r="L241" i="1"/>
  <c r="L240" i="1"/>
  <c r="N10" i="3"/>
  <c r="L109" i="1"/>
  <c r="N34" i="3"/>
  <c r="L184" i="1"/>
  <c r="N40" i="3"/>
  <c r="L183" i="1"/>
  <c r="N27" i="3"/>
  <c r="L106" i="1"/>
  <c r="N23" i="3"/>
  <c r="L89" i="1"/>
  <c r="N18" i="3"/>
  <c r="L79" i="1"/>
  <c r="N15" i="3"/>
  <c r="L68" i="1"/>
  <c r="N26" i="3"/>
  <c r="L60" i="1"/>
  <c r="N13" i="3"/>
  <c r="L54" i="1"/>
  <c r="N31" i="3"/>
  <c r="L168" i="1"/>
  <c r="N7" i="3"/>
  <c r="L48" i="1"/>
  <c r="N44" i="3"/>
  <c r="L229" i="1"/>
  <c r="N20" i="3"/>
  <c r="N21" i="3"/>
  <c r="N8" i="3"/>
  <c r="N11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23" i="1" l="1"/>
  <c r="AH27" i="1"/>
  <c r="AH29" i="1"/>
  <c r="AH31" i="1"/>
  <c r="AH33" i="1"/>
  <c r="AH47" i="1"/>
  <c r="AH49" i="1"/>
  <c r="AH51" i="1"/>
  <c r="AH58" i="1"/>
  <c r="AH60" i="1"/>
  <c r="AH62" i="1"/>
  <c r="AH64" i="1"/>
  <c r="AH66" i="1"/>
  <c r="AH22" i="1"/>
  <c r="AH24" i="1"/>
  <c r="AH28" i="1"/>
  <c r="AH30" i="1"/>
  <c r="AH32" i="1"/>
  <c r="AH45" i="1"/>
  <c r="AH46" i="1"/>
  <c r="AH48" i="1"/>
  <c r="AH50" i="1"/>
  <c r="AH52" i="1"/>
  <c r="AH57" i="1"/>
  <c r="AH59" i="1"/>
  <c r="AH61" i="1"/>
  <c r="AH63" i="1"/>
  <c r="AH65" i="1"/>
  <c r="AH67" i="1"/>
  <c r="AH69" i="1"/>
  <c r="AH227" i="1"/>
  <c r="AH15" i="1"/>
  <c r="AH17" i="1"/>
  <c r="AH19" i="1"/>
  <c r="AH21" i="1"/>
  <c r="AH25" i="1"/>
  <c r="AH34" i="1"/>
  <c r="AH36" i="1"/>
  <c r="AH38" i="1"/>
  <c r="AH26" i="1"/>
  <c r="AH42" i="1"/>
  <c r="AH53" i="1"/>
  <c r="AH78" i="1"/>
  <c r="AH80" i="1"/>
  <c r="AH82" i="1"/>
  <c r="AH84" i="1"/>
  <c r="AH86" i="1"/>
  <c r="AH88" i="1"/>
  <c r="AH90" i="1"/>
  <c r="AH92" i="1"/>
  <c r="AH107" i="1"/>
  <c r="AH14" i="1"/>
  <c r="AH18" i="1"/>
  <c r="AH35" i="1"/>
  <c r="AH39" i="1"/>
  <c r="AH43" i="1"/>
  <c r="AH54" i="1"/>
  <c r="AH68" i="1"/>
  <c r="AH70" i="1"/>
  <c r="AH71" i="1"/>
  <c r="AH73" i="1"/>
  <c r="AH75" i="1"/>
  <c r="AH77" i="1"/>
  <c r="AH94" i="1"/>
  <c r="AH96" i="1"/>
  <c r="AH98" i="1"/>
  <c r="AH40" i="1"/>
  <c r="AH44" i="1"/>
  <c r="AH55" i="1"/>
  <c r="AH79" i="1"/>
  <c r="AH81" i="1"/>
  <c r="AH83" i="1"/>
  <c r="AH85" i="1"/>
  <c r="AH87" i="1"/>
  <c r="AH89" i="1"/>
  <c r="AH91" i="1"/>
  <c r="AH106" i="1"/>
  <c r="AH108" i="1"/>
  <c r="AH125" i="1"/>
  <c r="AH16" i="1"/>
  <c r="AH20" i="1"/>
  <c r="AH37" i="1"/>
  <c r="AH41" i="1"/>
  <c r="AH56" i="1"/>
  <c r="AH72" i="1"/>
  <c r="AH74" i="1"/>
  <c r="AH76" i="1"/>
  <c r="AH93" i="1"/>
  <c r="AH95" i="1"/>
  <c r="AH97" i="1"/>
  <c r="AH99" i="1"/>
  <c r="AH101" i="1"/>
  <c r="AH105" i="1"/>
  <c r="AH109" i="1"/>
  <c r="AH113" i="1"/>
  <c r="AH117" i="1"/>
  <c r="AH121" i="1"/>
  <c r="AH124" i="1"/>
  <c r="AH126" i="1"/>
  <c r="AH128" i="1"/>
  <c r="AH130" i="1"/>
  <c r="AH102" i="1"/>
  <c r="AH110" i="1"/>
  <c r="AH114" i="1"/>
  <c r="AH118" i="1"/>
  <c r="AH122" i="1"/>
  <c r="AH134" i="1"/>
  <c r="AH136" i="1"/>
  <c r="AH138" i="1"/>
  <c r="AH141" i="1"/>
  <c r="AH143" i="1"/>
  <c r="AH145" i="1"/>
  <c r="AH152" i="1"/>
  <c r="AH154" i="1"/>
  <c r="AH156" i="1"/>
  <c r="AH167" i="1"/>
  <c r="AH103" i="1"/>
  <c r="AH111" i="1"/>
  <c r="AH115" i="1"/>
  <c r="AH119" i="1"/>
  <c r="AH123" i="1"/>
  <c r="AH127" i="1"/>
  <c r="AH129" i="1"/>
  <c r="AH131" i="1"/>
  <c r="AH147" i="1"/>
  <c r="AH149" i="1"/>
  <c r="AH151" i="1"/>
  <c r="AH158" i="1"/>
  <c r="AH160" i="1"/>
  <c r="AH162" i="1"/>
  <c r="AH164" i="1"/>
  <c r="AH100" i="1"/>
  <c r="AH104" i="1"/>
  <c r="AH112" i="1"/>
  <c r="AH116" i="1"/>
  <c r="AH120" i="1"/>
  <c r="AH133" i="1"/>
  <c r="AH135" i="1"/>
  <c r="AH137" i="1"/>
  <c r="AH140" i="1"/>
  <c r="AH142" i="1"/>
  <c r="AH144" i="1"/>
  <c r="AH146" i="1"/>
  <c r="AH153" i="1"/>
  <c r="AH155" i="1"/>
  <c r="AH157" i="1"/>
  <c r="AH168" i="1"/>
  <c r="AH132" i="1"/>
  <c r="AH148" i="1"/>
  <c r="AH165" i="1"/>
  <c r="AH177" i="1"/>
  <c r="AH179" i="1"/>
  <c r="AH181" i="1"/>
  <c r="AH200" i="1"/>
  <c r="AH202" i="1"/>
  <c r="AH204" i="1"/>
  <c r="AH206" i="1"/>
  <c r="AH208" i="1"/>
  <c r="AH210" i="1"/>
  <c r="AH212" i="1"/>
  <c r="AH215" i="1"/>
  <c r="AH217" i="1"/>
  <c r="AH219" i="1"/>
  <c r="AH221" i="1"/>
  <c r="AH223" i="1"/>
  <c r="AH225" i="1"/>
  <c r="AH228" i="1"/>
  <c r="AH159" i="1"/>
  <c r="AH163" i="1"/>
  <c r="AH166" i="1"/>
  <c r="AH169" i="1"/>
  <c r="AH170" i="1"/>
  <c r="AH172" i="1"/>
  <c r="AH174" i="1"/>
  <c r="AH176" i="1"/>
  <c r="AH183" i="1"/>
  <c r="AH185" i="1"/>
  <c r="AH187" i="1"/>
  <c r="AH189" i="1"/>
  <c r="AH191" i="1"/>
  <c r="AH193" i="1"/>
  <c r="AH195" i="1"/>
  <c r="AH197" i="1"/>
  <c r="AH199" i="1"/>
  <c r="AH214" i="1"/>
  <c r="AH139" i="1"/>
  <c r="AH150" i="1"/>
  <c r="AH178" i="1"/>
  <c r="AH180" i="1"/>
  <c r="AH182" i="1"/>
  <c r="AH201" i="1"/>
  <c r="AH203" i="1"/>
  <c r="AH205" i="1"/>
  <c r="AH207" i="1"/>
  <c r="AH209" i="1"/>
  <c r="AH211" i="1"/>
  <c r="AH216" i="1"/>
  <c r="AH218" i="1"/>
  <c r="AH220" i="1"/>
  <c r="AH222" i="1"/>
  <c r="AH224" i="1"/>
  <c r="AH226" i="1"/>
  <c r="AH229" i="1"/>
  <c r="AH231" i="1"/>
  <c r="AH233" i="1"/>
  <c r="AH240" i="1"/>
  <c r="AH161" i="1"/>
  <c r="AH171" i="1"/>
  <c r="AH173" i="1"/>
  <c r="AH175" i="1"/>
  <c r="AH184" i="1"/>
  <c r="AH186" i="1"/>
  <c r="AH188" i="1"/>
  <c r="AH190" i="1"/>
  <c r="AH192" i="1"/>
  <c r="AH194" i="1"/>
  <c r="AH196" i="1"/>
  <c r="AH198" i="1"/>
  <c r="AH213" i="1"/>
  <c r="AH234" i="1"/>
  <c r="AH237" i="1"/>
  <c r="AH242" i="1"/>
  <c r="AH235" i="1"/>
  <c r="AH238" i="1"/>
  <c r="AH241" i="1"/>
  <c r="AH230" i="1"/>
  <c r="AH232" i="1"/>
  <c r="AH236" i="1"/>
  <c r="AH239" i="1"/>
  <c r="AH243" i="1"/>
  <c r="AH13" i="1"/>
  <c r="J7" i="1"/>
  <c r="X6" i="1" l="1"/>
  <c r="W6" i="1"/>
  <c r="V6" i="1"/>
  <c r="S6" i="1"/>
  <c r="R2" i="1"/>
  <c r="I2" i="1"/>
  <c r="O6" i="1"/>
  <c r="N6" i="1"/>
  <c r="M6" i="1"/>
  <c r="J6" i="1"/>
  <c r="P3" i="5" l="1"/>
  <c r="U165" i="1" l="1"/>
  <c r="S165" i="1" s="1"/>
  <c r="U193" i="1"/>
  <c r="S193" i="1" s="1"/>
  <c r="U205" i="1"/>
  <c r="S205" i="1" s="1"/>
  <c r="U169" i="1"/>
  <c r="S169" i="1" s="1"/>
  <c r="U182" i="1"/>
  <c r="S182" i="1" s="1"/>
  <c r="U172" i="1"/>
  <c r="S172" i="1" s="1"/>
  <c r="U162" i="1"/>
  <c r="S162" i="1" s="1"/>
  <c r="U229" i="1"/>
  <c r="S229" i="1" s="1"/>
  <c r="U243" i="1"/>
  <c r="S243" i="1" s="1"/>
  <c r="U239" i="1"/>
  <c r="S239" i="1" s="1"/>
  <c r="U218" i="1"/>
  <c r="S218" i="1" s="1"/>
  <c r="U178" i="1"/>
  <c r="S178" i="1" s="1"/>
  <c r="U238" i="1"/>
  <c r="S238" i="1" s="1"/>
  <c r="U226" i="1"/>
  <c r="S226" i="1" s="1"/>
  <c r="U177" i="1"/>
  <c r="S177" i="1" s="1"/>
  <c r="U224" i="1"/>
  <c r="S224" i="1" s="1"/>
  <c r="U213" i="1"/>
  <c r="S213" i="1" s="1"/>
  <c r="U159" i="1"/>
  <c r="S159" i="1" s="1"/>
  <c r="U207" i="1"/>
  <c r="S207" i="1" s="1"/>
  <c r="U190" i="1"/>
  <c r="S190" i="1" s="1"/>
  <c r="U214" i="1"/>
  <c r="S214" i="1" s="1"/>
  <c r="U233" i="1"/>
  <c r="S233" i="1" s="1"/>
  <c r="U163" i="1"/>
  <c r="S163" i="1" s="1"/>
  <c r="U225" i="1"/>
  <c r="S225" i="1" s="1"/>
  <c r="U176" i="1"/>
  <c r="S176" i="1" s="1"/>
  <c r="U219" i="1"/>
  <c r="S219" i="1" s="1"/>
  <c r="U231" i="1"/>
  <c r="S231" i="1" s="1"/>
  <c r="U200" i="1"/>
  <c r="S200" i="1" s="1"/>
  <c r="U167" i="1"/>
  <c r="S167" i="1" s="1"/>
  <c r="U209" i="1"/>
  <c r="S209" i="1" s="1"/>
  <c r="U180" i="1"/>
  <c r="S180" i="1" s="1"/>
  <c r="U206" i="1"/>
  <c r="S206" i="1" s="1"/>
  <c r="U185" i="1"/>
  <c r="S185" i="1" s="1"/>
  <c r="U240" i="1"/>
  <c r="S240" i="1" s="1"/>
  <c r="U160" i="1"/>
  <c r="S160" i="1" s="1"/>
  <c r="U157" i="1"/>
  <c r="S157" i="1" s="1"/>
  <c r="U197" i="1"/>
  <c r="S197" i="1" s="1"/>
  <c r="U227" i="1"/>
  <c r="S227" i="1" s="1"/>
  <c r="U234" i="1"/>
  <c r="S234" i="1" s="1"/>
  <c r="U230" i="1"/>
  <c r="S230" i="1" s="1"/>
  <c r="U204" i="1"/>
  <c r="S204" i="1" s="1"/>
  <c r="U208" i="1"/>
  <c r="S208" i="1" s="1"/>
  <c r="U188" i="1"/>
  <c r="S188" i="1" s="1"/>
  <c r="U199" i="1"/>
  <c r="S199" i="1" s="1"/>
  <c r="U189" i="1"/>
  <c r="S189" i="1" s="1"/>
  <c r="U236" i="1"/>
  <c r="S236" i="1" s="1"/>
  <c r="U173" i="1"/>
  <c r="S173" i="1" s="1"/>
  <c r="U179" i="1"/>
  <c r="S179" i="1" s="1"/>
  <c r="U201" i="1"/>
  <c r="S201" i="1" s="1"/>
  <c r="U232" i="1"/>
  <c r="S232" i="1" s="1"/>
  <c r="U196" i="1"/>
  <c r="S196" i="1" s="1"/>
  <c r="U237" i="1"/>
  <c r="S237" i="1" s="1"/>
  <c r="U181" i="1"/>
  <c r="S181" i="1" s="1"/>
  <c r="U198" i="1"/>
  <c r="S198" i="1" s="1"/>
  <c r="U195" i="1"/>
  <c r="S195" i="1" s="1"/>
  <c r="U192" i="1"/>
  <c r="S192" i="1" s="1"/>
  <c r="U217" i="1"/>
  <c r="S217" i="1" s="1"/>
  <c r="U158" i="1"/>
  <c r="S158" i="1" s="1"/>
  <c r="U235" i="1"/>
  <c r="S235" i="1" s="1"/>
  <c r="U212" i="1"/>
  <c r="S212" i="1" s="1"/>
  <c r="U223" i="1"/>
  <c r="S223" i="1" s="1"/>
  <c r="U156" i="1"/>
  <c r="S156" i="1" s="1"/>
  <c r="U216" i="1"/>
  <c r="S216" i="1" s="1"/>
  <c r="U211" i="1"/>
  <c r="S211" i="1" s="1"/>
  <c r="U210" i="1"/>
  <c r="S210" i="1" s="1"/>
  <c r="U166" i="1"/>
  <c r="S166" i="1" s="1"/>
  <c r="U183" i="1"/>
  <c r="S183" i="1" s="1"/>
  <c r="U187" i="1"/>
  <c r="S187" i="1" s="1"/>
  <c r="U164" i="1"/>
  <c r="S164" i="1" s="1"/>
  <c r="U220" i="1"/>
  <c r="S220" i="1" s="1"/>
  <c r="U175" i="1"/>
  <c r="S175" i="1" s="1"/>
  <c r="U221" i="1"/>
  <c r="S221" i="1" s="1"/>
  <c r="U161" i="1"/>
  <c r="S161" i="1" s="1"/>
  <c r="U215" i="1"/>
  <c r="S215" i="1" s="1"/>
  <c r="U194" i="1"/>
  <c r="S194" i="1" s="1"/>
  <c r="U222" i="1"/>
  <c r="S222" i="1" s="1"/>
  <c r="U242" i="1"/>
  <c r="S242" i="1" s="1"/>
  <c r="U168" i="1"/>
  <c r="S168" i="1" s="1"/>
  <c r="U228" i="1"/>
  <c r="S228" i="1" s="1"/>
  <c r="U170" i="1"/>
  <c r="S170" i="1" s="1"/>
  <c r="U241" i="1"/>
  <c r="S241" i="1" s="1"/>
  <c r="U184" i="1"/>
  <c r="S184" i="1" s="1"/>
  <c r="U174" i="1"/>
  <c r="S174" i="1" s="1"/>
  <c r="U203" i="1"/>
  <c r="S203" i="1" s="1"/>
  <c r="U171" i="1"/>
  <c r="S171" i="1" s="1"/>
  <c r="U191" i="1"/>
  <c r="S191" i="1" s="1"/>
  <c r="U186" i="1"/>
  <c r="S186" i="1" s="1"/>
  <c r="U202" i="1"/>
  <c r="S202" i="1" s="1"/>
  <c r="M18" i="5"/>
  <c r="AF14" i="1" l="1"/>
  <c r="AF16" i="1"/>
  <c r="AF18" i="1"/>
  <c r="AF20" i="1"/>
  <c r="AF26" i="1"/>
  <c r="AF35" i="1"/>
  <c r="AF37" i="1"/>
  <c r="AF39" i="1"/>
  <c r="AF41" i="1"/>
  <c r="AF43" i="1"/>
  <c r="AF46" i="1"/>
  <c r="AF55" i="1"/>
  <c r="AF57" i="1"/>
  <c r="AF227" i="1"/>
  <c r="AF15" i="1"/>
  <c r="AF17" i="1"/>
  <c r="AF19" i="1"/>
  <c r="AF21" i="1"/>
  <c r="AF25" i="1"/>
  <c r="AF34" i="1"/>
  <c r="AF36" i="1"/>
  <c r="AF38" i="1"/>
  <c r="AF40" i="1"/>
  <c r="AF42" i="1"/>
  <c r="AF44" i="1"/>
  <c r="AF54" i="1"/>
  <c r="AF56" i="1"/>
  <c r="AF23" i="1"/>
  <c r="AF27" i="1"/>
  <c r="AF29" i="1"/>
  <c r="AF31" i="1"/>
  <c r="AF33" i="1"/>
  <c r="AF24" i="1"/>
  <c r="AF30" i="1"/>
  <c r="AF59" i="1"/>
  <c r="AF61" i="1"/>
  <c r="AF63" i="1"/>
  <c r="AF65" i="1"/>
  <c r="AF67" i="1"/>
  <c r="AF68" i="1"/>
  <c r="AF69" i="1"/>
  <c r="AF70" i="1"/>
  <c r="AF71" i="1"/>
  <c r="AF73" i="1"/>
  <c r="AF75" i="1"/>
  <c r="AF77" i="1"/>
  <c r="AF94" i="1"/>
  <c r="AF96" i="1"/>
  <c r="AF98" i="1"/>
  <c r="AF100" i="1"/>
  <c r="AF102" i="1"/>
  <c r="AF104" i="1"/>
  <c r="AF111" i="1"/>
  <c r="AF113" i="1"/>
  <c r="AF115" i="1"/>
  <c r="AF117" i="1"/>
  <c r="AF119" i="1"/>
  <c r="AF121" i="1"/>
  <c r="AF123" i="1"/>
  <c r="AF22" i="1"/>
  <c r="AF28" i="1"/>
  <c r="AF48" i="1"/>
  <c r="AF50" i="1"/>
  <c r="AF52" i="1"/>
  <c r="AF79" i="1"/>
  <c r="AF81" i="1"/>
  <c r="AF83" i="1"/>
  <c r="AF85" i="1"/>
  <c r="AF87" i="1"/>
  <c r="AF89" i="1"/>
  <c r="AF91" i="1"/>
  <c r="AF58" i="1"/>
  <c r="AF60" i="1"/>
  <c r="AF62" i="1"/>
  <c r="AF64" i="1"/>
  <c r="AF66" i="1"/>
  <c r="AF72" i="1"/>
  <c r="AF74" i="1"/>
  <c r="AF76" i="1"/>
  <c r="AF93" i="1"/>
  <c r="AF95" i="1"/>
  <c r="AF97" i="1"/>
  <c r="AF99" i="1"/>
  <c r="AF101" i="1"/>
  <c r="AF103" i="1"/>
  <c r="AF105" i="1"/>
  <c r="AF110" i="1"/>
  <c r="AF112" i="1"/>
  <c r="AF114" i="1"/>
  <c r="AF116" i="1"/>
  <c r="AF118" i="1"/>
  <c r="AF120" i="1"/>
  <c r="AF122" i="1"/>
  <c r="AF124" i="1"/>
  <c r="AF32" i="1"/>
  <c r="AF45" i="1"/>
  <c r="AF47" i="1"/>
  <c r="AF49" i="1"/>
  <c r="AF51" i="1"/>
  <c r="AF53" i="1"/>
  <c r="AF78" i="1"/>
  <c r="AF80" i="1"/>
  <c r="AF82" i="1"/>
  <c r="AF84" i="1"/>
  <c r="AF86" i="1"/>
  <c r="AF88" i="1"/>
  <c r="AF90" i="1"/>
  <c r="AF92" i="1"/>
  <c r="AF106" i="1"/>
  <c r="AF108" i="1"/>
  <c r="AF127" i="1"/>
  <c r="AF129" i="1"/>
  <c r="AF131" i="1"/>
  <c r="AF140" i="1"/>
  <c r="AF147" i="1"/>
  <c r="AF149" i="1"/>
  <c r="AF151" i="1"/>
  <c r="AF205" i="1"/>
  <c r="AF207" i="1"/>
  <c r="AF209" i="1"/>
  <c r="AF211" i="1"/>
  <c r="AF213" i="1"/>
  <c r="AF133" i="1"/>
  <c r="AF135" i="1"/>
  <c r="AF137" i="1"/>
  <c r="AF142" i="1"/>
  <c r="AF144" i="1"/>
  <c r="AF146" i="1"/>
  <c r="AF153" i="1"/>
  <c r="AF155" i="1"/>
  <c r="AF204" i="1"/>
  <c r="AF107" i="1"/>
  <c r="AF109" i="1"/>
  <c r="AF125" i="1"/>
  <c r="AF126" i="1"/>
  <c r="AF128" i="1"/>
  <c r="AF130" i="1"/>
  <c r="AF132" i="1"/>
  <c r="AF139" i="1"/>
  <c r="AF148" i="1"/>
  <c r="AF150" i="1"/>
  <c r="AF152" i="1"/>
  <c r="AF206" i="1"/>
  <c r="AF208" i="1"/>
  <c r="AF210" i="1"/>
  <c r="AF212" i="1"/>
  <c r="AF136" i="1"/>
  <c r="AF222" i="1"/>
  <c r="AF223" i="1"/>
  <c r="AF224" i="1"/>
  <c r="AF226" i="1"/>
  <c r="AF229" i="1"/>
  <c r="AF231" i="1"/>
  <c r="AF238" i="1"/>
  <c r="AF156" i="1"/>
  <c r="AF158" i="1"/>
  <c r="AF160" i="1"/>
  <c r="AF162" i="1"/>
  <c r="AF164" i="1"/>
  <c r="AF240" i="1"/>
  <c r="AF166" i="1"/>
  <c r="AF168" i="1"/>
  <c r="AF181" i="1"/>
  <c r="AF134" i="1"/>
  <c r="AF145" i="1"/>
  <c r="AF233" i="1"/>
  <c r="AF235" i="1"/>
  <c r="AF237" i="1"/>
  <c r="AF170" i="1"/>
  <c r="AF172" i="1"/>
  <c r="AF174" i="1"/>
  <c r="AF242" i="1"/>
  <c r="AF176" i="1"/>
  <c r="AF178" i="1"/>
  <c r="AF183" i="1"/>
  <c r="AF185" i="1"/>
  <c r="AF187" i="1"/>
  <c r="AF189" i="1"/>
  <c r="AF191" i="1"/>
  <c r="AF193" i="1"/>
  <c r="AF143" i="1"/>
  <c r="AF203" i="1"/>
  <c r="AF214" i="1"/>
  <c r="AF225" i="1"/>
  <c r="AF228" i="1"/>
  <c r="AF230" i="1"/>
  <c r="AF239" i="1"/>
  <c r="AF157" i="1"/>
  <c r="AF159" i="1"/>
  <c r="AF161" i="1"/>
  <c r="AF163" i="1"/>
  <c r="AF165" i="1"/>
  <c r="AF241" i="1"/>
  <c r="AF167" i="1"/>
  <c r="AF169" i="1"/>
  <c r="AF180" i="1"/>
  <c r="AF201" i="1"/>
  <c r="AF215" i="1"/>
  <c r="AF217" i="1"/>
  <c r="AF138" i="1"/>
  <c r="AF141" i="1"/>
  <c r="AF154" i="1"/>
  <c r="AF232" i="1"/>
  <c r="AF234" i="1"/>
  <c r="AF236" i="1"/>
  <c r="AF171" i="1"/>
  <c r="AF173" i="1"/>
  <c r="AF175" i="1"/>
  <c r="AF243" i="1"/>
  <c r="AF177" i="1"/>
  <c r="AF179" i="1"/>
  <c r="AF186" i="1"/>
  <c r="AF194" i="1"/>
  <c r="AF218" i="1"/>
  <c r="AF184" i="1"/>
  <c r="AF192" i="1"/>
  <c r="AF216" i="1"/>
  <c r="AF219" i="1"/>
  <c r="AF221" i="1"/>
  <c r="T14" i="3"/>
  <c r="AF182" i="1"/>
  <c r="AF190" i="1"/>
  <c r="AF195" i="1"/>
  <c r="AF196" i="1"/>
  <c r="AF197" i="1"/>
  <c r="AF198" i="1"/>
  <c r="AF199" i="1"/>
  <c r="AF202" i="1"/>
  <c r="AF188" i="1"/>
  <c r="AF200" i="1"/>
  <c r="AF220" i="1"/>
  <c r="T40" i="3"/>
  <c r="T28" i="3"/>
  <c r="T18" i="3"/>
  <c r="T19" i="3"/>
  <c r="T12" i="3"/>
  <c r="T26" i="3"/>
  <c r="T42" i="3"/>
  <c r="T29" i="3"/>
  <c r="T30" i="3"/>
  <c r="T38" i="3"/>
  <c r="T20" i="3"/>
  <c r="T27" i="3"/>
  <c r="T15" i="3"/>
  <c r="T31" i="3"/>
  <c r="T9" i="3"/>
  <c r="T16" i="3"/>
  <c r="T32" i="3"/>
  <c r="T21" i="3"/>
  <c r="T36" i="3"/>
  <c r="T39" i="3"/>
  <c r="T22" i="3"/>
  <c r="T23" i="3"/>
  <c r="T7" i="3"/>
  <c r="T10" i="3"/>
  <c r="T37" i="3"/>
  <c r="T35" i="3"/>
  <c r="T44" i="3"/>
  <c r="T17" i="3"/>
  <c r="T33" i="3"/>
  <c r="T34" i="3"/>
  <c r="T13" i="3"/>
  <c r="T25" i="3"/>
  <c r="T43" i="3"/>
  <c r="T11" i="3"/>
  <c r="T24" i="3"/>
  <c r="T8" i="3"/>
  <c r="T41" i="3"/>
  <c r="AF13" i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25" i="1" l="1"/>
  <c r="U134" i="1"/>
  <c r="S134" i="1" s="1"/>
  <c r="U154" i="1"/>
  <c r="S154" i="1" s="1"/>
  <c r="U147" i="1"/>
  <c r="S147" i="1" s="1"/>
  <c r="U128" i="1"/>
  <c r="S128" i="1" s="1"/>
  <c r="U140" i="1"/>
  <c r="S140" i="1" s="1"/>
  <c r="U84" i="1"/>
  <c r="S84" i="1" s="1"/>
  <c r="U56" i="1"/>
  <c r="S56" i="1" s="1"/>
  <c r="U57" i="1"/>
  <c r="S57" i="1" s="1"/>
  <c r="U32" i="1"/>
  <c r="S32" i="1" s="1"/>
  <c r="U111" i="1"/>
  <c r="S111" i="1" s="1"/>
  <c r="U46" i="1"/>
  <c r="S46" i="1" s="1"/>
  <c r="U139" i="1"/>
  <c r="S139" i="1" s="1"/>
  <c r="U109" i="1"/>
  <c r="S109" i="1" s="1"/>
  <c r="U104" i="1"/>
  <c r="S104" i="1" s="1"/>
  <c r="U72" i="1"/>
  <c r="S72" i="1" s="1"/>
  <c r="U73" i="1"/>
  <c r="S73" i="1" s="1"/>
  <c r="U53" i="1"/>
  <c r="S53" i="1" s="1"/>
  <c r="U80" i="1"/>
  <c r="S80" i="1" s="1"/>
  <c r="U60" i="1"/>
  <c r="S60" i="1" s="1"/>
  <c r="U29" i="1"/>
  <c r="S29" i="1" s="1"/>
  <c r="U43" i="1"/>
  <c r="S43" i="1" s="1"/>
  <c r="U95" i="1"/>
  <c r="S95" i="1" s="1"/>
  <c r="U59" i="1"/>
  <c r="S59" i="1" s="1"/>
  <c r="U152" i="1"/>
  <c r="S152" i="1" s="1"/>
  <c r="U132" i="1"/>
  <c r="S132" i="1" s="1"/>
  <c r="U116" i="1"/>
  <c r="S116" i="1" s="1"/>
  <c r="U96" i="1"/>
  <c r="S96" i="1" s="1"/>
  <c r="U86" i="1"/>
  <c r="S86" i="1" s="1"/>
  <c r="U69" i="1"/>
  <c r="S69" i="1" s="1"/>
  <c r="U49" i="1"/>
  <c r="S49" i="1" s="1"/>
  <c r="U119" i="1"/>
  <c r="S119" i="1" s="1"/>
  <c r="U75" i="1"/>
  <c r="S75" i="1" s="1"/>
  <c r="U143" i="1"/>
  <c r="S143" i="1" s="1"/>
  <c r="U151" i="1"/>
  <c r="S151" i="1" s="1"/>
  <c r="U117" i="1"/>
  <c r="S117" i="1" s="1"/>
  <c r="U124" i="1"/>
  <c r="S124" i="1" s="1"/>
  <c r="U92" i="1"/>
  <c r="S92" i="1" s="1"/>
  <c r="U68" i="1"/>
  <c r="S68" i="1" s="1"/>
  <c r="U24" i="1"/>
  <c r="S24" i="1" s="1"/>
  <c r="U65" i="1"/>
  <c r="S65" i="1" s="1"/>
  <c r="U98" i="1"/>
  <c r="S98" i="1" s="1"/>
  <c r="U61" i="1"/>
  <c r="S61" i="1" s="1"/>
  <c r="U125" i="1"/>
  <c r="S125" i="1" s="1"/>
  <c r="U148" i="1"/>
  <c r="S148" i="1" s="1"/>
  <c r="U114" i="1"/>
  <c r="S114" i="1" s="1"/>
  <c r="U123" i="1"/>
  <c r="S123" i="1" s="1"/>
  <c r="U45" i="1"/>
  <c r="S45" i="1" s="1"/>
  <c r="U85" i="1"/>
  <c r="S85" i="1" s="1"/>
  <c r="U52" i="1"/>
  <c r="S52" i="1" s="1"/>
  <c r="U64" i="1"/>
  <c r="S64" i="1" s="1"/>
  <c r="U113" i="1"/>
  <c r="S113" i="1" s="1"/>
  <c r="U91" i="1"/>
  <c r="S91" i="1" s="1"/>
  <c r="U55" i="1"/>
  <c r="S55" i="1" s="1"/>
  <c r="U71" i="1"/>
  <c r="S71" i="1" s="1"/>
  <c r="U87" i="1"/>
  <c r="S87" i="1" s="1"/>
  <c r="U115" i="1"/>
  <c r="S115" i="1" s="1"/>
  <c r="U70" i="1"/>
  <c r="S70" i="1" s="1"/>
  <c r="U35" i="1"/>
  <c r="S35" i="1" s="1"/>
  <c r="U66" i="1"/>
  <c r="S66" i="1" s="1"/>
  <c r="U126" i="1"/>
  <c r="S126" i="1" s="1"/>
  <c r="U48" i="1"/>
  <c r="S48" i="1" s="1"/>
  <c r="U101" i="1"/>
  <c r="S101" i="1" s="1"/>
  <c r="U37" i="1"/>
  <c r="S37" i="1" s="1"/>
  <c r="U26" i="1"/>
  <c r="S25" i="1" s="1"/>
  <c r="U89" i="1"/>
  <c r="S89" i="1" s="1"/>
  <c r="U36" i="1"/>
  <c r="S36" i="1" s="1"/>
  <c r="U47" i="1"/>
  <c r="S47" i="1" s="1"/>
  <c r="U129" i="1"/>
  <c r="S129" i="1" s="1"/>
  <c r="U145" i="1"/>
  <c r="S145" i="1" s="1"/>
  <c r="U23" i="1"/>
  <c r="S23" i="1" s="1"/>
  <c r="U78" i="1"/>
  <c r="S78" i="1" s="1"/>
  <c r="U41" i="1"/>
  <c r="S41" i="1" s="1"/>
  <c r="U58" i="1"/>
  <c r="S58" i="1" s="1"/>
  <c r="U153" i="1"/>
  <c r="S153" i="1" s="1"/>
  <c r="U106" i="1"/>
  <c r="S106" i="1" s="1"/>
  <c r="U79" i="1"/>
  <c r="S79" i="1" s="1"/>
  <c r="U33" i="1"/>
  <c r="S33" i="1" s="1"/>
  <c r="U63" i="1"/>
  <c r="S63" i="1" s="1"/>
  <c r="U81" i="1"/>
  <c r="S81" i="1" s="1"/>
  <c r="U121" i="1"/>
  <c r="S121" i="1" s="1"/>
  <c r="U76" i="1"/>
  <c r="S76" i="1" s="1"/>
  <c r="U99" i="1"/>
  <c r="S99" i="1" s="1"/>
  <c r="U127" i="1"/>
  <c r="S127" i="1" s="1"/>
  <c r="U15" i="1"/>
  <c r="S15" i="1" s="1"/>
  <c r="U141" i="1"/>
  <c r="S141" i="1" s="1"/>
  <c r="U82" i="1"/>
  <c r="S82" i="1" s="1"/>
  <c r="U30" i="1"/>
  <c r="S30" i="1" s="1"/>
  <c r="U93" i="1"/>
  <c r="S93" i="1" s="1"/>
  <c r="U137" i="1"/>
  <c r="S137" i="1" s="1"/>
  <c r="U97" i="1"/>
  <c r="S97" i="1" s="1"/>
  <c r="U44" i="1"/>
  <c r="S44" i="1" s="1"/>
  <c r="U77" i="1"/>
  <c r="S77" i="1" s="1"/>
  <c r="U146" i="1"/>
  <c r="S146" i="1" s="1"/>
  <c r="U94" i="1"/>
  <c r="S94" i="1" s="1"/>
  <c r="U131" i="1"/>
  <c r="S131" i="1" s="1"/>
  <c r="U110" i="1"/>
  <c r="S110" i="1" s="1"/>
  <c r="U16" i="1"/>
  <c r="S16" i="1" s="1"/>
  <c r="U120" i="1"/>
  <c r="S120" i="1" s="1"/>
  <c r="U17" i="1"/>
  <c r="S17" i="1" s="1"/>
  <c r="U112" i="1"/>
  <c r="S112" i="1" s="1"/>
  <c r="U130" i="1"/>
  <c r="S130" i="1" s="1"/>
  <c r="U138" i="1"/>
  <c r="S138" i="1" s="1"/>
  <c r="U42" i="1"/>
  <c r="S42" i="1" s="1"/>
  <c r="U103" i="1"/>
  <c r="S103" i="1" s="1"/>
  <c r="U83" i="1"/>
  <c r="S83" i="1" s="1"/>
  <c r="U20" i="1"/>
  <c r="S20" i="1" s="1"/>
  <c r="U19" i="1"/>
  <c r="S19" i="1" s="1"/>
  <c r="U54" i="1"/>
  <c r="S54" i="1" s="1"/>
  <c r="U34" i="1"/>
  <c r="S34" i="1" s="1"/>
  <c r="U40" i="1"/>
  <c r="S40" i="1" s="1"/>
  <c r="U105" i="1"/>
  <c r="S105" i="1" s="1"/>
  <c r="U27" i="1"/>
  <c r="S27" i="1" s="1"/>
  <c r="U14" i="1"/>
  <c r="S14" i="1" s="1"/>
  <c r="U28" i="1"/>
  <c r="S28" i="1" s="1"/>
  <c r="U67" i="1"/>
  <c r="S67" i="1" s="1"/>
  <c r="U118" i="1"/>
  <c r="S118" i="1" s="1"/>
  <c r="U100" i="1"/>
  <c r="S100" i="1" s="1"/>
  <c r="U155" i="1"/>
  <c r="S155" i="1" s="1"/>
  <c r="U144" i="1"/>
  <c r="S144" i="1" s="1"/>
  <c r="U102" i="1"/>
  <c r="S102" i="1" s="1"/>
  <c r="U90" i="1"/>
  <c r="S90" i="1" s="1"/>
  <c r="U135" i="1"/>
  <c r="S135" i="1" s="1"/>
  <c r="U122" i="1"/>
  <c r="S122" i="1" s="1"/>
  <c r="U21" i="1"/>
  <c r="S21" i="1" s="1"/>
  <c r="U150" i="1"/>
  <c r="S150" i="1" s="1"/>
  <c r="U136" i="1"/>
  <c r="S136" i="1" s="1"/>
  <c r="U142" i="1"/>
  <c r="S142" i="1" s="1"/>
  <c r="U108" i="1"/>
  <c r="S108" i="1" s="1"/>
  <c r="U38" i="1"/>
  <c r="S38" i="1" s="1"/>
  <c r="U51" i="1"/>
  <c r="S51" i="1" s="1"/>
  <c r="U39" i="1"/>
  <c r="S39" i="1" s="1"/>
  <c r="U107" i="1"/>
  <c r="S107" i="1" s="1"/>
  <c r="U22" i="1"/>
  <c r="S22" i="1" s="1"/>
  <c r="U88" i="1"/>
  <c r="S88" i="1" s="1"/>
  <c r="U133" i="1"/>
  <c r="S133" i="1" s="1"/>
  <c r="U149" i="1"/>
  <c r="S149" i="1" s="1"/>
  <c r="U31" i="1"/>
  <c r="S31" i="1" s="1"/>
  <c r="U18" i="1"/>
  <c r="S18" i="1" s="1"/>
  <c r="U50" i="1"/>
  <c r="S50" i="1" s="1"/>
  <c r="U62" i="1"/>
  <c r="S62" i="1" s="1"/>
  <c r="U74" i="1"/>
  <c r="S74" i="1" s="1"/>
  <c r="U13" i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H3" i="6"/>
  <c r="J3" i="6"/>
  <c r="G3" i="6"/>
  <c r="B4" i="6"/>
  <c r="I4" i="6" l="1"/>
  <c r="F4" i="6"/>
  <c r="H4" i="6"/>
  <c r="J4" i="6"/>
  <c r="G4" i="6"/>
  <c r="B5" i="6" l="1"/>
  <c r="I5" i="6" l="1"/>
  <c r="F5" i="6"/>
  <c r="B6" i="6"/>
  <c r="J5" i="6"/>
  <c r="G5" i="6"/>
  <c r="H5" i="6"/>
  <c r="I6" i="6" l="1"/>
  <c r="F6" i="6"/>
  <c r="B7" i="6"/>
  <c r="J6" i="6"/>
  <c r="G6" i="6"/>
  <c r="H6" i="6"/>
  <c r="I7" i="6" l="1"/>
  <c r="F7" i="6"/>
  <c r="H7" i="6"/>
  <c r="J7" i="6"/>
  <c r="G7" i="6"/>
  <c r="B8" i="6"/>
  <c r="I8" i="6" l="1"/>
  <c r="F8" i="6"/>
  <c r="B9" i="6"/>
  <c r="G8" i="6"/>
  <c r="J8" i="6"/>
  <c r="H8" i="6"/>
  <c r="I9" i="6" l="1"/>
  <c r="F9" i="6"/>
  <c r="G9" i="6"/>
  <c r="H9" i="6"/>
  <c r="J9" i="6"/>
  <c r="B10" i="6"/>
  <c r="I10" i="6" l="1"/>
  <c r="F10" i="6"/>
  <c r="J10" i="6"/>
  <c r="G10" i="6"/>
  <c r="H10" i="6"/>
  <c r="B11" i="6"/>
  <c r="I11" i="6" l="1"/>
  <c r="F11" i="6"/>
  <c r="G11" i="6"/>
  <c r="H11" i="6"/>
  <c r="J11" i="6"/>
  <c r="B12" i="6"/>
  <c r="I12" i="6" l="1"/>
  <c r="F12" i="6"/>
  <c r="B13" i="6"/>
  <c r="J12" i="6"/>
  <c r="H12" i="6"/>
  <c r="G12" i="6"/>
  <c r="I13" i="6" l="1"/>
  <c r="F13" i="6"/>
  <c r="J13" i="6"/>
  <c r="G13" i="6"/>
  <c r="H13" i="6"/>
  <c r="B14" i="6"/>
  <c r="I14" i="6" l="1"/>
  <c r="F14" i="6"/>
  <c r="B15" i="6"/>
  <c r="G14" i="6"/>
  <c r="J14" i="6"/>
  <c r="H14" i="6"/>
  <c r="I15" i="6" l="1"/>
  <c r="F15" i="6"/>
  <c r="G15" i="6"/>
  <c r="J15" i="6"/>
  <c r="H15" i="6"/>
  <c r="B16" i="6"/>
  <c r="I16" i="6" l="1"/>
  <c r="F16" i="6"/>
  <c r="B17" i="6"/>
  <c r="G16" i="6"/>
  <c r="J16" i="6"/>
  <c r="H16" i="6"/>
  <c r="I17" i="6" l="1"/>
  <c r="F17" i="6"/>
  <c r="G17" i="6"/>
  <c r="H17" i="6"/>
  <c r="J17" i="6"/>
  <c r="B18" i="6" l="1"/>
  <c r="I18" i="6" l="1"/>
  <c r="F18" i="6"/>
  <c r="G18" i="6"/>
  <c r="H18" i="6"/>
  <c r="J18" i="6"/>
  <c r="B19" i="6"/>
  <c r="I19" i="6" l="1"/>
  <c r="F19" i="6"/>
  <c r="G19" i="6"/>
  <c r="H19" i="6"/>
  <c r="J19" i="6"/>
  <c r="B20" i="6"/>
  <c r="I20" i="6" l="1"/>
  <c r="F20" i="6"/>
  <c r="B21" i="6"/>
  <c r="J20" i="6"/>
  <c r="G20" i="6"/>
  <c r="H20" i="6"/>
  <c r="I21" i="6" l="1"/>
  <c r="F21" i="6"/>
  <c r="B22" i="6"/>
  <c r="J21" i="6"/>
  <c r="G21" i="6"/>
  <c r="H21" i="6"/>
  <c r="I22" i="6" l="1"/>
  <c r="F22" i="6"/>
  <c r="H22" i="6"/>
  <c r="G22" i="6"/>
  <c r="J22" i="6"/>
  <c r="B23" i="6"/>
  <c r="I23" i="6" l="1"/>
  <c r="F23" i="6"/>
  <c r="B24" i="6"/>
  <c r="G23" i="6"/>
  <c r="J23" i="6"/>
  <c r="H23" i="6"/>
  <c r="I24" i="6" l="1"/>
  <c r="F24" i="6"/>
  <c r="B25" i="6"/>
  <c r="J24" i="6"/>
  <c r="G24" i="6"/>
  <c r="H24" i="6"/>
  <c r="I25" i="6" l="1"/>
  <c r="F25" i="6"/>
  <c r="J25" i="6"/>
  <c r="G25" i="6"/>
  <c r="H25" i="6"/>
  <c r="B26" i="6"/>
  <c r="I26" i="6" l="1"/>
  <c r="F26" i="6"/>
  <c r="H26" i="6"/>
  <c r="J26" i="6"/>
  <c r="G26" i="6"/>
  <c r="B27" i="6"/>
  <c r="I27" i="6" l="1"/>
  <c r="F27" i="6"/>
  <c r="B28" i="6"/>
  <c r="J27" i="6"/>
  <c r="H27" i="6"/>
  <c r="G27" i="6"/>
  <c r="I28" i="6" l="1"/>
  <c r="F28" i="6"/>
  <c r="J28" i="6"/>
  <c r="G28" i="6"/>
  <c r="H28" i="6"/>
  <c r="B29" i="6"/>
  <c r="I29" i="6" l="1"/>
  <c r="F29" i="6"/>
  <c r="G29" i="6"/>
  <c r="H29" i="6"/>
  <c r="J29" i="6"/>
  <c r="B30" i="6"/>
  <c r="I30" i="6" l="1"/>
  <c r="F30" i="6"/>
  <c r="G30" i="6"/>
  <c r="H30" i="6"/>
  <c r="J30" i="6"/>
  <c r="B31" i="6"/>
  <c r="I31" i="6" l="1"/>
  <c r="F31" i="6"/>
  <c r="B32" i="6"/>
  <c r="J31" i="6"/>
  <c r="H31" i="6"/>
  <c r="G31" i="6"/>
  <c r="I32" i="6" l="1"/>
  <c r="F32" i="6"/>
  <c r="B33" i="6"/>
  <c r="J32" i="6"/>
  <c r="G32" i="6"/>
  <c r="H32" i="6"/>
  <c r="I33" i="6" l="1"/>
  <c r="F33" i="6"/>
  <c r="H33" i="6"/>
  <c r="G33" i="6"/>
  <c r="J33" i="6"/>
  <c r="B34" i="6"/>
  <c r="I34" i="6" l="1"/>
  <c r="F34" i="6"/>
  <c r="G34" i="6"/>
  <c r="H34" i="6"/>
  <c r="J34" i="6"/>
  <c r="B35" i="6"/>
  <c r="I35" i="6" l="1"/>
  <c r="F35" i="6"/>
  <c r="B36" i="6"/>
  <c r="J35" i="6"/>
  <c r="H35" i="6"/>
  <c r="G35" i="6"/>
  <c r="I36" i="6" l="1"/>
  <c r="F36" i="6"/>
  <c r="B37" i="6"/>
  <c r="J36" i="6"/>
  <c r="G36" i="6"/>
  <c r="H36" i="6"/>
  <c r="I37" i="6" l="1"/>
  <c r="F37" i="6"/>
  <c r="B38" i="6"/>
  <c r="J37" i="6"/>
  <c r="G37" i="6"/>
  <c r="H37" i="6"/>
  <c r="I38" i="6" l="1"/>
  <c r="F38" i="6"/>
  <c r="J38" i="6"/>
  <c r="H38" i="6"/>
  <c r="G38" i="6"/>
  <c r="B39" i="6"/>
  <c r="I39" i="6" l="1"/>
  <c r="F39" i="6"/>
  <c r="J39" i="6"/>
  <c r="H39" i="6"/>
  <c r="G39" i="6"/>
  <c r="B40" i="6"/>
  <c r="I40" i="6" l="1"/>
  <c r="F40" i="6"/>
  <c r="J40" i="6"/>
  <c r="G40" i="6"/>
  <c r="H40" i="6"/>
  <c r="B41" i="6"/>
  <c r="I41" i="6" l="1"/>
  <c r="F41" i="6"/>
  <c r="B42" i="6"/>
  <c r="G41" i="6"/>
  <c r="H41" i="6"/>
  <c r="J41" i="6"/>
  <c r="I42" i="6" l="1"/>
  <c r="F42" i="6"/>
  <c r="G42" i="6"/>
  <c r="H42" i="6"/>
  <c r="J42" i="6"/>
  <c r="B43" i="6"/>
  <c r="I43" i="6" l="1"/>
  <c r="F43" i="6"/>
  <c r="B44" i="6"/>
  <c r="J43" i="6"/>
  <c r="G43" i="6"/>
  <c r="H43" i="6"/>
  <c r="I44" i="6" l="1"/>
  <c r="F44" i="6"/>
  <c r="H44" i="6"/>
  <c r="G44" i="6"/>
  <c r="J44" i="6"/>
  <c r="B45" i="6"/>
  <c r="I45" i="6" l="1"/>
  <c r="F45" i="6"/>
  <c r="B46" i="6"/>
  <c r="H45" i="6"/>
  <c r="G45" i="6"/>
  <c r="J45" i="6"/>
  <c r="I46" i="6" l="1"/>
  <c r="F46" i="6"/>
  <c r="B47" i="6"/>
  <c r="J46" i="6"/>
  <c r="H46" i="6"/>
  <c r="G46" i="6"/>
  <c r="I47" i="6" l="1"/>
  <c r="F47" i="6"/>
  <c r="J47" i="6"/>
  <c r="H47" i="6"/>
  <c r="G47" i="6"/>
  <c r="B48" i="6"/>
  <c r="I48" i="6" l="1"/>
  <c r="F48" i="6"/>
  <c r="J48" i="6"/>
  <c r="H48" i="6"/>
  <c r="G48" i="6"/>
  <c r="B49" i="6"/>
  <c r="I49" i="6" l="1"/>
  <c r="F49" i="6"/>
  <c r="B50" i="6"/>
  <c r="J49" i="6"/>
  <c r="G49" i="6"/>
  <c r="H49" i="6"/>
  <c r="I50" i="6" l="1"/>
  <c r="F50" i="6"/>
  <c r="B51" i="6"/>
  <c r="G50" i="6"/>
  <c r="H50" i="6"/>
  <c r="J50" i="6"/>
  <c r="I51" i="6" l="1"/>
  <c r="F51" i="6"/>
  <c r="B52" i="6"/>
  <c r="J51" i="6"/>
  <c r="H51" i="6"/>
  <c r="G51" i="6"/>
  <c r="I52" i="6" l="1"/>
  <c r="F52" i="6"/>
  <c r="B53" i="6"/>
  <c r="H52" i="6"/>
  <c r="J52" i="6"/>
  <c r="G52" i="6"/>
  <c r="I53" i="6" l="1"/>
  <c r="F53" i="6"/>
  <c r="G53" i="6"/>
  <c r="H53" i="6"/>
  <c r="J53" i="6"/>
  <c r="B54" i="6"/>
  <c r="I54" i="6" l="1"/>
  <c r="F54" i="6"/>
  <c r="B55" i="6"/>
  <c r="G54" i="6"/>
  <c r="J54" i="6"/>
  <c r="H54" i="6"/>
  <c r="I55" i="6" l="1"/>
  <c r="F55" i="6"/>
  <c r="H55" i="6"/>
  <c r="J55" i="6"/>
  <c r="G55" i="6"/>
  <c r="B56" i="6"/>
  <c r="I56" i="6" l="1"/>
  <c r="F56" i="6"/>
  <c r="H56" i="6"/>
  <c r="G56" i="6"/>
  <c r="J56" i="6"/>
  <c r="B57" i="6"/>
  <c r="I57" i="6" l="1"/>
  <c r="F57" i="6"/>
  <c r="H57" i="6"/>
  <c r="G57" i="6"/>
  <c r="J57" i="6"/>
  <c r="B58" i="6"/>
  <c r="I58" i="6" l="1"/>
  <c r="F58" i="6"/>
  <c r="H58" i="6"/>
  <c r="J58" i="6"/>
  <c r="G58" i="6"/>
  <c r="B59" i="6"/>
  <c r="I59" i="6" l="1"/>
  <c r="F59" i="6"/>
  <c r="J59" i="6"/>
  <c r="G59" i="6"/>
  <c r="H59" i="6"/>
  <c r="B60" i="6"/>
  <c r="I60" i="6" l="1"/>
  <c r="F60" i="6"/>
  <c r="J60" i="6"/>
  <c r="H60" i="6"/>
  <c r="G60" i="6"/>
  <c r="B61" i="6"/>
  <c r="I61" i="6" l="1"/>
  <c r="F61" i="6"/>
  <c r="G61" i="6"/>
  <c r="H61" i="6"/>
  <c r="J61" i="6"/>
  <c r="B62" i="6"/>
  <c r="I62" i="6" l="1"/>
  <c r="F62" i="6"/>
  <c r="B63" i="6"/>
  <c r="J62" i="6"/>
  <c r="G62" i="6"/>
  <c r="H62" i="6"/>
  <c r="I63" i="6" l="1"/>
  <c r="F63" i="6"/>
  <c r="J63" i="6"/>
  <c r="H63" i="6"/>
  <c r="G63" i="6"/>
  <c r="B64" i="6"/>
  <c r="I64" i="6" l="1"/>
  <c r="F64" i="6"/>
  <c r="B65" i="6"/>
  <c r="J64" i="6"/>
  <c r="G64" i="6"/>
  <c r="H64" i="6"/>
  <c r="I65" i="6" l="1"/>
  <c r="F65" i="6"/>
  <c r="B66" i="6"/>
  <c r="H65" i="6"/>
  <c r="G65" i="6"/>
  <c r="J65" i="6"/>
  <c r="I66" i="6" l="1"/>
  <c r="F66" i="6"/>
  <c r="B67" i="6"/>
  <c r="J66" i="6"/>
  <c r="G66" i="6"/>
  <c r="H66" i="6"/>
  <c r="I67" i="6" l="1"/>
  <c r="F67" i="6"/>
  <c r="B68" i="6"/>
  <c r="J67" i="6"/>
  <c r="H67" i="6"/>
  <c r="G67" i="6"/>
  <c r="I68" i="6" l="1"/>
  <c r="F68" i="6"/>
  <c r="G68" i="6"/>
  <c r="H68" i="6"/>
  <c r="J68" i="6"/>
  <c r="B69" i="6"/>
  <c r="I69" i="6" l="1"/>
  <c r="F69" i="6"/>
  <c r="B70" i="6"/>
  <c r="J69" i="6"/>
  <c r="G69" i="6"/>
  <c r="H69" i="6"/>
  <c r="I70" i="6" l="1"/>
  <c r="F70" i="6"/>
  <c r="G70" i="6"/>
  <c r="H70" i="6"/>
  <c r="J70" i="6"/>
  <c r="B71" i="6"/>
  <c r="I71" i="6" l="1"/>
  <c r="F71" i="6"/>
  <c r="H71" i="6"/>
  <c r="G71" i="6"/>
  <c r="J71" i="6"/>
  <c r="B72" i="6"/>
  <c r="I72" i="6" l="1"/>
  <c r="F72" i="6"/>
  <c r="J72" i="6"/>
  <c r="H72" i="6"/>
  <c r="G72" i="6"/>
  <c r="B73" i="6"/>
  <c r="I73" i="6" l="1"/>
  <c r="F73" i="6"/>
  <c r="H73" i="6"/>
  <c r="G73" i="6"/>
  <c r="J73" i="6"/>
  <c r="B74" i="6"/>
  <c r="I74" i="6" l="1"/>
  <c r="F74" i="6"/>
  <c r="H74" i="6"/>
  <c r="G74" i="6"/>
  <c r="J74" i="6"/>
  <c r="B75" i="6"/>
  <c r="I75" i="6" l="1"/>
  <c r="F75" i="6"/>
  <c r="J75" i="6"/>
  <c r="G75" i="6"/>
  <c r="H75" i="6"/>
  <c r="B76" i="6"/>
  <c r="I76" i="6" l="1"/>
  <c r="F76" i="6"/>
  <c r="G76" i="6"/>
  <c r="H76" i="6"/>
  <c r="J76" i="6"/>
  <c r="B77" i="6"/>
  <c r="I77" i="6" l="1"/>
  <c r="F77" i="6"/>
  <c r="B78" i="6"/>
  <c r="H77" i="6"/>
  <c r="G77" i="6"/>
  <c r="J77" i="6"/>
  <c r="I78" i="6" l="1"/>
  <c r="F78" i="6"/>
  <c r="B79" i="6"/>
  <c r="J78" i="6"/>
  <c r="G78" i="6"/>
  <c r="H78" i="6"/>
  <c r="I79" i="6" l="1"/>
  <c r="F79" i="6"/>
  <c r="H79" i="6"/>
  <c r="G79" i="6"/>
  <c r="J79" i="6"/>
  <c r="B80" i="6"/>
  <c r="I80" i="6" l="1"/>
  <c r="F80" i="6"/>
  <c r="H80" i="6"/>
  <c r="J80" i="6"/>
  <c r="G80" i="6"/>
  <c r="B81" i="6"/>
  <c r="I81" i="6" l="1"/>
  <c r="F81" i="6"/>
  <c r="G81" i="6"/>
  <c r="J81" i="6"/>
  <c r="H81" i="6"/>
  <c r="B82" i="6"/>
  <c r="I82" i="6" l="1"/>
  <c r="F82" i="6"/>
  <c r="B83" i="6"/>
  <c r="H82" i="6"/>
  <c r="J82" i="6"/>
  <c r="G82" i="6"/>
  <c r="I83" i="6" l="1"/>
  <c r="F83" i="6"/>
  <c r="B84" i="6"/>
  <c r="J83" i="6"/>
  <c r="H83" i="6"/>
  <c r="G83" i="6"/>
  <c r="I84" i="6" l="1"/>
  <c r="F84" i="6"/>
  <c r="B86" i="6"/>
  <c r="B85" i="6"/>
  <c r="G84" i="6"/>
  <c r="H84" i="6"/>
  <c r="J84" i="6"/>
  <c r="I85" i="6" l="1"/>
  <c r="F85" i="6"/>
  <c r="I86" i="6"/>
  <c r="F86" i="6"/>
  <c r="G85" i="6"/>
  <c r="H85" i="6"/>
  <c r="J85" i="6"/>
  <c r="J86" i="6"/>
  <c r="G86" i="6"/>
  <c r="H86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<sst xmlns="http://schemas.openxmlformats.org/spreadsheetml/2006/main" count="2961" uniqueCount="1047">
  <si>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</si>
  <si>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</si>
  <si>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</si>
  <si>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</si>
  <si>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</si>
  <si>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</si>
  <si>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</si>
  <si>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</si>
  <si>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</si>
  <si>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</si>
  <si>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</si>
  <si>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</si>
  <si>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</si>
  <si>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</si>
  <si>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</si>
  <si>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</si>
  <si>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</si>
  <si>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</si>
  <si>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</si>
  <si>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</si>
  <si>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</si>
  <si>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</si>
  <si>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</si>
  <si>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</si>
  <si>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</si>
  <si>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</si>
  <si>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</si>
  <si>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</si>
  <si>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</si>
  <si>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</si>
  <si>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</si>
  <si>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</si>
  <si>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</si>
  <si>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</si>
  <si>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</si>
  <si>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</si>
  <si>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</si>
  <si>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</si>
  <si>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</si>
  <si>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</si>
  <si>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</si>
  <si>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</si>
  <si>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</si>
  <si>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</si>
  <si>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</si>
  <si>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</si>
  <si>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</si>
  <si>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</si>
  <si>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</si>
  <si>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</si>
  <si>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</si>
  <si>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</si>
  <si>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</si>
  <si>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</si>
  <si>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</si>
  <si>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</si>
  <si>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</si>
  <si>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</si>
  <si>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</si>
  <si>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</si>
  <si>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</si>
  <si>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</si>
  <si>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</si>
  <si>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</si>
  <si>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</si>
  <si>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</si>
  <si>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</si>
  <si>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</si>
  <si>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</si>
  <si>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</si>
  <si>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</si>
  <si>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</si>
  <si>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</si>
  <si>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</si>
  <si>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</si>
  <si>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</si>
  <si>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</si>
  <si>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</si>
  <si>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</si>
  <si>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</si>
  <si>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</si>
  <si>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</si>
  <si>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</si>
  <si>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</si>
  <si>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</si>
  <si>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</si>
  <si>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</si>
  <si>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</si>
  <si>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</si>
  <si>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</si>
  <si>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</si>
  <si>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</si>
  <si>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</si>
  <si>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</si>
  <si>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</si>
  <si>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</si>
  <si>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</si>
  <si>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</si>
  <si>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</si>
  <si>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</si>
  <si>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</si>
  <si>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</si>
  <si>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</si>
  <si>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</si>
  <si>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</si>
  <si>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</si>
  <si>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</si>
  <si>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</si>
  <si>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</si>
  <si>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</si>
  <si>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</si>
  <si>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</si>
  <si>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</si>
  <si>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</si>
  <si>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</si>
  <si>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</si>
  <si>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</si>
  <si>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</si>
  <si>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</si>
  <si>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</si>
  <si>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</si>
  <si>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</si>
  <si>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</si>
  <si>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</si>
  <si>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</si>
  <si>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</si>
  <si>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</si>
  <si>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</si>
  <si>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</si>
  <si>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</si>
  <si>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</si>
  <si>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</si>
  <si>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</si>
  <si>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</si>
  <si>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</si>
  <si>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</si>
  <si>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</si>
  <si>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</si>
  <si>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</si>
  <si>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</si>
  <si>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</si>
  <si>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</si>
  <si>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</si>
  <si>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</si>
  <si>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</si>
  <si>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</si>
  <si>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</si>
  <si>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</si>
  <si>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</si>
  <si>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</si>
  <si>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</si>
  <si>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</si>
  <si>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</si>
  <si>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</si>
  <si>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</si>
  <si>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</si>
  <si>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</si>
  <si>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</si>
  <si>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</si>
  <si>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</si>
  <si>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</si>
  <si>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</si>
  <si>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</si>
  <si>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</si>
  <si>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</si>
  <si>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</si>
  <si>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</si>
  <si>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</si>
  <si>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</si>
  <si>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</si>
  <si>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</si>
  <si>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</si>
  <si>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</si>
  <si>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</si>
  <si>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</si>
  <si>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</si>
  <si>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</si>
  <si>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</si>
  <si>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</si>
  <si>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</si>
  <si>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</si>
  <si>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</si>
  <si>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</si>
  <si>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</si>
  <si>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</si>
  <si>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</si>
  <si>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</si>
  <si>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</si>
  <si>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</si>
  <si>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</si>
  <si>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</si>
  <si>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</si>
  <si>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</si>
  <si>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</si>
  <si>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</si>
  <si>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</si>
  <si>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</si>
  <si>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</si>
  <si>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</si>
  <si>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</si>
  <si>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</si>
  <si>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</si>
  <si>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</si>
  <si>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</si>
  <si>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</si>
  <si>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</si>
  <si>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</si>
  <si>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</si>
  <si>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</si>
  <si>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</si>
  <si>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</si>
  <si>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</si>
  <si>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</si>
  <si>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</si>
  <si>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</si>
  <si>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</si>
  <si>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</si>
  <si>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</si>
  <si>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</si>
  <si>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</si>
  <si>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</si>
  <si>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</si>
  <si>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</si>
  <si>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</si>
  <si>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</si>
  <si>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</si>
  <si>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</si>
  <si>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</si>
  <si>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</si>
  <si>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</si>
  <si>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</si>
  <si>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</si>
  <si>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</si>
  <si>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</si>
  <si>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</si>
  <si>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</si>
  <si>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</si>
  <si>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</si>
  <si>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</si>
  <si>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</si>
  <si>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</si>
  <si>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</si>
  <si>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</si>
  <si>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</si>
  <si>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</si>
  <si>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</si>
  <si>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</si>
  <si>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</si>
  <si>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</si>
  <si>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</si>
  <si>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</si>
  <si>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</si>
  <si>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</si>
  <si>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</si>
  <si>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</si>
  <si>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</si>
  <si>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</si>
  <si>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</si>
  <si>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</si>
  <si>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</si>
  <si>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</si>
  <si>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</si>
  <si>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</si>
  <si>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</si>
  <si>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</si>
  <si>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</si>
  <si>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</si>
  <si>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</si>
  <si>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</si>
  <si>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</si>
  <si>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</si>
  <si>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</si>
  <si>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</si>
  <si>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</si>
  <si>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</si>
  <si>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</si>
  <si>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</si>
  <si>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</si>
  <si>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</si>
  <si>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</si>
  <si>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</si>
  <si>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</si>
  <si>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</si>
  <si>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</si>
  <si>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</si>
  <si>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</si>
  <si>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</si>
  <si>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</si>
  <si>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</si>
  <si>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</si>
  <si>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</si>
  <si>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</si>
  <si>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</si>
  <si>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</si>
  <si>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</si>
  <si>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</si>
  <si>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</si>
  <si>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</si>
  <si>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</si>
  <si>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</si>
  <si>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</si>
  <si>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</si>
  <si>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</si>
  <si>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</si>
  <si>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</si>
  <si>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</si>
  <si>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</si>
  <si>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</si>
  <si>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</si>
  <si>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</si>
  <si>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</si>
  <si>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</si>
  <si>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</si>
  <si>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</si>
  <si>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</si>
  <si>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</si>
  <si>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</si>
  <si>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</si>
  <si>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</si>
  <si>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</si>
  <si>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</si>
  <si>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</si>
  <si>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</si>
  <si>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</si>
  <si>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</si>
  <si>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</si>
  <si>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</si>
  <si>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</si>
  <si>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</si>
  <si>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</si>
  <si>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</si>
  <si>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</si>
  <si>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</si>
  <si>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</si>
  <si>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</si>
  <si>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</si>
  <si>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</si>
  <si>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</si>
  <si>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</si>
  <si>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</si>
  <si>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</si>
  <si>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</si>
  <si>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</si>
  <si>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</si>
  <si>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</si>
  <si>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</si>
  <si>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</si>
  <si>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</si>
  <si>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</si>
  <si>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</si>
  <si>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</si>
  <si>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</si>
  <si>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</si>
  <si>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</si>
  <si>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</si>
  <si>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</si>
  <si>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</si>
  <si>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</si>
  <si>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</si>
  <si>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</si>
  <si>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</si>
  <si>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</si>
  <si>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</si>
  <si>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</si>
  <si>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</si>
  <si>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</si>
  <si>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</si>
  <si>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</si>
  <si>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</si>
  <si>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</si>
  <si>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</si>
  <si>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</si>
  <si>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</si>
  <si>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</si>
  <si>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</si>
  <si>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</si>
  <si>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</si>
  <si>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</si>
  <si>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</si>
  <si>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</si>
  <si>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</si>
  <si>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204:143</t>
  </si>
  <si>
    <t>rtdc.l.rtdc.4021:itc</t>
  </si>
  <si>
    <t>rtdc.l.rtdc.4022:itc</t>
  </si>
  <si>
    <t>SMITH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</si>
  <si>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</si>
  <si>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</si>
  <si>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</si>
  <si>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</si>
  <si>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</si>
  <si>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</si>
  <si>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</si>
  <si>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</si>
  <si>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</si>
  <si>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</si>
  <si>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</si>
  <si>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</si>
  <si>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</si>
  <si>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</si>
  <si>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</si>
  <si>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204:161</t>
  </si>
  <si>
    <t>STORY</t>
  </si>
  <si>
    <t>SAMANTHA</t>
  </si>
  <si>
    <t>204:232977</t>
  </si>
  <si>
    <t>204:232994</t>
  </si>
  <si>
    <t>rtdc.l.rtdc.4014:itc</t>
  </si>
  <si>
    <t>rtdc.l.rtdc.4013:itc</t>
  </si>
  <si>
    <t>204:233295</t>
  </si>
  <si>
    <t>204:138</t>
  </si>
  <si>
    <t>204:139</t>
  </si>
  <si>
    <t>204:233299</t>
  </si>
  <si>
    <t>204:141</t>
  </si>
  <si>
    <t>204:163</t>
  </si>
  <si>
    <t>204:134</t>
  </si>
  <si>
    <t>204:233303</t>
  </si>
  <si>
    <t>WCR Redmine cURL</t>
  </si>
  <si>
    <t>27f4683f8c668ceb395ce0223286e38dfe180cf8</t>
  </si>
  <si>
    <t>https://ptcsupport.wabtec.com/issues.json</t>
  </si>
  <si>
    <t>rtdc.l.rtdc.4010:itc</t>
  </si>
  <si>
    <t>204:233304</t>
  </si>
  <si>
    <t>204:462</t>
  </si>
  <si>
    <t>204:232993</t>
  </si>
  <si>
    <t>204:440</t>
  </si>
  <si>
    <t>204:232989</t>
  </si>
  <si>
    <t>204:233308</t>
  </si>
  <si>
    <t>300:23346</t>
  </si>
  <si>
    <t>rtdc.l.rtdc.4052:itc</t>
  </si>
  <si>
    <t>YORK</t>
  </si>
  <si>
    <t>EDGAR</t>
  </si>
  <si>
    <t>204:233315</t>
  </si>
  <si>
    <t>204:446</t>
  </si>
  <si>
    <t>rtdc.l.rtdc.4009:itc</t>
  </si>
  <si>
    <t>rtdc.l.rtdc.4045:itc</t>
  </si>
  <si>
    <t>partly-cloudy-night</t>
  </si>
  <si>
    <t>204:471</t>
  </si>
  <si>
    <t>204:232988</t>
  </si>
  <si>
    <t>204:233297</t>
  </si>
  <si>
    <t>204:145</t>
  </si>
  <si>
    <t>204:466</t>
  </si>
  <si>
    <t>204:160</t>
  </si>
  <si>
    <t>204:232998</t>
  </si>
  <si>
    <t>rtdc.l.rtdc.4017:itc</t>
  </si>
  <si>
    <t>rtdc.l.rtdc.4018:itc</t>
  </si>
  <si>
    <t>DUNCAN</t>
  </si>
  <si>
    <t>SHEILA</t>
  </si>
  <si>
    <t>204:458</t>
  </si>
  <si>
    <t>204:232985</t>
  </si>
  <si>
    <t>300:58617</t>
  </si>
  <si>
    <t>rtdc.l.rtdc.4041:itc</t>
  </si>
  <si>
    <t>rtdc.l.rtdc.4004:itc</t>
  </si>
  <si>
    <t>rtdc.l.rtdc.4003:itc</t>
  </si>
  <si>
    <t>SIGNAL</t>
  </si>
  <si>
    <t>Signal based authority (5)</t>
  </si>
  <si>
    <t>Y</t>
  </si>
  <si>
    <t>STARKS</t>
  </si>
  <si>
    <t>ANGELINA</t>
  </si>
  <si>
    <t>FORTUNATO</t>
  </si>
  <si>
    <t>FRANK</t>
  </si>
  <si>
    <t>MENGES</t>
  </si>
  <si>
    <t>BRAD</t>
  </si>
  <si>
    <t>CLARK</t>
  </si>
  <si>
    <t>KATHLEEN</t>
  </si>
  <si>
    <t>WILLIAMS</t>
  </si>
  <si>
    <t>DONTE</t>
  </si>
  <si>
    <t>rtdc.l.rtdc.4042:itc</t>
  </si>
  <si>
    <t>GUZMAN</t>
  </si>
  <si>
    <t>DANNY</t>
  </si>
  <si>
    <t>204:232971</t>
  </si>
  <si>
    <t>204:433</t>
  </si>
  <si>
    <t>204:233319</t>
  </si>
  <si>
    <t>204:165</t>
  </si>
  <si>
    <t>204:232966</t>
  </si>
  <si>
    <t>204:232963</t>
  </si>
  <si>
    <t>204:232975</t>
  </si>
  <si>
    <t>300:23312</t>
  </si>
  <si>
    <t>204:974</t>
  </si>
  <si>
    <t>300:58931</t>
  </si>
  <si>
    <t>Early arrival</t>
  </si>
  <si>
    <t>rtdc.l.rtdc.4053:itc</t>
  </si>
  <si>
    <t>rtdc.l.rtdc.4019:itc</t>
  </si>
  <si>
    <t>239-04</t>
  </si>
  <si>
    <t>81-04</t>
  </si>
  <si>
    <t>rtdc.l.rtdc.4016:itc</t>
  </si>
  <si>
    <t>LOZA</t>
  </si>
  <si>
    <t>FIDEL</t>
  </si>
  <si>
    <t>rtdc.l.rtdc.4015:itc</t>
  </si>
  <si>
    <t>BEAM</t>
  </si>
  <si>
    <t>ROSS</t>
  </si>
  <si>
    <t>DE LA ROSA</t>
  </si>
  <si>
    <t>ALEX</t>
  </si>
  <si>
    <t>rtdc.l.rtdc.4020:itc</t>
  </si>
  <si>
    <t>STRICKLAND</t>
  </si>
  <si>
    <t>EVAN</t>
  </si>
  <si>
    <t>82-04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</si>
  <si>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</si>
  <si>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</si>
  <si>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</si>
  <si>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</si>
  <si>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</si>
  <si>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</si>
  <si>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</si>
  <si>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</si>
  <si>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</si>
  <si>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</si>
  <si>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</si>
  <si>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</si>
  <si>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</si>
  <si>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</si>
  <si>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</si>
  <si>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</si>
  <si>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</si>
  <si>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</si>
  <si>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204:233330</t>
  </si>
  <si>
    <t>204:167</t>
  </si>
  <si>
    <t>204:132</t>
  </si>
  <si>
    <t>204:233321</t>
  </si>
  <si>
    <t>204:444</t>
  </si>
  <si>
    <t>204:233312</t>
  </si>
  <si>
    <t>204:484</t>
  </si>
  <si>
    <t>204:233300</t>
  </si>
  <si>
    <t>204:233027</t>
  </si>
  <si>
    <t>300:23304</t>
  </si>
  <si>
    <t>204:757</t>
  </si>
  <si>
    <t>300:58638</t>
  </si>
  <si>
    <t>300:58944</t>
  </si>
  <si>
    <t>204:990</t>
  </si>
  <si>
    <t>204:962</t>
  </si>
  <si>
    <t>300:58956</t>
  </si>
  <si>
    <t>204:671</t>
  </si>
  <si>
    <t>300:58621</t>
  </si>
  <si>
    <t>Onboard in-route failure</t>
  </si>
  <si>
    <t>Wi-MAX data drop</t>
  </si>
  <si>
    <t>rtdc.l.rtdc.4051:itc</t>
  </si>
  <si>
    <t>rtdc.l.rtdc.4001:itc</t>
  </si>
  <si>
    <t>rtdc.l.rtdc.4005:itc</t>
  </si>
  <si>
    <t>rtdc.l.rtdc.4006:itc</t>
  </si>
  <si>
    <t>242-05</t>
  </si>
  <si>
    <t>BADERTSCHER</t>
  </si>
  <si>
    <t>DIANE</t>
  </si>
  <si>
    <t>rtdc.l.rtdc.4002:itc</t>
  </si>
  <si>
    <t>GEBRETEKLE</t>
  </si>
  <si>
    <t>DAGNEW</t>
  </si>
  <si>
    <t>YANAI</t>
  </si>
  <si>
    <t>IAN</t>
  </si>
  <si>
    <t>rtdc.l.rtdc.4056:itc</t>
  </si>
  <si>
    <t>COOLAHAN</t>
  </si>
  <si>
    <t>JOHN</t>
  </si>
  <si>
    <t>SULLIVAN</t>
  </si>
  <si>
    <t>BRANDON</t>
  </si>
  <si>
    <t>MOSES</t>
  </si>
  <si>
    <t>BRADLEY</t>
  </si>
  <si>
    <t>WHITED</t>
  </si>
  <si>
    <t>DUSTIN</t>
  </si>
  <si>
    <t>DELGADO</t>
  </si>
  <si>
    <t>DIANAH</t>
  </si>
  <si>
    <t>MCREYNOLDS</t>
  </si>
  <si>
    <t>KYLE</t>
  </si>
  <si>
    <t>LOPES</t>
  </si>
  <si>
    <t>KIMBERLY</t>
  </si>
  <si>
    <t>315-05</t>
  </si>
  <si>
    <t>309-05</t>
  </si>
  <si>
    <t>244-05</t>
  </si>
  <si>
    <t>311-05</t>
  </si>
  <si>
    <t>313-05</t>
  </si>
  <si>
    <t>302-06</t>
  </si>
  <si>
    <t>clear-day</t>
  </si>
  <si>
    <t>Clear</t>
  </si>
  <si>
    <t>clear-night</t>
  </si>
  <si>
    <t>204:233353</t>
  </si>
  <si>
    <t>204:469</t>
  </si>
  <si>
    <t>204:232978</t>
  </si>
  <si>
    <t>204:233015</t>
  </si>
  <si>
    <t>204:233289</t>
  </si>
  <si>
    <t>204:233310</t>
  </si>
  <si>
    <t>204:233306</t>
  </si>
  <si>
    <t>204:233008</t>
  </si>
  <si>
    <t>204:233317</t>
  </si>
  <si>
    <t>204:233282</t>
  </si>
  <si>
    <t>204:232967</t>
  </si>
  <si>
    <t>204:232980</t>
  </si>
  <si>
    <t>204:232983</t>
  </si>
  <si>
    <t>204:467</t>
  </si>
  <si>
    <t>204:233305</t>
  </si>
  <si>
    <t>204:136</t>
  </si>
  <si>
    <t>204:233291</t>
  </si>
  <si>
    <t>204:233002</t>
  </si>
  <si>
    <t>204:426</t>
  </si>
  <si>
    <t>204:232969</t>
  </si>
  <si>
    <t>204:232959</t>
  </si>
  <si>
    <t>204:233274</t>
  </si>
  <si>
    <t>204:233270</t>
  </si>
  <si>
    <t>204:187</t>
  </si>
  <si>
    <t>204:233278</t>
  </si>
  <si>
    <t>204:127</t>
  </si>
  <si>
    <t>204:232961</t>
  </si>
  <si>
    <t>204:233302</t>
  </si>
  <si>
    <t>204:233372</t>
  </si>
  <si>
    <t>204:130</t>
  </si>
  <si>
    <t>204:464</t>
  </si>
  <si>
    <t>300:22270</t>
  </si>
  <si>
    <t>300:58941</t>
  </si>
  <si>
    <t>204:673</t>
  </si>
  <si>
    <t>204:976</t>
  </si>
  <si>
    <t>300:58653</t>
  </si>
  <si>
    <t>204:969</t>
  </si>
  <si>
    <t>300:58634</t>
  </si>
  <si>
    <t>300:58967</t>
  </si>
  <si>
    <t>300:58948</t>
  </si>
  <si>
    <t>204:978</t>
  </si>
  <si>
    <t>204:691</t>
  </si>
  <si>
    <t>204:675</t>
  </si>
  <si>
    <t>204:985</t>
  </si>
  <si>
    <t>204:967</t>
  </si>
  <si>
    <t>204:988</t>
  </si>
  <si>
    <t>204:979</t>
  </si>
  <si>
    <t>300:58995</t>
  </si>
  <si>
    <t>300:58670</t>
  </si>
  <si>
    <t>start /low /b %USERPROFILE%\Documents\GitHub\eaglep3\Utilities\DownloadLogsFromS3.py --loco 4019 --day 2017-04-06</t>
  </si>
  <si>
    <t>start /low /b %USERPROFILE%\Documents\GitHub\eaglep3\Utilities\DownloadLogsFromS3.py --loco 4043 --day 2017-04-06</t>
  </si>
  <si>
    <t>rtdc.l.rtdc.4054:itc</t>
  </si>
  <si>
    <t>51-06</t>
  </si>
  <si>
    <t>54-06</t>
  </si>
  <si>
    <t>50-06</t>
  </si>
  <si>
    <t>115-06</t>
  </si>
  <si>
    <t>121-06</t>
  </si>
  <si>
    <t>808-06</t>
  </si>
  <si>
    <t>137-06</t>
  </si>
  <si>
    <t>810-06</t>
  </si>
  <si>
    <t>132-06</t>
  </si>
  <si>
    <t>812-06</t>
  </si>
  <si>
    <t>143-06</t>
  </si>
  <si>
    <t>813-06</t>
  </si>
  <si>
    <t>138-06</t>
  </si>
  <si>
    <t>149-06</t>
  </si>
  <si>
    <t>144-06</t>
  </si>
  <si>
    <t>157-06</t>
  </si>
  <si>
    <t>148-06</t>
  </si>
  <si>
    <t>819-06</t>
  </si>
  <si>
    <t>162-06</t>
  </si>
  <si>
    <t>168-06</t>
  </si>
  <si>
    <t>185-06</t>
  </si>
  <si>
    <t>178-06</t>
  </si>
  <si>
    <t>825-06</t>
  </si>
  <si>
    <t>195-06</t>
  </si>
  <si>
    <t>827-06</t>
  </si>
  <si>
    <t>828-06</t>
  </si>
  <si>
    <t>198-06</t>
  </si>
  <si>
    <t>203-06</t>
  </si>
  <si>
    <t>834-06</t>
  </si>
  <si>
    <t>76-06</t>
  </si>
  <si>
    <t>204-06</t>
  </si>
  <si>
    <t>211-06</t>
  </si>
  <si>
    <t>216-06</t>
  </si>
  <si>
    <t>221-06</t>
  </si>
  <si>
    <t>218-06</t>
  </si>
  <si>
    <t>842-06</t>
  </si>
  <si>
    <t>SPECTOR</t>
  </si>
  <si>
    <t>101-06</t>
  </si>
  <si>
    <t>304-06</t>
  </si>
  <si>
    <t>103-06</t>
  </si>
  <si>
    <t>306-06</t>
  </si>
  <si>
    <t>ROBINSON</t>
  </si>
  <si>
    <t>KADDIBA</t>
  </si>
  <si>
    <t>308-06</t>
  </si>
  <si>
    <t>105-06</t>
  </si>
  <si>
    <t>310-06</t>
  </si>
  <si>
    <t>107-06</t>
  </si>
  <si>
    <t>104-06</t>
  </si>
  <si>
    <t>109-06</t>
  </si>
  <si>
    <t>901-06</t>
  </si>
  <si>
    <t>SHOOK</t>
  </si>
  <si>
    <t>111-06</t>
  </si>
  <si>
    <t>113-06</t>
  </si>
  <si>
    <t>800-06</t>
  </si>
  <si>
    <t>108-06</t>
  </si>
  <si>
    <t>117-06</t>
  </si>
  <si>
    <t>801-06</t>
  </si>
  <si>
    <t>110-06</t>
  </si>
  <si>
    <t>119-06</t>
  </si>
  <si>
    <t>ACKERMAN</t>
  </si>
  <si>
    <t>JARED</t>
  </si>
  <si>
    <t>112-06</t>
  </si>
  <si>
    <t>902-06</t>
  </si>
  <si>
    <t>114-06</t>
  </si>
  <si>
    <t>802-06</t>
  </si>
  <si>
    <t>803-06</t>
  </si>
  <si>
    <t>56-06</t>
  </si>
  <si>
    <t>123-06</t>
  </si>
  <si>
    <t>116-06</t>
  </si>
  <si>
    <t>118-06</t>
  </si>
  <si>
    <t>805-06</t>
  </si>
  <si>
    <t>804-06</t>
  </si>
  <si>
    <t>125-06</t>
  </si>
  <si>
    <t>120-06</t>
  </si>
  <si>
    <t>127-06</t>
  </si>
  <si>
    <t>807-06</t>
  </si>
  <si>
    <t>122-06</t>
  </si>
  <si>
    <t>806-06</t>
  </si>
  <si>
    <t>124-06</t>
  </si>
  <si>
    <t>129-06</t>
  </si>
  <si>
    <t>58-06</t>
  </si>
  <si>
    <t>126-06</t>
  </si>
  <si>
    <t>60-06</t>
  </si>
  <si>
    <t>131-06</t>
  </si>
  <si>
    <t>809-06</t>
  </si>
  <si>
    <t>133-06</t>
  </si>
  <si>
    <t>128-06</t>
  </si>
  <si>
    <t>135-06</t>
  </si>
  <si>
    <t>130-06</t>
  </si>
  <si>
    <t>811-06</t>
  </si>
  <si>
    <t>139-06</t>
  </si>
  <si>
    <t>903-06</t>
  </si>
  <si>
    <t>134-06</t>
  </si>
  <si>
    <t>141-06</t>
  </si>
  <si>
    <t>136-06</t>
  </si>
  <si>
    <t>140-06</t>
  </si>
  <si>
    <t>145-06</t>
  </si>
  <si>
    <t>147-06</t>
  </si>
  <si>
    <t>142-06</t>
  </si>
  <si>
    <t>814-06</t>
  </si>
  <si>
    <t>151-06</t>
  </si>
  <si>
    <t>146-06</t>
  </si>
  <si>
    <t>815-06</t>
  </si>
  <si>
    <t>153-06</t>
  </si>
  <si>
    <t>52-06</t>
  </si>
  <si>
    <t>155-06</t>
  </si>
  <si>
    <t>150-06</t>
  </si>
  <si>
    <t>816-06</t>
  </si>
  <si>
    <t>158-06</t>
  </si>
  <si>
    <t>152-06</t>
  </si>
  <si>
    <t>154-06</t>
  </si>
  <si>
    <t>159-06</t>
  </si>
  <si>
    <t>156-06</t>
  </si>
  <si>
    <t>161-06</t>
  </si>
  <si>
    <t>BRANDNER</t>
  </si>
  <si>
    <t>MELINDA</t>
  </si>
  <si>
    <t>817-06</t>
  </si>
  <si>
    <t>163-06</t>
  </si>
  <si>
    <t>818-06</t>
  </si>
  <si>
    <t>165-06</t>
  </si>
  <si>
    <t>160-06</t>
  </si>
  <si>
    <t>167-06</t>
  </si>
  <si>
    <t>rtdc.l.rtdc.4026:itc</t>
  </si>
  <si>
    <t>62-06</t>
  </si>
  <si>
    <t>169-06</t>
  </si>
  <si>
    <t>53-06</t>
  </si>
  <si>
    <t>164-06</t>
  </si>
  <si>
    <t>171-06</t>
  </si>
  <si>
    <t>166-06</t>
  </si>
  <si>
    <t>820-06</t>
  </si>
  <si>
    <t>173-06</t>
  </si>
  <si>
    <t>175-06</t>
  </si>
  <si>
    <t>821-06</t>
  </si>
  <si>
    <t>170-06</t>
  </si>
  <si>
    <t>177-06</t>
  </si>
  <si>
    <t>172-06</t>
  </si>
  <si>
    <t>179-06</t>
  </si>
  <si>
    <t>174-06</t>
  </si>
  <si>
    <t>822-06</t>
  </si>
  <si>
    <t>181-06</t>
  </si>
  <si>
    <t>183-06</t>
  </si>
  <si>
    <t>ARVIDSON</t>
  </si>
  <si>
    <t>DANIEL</t>
  </si>
  <si>
    <t>176-06</t>
  </si>
  <si>
    <t>823-06</t>
  </si>
  <si>
    <t>180-06</t>
  </si>
  <si>
    <t>187-06</t>
  </si>
  <si>
    <t>182-06</t>
  </si>
  <si>
    <t>824-06</t>
  </si>
  <si>
    <t>189-06</t>
  </si>
  <si>
    <t>184-06</t>
  </si>
  <si>
    <t>55-06</t>
  </si>
  <si>
    <t>191-06</t>
  </si>
  <si>
    <t>186-06</t>
  </si>
  <si>
    <t>193-06</t>
  </si>
  <si>
    <t>904-06</t>
  </si>
  <si>
    <t>188-06</t>
  </si>
  <si>
    <t>190-06</t>
  </si>
  <si>
    <t>826-06</t>
  </si>
  <si>
    <t>192-06</t>
  </si>
  <si>
    <t>197-06</t>
  </si>
  <si>
    <t>194-06</t>
  </si>
  <si>
    <t>199-06</t>
  </si>
  <si>
    <t>201-06</t>
  </si>
  <si>
    <t>829-06</t>
  </si>
  <si>
    <t>196-06</t>
  </si>
  <si>
    <t>71-06</t>
  </si>
  <si>
    <t>830-06</t>
  </si>
  <si>
    <t>205-06</t>
  </si>
  <si>
    <t>831-06</t>
  </si>
  <si>
    <t>200-06</t>
  </si>
  <si>
    <t>207-06</t>
  </si>
  <si>
    <t>202-06</t>
  </si>
  <si>
    <t>832-06</t>
  </si>
  <si>
    <t>209-06</t>
  </si>
  <si>
    <t>833-06</t>
  </si>
  <si>
    <t>206-06</t>
  </si>
  <si>
    <t>77-06</t>
  </si>
  <si>
    <t>213-06</t>
  </si>
  <si>
    <t>208-06</t>
  </si>
  <si>
    <t>835-06</t>
  </si>
  <si>
    <t>215-06</t>
  </si>
  <si>
    <t>210-06</t>
  </si>
  <si>
    <t>836-06</t>
  </si>
  <si>
    <t>217-06</t>
  </si>
  <si>
    <t>837-06</t>
  </si>
  <si>
    <t>212-06</t>
  </si>
  <si>
    <t>219-06</t>
  </si>
  <si>
    <t>214-06</t>
  </si>
  <si>
    <t>838-06</t>
  </si>
  <si>
    <t>839-06</t>
  </si>
  <si>
    <t>303-06</t>
  </si>
  <si>
    <t>841-06</t>
  </si>
  <si>
    <t>906-06</t>
  </si>
  <si>
    <t>305-06</t>
  </si>
  <si>
    <t>220-06</t>
  </si>
  <si>
    <t>223-06</t>
  </si>
  <si>
    <t>rtdc.l.rtdc.4023:itc</t>
  </si>
  <si>
    <t>82-06</t>
  </si>
  <si>
    <t>MACDONALD</t>
  </si>
  <si>
    <t>THOMAS</t>
  </si>
  <si>
    <t>840-06</t>
  </si>
  <si>
    <t>307-06</t>
  </si>
  <si>
    <t>225-06</t>
  </si>
  <si>
    <t>222-06</t>
  </si>
  <si>
    <t>224-06</t>
  </si>
  <si>
    <t>843-06</t>
  </si>
  <si>
    <t>rtdc.l.rtdc.4024:itc</t>
  </si>
  <si>
    <t>81-06</t>
  </si>
  <si>
    <t>227-06</t>
  </si>
  <si>
    <t>226-06</t>
  </si>
  <si>
    <t>229-06</t>
  </si>
  <si>
    <t>845-06</t>
  </si>
  <si>
    <t>228-06</t>
  </si>
  <si>
    <t>231-06</t>
  </si>
  <si>
    <t>844-06</t>
  </si>
  <si>
    <t>233-06</t>
  </si>
  <si>
    <t>230-06</t>
  </si>
  <si>
    <t>847-06</t>
  </si>
  <si>
    <t>235-06</t>
  </si>
  <si>
    <t>232-06</t>
  </si>
  <si>
    <t>908-06</t>
  </si>
  <si>
    <t>234-06</t>
  </si>
  <si>
    <t>237-06</t>
  </si>
  <si>
    <t>236-06</t>
  </si>
  <si>
    <t>239-06</t>
  </si>
  <si>
    <t>241-06</t>
  </si>
  <si>
    <t>238-06</t>
  </si>
  <si>
    <t>243-06</t>
  </si>
  <si>
    <t>240-06</t>
  </si>
  <si>
    <t>315-06</t>
  </si>
  <si>
    <t>242-06</t>
  </si>
  <si>
    <t>309-06</t>
  </si>
  <si>
    <t>244-06</t>
  </si>
  <si>
    <t>311-06</t>
  </si>
  <si>
    <t>313-06</t>
  </si>
  <si>
    <t>204:772</t>
  </si>
  <si>
    <t>300:24199</t>
  </si>
  <si>
    <t>204:232656</t>
  </si>
  <si>
    <t>204:754</t>
  </si>
  <si>
    <t>204:739</t>
  </si>
  <si>
    <t>204:232990</t>
  </si>
  <si>
    <t>204:746</t>
  </si>
  <si>
    <t>204:313</t>
  </si>
  <si>
    <t>204:232951</t>
  </si>
  <si>
    <t>204:233359</t>
  </si>
  <si>
    <t>204:86375</t>
  </si>
  <si>
    <t>204:1782</t>
  </si>
  <si>
    <t>204:233272</t>
  </si>
  <si>
    <t>204:442</t>
  </si>
  <si>
    <t>204:232986</t>
  </si>
  <si>
    <t>204:232991</t>
  </si>
  <si>
    <t>204:233293</t>
  </si>
  <si>
    <t>204:233288</t>
  </si>
  <si>
    <t>204:233287</t>
  </si>
  <si>
    <t>204:232981</t>
  </si>
  <si>
    <t>204:232973</t>
  </si>
  <si>
    <t>204:233332</t>
  </si>
  <si>
    <t>204:233253</t>
  </si>
  <si>
    <t>204:232938</t>
  </si>
  <si>
    <t>204:233249</t>
  </si>
  <si>
    <t>204:232965</t>
  </si>
  <si>
    <t>204:486</t>
  </si>
  <si>
    <t>204:233276</t>
  </si>
  <si>
    <t>204:180</t>
  </si>
  <si>
    <t>204:192</t>
  </si>
  <si>
    <t>204:232976</t>
  </si>
  <si>
    <t>204:233410</t>
  </si>
  <si>
    <t>204:233067</t>
  </si>
  <si>
    <t>204:228652</t>
  </si>
  <si>
    <t>204:233347</t>
  </si>
  <si>
    <t>204:233025</t>
  </si>
  <si>
    <t>204:232955</t>
  </si>
  <si>
    <t>204:233323</t>
  </si>
  <si>
    <t>204:435</t>
  </si>
  <si>
    <t>204:233046</t>
  </si>
  <si>
    <t>204:233246</t>
  </si>
  <si>
    <t>204:232932</t>
  </si>
  <si>
    <t>204:233268</t>
  </si>
  <si>
    <t>204:528</t>
  </si>
  <si>
    <t>204:233341</t>
  </si>
  <si>
    <t>204:233071</t>
  </si>
  <si>
    <t>204:232987</t>
  </si>
  <si>
    <t>204:233311</t>
  </si>
  <si>
    <t>204:233009</t>
  </si>
  <si>
    <t>204:493</t>
  </si>
  <si>
    <t>204:232996</t>
  </si>
  <si>
    <t>204:169</t>
  </si>
  <si>
    <t>204:233385</t>
  </si>
  <si>
    <t>204:233061</t>
  </si>
  <si>
    <t>204:233345</t>
  </si>
  <si>
    <t>204:233017</t>
  </si>
  <si>
    <t>204:233343</t>
  </si>
  <si>
    <t>204:233044</t>
  </si>
  <si>
    <t>204:233230</t>
  </si>
  <si>
    <t>204:232940</t>
  </si>
  <si>
    <t>204:233328</t>
  </si>
  <si>
    <t>204:233283</t>
  </si>
  <si>
    <t>204:233327</t>
  </si>
  <si>
    <t>204:233062</t>
  </si>
  <si>
    <t>300:23302</t>
  </si>
  <si>
    <t>300:23540</t>
  </si>
  <si>
    <t>204:181</t>
  </si>
  <si>
    <t>300:23295</t>
  </si>
  <si>
    <t>300:23245</t>
  </si>
  <si>
    <t>300:23684</t>
  </si>
  <si>
    <t>300:23319</t>
  </si>
  <si>
    <t>204:816</t>
  </si>
  <si>
    <t>204:478</t>
  </si>
  <si>
    <t>204:18769</t>
  </si>
  <si>
    <t>204:904</t>
  </si>
  <si>
    <t>204:69928</t>
  </si>
  <si>
    <t>204:18773</t>
  </si>
  <si>
    <t>300:5269</t>
  </si>
  <si>
    <t>204:1210</t>
  </si>
  <si>
    <t>300:5576</t>
  </si>
  <si>
    <t>204:1148</t>
  </si>
  <si>
    <t>204:70251</t>
  </si>
  <si>
    <t>204:379</t>
  </si>
  <si>
    <t>204:17647</t>
  </si>
  <si>
    <t>204:882</t>
  </si>
  <si>
    <t>204:305</t>
  </si>
  <si>
    <t>300:23308</t>
  </si>
  <si>
    <t>300:23270</t>
  </si>
  <si>
    <t>300:18977</t>
  </si>
  <si>
    <t>204:432</t>
  </si>
  <si>
    <t>300:22214</t>
  </si>
  <si>
    <t>204:1047</t>
  </si>
  <si>
    <t>300:22157</t>
  </si>
  <si>
    <t>300:4834</t>
  </si>
  <si>
    <t>204:1495</t>
  </si>
  <si>
    <t>300:23493</t>
  </si>
  <si>
    <t>204:1483</t>
  </si>
  <si>
    <t>300:23584</t>
  </si>
  <si>
    <t>204:859</t>
  </si>
  <si>
    <t>204:1168</t>
  </si>
  <si>
    <t>204:1490</t>
  </si>
  <si>
    <t>204:731</t>
  </si>
  <si>
    <t>204:1018</t>
  </si>
  <si>
    <t>300:58990</t>
  </si>
  <si>
    <t>300:58672</t>
  </si>
  <si>
    <t>204:720</t>
  </si>
  <si>
    <t>204:964</t>
  </si>
  <si>
    <t>300:58958</t>
  </si>
  <si>
    <t>300:58643</t>
  </si>
  <si>
    <t>204:1035</t>
  </si>
  <si>
    <t>300:58675</t>
  </si>
  <si>
    <t>204:724</t>
  </si>
  <si>
    <t>204:971</t>
  </si>
  <si>
    <t>300:58960</t>
  </si>
  <si>
    <t>204:682</t>
  </si>
  <si>
    <t>204:1011</t>
  </si>
  <si>
    <t>204:491</t>
  </si>
  <si>
    <t>300:23306</t>
  </si>
  <si>
    <t>300:58677</t>
  </si>
  <si>
    <t>204:733</t>
  </si>
  <si>
    <t>204:972</t>
  </si>
  <si>
    <t>300:58636</t>
  </si>
  <si>
    <t>204:687</t>
  </si>
  <si>
    <t>300:58969</t>
  </si>
  <si>
    <t>300:58651</t>
  </si>
  <si>
    <t>204:685</t>
  </si>
  <si>
    <t>300:58632</t>
  </si>
  <si>
    <t>300:58952</t>
  </si>
  <si>
    <t>300:58649</t>
  </si>
  <si>
    <t>300:58954</t>
  </si>
  <si>
    <t>300:22874</t>
  </si>
  <si>
    <t>204:889</t>
  </si>
  <si>
    <t>300:58630</t>
  </si>
  <si>
    <t>204:706</t>
  </si>
  <si>
    <t>204:960</t>
  </si>
  <si>
    <t>204:696</t>
  </si>
  <si>
    <t>204:986</t>
  </si>
  <si>
    <t>300:58946</t>
  </si>
  <si>
    <t>300:58625</t>
  </si>
  <si>
    <t>204:965</t>
  </si>
  <si>
    <t>300:58992</t>
  </si>
  <si>
    <t>300:58661</t>
  </si>
  <si>
    <t>204:642</t>
  </si>
  <si>
    <t>204:703</t>
  </si>
  <si>
    <t>204:941</t>
  </si>
  <si>
    <t>204:664</t>
  </si>
  <si>
    <t>204:1046</t>
  </si>
  <si>
    <t>204:1009</t>
  </si>
  <si>
    <t>204:684</t>
  </si>
  <si>
    <t>300:58933</t>
  </si>
  <si>
    <t>204:629</t>
  </si>
  <si>
    <t>204:887</t>
  </si>
  <si>
    <t>300:30317</t>
  </si>
  <si>
    <t>300:58988</t>
  </si>
  <si>
    <t>300:23470</t>
  </si>
  <si>
    <t>204:1025</t>
  </si>
  <si>
    <t>300:24254</t>
  </si>
  <si>
    <t>300:23756</t>
  </si>
  <si>
    <t>300:28774</t>
  </si>
  <si>
    <t>300:58656</t>
  </si>
  <si>
    <t>300:21627</t>
  </si>
  <si>
    <t>300:21933</t>
  </si>
  <si>
    <t>start /low /b %USERPROFILE%\Documents\GitHub\eaglep3\Utilities\DownloadLogsFromS3.py --loco 4052 --day 2017-04-06</t>
  </si>
  <si>
    <t>start /low /b %USERPROFILE%\Documents\GitHub\eaglep3\Utilities\DownloadLogsFromS3.py --loco 4016 --day 2017-04-06</t>
  </si>
  <si>
    <t>start /low /b %USERPROFILE%\Documents\GitHub\eaglep3\Utilities\DownloadLogsFromS3.py --loco 4005 --day 2017-04-06</t>
  </si>
  <si>
    <t>start /low /b %USERPROFILE%\Documents\GitHub\eaglep3\Utilities\DownloadLogsFromS3.py --loco 4018 --day 2017-04-06</t>
  </si>
  <si>
    <t>start /low /b %USERPROFILE%\Documents\GitHub\eaglep3\Utilities\DownloadLogsFromS3.py --loco 4053 --day 2017-04-06</t>
  </si>
  <si>
    <t>start /low /b %USERPROFILE%\Documents\GitHub\eaglep3\Utilities\DownloadLogsFromS3.py --loco 4015 --day 2017-04-06</t>
  </si>
  <si>
    <t>start /low /b %USERPROFILE%\Documents\GitHub\eaglep3\Utilities\DownloadLogsFromS3.py --loco 4042 --day 2017-04-06</t>
  </si>
  <si>
    <t>start /low /b %USERPROFILE%\Documents\GitHub\eaglep3\Utilities\DownloadLogsFromS3.py --loco 4044 --day 2017-04-06</t>
  </si>
  <si>
    <t>start /low /b %USERPROFILE%\Documents\GitHub\eaglep3\Utilities\DownloadLogsFromS3.py --loco 4009 --day 2017-04-06</t>
  </si>
  <si>
    <t>start /low /b %USERPROFILE%\Documents\GitHub\eaglep3\Utilities\DownloadLogsFromS3.py --loco 4009 --day 2017-04-07</t>
  </si>
  <si>
    <t>start /low /b %USERPROFILE%\Documents\GitHub\eaglep3\Utilities\DownloadLogsFromS3.py --loco 4003 --day 2017-04-06</t>
  </si>
  <si>
    <t>start /low /b %USERPROFILE%\Documents\GitHub\eaglep3\Utilities\DownloadLogsFromS3.py --loco 4017 --day 2017-04-06</t>
  </si>
  <si>
    <t>start /low /b %USERPROFILE%\Documents\GitHub\eaglep3\Utilities\DownloadLogsFromS3.py --loco 4041 --day 2017-04-06</t>
  </si>
  <si>
    <t>start /low /b %USERPROFILE%\Documents\GitHub\eaglep3\Utilities\DownloadLogsFromS3.py --loco 4053 --day 2017-04-07</t>
  </si>
  <si>
    <t>start /low /b %USERPROFILE%\Documents\GitHub\eaglep3\Utilities\DownloadLogsFromS3.py --loco 4004 --day 2017-04-06</t>
  </si>
  <si>
    <t>start /low /b %USERPROFILE%\Documents\GitHub\eaglep3\Utilities\DownloadLogsFromS3.py --loco 4054 --day 2017-04-06</t>
  </si>
  <si>
    <t>start /low /b %USERPROFILE%\Documents\GitHub\eaglep3\Utilities\DownloadLogsFromS3.py --loco 4016 --day 2017-04-07</t>
  </si>
  <si>
    <t>start /low /b %USERPROFILE%\Documents\GitHub\eaglep3\Utilities\DownloadLogsFromS3.py --loco 4004 --day 2017-04-07</t>
  </si>
  <si>
    <t>start /low /b %USERPROFILE%\Documents\GitHub\eaglep3\Utilities\DownloadLogsFromS3.py --loco 4001 --day 2017-04-06</t>
  </si>
  <si>
    <t>start /low /b %USERPROFILE%\Documents\GitHub\eaglep3\Utilities\DownloadLogsFromS3.py --loco 4001 --day 2017-04-07</t>
  </si>
  <si>
    <t>start /low /b %USERPROFILE%\Documents\GitHub\eaglep3\Utilities\DownloadLogsFromS3.py --loco 4002 --day 2017-04-06</t>
  </si>
  <si>
    <t>start /low /b %USERPROFILE%\Documents\GitHub\eaglep3\Utilities\DownloadLogsFromS3.py --loco 4020 --day 2017-04-06</t>
  </si>
  <si>
    <t>Wi-MAX data drop (once at 05:44, again at 06:12)</t>
  </si>
  <si>
    <t>DUS 28S STOP</t>
  </si>
  <si>
    <t>Premature downgrade at Quebec 4S</t>
  </si>
  <si>
    <t>At 09:36:36, Quebec 4S dropped from PROCEED CAB to STOP while the train was approaching (~485 ft away). Do logs show anything unusual?</t>
  </si>
  <si>
    <t>Poor GPS signal inside CRMF</t>
  </si>
  <si>
    <t>Init button not available at 20:17 - loose cable to CHM box?</t>
  </si>
  <si>
    <t>Onboard Power outage led to failsafe penalty 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</si>
</sst>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8"/>
  <sheetViews>
    <sheetView tabSelected="1" topLeftCell="A12" zoomScaleNormal="100" workbookViewId="0">
      <selection activeCell="R227" sqref="R227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42831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42831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142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COUNTIFS($N$13:$N$9327,"&gt;0",$AG$13:$AG$9327,I1)</f>
        <v>139</v>
      </c>
      <c r="K5" s="40"/>
      <c r="L5" s="40"/>
      <c r="M5" s="41">
        <f>AVERAGEIFS($N$13:$N$9327,$AG$13:$AG$9327,I1)</f>
        <v>38.433333333420883</v>
      </c>
      <c r="N5" s="39">
        <f t="array" ref="N5">MIN(IF($AG$13:$AG$9327=I1,IF(ISNUMBER($N$13:$N$9327),IF($N$13:$N$9327&gt;0,$N$13:$N$9327))))</f>
        <v>34.933333337539807</v>
      </c>
      <c r="O5" s="3">
        <f t="array" ref="O5">MAX(IF($AG$13:$AG$9327=I1,IF(ISNUMBER($N$13:$N$9327),IF($N$13:$N$9327&gt;0,$N$13:$N$9327))))</f>
        <v>46.483333334326744</v>
      </c>
      <c r="P5" s="2"/>
      <c r="R5" s="74" t="s">
        <v>17</v>
      </c>
      <c r="S5" s="50">
        <f>COUNTIFS($N$13:$N$9327,"&gt;0",$AG$13:$AG$9327,R1)</f>
        <v>47</v>
      </c>
      <c r="T5" s="40"/>
      <c r="U5" s="173"/>
      <c r="V5" s="170">
        <f>AVERAGEIFS($N$13:$N$9327,$AG$13:$AG$9327,R1)</f>
        <v>15.324468083674722</v>
      </c>
      <c r="W5" s="171">
        <f t="array" ref="W5">MIN(IF($AG$13:$AG$9327=R1,IF(ISNUMBER($N$13:$N$9327),IF($N$13:$N$9327&gt;0,$N$13:$N$9327))))</f>
        <v>12.650000002468005</v>
      </c>
      <c r="X5" s="172">
        <f t="array" ref="X5">MAX(IF($AG$13:$AG$9327=R1,IF(ISNUMBER($N$13:$N$9327),IF($N$13:$N$9327&gt;0,$N$13:$N$9327))))</f>
        <v>19.666666674893349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3"/>
      <c r="V6" s="170">
        <f>IFERROR(AVERAGE($O$13:$O$112),0)</f>
        <v>0</v>
      </c>
      <c r="W6" s="171">
        <f>MIN($O$13:$O$112)</f>
        <v>0</v>
      </c>
      <c r="X6" s="172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COUNTIFS($P$13:$P$9327,"&gt;0",$AG$13:$AG$9327,I1)</f>
        <v>3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COUNTIFS($P$13:$P$9327,"&gt;0",$AG$13:$AG$9327,R1)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139</v>
      </c>
      <c r="K8" s="40"/>
      <c r="L8" s="40"/>
      <c r="M8" s="41">
        <f>M5</f>
        <v>38.433333333420883</v>
      </c>
      <c r="N8" s="39">
        <f>N5</f>
        <v>34.933333337539807</v>
      </c>
      <c r="O8" s="3">
        <f>O5</f>
        <v>46.483333334326744</v>
      </c>
      <c r="P8" s="2"/>
      <c r="R8" s="74" t="s">
        <v>16</v>
      </c>
      <c r="S8" s="50">
        <f>S5</f>
        <v>47</v>
      </c>
      <c r="T8" s="40"/>
      <c r="U8" s="173"/>
      <c r="V8" s="170">
        <f>V5</f>
        <v>15.324468083674722</v>
      </c>
      <c r="W8" s="171">
        <f>W5</f>
        <v>12.650000002468005</v>
      </c>
      <c r="X8" s="172">
        <f>X5</f>
        <v>19.666666674893349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0.97887323943661975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- 2017-04-06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AVERAGE(S13:S84)</f>
        <v>0.97065727699530502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201</v>
      </c>
      <c r="AN12" s="47" t="s">
        <v>415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657</v>
      </c>
      <c r="B13" s="7">
        <v>4052</v>
      </c>
      <c r="C13" s="21" t="s">
        <v>216</v>
      </c>
      <c r="D13" s="21" t="s">
        <v>856</v>
      </c>
      <c r="E13" s="13">
        <v>42831.136192129627</v>
      </c>
      <c r="F13" s="13">
        <v>42831.138831018521</v>
      </c>
      <c r="G13" s="7">
        <v>1</v>
      </c>
      <c r="H13" s="21" t="s">
        <v>857</v>
      </c>
      <c r="I13" s="13">
        <v>42831.140787037039</v>
      </c>
      <c r="J13" s="7">
        <v>0</v>
      </c>
      <c r="K13" s="97" t="str">
        <f t="shared" ref="K13:K75" si="0">IF(ISEVEN(B13),(B13-1)&amp;"/"&amp;B13,B13&amp;"/"&amp;(B13+1))</f>
        <v>4051/4052</v>
      </c>
      <c r="L13" s="21" t="str">
        <f>VLOOKUP(A13,'Trips&amp;Operators'!$C$1:$G$99999,5,FALSE)</f>
        <v>BADERTSCHER DIANE</v>
      </c>
      <c r="M13" s="6">
        <f t="shared" ref="M13:M75" si="1">I13-F13</f>
        <v>1.9560185173759237E-3</v>
      </c>
      <c r="N13" s="7"/>
      <c r="O13" s="7"/>
      <c r="P13" s="7">
        <f>24*60*SUM($M13:$M13)</f>
        <v>2.8166666650213301</v>
      </c>
      <c r="Q13" s="22"/>
      <c r="R13" s="22" t="s">
        <v>1046</v>
      </c>
      <c r="S13" s="31">
        <f t="shared" ref="S13:S24" si="2">SUM(U13:U13)/IF(AG13="EC",12,1)</f>
        <v>0</v>
      </c>
      <c r="T13" s="46" t="str">
        <f t="shared" ref="T13:T75" si="3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0</v>
      </c>
      <c r="V13" s="182" t="str">
        <f t="shared" ref="V13:V75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-06T02:16:07-0600',mode:absolute,to:'2017-04-06T04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3" s="183" t="str">
        <f t="shared" ref="W13:W75" si="5">IF(AA13&lt;IF(AG13="EC",23,5.65),"Y","N")</f>
        <v>Y</v>
      </c>
      <c r="X13" s="183" t="e">
        <f t="shared" ref="X13:X34" si="6">VALUE(LEFT(AD13,4))-VALUE(LEFT(AD12,4))</f>
        <v>#VALUE!</v>
      </c>
      <c r="Y13" s="62">
        <f t="shared" ref="Y13:Y75" si="7">RIGHT(D13,LEN(D13)-4)/10000</f>
        <v>7.7200000000000005E-2</v>
      </c>
      <c r="Z13" s="62">
        <f t="shared" ref="Z13:Z24" si="8">RIGHT(H13,LEN(H13)-4)/10000</f>
        <v>2.4199000000000002</v>
      </c>
      <c r="AA13" s="62">
        <f t="shared" ref="AA13:AA75" si="9">ABS(Z13-Y13)</f>
        <v>2.3427000000000002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5" si="10">IF(LEN(A13)=6,"0"&amp;A13,A13)</f>
        <v>0101-06</v>
      </c>
      <c r="AE13" s="85" t="str">
        <f t="shared" ref="AE13:AE75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s3://rtdc.mdm.uploadarchive.raw/RTDC4052/ "%USERPROFILE%\AppData\Local\Temp\OnboardLogs"\RTDC4052\2017-04-06 --exclude "*" --recursive --include "*20170406*" &amp; "%USERPROFILE%\Documents\GitHub\mrs-test-scripts\Headless Mode &amp; Sideloading\WalkAndUnGZ.bat" "%USERPROFILE%\AppData\Local\Temp\OnboardLogs"\RTDC4052\2017-04-06 &amp; aws s3 cp s3://rtdc.mdm.uploadarchive.raw/RTDC4052/ "%USERPROFILE%\AppData\Local\Temp\OnboardLogs"\RTDC4052\2017-04-07 --exclude "*" --recursive --include "*20170407*" &amp; "%USERPROFILE%\Documents\GitHub\mrs-test-scripts\Headless Mode &amp; Sideloading\WalkAndUnGZ.bat" "%USERPROFILE%\AppData\Local\Temp\OnboardLogs"\RTDC4052\2017-04-07</v>
      </c>
      <c r="AF13" s="82" t="str">
        <f t="shared" ref="AF13:AF75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/stypes="app*4052*20170406*" /stext=" 09:.+((SYSTEM_STATE.+slice.+state.+changed )|(ment ac)|(multiple cpu faults)|(system.+state.+changed )|(\[timeout)|(PRM\|1\|D)|(kpr)|(kdp)|(\|lc)|(penalty))"</v>
      </c>
      <c r="AG13" s="1" t="str">
        <f t="shared" ref="AG13:AG75" si="13">IFERROR(IF(VALUE(LEFT(AD13,2))&lt;=2,"EC",IF(OR(VALUE(LEFT(AD13,2))=8,VALUE(LEFT(AD13,2))=18),"NW","Other")),"Other")</f>
        <v>EC</v>
      </c>
      <c r="AH13" s="86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4052 --swversion DE.1.0.9.0 --startMP 204:772 --initTime 2017-04-06T03:16:07 --startdatetime 2017-04-06T03:19:55 --delay 1 --endMP 300:24199 --enddatetime 2017-04-06T03:22:44 --enforcementcount 0 &gt;&gt;C:\Users\stu\Documents\GitHub\eaglep3-reporting\EC\2017-04-06-refined-times.txt</v>
      </c>
      <c r="AI13" s="104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{"issue":{"subject":"Onboard Power outage led to failsafe penalty application","project_id":79,"tracker_id":40,"status_id":1,"priority_id":2,"assigned_to_id":23,"start_date":"2017-04-06","description":"","custom_fields":[{"id":1,"name":"Subdivision","value":"EC"},{"id":4,"name":"Milepost","value":"2.4199"},{"id":17,"name":"Train ID","value":"101-06"},{"id":16,"name":"Locomotive ID","value":"4052"},{"id":130,"name":"Impact","value":""},{"id":150,"name":"Time of Event (Mountain Time)","value":"03:22:44"},{"id":151,"name":"Denver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6">"start /low /b "&amp;dls3logs&amp;" --loco "&amp;B13&amp;" --day "&amp;TEXT(F13,"YYYY-MM-DD")</f>
        <v>start /low /b %USERPROFILE%\Documents\GitHub\eaglep3\Utilities\DownloadLogsFromS3.py --loco 4052 --day 2017-04-06</v>
      </c>
      <c r="AN13" s="159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Power outage led to failsafe penalty application","project_id":30,"tracker_id":4,"status_id":1,"priority_id":1,"assigned_to_id":10,"start_date":"2017-04-06","description":"","custom_fields":[{"id":30,"name":"Category","value":"Issue"},{"id":3,"name":"Functional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09:22:44"},{"id":29,"name":"Sharepoint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659</v>
      </c>
      <c r="B14" s="7">
        <v>4016</v>
      </c>
      <c r="C14" s="21" t="s">
        <v>216</v>
      </c>
      <c r="D14" s="21" t="s">
        <v>856</v>
      </c>
      <c r="E14" s="13">
        <v>42831.149444444447</v>
      </c>
      <c r="F14" s="13">
        <v>42831.158368055556</v>
      </c>
      <c r="G14" s="7">
        <v>1</v>
      </c>
      <c r="H14" s="21" t="s">
        <v>436</v>
      </c>
      <c r="I14" s="13">
        <v>42831.186435185184</v>
      </c>
      <c r="J14" s="7">
        <v>0</v>
      </c>
      <c r="K14" s="97" t="str">
        <f t="shared" si="0"/>
        <v>4015/4016</v>
      </c>
      <c r="L14" s="21" t="str">
        <f>VLOOKUP(A14,'Trips&amp;Operators'!$C$1:$G$99999,5,FALSE)</f>
        <v>FORTUNATO FRANK</v>
      </c>
      <c r="M14" s="6">
        <f t="shared" si="1"/>
        <v>2.806712962774327E-2</v>
      </c>
      <c r="N14" s="7">
        <f>24*60*SUM($M14:$M14)</f>
        <v>40.416666663950309</v>
      </c>
      <c r="O14" s="7"/>
      <c r="P14" s="7"/>
      <c r="Q14" s="22"/>
      <c r="R14" s="22"/>
      <c r="S14" s="31">
        <f t="shared" si="2"/>
        <v>1</v>
      </c>
      <c r="T14" s="46" t="str">
        <f t="shared" si="3"/>
        <v>NorthBound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4"/>
        <v>https://d0f6bd738d7f1b3e5a7ca70fe4ff75f0.us-east-1.aws.found.io/app/kibana#/discover/Steve-Slow-Train-Analysis-(2080s-and-2083s)?_g=(refreshInterval:(display:Off,pause:!f,section:0,value:0),time:(from:'2017-04-06T02:35:12-0600',mode:absolute,to:'2017-04-06T05:28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" s="183" t="str">
        <f t="shared" si="5"/>
        <v>N</v>
      </c>
      <c r="X14" s="183">
        <f t="shared" si="6"/>
        <v>2</v>
      </c>
      <c r="Y14" s="62">
        <f t="shared" si="7"/>
        <v>7.7200000000000005E-2</v>
      </c>
      <c r="Z14" s="62">
        <f t="shared" si="8"/>
        <v>23.329699999999999</v>
      </c>
      <c r="AA14" s="62">
        <f t="shared" si="9"/>
        <v>23.252499999999998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0"/>
        <v>0103-06</v>
      </c>
      <c r="AE14" s="85" t="str">
        <f t="shared" si="11"/>
        <v>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 &amp; 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</v>
      </c>
      <c r="AF14" s="82" t="str">
        <f t="shared" si="12"/>
        <v>"C:\Program Files (x86)\AstroGrep\AstroGrep.exe" /e /r /s /spath="%USERPROFILE%\AppData\Local\Temp\OnboardLogs" /stypes="app*4016*20170406*" /stext=" 10:.+((SYSTEM_STATE.+slice.+state.+changed )|(ment ac)|(multiple cpu faults)|(system.+state.+changed )|(\[timeout)|(PRM\|1\|D)|(kpr)|(kdp)|(\|lc)|(penalty))"</v>
      </c>
      <c r="AG14" s="1" t="str">
        <f t="shared" si="13"/>
        <v>EC</v>
      </c>
      <c r="AH14" s="86" t="str">
        <f t="shared" ref="AH14:AH75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103-06 --locoid 4016 --swversion DE.1.0.9.0 --startMP 204:772 --initTime 2017-04-06T03:35:12 --startdatetime 2017-04-06T03:48:03 --delay 1 --endMP 204:233297 --enddatetime 2017-04-06T04:28:28 --enforcementcount 0 &gt;&gt;C:\Users\stu\Documents\GitHub\eaglep3-reporting\EC\2017-04-06-refined-times.txt</v>
      </c>
      <c r="AI14" s="104" t="str">
        <f t="shared" ref="AI14:AI75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{"issue":{"subject":"","project_id":79,"tracker_id":40,"status_id":1,"priority_id":2,"assigned_to_id":23,"start_date":"2017-04-06","description":"","custom_fields":[{"id":1,"name":"Subdivision","value":"EC"},{"id":4,"name":"Milepost","value":"23.3297"},{"id":17,"name":"Train ID","value":"103-06"},{"id":16,"name":"Locomotive ID","value":"4016"},{"id":130,"name":"Impact","value":""},{"id":150,"name":"Time of Event (Mountain Time)","value":"04:28:28"},{"id":151,"name":"Denver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5" si="20">"start /low /b "&amp;dls3logs&amp;" --loco "&amp;B14&amp;" --day "&amp;TEXT(F14,"YYYY-MM-DD")</f>
        <v>start /low /b %USERPROFILE%\Documents\GitHub\eaglep3\Utilities\DownloadLogsFromS3.py --loco 4016 --day 2017-04-06</v>
      </c>
      <c r="AN14" s="159" t="str">
        <f t="shared" ref="AN14:AN75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10:28:28"},{"id":29,"name":"Sharepoint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667</v>
      </c>
      <c r="B15" s="7">
        <v>4009</v>
      </c>
      <c r="C15" s="21" t="s">
        <v>216</v>
      </c>
      <c r="D15" s="21" t="s">
        <v>858</v>
      </c>
      <c r="E15" s="13">
        <v>42831.188518518517</v>
      </c>
      <c r="F15" s="13">
        <v>42831.195439814815</v>
      </c>
      <c r="G15" s="7">
        <v>1</v>
      </c>
      <c r="H15" s="21" t="s">
        <v>437</v>
      </c>
      <c r="I15" s="13">
        <v>42831.224699074075</v>
      </c>
      <c r="J15" s="7">
        <v>0</v>
      </c>
      <c r="K15" s="97" t="str">
        <f t="shared" si="0"/>
        <v>4009/4010</v>
      </c>
      <c r="L15" s="21" t="str">
        <f>VLOOKUP(A15,'Trips&amp;Operators'!$C$1:$G$99999,5,FALSE)</f>
        <v>FORTUNATO FRANK</v>
      </c>
      <c r="M15" s="6">
        <f t="shared" si="1"/>
        <v>2.9259259259561077E-2</v>
      </c>
      <c r="N15" s="7">
        <f>24*60*SUM($M15:$M15)</f>
        <v>42.133333333767951</v>
      </c>
      <c r="O15" s="7"/>
      <c r="P15" s="7"/>
      <c r="Q15" s="22"/>
      <c r="R15" s="22"/>
      <c r="S15" s="31">
        <f t="shared" si="2"/>
        <v>1</v>
      </c>
      <c r="T15" s="46" t="str">
        <f t="shared" si="3"/>
        <v>Southbound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4"/>
        <v>https://d0f6bd738d7f1b3e5a7ca70fe4ff75f0.us-east-1.aws.found.io/app/kibana#/discover/Steve-Slow-Train-Analysis-(2080s-and-2083s)?_g=(refreshInterval:(display:Off,pause:!f,section:0,value:0),time:(from:'2017-04-06T03:31:28-0600',mode:absolute,to:'2017-04-06T06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5" s="183" t="str">
        <f t="shared" si="5"/>
        <v>N</v>
      </c>
      <c r="X15" s="183">
        <f t="shared" si="6"/>
        <v>1</v>
      </c>
      <c r="Y15" s="62">
        <f t="shared" si="7"/>
        <v>23.265599999999999</v>
      </c>
      <c r="Z15" s="62">
        <f t="shared" si="8"/>
        <v>1.4500000000000001E-2</v>
      </c>
      <c r="AA15" s="62">
        <f t="shared" si="9"/>
        <v>23.251099999999997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0"/>
        <v>0104-06</v>
      </c>
      <c r="AE15" s="85" t="str">
        <f t="shared" si="11"/>
        <v>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 &amp; 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</v>
      </c>
      <c r="AF15" s="82" t="str">
        <f t="shared" si="12"/>
        <v>"C:\Program Files (x86)\AstroGrep\AstroGrep.exe" /e /r /s /spath="%USERPROFILE%\AppData\Local\Temp\OnboardLogs" /stypes="app*4009*20170406*" /stext=" 11:.+((SYSTEM_STATE.+slice.+state.+changed )|(ment ac)|(multiple cpu faults)|(system.+state.+changed )|(\[timeout)|(PRM\|1\|D)|(kpr)|(kdp)|(\|lc)|(penalty))"</v>
      </c>
      <c r="AG15" s="1" t="str">
        <f t="shared" si="13"/>
        <v>EC</v>
      </c>
      <c r="AH15" s="86" t="str">
        <f t="shared" si="18"/>
        <v>"%USERPROFILE%\Documents\GitHub\eaglep3\Utilities\RefineRTDCRunTimes.py" --tripid 104-06 --locoid 4009 --swversion DE.1.0.9.0 --startMP 204:232656 --initTime 2017-04-06T04:31:28 --startdatetime 2017-04-06T04:41:26 --delay 1 --endMP 204:145 --enddatetime 2017-04-06T05:23:34 --enforcementcount 0 &gt;&gt;C:\Users\stu\Documents\GitHub\eaglep3-reporting\EC\2017-04-06-refined-times.txt</v>
      </c>
      <c r="AI15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{"issue":{"subject":"","project_id":79,"tracker_id":40,"status_id":1,"priority_id":2,"assigned_to_id":23,"start_date":"2017-04-06","description":"","custom_fields":[{"id":1,"name":"Subdivision","value":"EC"},{"id":4,"name":"Milepost","value":"0.0145"},{"id":17,"name":"Train ID","value":"104-06"},{"id":16,"name":"Locomotive ID","value":"4009"},{"id":130,"name":"Impact","value":""},{"id":150,"name":"Time of Event (Mountain Time)","value":"05:23:34"},{"id":151,"name":"Denver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0"/>
        <v>start /low /b %USERPROFILE%\Documents\GitHub\eaglep3\Utilities\DownloadLogsFromS3.py --loco 4009 --day 2017-04-06</v>
      </c>
      <c r="AN15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11:23:34"},{"id":29,"name":"Sharepoint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664</v>
      </c>
      <c r="B16" s="7">
        <v>4042</v>
      </c>
      <c r="C16" s="21" t="s">
        <v>216</v>
      </c>
      <c r="D16" s="21" t="s">
        <v>859</v>
      </c>
      <c r="E16" s="13">
        <v>42831.17287037037</v>
      </c>
      <c r="F16" s="13">
        <v>42831.188726851855</v>
      </c>
      <c r="G16" s="7">
        <v>1</v>
      </c>
      <c r="H16" s="21" t="s">
        <v>582</v>
      </c>
      <c r="I16" s="13">
        <v>42831.213819444441</v>
      </c>
      <c r="J16" s="7">
        <v>0</v>
      </c>
      <c r="K16" s="97" t="str">
        <f t="shared" si="0"/>
        <v>4041/4042</v>
      </c>
      <c r="L16" s="21" t="str">
        <f>VLOOKUP(A16,'Trips&amp;Operators'!$C$1:$G$99999,5,FALSE)</f>
        <v>ROBINSON KADDIBA</v>
      </c>
      <c r="M16" s="6">
        <f t="shared" si="1"/>
        <v>2.509259258658858E-2</v>
      </c>
      <c r="N16" s="7">
        <f>24*60*SUM($M16:$M16)</f>
        <v>36.133333324687555</v>
      </c>
      <c r="O16" s="7"/>
      <c r="P16" s="7"/>
      <c r="Q16" s="22"/>
      <c r="R16" s="22"/>
      <c r="S16" s="31">
        <f t="shared" si="2"/>
        <v>1</v>
      </c>
      <c r="T16" s="46" t="str">
        <f t="shared" si="3"/>
        <v>NorthBound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4"/>
        <v>https://d0f6bd738d7f1b3e5a7ca70fe4ff75f0.us-east-1.aws.found.io/app/kibana#/discover/Steve-Slow-Train-Analysis-(2080s-and-2083s)?_g=(refreshInterval:(display:Off,pause:!f,section:0,value:0),time:(from:'2017-04-06T03:08:56-0600',mode:absolute,to:'2017-04-06T06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6" s="183" t="str">
        <f t="shared" si="5"/>
        <v>N</v>
      </c>
      <c r="X16" s="183">
        <f t="shared" si="6"/>
        <v>1</v>
      </c>
      <c r="Y16" s="62">
        <f t="shared" si="7"/>
        <v>7.5399999999999995E-2</v>
      </c>
      <c r="Z16" s="62">
        <f t="shared" si="8"/>
        <v>23.330500000000001</v>
      </c>
      <c r="AA16" s="62">
        <f t="shared" si="9"/>
        <v>23.255100000000002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0"/>
        <v>0105-06</v>
      </c>
      <c r="AE16" s="85" t="str">
        <f t="shared" si="11"/>
        <v>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 &amp; 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</v>
      </c>
      <c r="AF16" s="82" t="str">
        <f t="shared" si="12"/>
        <v>"C:\Program Files (x86)\AstroGrep\AstroGrep.exe" /e /r /s /spath="%USERPROFILE%\AppData\Local\Temp\OnboardLogs" /stypes="app*4042*20170406*" /stext=" 11:.+((SYSTEM_STATE.+slice.+state.+changed )|(ment ac)|(multiple cpu faults)|(system.+state.+changed )|(\[timeout)|(PRM\|1\|D)|(kpr)|(kdp)|(\|lc)|(penalty))"</v>
      </c>
      <c r="AG16" s="1" t="str">
        <f t="shared" si="13"/>
        <v>EC</v>
      </c>
      <c r="AH16" s="86" t="str">
        <f t="shared" si="18"/>
        <v>"%USERPROFILE%\Documents\GitHub\eaglep3\Utilities\RefineRTDCRunTimes.py" --tripid 105-06 --locoid 4042 --swversion DE.1.0.9.0 --startMP 204:754 --initTime 2017-04-06T04:08:56 --startdatetime 2017-04-06T04:31:46 --delay 1 --endMP 204:233305 --enddatetime 2017-04-06T05:07:54 --enforcementcount 0 &gt;&gt;C:\Users\stu\Documents\GitHub\eaglep3-reporting\EC\2017-04-06-refined-times.txt</v>
      </c>
      <c r="AI16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{"issue":{"subject":"","project_id":79,"tracker_id":40,"status_id":1,"priority_id":2,"assigned_to_id":23,"start_date":"2017-04-06","description":"","custom_fields":[{"id":1,"name":"Subdivision","value":"EC"},{"id":4,"name":"Milepost","value":"23.3305"},{"id":17,"name":"Train ID","value":"105-06"},{"id":16,"name":"Locomotive ID","value":"4042"},{"id":130,"name":"Impact","value":""},{"id":150,"name":"Time of Event (Mountain Time)","value":"05:07:54"},{"id":151,"name":"Denver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0"/>
        <v>start /low /b %USERPROFILE%\Documents\GitHub\eaglep3\Utilities\DownloadLogsFromS3.py --loco 4042 --day 2017-04-06</v>
      </c>
      <c r="AN16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11:07:54"},{"id":29,"name":"Sharepoint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666</v>
      </c>
      <c r="B17" s="7">
        <v>4042</v>
      </c>
      <c r="C17" s="21" t="s">
        <v>216</v>
      </c>
      <c r="D17" s="21" t="s">
        <v>860</v>
      </c>
      <c r="E17" s="13">
        <v>42831.185416666667</v>
      </c>
      <c r="F17" s="13">
        <v>42831.188726851855</v>
      </c>
      <c r="G17" s="7">
        <v>1</v>
      </c>
      <c r="H17" s="21" t="s">
        <v>582</v>
      </c>
      <c r="I17" s="13">
        <v>42831.213819444441</v>
      </c>
      <c r="J17" s="7">
        <v>0</v>
      </c>
      <c r="K17" s="97" t="str">
        <f t="shared" si="0"/>
        <v>4041/4042</v>
      </c>
      <c r="L17" s="21" t="str">
        <f>VLOOKUP(A17,'Trips&amp;Operators'!$C$1:$G$99999,5,FALSE)</f>
        <v>ROBINSON KADDIBA</v>
      </c>
      <c r="M17" s="6">
        <f t="shared" si="1"/>
        <v>2.509259258658858E-2</v>
      </c>
      <c r="N17" s="7">
        <f t="shared" ref="N17:N24" si="22">24*60*SUM($M17:$M17)</f>
        <v>36.133333324687555</v>
      </c>
      <c r="O17" s="7"/>
      <c r="P17" s="7"/>
      <c r="Q17" s="22"/>
      <c r="R17" s="22"/>
      <c r="S17" s="31">
        <f t="shared" si="2"/>
        <v>1</v>
      </c>
      <c r="T17" s="46" t="str">
        <f t="shared" si="3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4"/>
        <v>https://d0f6bd738d7f1b3e5a7ca70fe4ff75f0.us-east-1.aws.found.io/app/kibana#/discover/Steve-Slow-Train-Analysis-(2080s-and-2083s)?_g=(refreshInterval:(display:Off,pause:!f,section:0,value:0),time:(from:'2017-04-06T03:27:00-0600',mode:absolute,to:'2017-04-06T06:07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7" s="183" t="str">
        <f t="shared" si="5"/>
        <v>N</v>
      </c>
      <c r="X17" s="183">
        <f t="shared" si="6"/>
        <v>2</v>
      </c>
      <c r="Y17" s="62">
        <f t="shared" si="7"/>
        <v>7.3899999999999993E-2</v>
      </c>
      <c r="Z17" s="62">
        <f t="shared" si="8"/>
        <v>23.330500000000001</v>
      </c>
      <c r="AA17" s="62">
        <f t="shared" si="9"/>
        <v>23.256600000000002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0"/>
        <v>0107-06</v>
      </c>
      <c r="AE17" s="85" t="str">
        <f t="shared" si="11"/>
        <v>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 &amp; 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</v>
      </c>
      <c r="AF17" s="82" t="str">
        <f t="shared" si="12"/>
        <v>"C:\Program Files (x86)\AstroGrep\AstroGrep.exe" /e /r /s /spath="%USERPROFILE%\AppData\Local\Temp\OnboardLogs" /stypes="app*4042*20170406*" /stext=" 11:.+((SYSTEM_STATE.+slice.+state.+changed )|(ment ac)|(multiple cpu faults)|(system.+state.+changed )|(\[timeout)|(PRM\|1\|D)|(kpr)|(kdp)|(\|lc)|(penalty))"</v>
      </c>
      <c r="AG17" s="1" t="str">
        <f t="shared" si="13"/>
        <v>EC</v>
      </c>
      <c r="AH17" s="86" t="str">
        <f t="shared" si="18"/>
        <v>"%USERPROFILE%\Documents\GitHub\eaglep3\Utilities\RefineRTDCRunTimes.py" --tripid 107-06 --locoid 4042 --swversion DE.1.0.9.0 --startMP 204:739 --initTime 2017-04-06T04:27:00 --startdatetime 2017-04-06T04:31:46 --delay 1 --endMP 204:233305 --enddatetime 2017-04-06T05:07:54 --enforcementcount 0 &gt;&gt;C:\Users\stu\Documents\GitHub\eaglep3-reporting\EC\2017-04-06-refined-times.txt</v>
      </c>
      <c r="AI17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{"issue":{"subject":"","project_id":79,"tracker_id":40,"status_id":1,"priority_id":2,"assigned_to_id":23,"start_date":"2017-04-06","description":"","custom_fields":[{"id":1,"name":"Subdivision","value":"EC"},{"id":4,"name":"Milepost","value":"23.3305"},{"id":17,"name":"Train ID","value":"107-06"},{"id":16,"name":"Locomotive ID","value":"4042"},{"id":130,"name":"Impact","value":""},{"id":150,"name":"Time of Event (Mountain Time)","value":"05:07:54"},{"id":151,"name":"Denver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0"/>
        <v>start /low /b %USERPROFILE%\Documents\GitHub\eaglep3\Utilities\DownloadLogsFromS3.py --loco 4042 --day 2017-04-06</v>
      </c>
      <c r="AN17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11:07:54"},{"id":29,"name":"Sharepoint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674</v>
      </c>
      <c r="B18" s="7">
        <v>4041</v>
      </c>
      <c r="C18" s="21" t="s">
        <v>216</v>
      </c>
      <c r="D18" s="21" t="s">
        <v>861</v>
      </c>
      <c r="E18" s="13">
        <v>42831.221250000002</v>
      </c>
      <c r="F18" s="13">
        <v>42831.226585648146</v>
      </c>
      <c r="G18" s="7">
        <v>1</v>
      </c>
      <c r="H18" s="21" t="s">
        <v>213</v>
      </c>
      <c r="I18" s="13">
        <v>42831.254826388889</v>
      </c>
      <c r="J18" s="7">
        <v>0</v>
      </c>
      <c r="K18" s="97" t="str">
        <f t="shared" si="0"/>
        <v>4041/4042</v>
      </c>
      <c r="L18" s="21" t="str">
        <f>VLOOKUP(A18,'Trips&amp;Operators'!$C$1:$G$99999,5,FALSE)</f>
        <v>ROBINSON KADDIBA</v>
      </c>
      <c r="M18" s="6">
        <f t="shared" si="1"/>
        <v>2.8240740743058268E-2</v>
      </c>
      <c r="N18" s="7">
        <f t="shared" si="22"/>
        <v>40.666666670003906</v>
      </c>
      <c r="O18" s="7"/>
      <c r="P18" s="7"/>
      <c r="Q18" s="22"/>
      <c r="R18" s="22"/>
      <c r="S18" s="31">
        <f t="shared" si="2"/>
        <v>1</v>
      </c>
      <c r="T18" s="46" t="str">
        <f t="shared" si="3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4"/>
        <v>https://d0f6bd738d7f1b3e5a7ca70fe4ff75f0.us-east-1.aws.found.io/app/kibana#/discover/Steve-Slow-Train-Analysis-(2080s-and-2083s)?_g=(refreshInterval:(display:Off,pause:!f,section:0,value:0),time:(from:'2017-04-06T04:18:36-0600',mode:absolute,to:'2017-04-06T07:06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8" s="183" t="str">
        <f t="shared" si="5"/>
        <v>N</v>
      </c>
      <c r="X18" s="183">
        <f t="shared" si="6"/>
        <v>1</v>
      </c>
      <c r="Y18" s="62">
        <f t="shared" si="7"/>
        <v>23.298999999999999</v>
      </c>
      <c r="Z18" s="62">
        <f t="shared" si="8"/>
        <v>1.47E-2</v>
      </c>
      <c r="AA18" s="62">
        <f t="shared" si="9"/>
        <v>23.284299999999998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0"/>
        <v>0108-06</v>
      </c>
      <c r="AE18" s="85" t="str">
        <f t="shared" si="11"/>
        <v>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 &amp; aws s3 cp s3://rtdc.mdm.uploadarchive.raw/RTDC4041/ "%USERPROFILE%\AppData\Local\Temp\OnboardLogs"\RTDC4041\2017-04-07 --exclude "*" --recursive --include "*20170407*" &amp; "%USERPROFILE%\Documents\GitHub\mrs-test-scripts\Headless Mode &amp; Sideloading\WalkAndUnGZ.bat" "%USERPROFILE%\AppData\Local\Temp\OnboardLogs"\RTDC4041\2017-04-07</v>
      </c>
      <c r="AF18" s="82" t="str">
        <f t="shared" si="12"/>
        <v>"C:\Program Files (x86)\AstroGrep\AstroGrep.exe" /e /r /s /spath="%USERPROFILE%\AppData\Local\Temp\OnboardLogs" /stypes="app*4041*20170406*" /stext=" 12:.+((SYSTEM_STATE.+slice.+state.+changed )|(ment ac)|(multiple cpu faults)|(system.+state.+changed )|(\[timeout)|(PRM\|1\|D)|(kpr)|(kdp)|(\|lc)|(penalty))"</v>
      </c>
      <c r="AG18" s="1" t="str">
        <f t="shared" si="13"/>
        <v>EC</v>
      </c>
      <c r="AH18" s="86" t="str">
        <f t="shared" si="18"/>
        <v>"%USERPROFILE%\Documents\GitHub\eaglep3\Utilities\RefineRTDCRunTimes.py" --tripid 108-06 --locoid 4041 --swversion DE.1.0.9.0 --startMP 204:232990 --initTime 2017-04-06T05:18:36 --startdatetime 2017-04-06T05:26:17 --delay 1 --endMP 204:147 --enddatetime 2017-04-06T06:06:57 --enforcementcount 0 &gt;&gt;C:\Users\stu\Documents\GitHub\eaglep3-reporting\EC\2017-04-06-refined-times.txt</v>
      </c>
      <c r="AI18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{"issue":{"subject":"","project_id":79,"tracker_id":40,"status_id":1,"priority_id":2,"assigned_to_id":23,"start_date":"2017-04-06","description":"","custom_fields":[{"id":1,"name":"Subdivision","value":"EC"},{"id":4,"name":"Milepost","value":"0.0147"},{"id":17,"name":"Train ID","value":"108-06"},{"id":16,"name":"Locomotive ID","value":"4041"},{"id":130,"name":"Impact","value":""},{"id":150,"name":"Time of Event (Mountain Time)","value":"06:06:57"},{"id":151,"name":"Denver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0"/>
        <v>start /low /b %USERPROFILE%\Documents\GitHub\eaglep3\Utilities\DownloadLogsFromS3.py --loco 4041 --day 2017-04-06</v>
      </c>
      <c r="AN18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12:06:57"},{"id":29,"name":"Sharepoint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668</v>
      </c>
      <c r="B19" s="7">
        <v>4018</v>
      </c>
      <c r="C19" s="21" t="s">
        <v>216</v>
      </c>
      <c r="D19" s="21" t="s">
        <v>862</v>
      </c>
      <c r="E19" s="13">
        <v>42831.194131944445</v>
      </c>
      <c r="F19" s="13">
        <v>42831.198252314818</v>
      </c>
      <c r="G19" s="7">
        <v>1</v>
      </c>
      <c r="H19" s="21" t="s">
        <v>574</v>
      </c>
      <c r="I19" s="13">
        <v>42831.222638888888</v>
      </c>
      <c r="J19" s="7">
        <v>0</v>
      </c>
      <c r="K19" s="97" t="str">
        <f t="shared" si="0"/>
        <v>4017/4018</v>
      </c>
      <c r="L19" s="21" t="str">
        <f>VLOOKUP(A19,'Trips&amp;Operators'!$C$1:$G$99999,5,FALSE)</f>
        <v>MENGES BRAD</v>
      </c>
      <c r="M19" s="6">
        <f t="shared" si="1"/>
        <v>2.438657407037681E-2</v>
      </c>
      <c r="N19" s="7">
        <f t="shared" si="22"/>
        <v>35.116666661342606</v>
      </c>
      <c r="O19" s="7"/>
      <c r="P19" s="7"/>
      <c r="Q19" s="22"/>
      <c r="R19" s="22"/>
      <c r="S19" s="31">
        <f t="shared" si="2"/>
        <v>1</v>
      </c>
      <c r="T19" s="46" t="str">
        <f t="shared" si="3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4"/>
        <v>https://d0f6bd738d7f1b3e5a7ca70fe4ff75f0.us-east-1.aws.found.io/app/kibana#/discover/Steve-Slow-Train-Analysis-(2080s-and-2083s)?_g=(refreshInterval:(display:Off,pause:!f,section:0,value:0),time:(from:'2017-04-06T03:39:33-0600',mode:absolute,to:'2017-04-06T06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9" s="183" t="str">
        <f t="shared" si="5"/>
        <v>N</v>
      </c>
      <c r="X19" s="183">
        <f t="shared" si="6"/>
        <v>1</v>
      </c>
      <c r="Y19" s="62">
        <f t="shared" si="7"/>
        <v>7.46E-2</v>
      </c>
      <c r="Z19" s="62">
        <f t="shared" si="8"/>
        <v>23.3306</v>
      </c>
      <c r="AA19" s="62">
        <f t="shared" si="9"/>
        <v>23.256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0"/>
        <v>0109-06</v>
      </c>
      <c r="AE19" s="85" t="str">
        <f t="shared" si="11"/>
        <v>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 &amp; aws s3 cp s3://rtdc.mdm.uploadarchive.raw/RTDC4018/ "%USERPROFILE%\AppData\Local\Temp\OnboardLogs"\RTDC4018\2017-04-07 --exclude "*" --recursive --include "*20170407*" &amp; "%USERPROFILE%\Documents\GitHub\mrs-test-scripts\Headless Mode &amp; Sideloading\WalkAndUnGZ.bat" "%USERPROFILE%\AppData\Local\Temp\OnboardLogs"\RTDC4018\2017-04-07</v>
      </c>
      <c r="AF19" s="82" t="str">
        <f t="shared" si="12"/>
        <v>"C:\Program Files (x86)\AstroGrep\AstroGrep.exe" /e /r /s /spath="%USERPROFILE%\AppData\Local\Temp\OnboardLogs" /stypes="app*4018*20170406*" /stext=" 11:.+((SYSTEM_STATE.+slice.+state.+changed )|(ment ac)|(multiple cpu faults)|(system.+state.+changed )|(\[timeout)|(PRM\|1\|D)|(kpr)|(kdp)|(\|lc)|(penalty))"</v>
      </c>
      <c r="AG19" s="1" t="str">
        <f t="shared" si="13"/>
        <v>EC</v>
      </c>
      <c r="AH19" s="86" t="str">
        <f t="shared" si="18"/>
        <v>"%USERPROFILE%\Documents\GitHub\eaglep3\Utilities\RefineRTDCRunTimes.py" --tripid 109-06 --locoid 4018 --swversion DE.1.0.9.0 --startMP 204:746 --initTime 2017-04-06T04:39:33 --startdatetime 2017-04-06T04:45:29 --delay 1 --endMP 204:233306 --enddatetime 2017-04-06T05:20:36 --enforcementcount 0 &gt;&gt;C:\Users\stu\Documents\GitHub\eaglep3-reporting\EC\2017-04-06-refined-times.txt</v>
      </c>
      <c r="AI19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{"issue":{"subject":"","project_id":79,"tracker_id":40,"status_id":1,"priority_id":2,"assigned_to_id":23,"start_date":"2017-04-06","description":"","custom_fields":[{"id":1,"name":"Subdivision","value":"EC"},{"id":4,"name":"Milepost","value":"23.3306"},{"id":17,"name":"Train ID","value":"109-06"},{"id":16,"name":"Locomotive ID","value":"4018"},{"id":130,"name":"Impact","value":""},{"id":150,"name":"Time of Event (Mountain Time)","value":"05:20:36"},{"id":151,"name":"Denver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0"/>
        <v>start /low /b %USERPROFILE%\Documents\GitHub\eaglep3\Utilities\DownloadLogsFromS3.py --loco 4018 --day 2017-04-06</v>
      </c>
      <c r="AN19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11:20:36"},{"id":29,"name":"Sharepoint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677</v>
      </c>
      <c r="B20" s="7">
        <v>4017</v>
      </c>
      <c r="C20" s="21" t="s">
        <v>216</v>
      </c>
      <c r="D20" s="21" t="s">
        <v>440</v>
      </c>
      <c r="E20" s="13">
        <v>42831.235358796293</v>
      </c>
      <c r="F20" s="13">
        <v>42831.236979166664</v>
      </c>
      <c r="G20" s="7">
        <v>1</v>
      </c>
      <c r="H20" s="21" t="s">
        <v>199</v>
      </c>
      <c r="I20" s="13">
        <v>42831.2658912037</v>
      </c>
      <c r="J20" s="7">
        <v>0</v>
      </c>
      <c r="K20" s="97" t="str">
        <f t="shared" si="0"/>
        <v>4017/4018</v>
      </c>
      <c r="L20" s="21" t="str">
        <f>VLOOKUP(A20,'Trips&amp;Operators'!$C$1:$G$99999,5,FALSE)</f>
        <v>MENGES BRAD</v>
      </c>
      <c r="M20" s="6">
        <f t="shared" si="1"/>
        <v>2.8912037036207039E-2</v>
      </c>
      <c r="N20" s="7">
        <f t="shared" si="22"/>
        <v>41.633333332138136</v>
      </c>
      <c r="O20" s="7"/>
      <c r="P20" s="7"/>
      <c r="Q20" s="22"/>
      <c r="R20" s="22"/>
      <c r="S20" s="31">
        <f t="shared" si="2"/>
        <v>1</v>
      </c>
      <c r="T20" s="46" t="str">
        <f t="shared" si="3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4"/>
        <v>https://d0f6bd738d7f1b3e5a7ca70fe4ff75f0.us-east-1.aws.found.io/app/kibana#/discover/Steve-Slow-Train-Analysis-(2080s-and-2083s)?_g=(refreshInterval:(display:Off,pause:!f,section:0,value:0),time:(from:'2017-04-06T04:38:55-0600',mode:absolute,to:'2017-04-06T07:22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" s="183" t="str">
        <f t="shared" si="5"/>
        <v>N</v>
      </c>
      <c r="X20" s="183">
        <f t="shared" si="6"/>
        <v>1</v>
      </c>
      <c r="Y20" s="62">
        <f t="shared" si="7"/>
        <v>23.299800000000001</v>
      </c>
      <c r="Z20" s="62">
        <f t="shared" si="8"/>
        <v>1.5800000000000002E-2</v>
      </c>
      <c r="AA20" s="62">
        <f t="shared" si="9"/>
        <v>23.284000000000002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0"/>
        <v>0110-06</v>
      </c>
      <c r="AE20" s="85" t="str">
        <f t="shared" si="11"/>
        <v>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 &amp; aws s3 cp s3://rtdc.mdm.uploadarchive.raw/RTDC4017/ "%USERPROFILE%\AppData\Local\Temp\OnboardLogs"\RTDC4017\2017-04-07 --exclude "*" --recursive --include "*20170407*" &amp; "%USERPROFILE%\Documents\GitHub\mrs-test-scripts\Headless Mode &amp; Sideloading\WalkAndUnGZ.bat" "%USERPROFILE%\AppData\Local\Temp\OnboardLogs"\RTDC4017\2017-04-07</v>
      </c>
      <c r="AF20" s="82" t="str">
        <f t="shared" si="12"/>
        <v>"C:\Program Files (x86)\AstroGrep\AstroGrep.exe" /e /r /s /spath="%USERPROFILE%\AppData\Local\Temp\OnboardLogs" /stypes="app*4017*20170406*" /stext=" 12:.+((SYSTEM_STATE.+slice.+state.+changed )|(ment ac)|(multiple cpu faults)|(system.+state.+changed )|(\[timeout)|(PRM\|1\|D)|(kpr)|(kdp)|(\|lc)|(penalty))"</v>
      </c>
      <c r="AG20" s="1" t="str">
        <f t="shared" si="13"/>
        <v>EC</v>
      </c>
      <c r="AH20" s="86" t="str">
        <f t="shared" si="18"/>
        <v>"%USERPROFILE%\Documents\GitHub\eaglep3\Utilities\RefineRTDCRunTimes.py" --tripid 110-06 --locoid 4017 --swversion DE.1.0.9.0 --startMP 204:232998 --initTime 2017-04-06T05:38:55 --startdatetime 2017-04-06T05:41:15 --delay 1 --endMP 204:158 --enddatetime 2017-04-06T06:22:53 --enforcementcount 0 &gt;&gt;C:\Users\stu\Documents\GitHub\eaglep3-reporting\EC\2017-04-06-refined-times.txt</v>
      </c>
      <c r="AI20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{"issue":{"subject":"","project_id":79,"tracker_id":40,"status_id":1,"priority_id":2,"assigned_to_id":23,"start_date":"2017-04-06","description":"","custom_fields":[{"id":1,"name":"Subdivision","value":"EC"},{"id":4,"name":"Milepost","value":"0.0158"},{"id":17,"name":"Train ID","value":"110-06"},{"id":16,"name":"Locomotive ID","value":"4017"},{"id":130,"name":"Impact","value":""},{"id":150,"name":"Time of Event (Mountain Time)","value":"06:22:53"},{"id":151,"name":"Denver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0"/>
        <v>start /low /b %USERPROFILE%\Documents\GitHub\eaglep3\Utilities\DownloadLogsFromS3.py --loco 4017 --day 2017-04-06</v>
      </c>
      <c r="AN20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12:22:53"},{"id":29,"name":"Sharepoint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671</v>
      </c>
      <c r="B21" s="7">
        <v>4004</v>
      </c>
      <c r="C21" s="21" t="s">
        <v>216</v>
      </c>
      <c r="D21" s="21" t="s">
        <v>863</v>
      </c>
      <c r="E21" s="13">
        <v>42831.200173611112</v>
      </c>
      <c r="F21" s="13">
        <v>42831.20853009259</v>
      </c>
      <c r="G21" s="7">
        <v>1</v>
      </c>
      <c r="H21" s="21" t="s">
        <v>410</v>
      </c>
      <c r="I21" s="13">
        <v>42831.232812499999</v>
      </c>
      <c r="J21" s="7">
        <v>0</v>
      </c>
      <c r="K21" s="97" t="str">
        <f t="shared" si="0"/>
        <v>4003/4004</v>
      </c>
      <c r="L21" s="21" t="str">
        <f>VLOOKUP(A21,'Trips&amp;Operators'!$C$1:$G$99999,5,FALSE)</f>
        <v>YORK EDGAR</v>
      </c>
      <c r="M21" s="6">
        <f t="shared" si="1"/>
        <v>2.4282407408463769E-2</v>
      </c>
      <c r="N21" s="7">
        <f t="shared" si="22"/>
        <v>34.966666668187827</v>
      </c>
      <c r="O21" s="7"/>
      <c r="P21" s="7"/>
      <c r="Q21" s="22"/>
      <c r="R21" s="22"/>
      <c r="S21" s="31">
        <f t="shared" si="2"/>
        <v>1</v>
      </c>
      <c r="T21" s="46" t="str">
        <f t="shared" si="3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4"/>
        <v>https://d0f6bd738d7f1b3e5a7ca70fe4ff75f0.us-east-1.aws.found.io/app/kibana#/discover/Steve-Slow-Train-Analysis-(2080s-and-2083s)?_g=(refreshInterval:(display:Off,pause:!f,section:0,value:0),time:(from:'2017-04-06T03:48:15-0600',mode:absolute,to:'2017-04-06T06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" s="183" t="str">
        <f t="shared" si="5"/>
        <v>N</v>
      </c>
      <c r="X21" s="183">
        <f t="shared" si="6"/>
        <v>1</v>
      </c>
      <c r="Y21" s="62">
        <f t="shared" si="7"/>
        <v>3.1300000000000001E-2</v>
      </c>
      <c r="Z21" s="62">
        <f t="shared" si="8"/>
        <v>23.329899999999999</v>
      </c>
      <c r="AA21" s="62">
        <f t="shared" si="9"/>
        <v>23.298599999999997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0"/>
        <v>0111-06</v>
      </c>
      <c r="AE21" s="85" t="str">
        <f t="shared" si="11"/>
        <v>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 &amp; aws s3 cp s3://rtdc.mdm.uploadarchive.raw/RTDC4004/ "%USERPROFILE%\AppData\Local\Temp\OnboardLogs"\RTDC4004\2017-04-07 --exclude "*" --recursive --include "*20170407*" &amp; "%USERPROFILE%\Documents\GitHub\mrs-test-scripts\Headless Mode &amp; Sideloading\WalkAndUnGZ.bat" "%USERPROFILE%\AppData\Local\Temp\OnboardLogs"\RTDC4004\2017-04-07</v>
      </c>
      <c r="AF21" s="82" t="str">
        <f t="shared" si="12"/>
        <v>"C:\Program Files (x86)\AstroGrep\AstroGrep.exe" /e /r /s /spath="%USERPROFILE%\AppData\Local\Temp\OnboardLogs" /stypes="app*4004*20170406*" /stext=" 11:.+((SYSTEM_STATE.+slice.+state.+changed )|(ment ac)|(multiple cpu faults)|(system.+state.+changed )|(\[timeout)|(PRM\|1\|D)|(kpr)|(kdp)|(\|lc)|(penalty))"</v>
      </c>
      <c r="AG21" s="1" t="str">
        <f t="shared" si="13"/>
        <v>EC</v>
      </c>
      <c r="AH21" s="86" t="str">
        <f t="shared" si="18"/>
        <v>"%USERPROFILE%\Documents\GitHub\eaglep3\Utilities\RefineRTDCRunTimes.py" --tripid 111-06 --locoid 4004 --swversion DE.1.0.9.0 --startMP 204:313 --initTime 2017-04-06T04:48:15 --startdatetime 2017-04-06T05:00:17 --delay 1 --endMP 204:233299 --enddatetime 2017-04-06T05:35:15 --enforcementcount 0 &gt;&gt;C:\Users\stu\Documents\GitHub\eaglep3-reporting\EC\2017-04-06-refined-times.txt</v>
      </c>
      <c r="AI21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{"issue":{"subject":"","project_id":79,"tracker_id":40,"status_id":1,"priority_id":2,"assigned_to_id":23,"start_date":"2017-04-06","description":"","custom_fields":[{"id":1,"name":"Subdivision","value":"EC"},{"id":4,"name":"Milepost","value":"23.3299"},{"id":17,"name":"Train ID","value":"111-06"},{"id":16,"name":"Locomotive ID","value":"4004"},{"id":130,"name":"Impact","value":""},{"id":150,"name":"Time of Event (Mountain Time)","value":"05:35:15"},{"id":151,"name":"Denver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0"/>
        <v>start /low /b %USERPROFILE%\Documents\GitHub\eaglep3\Utilities\DownloadLogsFromS3.py --loco 4004 --day 2017-04-06</v>
      </c>
      <c r="AN21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11:35:15"},{"id":29,"name":"Sharepoint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681</v>
      </c>
      <c r="B22" s="7">
        <v>4003</v>
      </c>
      <c r="C22" s="21" t="s">
        <v>216</v>
      </c>
      <c r="D22" s="21" t="s">
        <v>467</v>
      </c>
      <c r="E22" s="13">
        <v>42831.241631944446</v>
      </c>
      <c r="F22" s="13">
        <v>42831.247662037036</v>
      </c>
      <c r="G22" s="7">
        <v>1</v>
      </c>
      <c r="H22" s="21" t="s">
        <v>184</v>
      </c>
      <c r="I22" s="13">
        <v>42831.27412037037</v>
      </c>
      <c r="J22" s="7">
        <v>0</v>
      </c>
      <c r="K22" s="97" t="str">
        <f t="shared" si="0"/>
        <v>4003/4004</v>
      </c>
      <c r="L22" s="21" t="str">
        <f>VLOOKUP(A22,'Trips&amp;Operators'!$C$1:$G$99999,5,FALSE)</f>
        <v>YORK EDGAR</v>
      </c>
      <c r="M22" s="6">
        <f t="shared" si="1"/>
        <v>2.6458333333721384E-2</v>
      </c>
      <c r="N22" s="7">
        <f t="shared" si="22"/>
        <v>38.100000000558794</v>
      </c>
      <c r="O22" s="7"/>
      <c r="P22" s="7"/>
      <c r="Q22" s="22"/>
      <c r="R22" s="22"/>
      <c r="S22" s="31">
        <f t="shared" si="2"/>
        <v>1</v>
      </c>
      <c r="T22" s="46" t="str">
        <f t="shared" si="3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4"/>
        <v>https://d0f6bd738d7f1b3e5a7ca70fe4ff75f0.us-east-1.aws.found.io/app/kibana#/discover/Steve-Slow-Train-Analysis-(2080s-and-2083s)?_g=(refreshInterval:(display:Off,pause:!f,section:0,value:0),time:(from:'2017-04-06T04:47:57-0600',mode:absolute,to:'2017-04-06T07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" s="183" t="str">
        <f t="shared" si="5"/>
        <v>N</v>
      </c>
      <c r="X22" s="183">
        <f t="shared" si="6"/>
        <v>1</v>
      </c>
      <c r="Y22" s="62">
        <f t="shared" si="7"/>
        <v>23.2971</v>
      </c>
      <c r="Z22" s="62">
        <f t="shared" si="8"/>
        <v>1.49E-2</v>
      </c>
      <c r="AA22" s="62">
        <f t="shared" si="9"/>
        <v>23.2822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0"/>
        <v>0112-06</v>
      </c>
      <c r="AE22" s="85" t="str">
        <f t="shared" si="11"/>
        <v>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 &amp; aws s3 cp s3://rtdc.mdm.uploadarchive.raw/RTDC4003/ "%USERPROFILE%\AppData\Local\Temp\OnboardLogs"\RTDC4003\2017-04-07 --exclude "*" --recursive --include "*20170407*" &amp; "%USERPROFILE%\Documents\GitHub\mrs-test-scripts\Headless Mode &amp; Sideloading\WalkAndUnGZ.bat" "%USERPROFILE%\AppData\Local\Temp\OnboardLogs"\RTDC4003\2017-04-07</v>
      </c>
      <c r="AF22" s="82" t="str">
        <f t="shared" si="12"/>
        <v>"C:\Program Files (x86)\AstroGrep\AstroGrep.exe" /e /r /s /spath="%USERPROFILE%\AppData\Local\Temp\OnboardLogs" /stypes="app*4003*20170406*" /stext=" 12:.+((SYSTEM_STATE.+slice.+state.+changed )|(ment ac)|(multiple cpu faults)|(system.+state.+changed )|(\[timeout)|(PRM\|1\|D)|(kpr)|(kdp)|(\|lc)|(penalty))"</v>
      </c>
      <c r="AG22" s="1" t="str">
        <f t="shared" si="13"/>
        <v>EC</v>
      </c>
      <c r="AH22" s="86" t="str">
        <f t="shared" si="18"/>
        <v>"%USERPROFILE%\Documents\GitHub\eaglep3\Utilities\RefineRTDCRunTimes.py" --tripid 112-06 --locoid 4003 --swversion DE.1.0.9.0 --startMP 204:232971 --initTime 2017-04-06T05:47:57 --startdatetime 2017-04-06T05:56:38 --delay 1 --endMP 204:149 --enddatetime 2017-04-06T06:34:44 --enforcementcount 0 &gt;&gt;C:\Users\stu\Documents\GitHub\eaglep3-reporting\EC\2017-04-06-refined-times.txt</v>
      </c>
      <c r="AI22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{"issue":{"subject":"","project_id":79,"tracker_id":40,"status_id":1,"priority_id":2,"assigned_to_id":23,"start_date":"2017-04-06","description":"","custom_fields":[{"id":1,"name":"Subdivision","value":"EC"},{"id":4,"name":"Milepost","value":"0.0149"},{"id":17,"name":"Train ID","value":"112-06"},{"id":16,"name":"Locomotive ID","value":"4003"},{"id":130,"name":"Impact","value":""},{"id":150,"name":"Time of Event (Mountain Time)","value":"06:34:44"},{"id":151,"name":"Denver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0"/>
        <v>start /low /b %USERPROFILE%\Documents\GitHub\eaglep3\Utilities\DownloadLogsFromS3.py --loco 4003 --day 2017-04-06</v>
      </c>
      <c r="AN22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12:34:44"},{"id":29,"name":"Sharepoint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672</v>
      </c>
      <c r="B23" s="7">
        <v>4006</v>
      </c>
      <c r="C23" s="21" t="s">
        <v>216</v>
      </c>
      <c r="D23" s="21" t="s">
        <v>598</v>
      </c>
      <c r="E23" s="13">
        <v>42831.20952546296</v>
      </c>
      <c r="F23" s="13">
        <v>42831.218923611108</v>
      </c>
      <c r="G23" s="7">
        <v>2</v>
      </c>
      <c r="H23" s="21" t="s">
        <v>590</v>
      </c>
      <c r="I23" s="13">
        <v>42831.246377314812</v>
      </c>
      <c r="J23" s="7">
        <v>0</v>
      </c>
      <c r="K23" s="97" t="str">
        <f t="shared" si="0"/>
        <v>4005/4006</v>
      </c>
      <c r="L23" s="21" t="str">
        <f>VLOOKUP(A23,'Trips&amp;Operators'!$C$1:$G$99999,5,FALSE)</f>
        <v>BADERTSCHER DIANE</v>
      </c>
      <c r="M23" s="6">
        <f t="shared" si="1"/>
        <v>2.7453703703940846E-2</v>
      </c>
      <c r="N23" s="7">
        <f t="shared" si="22"/>
        <v>39.533333333674818</v>
      </c>
      <c r="O23" s="7"/>
      <c r="P23" s="7"/>
      <c r="Q23" s="22"/>
      <c r="R23" s="22"/>
      <c r="S23" s="31">
        <f t="shared" si="2"/>
        <v>1</v>
      </c>
      <c r="T23" s="46" t="str">
        <f t="shared" si="3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4"/>
        <v>https://d0f6bd738d7f1b3e5a7ca70fe4ff75f0.us-east-1.aws.found.io/app/kibana#/discover/Steve-Slow-Train-Analysis-(2080s-and-2083s)?_g=(refreshInterval:(display:Off,pause:!f,section:0,value:0),time:(from:'2017-04-06T04:01:43-0600',mode:absolute,to:'2017-04-06T06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" s="183" t="str">
        <f t="shared" si="5"/>
        <v>N</v>
      </c>
      <c r="X23" s="183">
        <f t="shared" si="6"/>
        <v>1</v>
      </c>
      <c r="Y23" s="62">
        <f t="shared" si="7"/>
        <v>4.6399999999999997E-2</v>
      </c>
      <c r="Z23" s="62">
        <f t="shared" si="8"/>
        <v>23.327000000000002</v>
      </c>
      <c r="AA23" s="62">
        <f t="shared" si="9"/>
        <v>23.280600000000003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0"/>
        <v>0113-06</v>
      </c>
      <c r="AE23" s="85" t="str">
        <f t="shared" si="11"/>
        <v>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 &amp; aws s3 cp s3://rtdc.mdm.uploadarchive.raw/RTDC4006/ "%USERPROFILE%\AppData\Local\Temp\OnboardLogs"\RTDC4006\2017-04-07 --exclude "*" --recursive --include "*20170407*" &amp; "%USERPROFILE%\Documents\GitHub\mrs-test-scripts\Headless Mode &amp; Sideloading\WalkAndUnGZ.bat" "%USERPROFILE%\AppData\Local\Temp\OnboardLogs"\RTDC4006\2017-04-07</v>
      </c>
      <c r="AF23" s="82" t="str">
        <f t="shared" si="12"/>
        <v>"C:\Program Files (x86)\AstroGrep\AstroGrep.exe" /e /r /s /spath="%USERPROFILE%\AppData\Local\Temp\OnboardLogs" /stypes="app*4006*20170406*" /stext=" 11:.+((SYSTEM_STATE.+slice.+state.+changed )|(ment ac)|(multiple cpu faults)|(system.+state.+changed )|(\[timeout)|(PRM\|1\|D)|(kpr)|(kdp)|(\|lc)|(penalty))"</v>
      </c>
      <c r="AG23" s="1" t="str">
        <f t="shared" si="13"/>
        <v>EC</v>
      </c>
      <c r="AH23" s="86" t="str">
        <f t="shared" si="18"/>
        <v>"%USERPROFILE%\Documents\GitHub\eaglep3\Utilities\RefineRTDCRunTimes.py" --tripid 113-06 --locoid 4006 --swversion DE.1.0.9.0 --startMP 204:464 --initTime 2017-04-06T05:01:43 --startdatetime 2017-04-06T05:15:15 --delay 2 --endMP 204:233270 --enddatetime 2017-04-06T05:54:47 --enforcementcount 0 &gt;&gt;C:\Users\stu\Documents\GitHub\eaglep3-reporting\EC\2017-04-06-refined-times.txt</v>
      </c>
      <c r="AI23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{"issue":{"subject":"","project_id":79,"tracker_id":40,"status_id":1,"priority_id":2,"assigned_to_id":23,"start_date":"2017-04-06","description":"","custom_fields":[{"id":1,"name":"Subdivision","value":"EC"},{"id":4,"name":"Milepost","value":"23.327"},{"id":17,"name":"Train ID","value":"113-06"},{"id":16,"name":"Locomotive ID","value":"4006"},{"id":130,"name":"Impact","value":""},{"id":150,"name":"Time of Event (Mountain Time)","value":"05:54:47"},{"id":151,"name":"Denver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0"/>
        <v>start /low /b %USERPROFILE%\Documents\GitHub\eaglep3\Utilities\DownloadLogsFromS3.py --loco 4006 --day 2017-04-06</v>
      </c>
      <c r="AN23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11:54:47"},{"id":29,"name":"Sharepoint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683</v>
      </c>
      <c r="B24" s="7">
        <v>4005</v>
      </c>
      <c r="C24" s="21" t="s">
        <v>216</v>
      </c>
      <c r="D24" s="21" t="s">
        <v>864</v>
      </c>
      <c r="E24" s="13">
        <v>42831.253807870373</v>
      </c>
      <c r="F24" s="13">
        <v>42831.257916666669</v>
      </c>
      <c r="G24" s="7">
        <v>1</v>
      </c>
      <c r="H24" s="21" t="s">
        <v>204</v>
      </c>
      <c r="I24" s="13">
        <v>42831.287997685184</v>
      </c>
      <c r="J24" s="7">
        <v>0</v>
      </c>
      <c r="K24" s="97" t="str">
        <f t="shared" si="0"/>
        <v>4005/4006</v>
      </c>
      <c r="L24" s="21" t="str">
        <f>VLOOKUP(A24,'Trips&amp;Operators'!$C$1:$G$99999,5,FALSE)</f>
        <v>BADERTSCHER DIANE</v>
      </c>
      <c r="M24" s="6">
        <f t="shared" si="1"/>
        <v>3.0081018514465541E-2</v>
      </c>
      <c r="N24" s="7">
        <f t="shared" si="22"/>
        <v>43.316666660830379</v>
      </c>
      <c r="O24" s="7"/>
      <c r="P24" s="7"/>
      <c r="Q24" s="22"/>
      <c r="R24" s="22"/>
      <c r="S24" s="31">
        <f t="shared" si="2"/>
        <v>1</v>
      </c>
      <c r="T24" s="46" t="str">
        <f t="shared" si="3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4"/>
        <v>https://d0f6bd738d7f1b3e5a7ca70fe4ff75f0.us-east-1.aws.found.io/app/kibana#/discover/Steve-Slow-Train-Analysis-(2080s-and-2083s)?_g=(refreshInterval:(display:Off,pause:!f,section:0,value:0),time:(from:'2017-04-06T05:05:29-0600',mode:absolute,to:'2017-04-06T07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4" s="183" t="str">
        <f t="shared" si="5"/>
        <v>N</v>
      </c>
      <c r="X24" s="183">
        <f t="shared" si="6"/>
        <v>1</v>
      </c>
      <c r="Y24" s="62">
        <f t="shared" si="7"/>
        <v>23.295100000000001</v>
      </c>
      <c r="Z24" s="62">
        <f t="shared" si="8"/>
        <v>1.54E-2</v>
      </c>
      <c r="AA24" s="62">
        <f t="shared" si="9"/>
        <v>23.279700000000002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0"/>
        <v>0114-06</v>
      </c>
      <c r="AE24" s="85" t="str">
        <f t="shared" si="11"/>
        <v>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 &amp; aws s3 cp s3://rtdc.mdm.uploadarchive.raw/RTDC4005/ "%USERPROFILE%\AppData\Local\Temp\OnboardLogs"\RTDC4005\2017-04-07 --exclude "*" --recursive --include "*20170407*" &amp; "%USERPROFILE%\Documents\GitHub\mrs-test-scripts\Headless Mode &amp; Sideloading\WalkAndUnGZ.bat" "%USERPROFILE%\AppData\Local\Temp\OnboardLogs"\RTDC4005\2017-04-07</v>
      </c>
      <c r="AF24" s="82" t="str">
        <f t="shared" si="12"/>
        <v>"C:\Program Files (x86)\AstroGrep\AstroGrep.exe" /e /r /s /spath="%USERPROFILE%\AppData\Local\Temp\OnboardLogs" /stypes="app*4005*20170406*" /stext=" 12:.+((SYSTEM_STATE.+slice.+state.+changed )|(ment ac)|(multiple cpu faults)|(system.+state.+changed )|(\[timeout)|(PRM\|1\|D)|(kpr)|(kdp)|(\|lc)|(penalty))"</v>
      </c>
      <c r="AG24" s="1" t="str">
        <f t="shared" si="13"/>
        <v>EC</v>
      </c>
      <c r="AH24" s="86" t="str">
        <f t="shared" si="18"/>
        <v>"%USERPROFILE%\Documents\GitHub\eaglep3\Utilities\RefineRTDCRunTimes.py" --tripid 114-06 --locoid 4005 --swversion DE.1.0.9.0 --startMP 204:232951 --initTime 2017-04-06T06:05:29 --startdatetime 2017-04-06T06:11:24 --delay 1 --endMP 204:154 --enddatetime 2017-04-06T06:54:43 --enforcementcount 0 &gt;&gt;C:\Users\stu\Documents\GitHub\eaglep3-reporting\EC\2017-04-06-refined-times.txt</v>
      </c>
      <c r="AI24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{"issue":{"subject":"","project_id":79,"tracker_id":40,"status_id":1,"priority_id":2,"assigned_to_id":23,"start_date":"2017-04-06","description":"","custom_fields":[{"id":1,"name":"Subdivision","value":"EC"},{"id":4,"name":"Milepost","value":"0.0154"},{"id":17,"name":"Train ID","value":"114-06"},{"id":16,"name":"Locomotive ID","value":"4005"},{"id":130,"name":"Impact","value":""},{"id":150,"name":"Time of Event (Mountain Time)","value":"06:54:43"},{"id":151,"name":"Denver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0"/>
        <v>start /low /b %USERPROFILE%\Documents\GitHub\eaglep3\Utilities\DownloadLogsFromS3.py --loco 4005 --day 2017-04-06</v>
      </c>
      <c r="AN24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12:54:43"},{"id":29,"name":"Sharepoint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623</v>
      </c>
      <c r="B25" s="7">
        <v>4016</v>
      </c>
      <c r="C25" s="21" t="s">
        <v>216</v>
      </c>
      <c r="D25" s="21" t="s">
        <v>522</v>
      </c>
      <c r="E25" s="13">
        <v>42831.226979166669</v>
      </c>
      <c r="F25" s="13">
        <v>42831.229351851849</v>
      </c>
      <c r="G25" s="7">
        <v>1</v>
      </c>
      <c r="H25" s="21" t="s">
        <v>865</v>
      </c>
      <c r="I25" s="13">
        <v>42831.241875</v>
      </c>
      <c r="J25" s="7">
        <v>2</v>
      </c>
      <c r="K25" s="97" t="str">
        <f t="shared" si="0"/>
        <v>4015/4016</v>
      </c>
      <c r="L25" s="21" t="str">
        <f>VLOOKUP(A25,'Trips&amp;Operators'!$C$1:$G$99999,5,FALSE)</f>
        <v>STARKS ANGELINA</v>
      </c>
      <c r="M25" s="6">
        <f t="shared" si="1"/>
        <v>1.2523148150648922E-2</v>
      </c>
      <c r="N25" s="7"/>
      <c r="O25" s="7"/>
      <c r="P25" s="7">
        <f>24*60*SUM($M25:$M26)</f>
        <v>37.083333337213844</v>
      </c>
      <c r="Q25" s="22"/>
      <c r="R25" s="22" t="s">
        <v>1040</v>
      </c>
      <c r="S25" s="31">
        <f>SUM(U25:U26)/IF(AG25="EC",12,1)</f>
        <v>0.91666666666666663</v>
      </c>
      <c r="T25" s="46" t="str">
        <f t="shared" si="3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9</v>
      </c>
      <c r="V25" s="182" t="str">
        <f t="shared" si="4"/>
        <v>https://d0f6bd738d7f1b3e5a7ca70fe4ff75f0.us-east-1.aws.found.io/app/kibana#/discover/Steve-Slow-Train-Analysis-(2080s-and-2083s)?_g=(refreshInterval:(display:Off,pause:!f,section:0,value:0),time:(from:'2017-04-06T04:26:51-0600',mode:absolute,to:'2017-04-06T06:48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5" s="183" t="str">
        <f t="shared" si="5"/>
        <v>Y</v>
      </c>
      <c r="X25" s="183">
        <f t="shared" si="6"/>
        <v>1</v>
      </c>
      <c r="Y25" s="62">
        <f t="shared" si="7"/>
        <v>7.5700000000000003E-2</v>
      </c>
      <c r="Z25" s="62">
        <v>6.72</v>
      </c>
      <c r="AA25" s="62">
        <f t="shared" si="9"/>
        <v>6.6442999999999994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0"/>
        <v>0115-06</v>
      </c>
      <c r="AE25" s="85" t="str">
        <f t="shared" si="11"/>
        <v>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 &amp; 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</v>
      </c>
      <c r="AF25" s="82" t="str">
        <f t="shared" si="12"/>
        <v>"C:\Program Files (x86)\AstroGrep\AstroGrep.exe" /e /r /s /spath="%USERPROFILE%\AppData\Local\Temp\OnboardLogs" /stypes="app*4016*20170406*" /stext=" 11:.+((SYSTEM_STATE.+slice.+state.+changed )|(ment ac)|(multiple cpu faults)|(system.+state.+changed )|(\[timeout)|(PRM\|1\|D)|(kpr)|(kdp)|(\|lc)|(penalty))"</v>
      </c>
      <c r="AG25" s="1" t="str">
        <f t="shared" si="13"/>
        <v>EC</v>
      </c>
      <c r="AH25" s="86" t="str">
        <f t="shared" si="18"/>
        <v>"%USERPROFILE%\Documents\GitHub\eaglep3\Utilities\RefineRTDCRunTimes.py" --tripid 115-06 --locoid 4016 --swversion DE.1.0.9.0 --startMP 204:757 --initTime 2017-04-06T05:26:51 --startdatetime 2017-04-06T05:30:16 --delay 1 --endMP 204:233359 --enddatetime 2017-04-06T05:48:18 --enforcementcount 2 &gt;&gt;C:\Users\stu\Documents\GitHub\eaglep3-reporting\EC\2017-04-06-refined-times.txt</v>
      </c>
      <c r="AI25" s="104" t="str">
        <f t="shared" si="19"/>
        <v>echo {"issue":{"subject":"Wi-MAX data drop (once at 05:44, again at 06:12)","project_id":79,"tracker_id":40,"status_id":1,"priority_id":2,"assigned_to_id":23,"start_date":"2017-04-06","description":"","custom_fields":[{"id":1,"name":"Subdivision","value":"EC"},{"id":4,"name":"Milepost","value":"6.72"},{"id":17,"name":"Train ID","value":"115-06"},{"id":16,"name":"Locomotive ID","value":"4016"},{"id":130,"name":"Impact","value":""},{"id":150,"name":"Time of Event (Mountain Time)","value":"05:48:18"},{"id":151,"name":"Denver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0"/>
        <v>start /low /b %USERPROFILE%\Documents\GitHub\eaglep3\Utilities\DownloadLogsFromS3.py --loco 4016 --day 2017-04-06</v>
      </c>
      <c r="AN25" s="159" t="str">
        <f t="shared" si="21"/>
        <v>echo {"issue":{"subject":"Wi-MAX data drop (once at 05:44, again at 06:12)","project_id":30,"tracker_id":4,"status_id":1,"priority_id":1,"assigned_to_id":10,"start_date":"2017-04-06","description":"","custom_fields":[{"id":30,"name":"Category","value":"Issue"},{"id":3,"name":"Functional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11:48:18"},{"id":29,"name":"Sharepoint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623</v>
      </c>
      <c r="B26" s="7">
        <v>4016</v>
      </c>
      <c r="C26" s="21" t="s">
        <v>216</v>
      </c>
      <c r="D26" s="21" t="s">
        <v>866</v>
      </c>
      <c r="E26" s="13">
        <v>42831.244791666664</v>
      </c>
      <c r="F26" s="13">
        <v>42831.245613425926</v>
      </c>
      <c r="G26" s="7">
        <v>0</v>
      </c>
      <c r="H26" s="21" t="s">
        <v>865</v>
      </c>
      <c r="I26" s="13">
        <v>42831.258842592593</v>
      </c>
      <c r="J26" s="7">
        <v>2</v>
      </c>
      <c r="K26" s="97" t="str">
        <f t="shared" si="0"/>
        <v>4015/4016</v>
      </c>
      <c r="L26" s="21" t="str">
        <f>VLOOKUP(A26,'Trips&amp;Operators'!$C$1:$G$99999,5,FALSE)</f>
        <v>STARKS ANGELINA</v>
      </c>
      <c r="M26" s="6">
        <f t="shared" si="1"/>
        <v>1.3229166666860692E-2</v>
      </c>
      <c r="N26" s="7"/>
      <c r="O26" s="7"/>
      <c r="P26" s="7"/>
      <c r="Q26" s="22"/>
      <c r="R26" s="22"/>
      <c r="S26" s="31"/>
      <c r="T26" s="46" t="str">
        <f t="shared" si="3"/>
        <v>NorthBound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2</v>
      </c>
      <c r="V26" s="182" t="str">
        <f t="shared" si="4"/>
        <v>https://d0f6bd738d7f1b3e5a7ca70fe4ff75f0.us-east-1.aws.found.io/app/kibana#/discover/Steve-Slow-Train-Analysis-(2080s-and-2083s)?_g=(refreshInterval:(display:Off,pause:!f,section:0,value:0),time:(from:'2017-04-06T04:52:30-0600',mode:absolute,to:'2017-04-06T07:12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6" s="183" t="str">
        <f t="shared" si="5"/>
        <v>Y</v>
      </c>
      <c r="X26" s="183">
        <f t="shared" si="6"/>
        <v>0</v>
      </c>
      <c r="Y26" s="62">
        <f t="shared" si="7"/>
        <v>8.6374999999999993</v>
      </c>
      <c r="Z26" s="62">
        <v>17.5062</v>
      </c>
      <c r="AA26" s="62">
        <f t="shared" si="9"/>
        <v>8.8687000000000005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0"/>
        <v>0115-06</v>
      </c>
      <c r="AE26" s="85" t="str">
        <f t="shared" si="11"/>
        <v>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 &amp; 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</v>
      </c>
      <c r="AF26" s="82" t="str">
        <f t="shared" si="12"/>
        <v>"C:\Program Files (x86)\AstroGrep\AstroGrep.exe" /e /r /s /spath="%USERPROFILE%\AppData\Local\Temp\OnboardLogs" /stypes="app*4016*20170406*" /stext=" 12:.+((SYSTEM_STATE.+slice.+state.+changed )|(ment ac)|(multiple cpu faults)|(system.+state.+changed )|(\[timeout)|(PRM\|1\|D)|(kpr)|(kdp)|(\|lc)|(penalty))"</v>
      </c>
      <c r="AG26" s="1" t="str">
        <f t="shared" si="13"/>
        <v>EC</v>
      </c>
      <c r="AH26" s="86" t="str">
        <f t="shared" si="18"/>
        <v>"%USERPROFILE%\Documents\GitHub\eaglep3\Utilities\RefineRTDCRunTimes.py" --tripid 115-06 --locoid 4016 --swversion DE.1.0.9.0 --startMP 204:86375 --initTime 2017-04-06T05:52:30 --startdatetime 2017-04-06T05:53:41 --delay 0 --endMP 204:233359 --enddatetime 2017-04-06T06:12:44 --enforcementcount 2 &gt;&gt;C:\Users\stu\Documents\GitHub\eaglep3-reporting\EC\2017-04-06-refined-times.txt</v>
      </c>
      <c r="AI26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{"issue":{"subject":"","project_id":79,"tracker_id":40,"status_id":1,"priority_id":2,"assigned_to_id":23,"start_date":"2017-04-06","description":"","custom_fields":[{"id":1,"name":"Subdivision","value":"EC"},{"id":4,"name":"Milepost","value":"17.5062"},{"id":17,"name":"Train ID","value":"115-06"},{"id":16,"name":"Locomotive ID","value":"4016"},{"id":130,"name":"Impact","value":""},{"id":150,"name":"Time of Event (Mountain Time)","value":"06:12:44"},{"id":151,"name":"Denver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0"/>
        <v>start /low /b %USERPROFILE%\Documents\GitHub\eaglep3\Utilities\DownloadLogsFromS3.py --loco 4016 --day 2017-04-06</v>
      </c>
      <c r="AN26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12:12:44"},{"id":29,"name":"Sharepoint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688</v>
      </c>
      <c r="B27" s="7">
        <v>4015</v>
      </c>
      <c r="C27" s="21" t="s">
        <v>216</v>
      </c>
      <c r="D27" s="21" t="s">
        <v>594</v>
      </c>
      <c r="E27" s="13">
        <v>42831.267418981479</v>
      </c>
      <c r="F27" s="13">
        <v>42831.268634259257</v>
      </c>
      <c r="G27" s="7">
        <v>1</v>
      </c>
      <c r="H27" s="21" t="s">
        <v>867</v>
      </c>
      <c r="I27" s="13">
        <v>42831.297268518516</v>
      </c>
      <c r="J27" s="7">
        <v>0</v>
      </c>
      <c r="K27" s="97" t="str">
        <f t="shared" si="0"/>
        <v>4015/4016</v>
      </c>
      <c r="L27" s="21" t="str">
        <f>VLOOKUP(A27,'Trips&amp;Operators'!$C$1:$G$99999,5,FALSE)</f>
        <v>STARKS ANGELINA</v>
      </c>
      <c r="M27" s="6">
        <f t="shared" si="1"/>
        <v>2.8634259258979E-2</v>
      </c>
      <c r="N27" s="7">
        <f t="shared" ref="N27:N58" si="23">24*60*SUM($M27:$M27)</f>
        <v>41.23333333292976</v>
      </c>
      <c r="O27" s="7"/>
      <c r="P27" s="7"/>
      <c r="Q27" s="22"/>
      <c r="R27" s="22"/>
      <c r="S27" s="31">
        <f t="shared" ref="S27:S90" si="24">SUM(U27:U27)/IF(AG27="EC",12,1)</f>
        <v>1</v>
      </c>
      <c r="T27" s="46" t="str">
        <f t="shared" si="3"/>
        <v>Southbound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4"/>
        <v>https://d0f6bd738d7f1b3e5a7ca70fe4ff75f0.us-east-1.aws.found.io/app/kibana#/discover/Steve-Slow-Train-Analysis-(2080s-and-2083s)?_g=(refreshInterval:(display:Off,pause:!f,section:0,value:0),time:(from:'2017-04-06T05:25:05-0600',mode:absolute,to:'2017-04-06T08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7" s="183" t="str">
        <f t="shared" si="5"/>
        <v>N</v>
      </c>
      <c r="X27" s="183">
        <f t="shared" si="6"/>
        <v>1</v>
      </c>
      <c r="Y27" s="62">
        <f t="shared" si="7"/>
        <v>23.296099999999999</v>
      </c>
      <c r="Z27" s="62">
        <f t="shared" ref="Z27:Z90" si="25">RIGHT(H27,LEN(H27)-4)/10000</f>
        <v>0.1782</v>
      </c>
      <c r="AA27" s="62">
        <f t="shared" si="9"/>
        <v>23.117899999999999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0"/>
        <v>0116-06</v>
      </c>
      <c r="AE27" s="85" t="str">
        <f t="shared" si="11"/>
        <v>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 &amp; 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</v>
      </c>
      <c r="AF27" s="82" t="str">
        <f t="shared" si="12"/>
        <v>"C:\Program Files (x86)\AstroGrep\AstroGrep.exe" /e /r /s /spath="%USERPROFILE%\AppData\Local\Temp\OnboardLogs" /stypes="app*4015*20170406*" /stext=" 13:.+((SYSTEM_STATE.+slice.+state.+changed )|(ment ac)|(multiple cpu faults)|(system.+state.+changed )|(\[timeout)|(PRM\|1\|D)|(kpr)|(kdp)|(\|lc)|(penalty))"</v>
      </c>
      <c r="AG27" s="1" t="str">
        <f t="shared" si="13"/>
        <v>EC</v>
      </c>
      <c r="AH27" s="86" t="str">
        <f t="shared" si="18"/>
        <v>"%USERPROFILE%\Documents\GitHub\eaglep3\Utilities\RefineRTDCRunTimes.py" --tripid 116-06 --locoid 4015 --swversion DE.1.0.9.0 --startMP 204:232961 --initTime 2017-04-06T06:25:05 --startdatetime 2017-04-06T06:26:50 --delay 1 --endMP 204:1782 --enddatetime 2017-04-06T07:08:04 --enforcementcount 0 &gt;&gt;C:\Users\stu\Documents\GitHub\eaglep3-reporting\EC\2017-04-06-refined-times.txt</v>
      </c>
      <c r="AI27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{"issue":{"subject":"","project_id":79,"tracker_id":40,"status_id":1,"priority_id":2,"assigned_to_id":23,"start_date":"2017-04-06","description":"","custom_fields":[{"id":1,"name":"Subdivision","value":"EC"},{"id":4,"name":"Milepost","value":"0.1782"},{"id":17,"name":"Train ID","value":"116-06"},{"id":16,"name":"Locomotive ID","value":"4015"},{"id":130,"name":"Impact","value":""},{"id":150,"name":"Time of Event (Mountain Time)","value":"07:08:04"},{"id":151,"name":"Denver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0"/>
        <v>start /low /b %USERPROFILE%\Documents\GitHub\eaglep3\Utilities\DownloadLogsFromS3.py --loco 4015 --day 2017-04-06</v>
      </c>
      <c r="AN27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13:08:04"},{"id":29,"name":"Sharepoint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675</v>
      </c>
      <c r="B28" s="7">
        <v>4010</v>
      </c>
      <c r="C28" s="21" t="s">
        <v>216</v>
      </c>
      <c r="D28" s="21" t="s">
        <v>396</v>
      </c>
      <c r="E28" s="13">
        <v>42831.230914351851</v>
      </c>
      <c r="F28" s="13">
        <v>42831.239907407406</v>
      </c>
      <c r="G28" s="7">
        <v>0</v>
      </c>
      <c r="H28" s="21" t="s">
        <v>868</v>
      </c>
      <c r="I28" s="13">
        <v>42831.267002314817</v>
      </c>
      <c r="J28" s="7">
        <v>0</v>
      </c>
      <c r="K28" s="97" t="str">
        <f t="shared" si="0"/>
        <v>4009/4010</v>
      </c>
      <c r="L28" s="21" t="str">
        <f>VLOOKUP(A28,'Trips&amp;Operators'!$C$1:$G$99999,5,FALSE)</f>
        <v>FORTUNATO FRANK</v>
      </c>
      <c r="M28" s="6">
        <f t="shared" si="1"/>
        <v>2.7094907411083113E-2</v>
      </c>
      <c r="N28" s="7">
        <f t="shared" si="23"/>
        <v>39.016666671959683</v>
      </c>
      <c r="O28" s="7"/>
      <c r="P28" s="7"/>
      <c r="Q28" s="22"/>
      <c r="R28" s="22"/>
      <c r="S28" s="31">
        <f t="shared" si="24"/>
        <v>1</v>
      </c>
      <c r="T28" s="46" t="str">
        <f t="shared" si="3"/>
        <v>NorthBound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4"/>
        <v>https://d0f6bd738d7f1b3e5a7ca70fe4ff75f0.us-east-1.aws.found.io/app/kibana#/discover/Steve-Slow-Train-Analysis-(2080s-and-2083s)?_g=(refreshInterval:(display:Off,pause:!f,section:0,value:0),time:(from:'2017-04-06T04:32:31-0600',mode:absolute,to:'2017-04-06T07:24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8" s="183" t="str">
        <f t="shared" si="5"/>
        <v>N</v>
      </c>
      <c r="X28" s="183">
        <f t="shared" si="6"/>
        <v>1</v>
      </c>
      <c r="Y28" s="62">
        <f t="shared" si="7"/>
        <v>4.4900000000000002E-2</v>
      </c>
      <c r="Z28" s="62">
        <f t="shared" si="25"/>
        <v>23.327200000000001</v>
      </c>
      <c r="AA28" s="62">
        <f t="shared" si="9"/>
        <v>23.282300000000003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0"/>
        <v>0117-06</v>
      </c>
      <c r="AE28" s="85" t="str">
        <f t="shared" si="11"/>
        <v>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 &amp; 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</v>
      </c>
      <c r="AF28" s="82" t="str">
        <f t="shared" si="12"/>
        <v>"C:\Program Files (x86)\AstroGrep\AstroGrep.exe" /e /r /s /spath="%USERPROFILE%\AppData\Local\Temp\OnboardLogs" /stypes="app*4010*20170406*" /stext=" 12:.+((SYSTEM_STATE.+slice.+state.+changed )|(ment ac)|(multiple cpu faults)|(system.+state.+changed )|(\[timeout)|(PRM\|1\|D)|(kpr)|(kdp)|(\|lc)|(penalty))"</v>
      </c>
      <c r="AG28" s="1" t="str">
        <f t="shared" si="13"/>
        <v>EC</v>
      </c>
      <c r="AH28" s="86" t="str">
        <f t="shared" si="18"/>
        <v>"%USERPROFILE%\Documents\GitHub\eaglep3\Utilities\RefineRTDCRunTimes.py" --tripid 117-06 --locoid 4010 --swversion DE.1.0.9.0 --startMP 204:449 --initTime 2017-04-06T05:32:31 --startdatetime 2017-04-06T05:45:28 --delay 0 --endMP 204:233272 --enddatetime 2017-04-06T06:24:29 --enforcementcount 0 &gt;&gt;C:\Users\stu\Documents\GitHub\eaglep3-reporting\EC\2017-04-06-refined-times.txt</v>
      </c>
      <c r="AI28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{"issue":{"subject":"","project_id":79,"tracker_id":40,"status_id":1,"priority_id":2,"assigned_to_id":23,"start_date":"2017-04-06","description":"","custom_fields":[{"id":1,"name":"Subdivision","value":"EC"},{"id":4,"name":"Milepost","value":"23.3272"},{"id":17,"name":"Train ID","value":"117-06"},{"id":16,"name":"Locomotive ID","value":"4010"},{"id":130,"name":"Impact","value":""},{"id":150,"name":"Time of Event (Mountain Time)","value":"06:24:29"},{"id":151,"name":"Denver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0"/>
        <v>start /low /b %USERPROFILE%\Documents\GitHub\eaglep3\Utilities\DownloadLogsFromS3.py --loco 4010 --day 2017-04-06</v>
      </c>
      <c r="AN28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12:24:29"},{"id":29,"name":"Sharepoint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689</v>
      </c>
      <c r="B29" s="7">
        <v>4009</v>
      </c>
      <c r="C29" s="21" t="s">
        <v>216</v>
      </c>
      <c r="D29" s="21" t="s">
        <v>423</v>
      </c>
      <c r="E29" s="13">
        <v>42831.269305555557</v>
      </c>
      <c r="F29" s="13">
        <v>42831.278715277775</v>
      </c>
      <c r="G29" s="7">
        <v>1</v>
      </c>
      <c r="H29" s="21" t="s">
        <v>199</v>
      </c>
      <c r="I29" s="13">
        <v>42831.307210648149</v>
      </c>
      <c r="J29" s="7">
        <v>0</v>
      </c>
      <c r="K29" s="97" t="str">
        <f t="shared" si="0"/>
        <v>4009/4010</v>
      </c>
      <c r="L29" s="21" t="str">
        <f>VLOOKUP(A29,'Trips&amp;Operators'!$C$1:$G$99999,5,FALSE)</f>
        <v>FORTUNATO FRANK</v>
      </c>
      <c r="M29" s="6">
        <f t="shared" si="1"/>
        <v>2.849537037400296E-2</v>
      </c>
      <c r="N29" s="7">
        <f t="shared" si="23"/>
        <v>41.033333338564262</v>
      </c>
      <c r="O29" s="7"/>
      <c r="P29" s="7"/>
      <c r="Q29" s="22"/>
      <c r="R29" s="22"/>
      <c r="S29" s="31">
        <f t="shared" si="24"/>
        <v>1</v>
      </c>
      <c r="T29" s="46" t="str">
        <f t="shared" si="3"/>
        <v>Southbound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4"/>
        <v>https://d0f6bd738d7f1b3e5a7ca70fe4ff75f0.us-east-1.aws.found.io/app/kibana#/discover/Steve-Slow-Train-Analysis-(2080s-and-2083s)?_g=(refreshInterval:(display:Off,pause:!f,section:0,value:0),time:(from:'2017-04-06T05:27:48-0600',mode:absolute,to:'2017-04-06T08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9" s="183" t="str">
        <f t="shared" si="5"/>
        <v>N</v>
      </c>
      <c r="X29" s="183">
        <f t="shared" si="6"/>
        <v>1</v>
      </c>
      <c r="Y29" s="62">
        <f t="shared" si="7"/>
        <v>23.2989</v>
      </c>
      <c r="Z29" s="62">
        <f t="shared" si="25"/>
        <v>1.5800000000000002E-2</v>
      </c>
      <c r="AA29" s="62">
        <f t="shared" si="9"/>
        <v>23.283100000000001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0"/>
        <v>0118-06</v>
      </c>
      <c r="AE29" s="85" t="str">
        <f t="shared" si="11"/>
        <v>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 &amp; 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</v>
      </c>
      <c r="AF29" s="82" t="str">
        <f t="shared" si="12"/>
        <v>"C:\Program Files (x86)\AstroGrep\AstroGrep.exe" /e /r /s /spath="%USERPROFILE%\AppData\Local\Temp\OnboardLogs" /stypes="app*4009*20170406*" /stext=" 13:.+((SYSTEM_STATE.+slice.+state.+changed )|(ment ac)|(multiple cpu faults)|(system.+state.+changed )|(\[timeout)|(PRM\|1\|D)|(kpr)|(kdp)|(\|lc)|(penalty))"</v>
      </c>
      <c r="AG29" s="1" t="str">
        <f t="shared" si="13"/>
        <v>EC</v>
      </c>
      <c r="AH29" s="86" t="str">
        <f t="shared" si="18"/>
        <v>"%USERPROFILE%\Documents\GitHub\eaglep3\Utilities\RefineRTDCRunTimes.py" --tripid 118-06 --locoid 4009 --swversion DE.1.0.9.0 --startMP 204:232989 --initTime 2017-04-06T06:27:48 --startdatetime 2017-04-06T06:41:21 --delay 1 --endMP 204:158 --enddatetime 2017-04-06T07:22:23 --enforcementcount 0 &gt;&gt;C:\Users\stu\Documents\GitHub\eaglep3-reporting\EC\2017-04-06-refined-times.txt</v>
      </c>
      <c r="AI29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{"issue":{"subject":"","project_id":79,"tracker_id":40,"status_id":1,"priority_id":2,"assigned_to_id":23,"start_date":"2017-04-06","description":"","custom_fields":[{"id":1,"name":"Subdivision","value":"EC"},{"id":4,"name":"Milepost","value":"0.0158"},{"id":17,"name":"Train ID","value":"118-06"},{"id":16,"name":"Locomotive ID","value":"4009"},{"id":130,"name":"Impact","value":""},{"id":150,"name":"Time of Event (Mountain Time)","value":"07:22:23"},{"id":151,"name":"Denver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0"/>
        <v>start /low /b %USERPROFILE%\Documents\GitHub\eaglep3\Utilities\DownloadLogsFromS3.py --loco 4009 --day 2017-04-06</v>
      </c>
      <c r="AN29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13:22:23"},{"id":29,"name":"Sharepoint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678</v>
      </c>
      <c r="B30" s="7">
        <v>4054</v>
      </c>
      <c r="C30" s="21" t="s">
        <v>216</v>
      </c>
      <c r="D30" s="21" t="s">
        <v>869</v>
      </c>
      <c r="E30" s="13">
        <v>42831.239756944444</v>
      </c>
      <c r="F30" s="13">
        <v>42831.25037037037</v>
      </c>
      <c r="G30" s="7">
        <v>2</v>
      </c>
      <c r="H30" s="21" t="s">
        <v>582</v>
      </c>
      <c r="I30" s="13">
        <v>42831.276354166665</v>
      </c>
      <c r="J30" s="7">
        <v>0</v>
      </c>
      <c r="K30" s="97" t="str">
        <f t="shared" si="0"/>
        <v>4053/4054</v>
      </c>
      <c r="L30" s="21" t="str">
        <f>VLOOKUP(A30,'Trips&amp;Operators'!$C$1:$G$99999,5,FALSE)</f>
        <v>ACKERMAN JARED</v>
      </c>
      <c r="M30" s="6">
        <f t="shared" si="1"/>
        <v>2.5983796294895001E-2</v>
      </c>
      <c r="N30" s="7">
        <f t="shared" si="23"/>
        <v>37.416666664648801</v>
      </c>
      <c r="O30" s="7"/>
      <c r="P30" s="7"/>
      <c r="Q30" s="22"/>
      <c r="R30" s="22"/>
      <c r="S30" s="31">
        <f t="shared" si="24"/>
        <v>1</v>
      </c>
      <c r="T30" s="46" t="str">
        <f t="shared" si="3"/>
        <v>NorthBound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4"/>
        <v>https://d0f6bd738d7f1b3e5a7ca70fe4ff75f0.us-east-1.aws.found.io/app/kibana#/discover/Steve-Slow-Train-Analysis-(2080s-and-2083s)?_g=(refreshInterval:(display:Off,pause:!f,section:0,value:0),time:(from:'2017-04-06T04:45:15-0600',mode:absolute,to:'2017-04-06T07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30" s="183" t="str">
        <f t="shared" si="5"/>
        <v>N</v>
      </c>
      <c r="X30" s="183">
        <f t="shared" si="6"/>
        <v>1</v>
      </c>
      <c r="Y30" s="62">
        <f t="shared" si="7"/>
        <v>4.4200000000000003E-2</v>
      </c>
      <c r="Z30" s="62">
        <f t="shared" si="25"/>
        <v>23.330500000000001</v>
      </c>
      <c r="AA30" s="62">
        <f t="shared" si="9"/>
        <v>23.286300000000001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0"/>
        <v>0119-06</v>
      </c>
      <c r="AE30" s="85" t="str">
        <f t="shared" si="11"/>
        <v>aws s3 cp s3://rtdc.mdm.uploadarchive.raw/RTDC4054/ "%USERPROFILE%\AppData\Local\Temp\OnboardLogs"\RTDC4054\2017-04-06 --exclude "*" --recursive --include "*20170406*" &amp; "%USERPROFILE%\Documents\GitHub\mrs-test-scripts\Headless Mode &amp; Sideloading\WalkAndUnGZ.bat" "%USERPROFILE%\AppData\Local\Temp\OnboardLogs"\RTDC4054\2017-04-06 &amp; aws s3 cp s3://rtdc.mdm.uploadarchive.raw/RTDC4054/ "%USERPROFILE%\AppData\Local\Temp\OnboardLogs"\RTDC4054\2017-04-07 --exclude "*" --recursive --include "*20170407*" &amp; "%USERPROFILE%\Documents\GitHub\mrs-test-scripts\Headless Mode &amp; Sideloading\WalkAndUnGZ.bat" "%USERPROFILE%\AppData\Local\Temp\OnboardLogs"\RTDC4054\2017-04-07</v>
      </c>
      <c r="AF30" s="82" t="str">
        <f t="shared" si="12"/>
        <v>"C:\Program Files (x86)\AstroGrep\AstroGrep.exe" /e /r /s /spath="%USERPROFILE%\AppData\Local\Temp\OnboardLogs" /stypes="app*4054*20170406*" /stext=" 12:.+((SYSTEM_STATE.+slice.+state.+changed )|(ment ac)|(multiple cpu faults)|(system.+state.+changed )|(\[timeout)|(PRM\|1\|D)|(kpr)|(kdp)|(\|lc)|(penalty))"</v>
      </c>
      <c r="AG30" s="1" t="str">
        <f t="shared" si="13"/>
        <v>EC</v>
      </c>
      <c r="AH30" s="86" t="str">
        <f t="shared" si="18"/>
        <v>"%USERPROFILE%\Documents\GitHub\eaglep3\Utilities\RefineRTDCRunTimes.py" --tripid 119-06 --locoid 4054 --swversion DE.1.0.9.0 --startMP 204:442 --initTime 2017-04-06T05:45:15 --startdatetime 2017-04-06T06:00:32 --delay 2 --endMP 204:233305 --enddatetime 2017-04-06T06:37:57 --enforcementcount 0 &gt;&gt;C:\Users\stu\Documents\GitHub\eaglep3-reporting\EC\2017-04-06-refined-times.txt</v>
      </c>
      <c r="AI30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{"issue":{"subject":"","project_id":79,"tracker_id":40,"status_id":1,"priority_id":2,"assigned_to_id":23,"start_date":"2017-04-06","description":"","custom_fields":[{"id":1,"name":"Subdivision","value":"EC"},{"id":4,"name":"Milepost","value":"23.3305"},{"id":17,"name":"Train ID","value":"119-06"},{"id":16,"name":"Locomotive ID","value":"4054"},{"id":130,"name":"Impact","value":""},{"id":150,"name":"Time of Event (Mountain Time)","value":"06:37:57"},{"id":151,"name":"Denver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0"/>
        <v>start /low /b %USERPROFILE%\Documents\GitHub\eaglep3\Utilities\DownloadLogsFromS3.py --loco 4054 --day 2017-04-06</v>
      </c>
      <c r="AN30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12:37:57"},{"id":29,"name":"Sharepoint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693</v>
      </c>
      <c r="B31" s="7">
        <v>4053</v>
      </c>
      <c r="C31" s="21" t="s">
        <v>216</v>
      </c>
      <c r="D31" s="21" t="s">
        <v>870</v>
      </c>
      <c r="E31" s="13">
        <v>42831.282141203701</v>
      </c>
      <c r="F31" s="13">
        <v>42831.289189814815</v>
      </c>
      <c r="G31" s="7">
        <v>1</v>
      </c>
      <c r="H31" s="21" t="s">
        <v>514</v>
      </c>
      <c r="I31" s="13">
        <v>42831.316631944443</v>
      </c>
      <c r="J31" s="7">
        <v>0</v>
      </c>
      <c r="K31" s="97" t="str">
        <f t="shared" si="0"/>
        <v>4053/4054</v>
      </c>
      <c r="L31" s="21" t="str">
        <f>VLOOKUP(A31,'Trips&amp;Operators'!$C$1:$G$99999,5,FALSE)</f>
        <v>ACKERMAN JARED</v>
      </c>
      <c r="M31" s="6">
        <f t="shared" si="1"/>
        <v>2.7442129627161194E-2</v>
      </c>
      <c r="N31" s="7">
        <f t="shared" si="23"/>
        <v>39.516666663112119</v>
      </c>
      <c r="O31" s="7"/>
      <c r="P31" s="7"/>
      <c r="Q31" s="22"/>
      <c r="R31" s="22"/>
      <c r="S31" s="31">
        <f t="shared" si="24"/>
        <v>1</v>
      </c>
      <c r="T31" s="46" t="str">
        <f t="shared" si="3"/>
        <v>Southbound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4"/>
        <v>https://d0f6bd738d7f1b3e5a7ca70fe4ff75f0.us-east-1.aws.found.io/app/kibana#/discover/Steve-Slow-Train-Analysis-(2080s-and-2083s)?_g=(refreshInterval:(display:Off,pause:!f,section:0,value:0),time:(from:'2017-04-06T05:46:17-0600',mode:absolute,to:'2017-04-06T08:35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31" s="183" t="str">
        <f t="shared" si="5"/>
        <v>N</v>
      </c>
      <c r="X31" s="183">
        <f t="shared" si="6"/>
        <v>1</v>
      </c>
      <c r="Y31" s="62">
        <f t="shared" si="7"/>
        <v>23.2986</v>
      </c>
      <c r="Z31" s="62">
        <f t="shared" si="25"/>
        <v>1.32E-2</v>
      </c>
      <c r="AA31" s="62">
        <f t="shared" si="9"/>
        <v>23.285399999999999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0"/>
        <v>0120-06</v>
      </c>
      <c r="AE31" s="85" t="str">
        <f t="shared" si="11"/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AF31" s="82" t="str">
        <f t="shared" si="12"/>
        <v>"C:\Program Files (x86)\AstroGrep\AstroGrep.exe" /e /r /s /spath="%USERPROFILE%\AppData\Local\Temp\OnboardLogs" /stypes="app*4053*20170406*" /stext=" 13:.+((SYSTEM_STATE.+slice.+state.+changed )|(ment ac)|(multiple cpu faults)|(system.+state.+changed )|(\[timeout)|(PRM\|1\|D)|(kpr)|(kdp)|(\|lc)|(penalty))"</v>
      </c>
      <c r="AG31" s="1" t="str">
        <f t="shared" si="13"/>
        <v>EC</v>
      </c>
      <c r="AH31" s="86" t="str">
        <f t="shared" si="18"/>
        <v>"%USERPROFILE%\Documents\GitHub\eaglep3\Utilities\RefineRTDCRunTimes.py" --tripid 120-06 --locoid 4053 --swversion DE.1.0.9.0 --startMP 204:232986 --initTime 2017-04-06T06:46:17 --startdatetime 2017-04-06T06:56:26 --delay 1 --endMP 204:132 --enddatetime 2017-04-06T07:35:57 --enforcementcount 0 &gt;&gt;C:\Users\stu\Documents\GitHub\eaglep3-reporting\EC\2017-04-06-refined-times.txt</v>
      </c>
      <c r="AI31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{"issue":{"subject":"","project_id":79,"tracker_id":40,"status_id":1,"priority_id":2,"assigned_to_id":23,"start_date":"2017-04-06","description":"","custom_fields":[{"id":1,"name":"Subdivision","value":"EC"},{"id":4,"name":"Milepost","value":"0.0132"},{"id":17,"name":"Train ID","value":"120-06"},{"id":16,"name":"Locomotive ID","value":"4053"},{"id":130,"name":"Impact","value":""},{"id":150,"name":"Time of Event (Mountain Time)","value":"07:35:57"},{"id":151,"name":"Denver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0"/>
        <v>start /low /b %USERPROFILE%\Documents\GitHub\eaglep3\Utilities\DownloadLogsFromS3.py --loco 4053 --day 2017-04-06</v>
      </c>
      <c r="AN31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13:35:57"},{"id":29,"name":"Sharepoint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624</v>
      </c>
      <c r="B32" s="7">
        <v>4042</v>
      </c>
      <c r="C32" s="21" t="s">
        <v>216</v>
      </c>
      <c r="D32" s="21" t="s">
        <v>396</v>
      </c>
      <c r="E32" s="13">
        <v>42831.256747685184</v>
      </c>
      <c r="F32" s="13">
        <v>42831.26059027778</v>
      </c>
      <c r="G32" s="7">
        <v>1</v>
      </c>
      <c r="H32" s="21" t="s">
        <v>424</v>
      </c>
      <c r="I32" s="13">
        <v>42831.286747685182</v>
      </c>
      <c r="J32" s="7">
        <v>0</v>
      </c>
      <c r="K32" s="97" t="str">
        <f t="shared" si="0"/>
        <v>4041/4042</v>
      </c>
      <c r="L32" s="21" t="str">
        <f>VLOOKUP(A32,'Trips&amp;Operators'!$C$1:$G$99999,5,FALSE)</f>
        <v>GEBRETEKLE DAGNEW</v>
      </c>
      <c r="M32" s="6">
        <f t="shared" si="1"/>
        <v>2.6157407402934041E-2</v>
      </c>
      <c r="N32" s="7">
        <f t="shared" si="23"/>
        <v>37.666666660225019</v>
      </c>
      <c r="O32" s="7"/>
      <c r="P32" s="7"/>
      <c r="Q32" s="22"/>
      <c r="R32" s="22"/>
      <c r="S32" s="31">
        <f t="shared" si="24"/>
        <v>1</v>
      </c>
      <c r="T32" s="46" t="str">
        <f t="shared" si="3"/>
        <v>NorthBound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4"/>
        <v>https://d0f6bd738d7f1b3e5a7ca70fe4ff75f0.us-east-1.aws.found.io/app/kibana#/discover/Steve-Slow-Train-Analysis-(2080s-and-2083s)?_g=(refreshInterval:(display:Off,pause:!f,section:0,value:0),time:(from:'2017-04-06T05:09:43-0600',mode:absolute,to:'2017-04-06T07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2" s="183" t="str">
        <f t="shared" si="5"/>
        <v>N</v>
      </c>
      <c r="X32" s="183">
        <f t="shared" si="6"/>
        <v>1</v>
      </c>
      <c r="Y32" s="62">
        <f t="shared" si="7"/>
        <v>4.4900000000000002E-2</v>
      </c>
      <c r="Z32" s="62">
        <f t="shared" si="25"/>
        <v>23.3308</v>
      </c>
      <c r="AA32" s="62">
        <f t="shared" si="9"/>
        <v>23.285900000000002</v>
      </c>
      <c r="AB32" s="59" t="str">
        <f>VLOOKUP(A32,Enforcements!$C$7:$K$13,8,0)</f>
        <v>Bulletin (2)</v>
      </c>
      <c r="AC32" s="55" t="str">
        <f>VLOOKUP(A32,Enforcements!$C$7:$E$13,3,0)</f>
        <v>GRADE CROSSING</v>
      </c>
      <c r="AD32" s="56" t="str">
        <f t="shared" si="10"/>
        <v>0121-06</v>
      </c>
      <c r="AE32" s="85" t="str">
        <f t="shared" si="11"/>
        <v>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 &amp; 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</v>
      </c>
      <c r="AF32" s="82" t="str">
        <f t="shared" si="12"/>
        <v>"C:\Program Files (x86)\AstroGrep\AstroGrep.exe" /e /r /s /spath="%USERPROFILE%\AppData\Local\Temp\OnboardLogs" /stypes="app*4042*20170406*" /stext=" 12:.+((SYSTEM_STATE.+slice.+state.+changed )|(ment ac)|(multiple cpu faults)|(system.+state.+changed )|(\[timeout)|(PRM\|1\|D)|(kpr)|(kdp)|(\|lc)|(penalty))"</v>
      </c>
      <c r="AG32" s="1" t="str">
        <f t="shared" si="13"/>
        <v>EC</v>
      </c>
      <c r="AH32" s="86" t="str">
        <f t="shared" si="18"/>
        <v>"%USERPROFILE%\Documents\GitHub\eaglep3\Utilities\RefineRTDCRunTimes.py" --tripid 121-06 --locoid 4042 --swversion DE.1.0.9.0 --startMP 204:449 --initTime 2017-04-06T06:09:43 --startdatetime 2017-04-06T06:15:15 --delay 1 --endMP 204:233308 --enddatetime 2017-04-06T06:52:55 --enforcementcount 0 &gt;&gt;C:\Users\stu\Documents\GitHub\eaglep3-reporting\EC\2017-04-06-refined-times.txt</v>
      </c>
      <c r="AI32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{"issue":{"subject":"","project_id":79,"tracker_id":40,"status_id":1,"priority_id":2,"assigned_to_id":23,"start_date":"2017-04-06","description":"","custom_fields":[{"id":1,"name":"Subdivision","value":"EC"},{"id":4,"name":"Milepost","value":"23.3308"},{"id":17,"name":"Train ID","value":"121-06"},{"id":16,"name":"Locomotive ID","value":"4042"},{"id":130,"name":"Impact","value":""},{"id":150,"name":"Time of Event (Mountain Time)","value":"06:52:55"},{"id":151,"name":"Denver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0"/>
        <v>start /low /b %USERPROFILE%\Documents\GitHub\eaglep3\Utilities\DownloadLogsFromS3.py --loco 4042 --day 2017-04-06</v>
      </c>
      <c r="AN32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12:52:55"},{"id":29,"name":"Sharepoint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696</v>
      </c>
      <c r="B33" s="7">
        <v>4041</v>
      </c>
      <c r="C33" s="21" t="s">
        <v>216</v>
      </c>
      <c r="D33" s="21" t="s">
        <v>404</v>
      </c>
      <c r="E33" s="13">
        <v>42831.295081018521</v>
      </c>
      <c r="F33" s="13">
        <v>42831.299513888887</v>
      </c>
      <c r="G33" s="7">
        <v>1</v>
      </c>
      <c r="H33" s="21" t="s">
        <v>400</v>
      </c>
      <c r="I33" s="13">
        <v>42831.325914351852</v>
      </c>
      <c r="J33" s="7">
        <v>0</v>
      </c>
      <c r="K33" s="97" t="str">
        <f t="shared" si="0"/>
        <v>4041/4042</v>
      </c>
      <c r="L33" s="21" t="str">
        <f>VLOOKUP(A33,'Trips&amp;Operators'!$C$1:$G$99999,5,FALSE)</f>
        <v>GEBRETEKLE DAGNEW</v>
      </c>
      <c r="M33" s="6">
        <f t="shared" si="1"/>
        <v>2.6400462964375038E-2</v>
      </c>
      <c r="N33" s="7">
        <f t="shared" si="23"/>
        <v>38.016666668700054</v>
      </c>
      <c r="O33" s="7"/>
      <c r="P33" s="7"/>
      <c r="Q33" s="22"/>
      <c r="R33" s="22"/>
      <c r="S33" s="31">
        <f t="shared" si="24"/>
        <v>1</v>
      </c>
      <c r="T33" s="46" t="str">
        <f t="shared" si="3"/>
        <v>Southbound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4"/>
        <v>https://d0f6bd738d7f1b3e5a7ca70fe4ff75f0.us-east-1.aws.found.io/app/kibana#/discover/Steve-Slow-Train-Analysis-(2080s-and-2083s)?_g=(refreshInterval:(display:Off,pause:!f,section:0,value:0),time:(from:'2017-04-06T06:04:55-0600',mode:absolute,to:'2017-04-06T08:49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3" s="183" t="str">
        <f t="shared" si="5"/>
        <v>N</v>
      </c>
      <c r="X33" s="183">
        <f t="shared" si="6"/>
        <v>1</v>
      </c>
      <c r="Y33" s="62">
        <f t="shared" si="7"/>
        <v>23.299399999999999</v>
      </c>
      <c r="Z33" s="62">
        <f t="shared" si="25"/>
        <v>1.61E-2</v>
      </c>
      <c r="AA33" s="62">
        <f t="shared" si="9"/>
        <v>23.283299999999997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0"/>
        <v>0122-06</v>
      </c>
      <c r="AE33" s="85" t="str">
        <f t="shared" si="11"/>
        <v>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 &amp; aws s3 cp s3://rtdc.mdm.uploadarchive.raw/RTDC4041/ "%USERPROFILE%\AppData\Local\Temp\OnboardLogs"\RTDC4041\2017-04-07 --exclude "*" --recursive --include "*20170407*" &amp; "%USERPROFILE%\Documents\GitHub\mrs-test-scripts\Headless Mode &amp; Sideloading\WalkAndUnGZ.bat" "%USERPROFILE%\AppData\Local\Temp\OnboardLogs"\RTDC4041\2017-04-07</v>
      </c>
      <c r="AF33" s="82" t="str">
        <f t="shared" si="12"/>
        <v>"C:\Program Files (x86)\AstroGrep\AstroGrep.exe" /e /r /s /spath="%USERPROFILE%\AppData\Local\Temp\OnboardLogs" /stypes="app*4041*20170406*" /stext=" 13:.+((SYSTEM_STATE.+slice.+state.+changed )|(ment ac)|(multiple cpu faults)|(system.+state.+changed )|(\[timeout)|(PRM\|1\|D)|(kpr)|(kdp)|(\|lc)|(penalty))"</v>
      </c>
      <c r="AG33" s="1" t="str">
        <f t="shared" si="13"/>
        <v>EC</v>
      </c>
      <c r="AH33" s="86" t="str">
        <f t="shared" si="18"/>
        <v>"%USERPROFILE%\Documents\GitHub\eaglep3\Utilities\RefineRTDCRunTimes.py" --tripid 122-06 --locoid 4041 --swversion DE.1.0.9.0 --startMP 204:232994 --initTime 2017-04-06T07:04:55 --startdatetime 2017-04-06T07:11:18 --delay 1 --endMP 204:161 --enddatetime 2017-04-06T07:49:19 --enforcementcount 0 &gt;&gt;C:\Users\stu\Documents\GitHub\eaglep3-reporting\EC\2017-04-06-refined-times.txt</v>
      </c>
      <c r="AI33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{"issue":{"subject":"","project_id":79,"tracker_id":40,"status_id":1,"priority_id":2,"assigned_to_id":23,"start_date":"2017-04-06","description":"","custom_fields":[{"id":1,"name":"Subdivision","value":"EC"},{"id":4,"name":"Milepost","value":"0.0161"},{"id":17,"name":"Train ID","value":"122-06"},{"id":16,"name":"Locomotive ID","value":"4041"},{"id":130,"name":"Impact","value":""},{"id":150,"name":"Time of Event (Mountain Time)","value":"07:49:19"},{"id":151,"name":"Denver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0"/>
        <v>start /low /b %USERPROFILE%\Documents\GitHub\eaglep3\Utilities\DownloadLogsFromS3.py --loco 4041 --day 2017-04-06</v>
      </c>
      <c r="AN33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13:49:19"},{"id":29,"name":"Sharepoint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687</v>
      </c>
      <c r="B34" s="7">
        <v>4018</v>
      </c>
      <c r="C34" s="21" t="s">
        <v>216</v>
      </c>
      <c r="D34" s="21" t="s">
        <v>581</v>
      </c>
      <c r="E34" s="13">
        <v>42831.267222222225</v>
      </c>
      <c r="F34" s="13">
        <v>42831.271053240744</v>
      </c>
      <c r="G34" s="7">
        <v>1</v>
      </c>
      <c r="H34" s="21" t="s">
        <v>592</v>
      </c>
      <c r="I34" s="13">
        <v>42831.296331018515</v>
      </c>
      <c r="J34" s="7">
        <v>0</v>
      </c>
      <c r="K34" s="97" t="str">
        <f t="shared" si="0"/>
        <v>4017/4018</v>
      </c>
      <c r="L34" s="21" t="str">
        <f>VLOOKUP(A34,'Trips&amp;Operators'!$C$1:$G$99999,5,FALSE)</f>
        <v>MENGES BRAD</v>
      </c>
      <c r="M34" s="6">
        <f t="shared" si="1"/>
        <v>2.5277777771407273E-2</v>
      </c>
      <c r="N34" s="7">
        <f t="shared" si="23"/>
        <v>36.399999990826473</v>
      </c>
      <c r="O34" s="7"/>
      <c r="P34" s="7"/>
      <c r="Q34" s="22"/>
      <c r="R34" s="22"/>
      <c r="S34" s="31">
        <f t="shared" si="24"/>
        <v>1</v>
      </c>
      <c r="T34" s="46" t="str">
        <f t="shared" si="3"/>
        <v>NorthBound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4"/>
        <v>https://d0f6bd738d7f1b3e5a7ca70fe4ff75f0.us-east-1.aws.found.io/app/kibana#/discover/Steve-Slow-Train-Analysis-(2080s-and-2083s)?_g=(refreshInterval:(display:Off,pause:!f,section:0,value:0),time:(from:'2017-04-06T05:24:48-0600',mode:absolute,to:'2017-04-06T08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4" s="183" t="str">
        <f t="shared" si="5"/>
        <v>N</v>
      </c>
      <c r="X34" s="183">
        <f t="shared" si="6"/>
        <v>1</v>
      </c>
      <c r="Y34" s="62">
        <f t="shared" si="7"/>
        <v>4.6699999999999998E-2</v>
      </c>
      <c r="Z34" s="62">
        <f t="shared" si="25"/>
        <v>23.3278</v>
      </c>
      <c r="AA34" s="62">
        <f t="shared" si="9"/>
        <v>23.281099999999999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0"/>
        <v>0123-06</v>
      </c>
      <c r="AE34" s="85" t="str">
        <f t="shared" si="11"/>
        <v>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 &amp; aws s3 cp s3://rtdc.mdm.uploadarchive.raw/RTDC4018/ "%USERPROFILE%\AppData\Local\Temp\OnboardLogs"\RTDC4018\2017-04-07 --exclude "*" --recursive --include "*20170407*" &amp; "%USERPROFILE%\Documents\GitHub\mrs-test-scripts\Headless Mode &amp; Sideloading\WalkAndUnGZ.bat" "%USERPROFILE%\AppData\Local\Temp\OnboardLogs"\RTDC4018\2017-04-07</v>
      </c>
      <c r="AF34" s="82" t="str">
        <f t="shared" si="12"/>
        <v>"C:\Program Files (x86)\AstroGrep\AstroGrep.exe" /e /r /s /spath="%USERPROFILE%\AppData\Local\Temp\OnboardLogs" /stypes="app*4018*20170406*" /stext=" 13:.+((SYSTEM_STATE.+slice.+state.+changed )|(ment ac)|(multiple cpu faults)|(system.+state.+changed )|(\[timeout)|(PRM\|1\|D)|(kpr)|(kdp)|(\|lc)|(penalty))"</v>
      </c>
      <c r="AG34" s="1" t="str">
        <f t="shared" si="13"/>
        <v>EC</v>
      </c>
      <c r="AH34" s="86" t="str">
        <f t="shared" si="18"/>
        <v>"%USERPROFILE%\Documents\GitHub\eaglep3\Utilities\RefineRTDCRunTimes.py" --tripid 123-06 --locoid 4018 --swversion DE.1.0.9.0 --startMP 204:467 --initTime 2017-04-06T06:24:48 --startdatetime 2017-04-06T06:30:19 --delay 1 --endMP 204:233278 --enddatetime 2017-04-06T07:06:43 --enforcementcount 0 &gt;&gt;C:\Users\stu\Documents\GitHub\eaglep3-reporting\EC\2017-04-06-refined-times.txt</v>
      </c>
      <c r="AI34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{"issue":{"subject":"","project_id":79,"tracker_id":40,"status_id":1,"priority_id":2,"assigned_to_id":23,"start_date":"2017-04-06","description":"","custom_fields":[{"id":1,"name":"Subdivision","value":"EC"},{"id":4,"name":"Milepost","value":"23.3278"},{"id":17,"name":"Train ID","value":"123-06"},{"id":16,"name":"Locomotive ID","value":"4018"},{"id":130,"name":"Impact","value":""},{"id":150,"name":"Time of Event (Mountain Time)","value":"07:06:43"},{"id":151,"name":"Denver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0"/>
        <v>start /low /b %USERPROFILE%\Documents\GitHub\eaglep3\Utilities\DownloadLogsFromS3.py --loco 4018 --day 2017-04-06</v>
      </c>
      <c r="AN34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13:06:43"},{"id":29,"name":"Sharepoint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698</v>
      </c>
      <c r="B35" s="7">
        <v>4017</v>
      </c>
      <c r="C35" s="21" t="s">
        <v>216</v>
      </c>
      <c r="D35" s="21" t="s">
        <v>570</v>
      </c>
      <c r="E35" s="13">
        <v>42831.298275462963</v>
      </c>
      <c r="F35" s="13">
        <v>42831.310023148151</v>
      </c>
      <c r="G35" s="7">
        <v>6</v>
      </c>
      <c r="H35" s="21" t="s">
        <v>411</v>
      </c>
      <c r="I35" s="13">
        <v>42831.338425925926</v>
      </c>
      <c r="J35" s="7">
        <v>0</v>
      </c>
      <c r="K35" s="97" t="str">
        <f t="shared" si="0"/>
        <v>4017/4018</v>
      </c>
      <c r="L35" s="21" t="str">
        <f>VLOOKUP(A35,'Trips&amp;Operators'!$C$1:$G$99999,5,FALSE)</f>
        <v>MENGES BRAD</v>
      </c>
      <c r="M35" s="6">
        <f t="shared" si="1"/>
        <v>2.8402777774317656E-2</v>
      </c>
      <c r="N35" s="7">
        <f t="shared" si="23"/>
        <v>40.899999995017424</v>
      </c>
      <c r="O35" s="7"/>
      <c r="P35" s="7"/>
      <c r="Q35" s="22"/>
      <c r="R35" s="22"/>
      <c r="S35" s="31">
        <f t="shared" si="24"/>
        <v>1</v>
      </c>
      <c r="T35" s="46" t="str">
        <f t="shared" si="3"/>
        <v>Southbound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4"/>
        <v>https://d0f6bd738d7f1b3e5a7ca70fe4ff75f0.us-east-1.aws.found.io/app/kibana#/discover/Steve-Slow-Train-Analysis-(2080s-and-2083s)?_g=(refreshInterval:(display:Off,pause:!f,section:0,value:0),time:(from:'2017-04-06T06:09:31-0600',mode:absolute,to:'2017-04-06T09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5" s="183" t="str">
        <f t="shared" si="5"/>
        <v>N</v>
      </c>
      <c r="X35" s="183">
        <f t="shared" ref="X35:X40" si="26">VALUE(LEFT(AD35,4))-VALUE(LEFT(AD34,4))</f>
        <v>1</v>
      </c>
      <c r="Y35" s="62">
        <f t="shared" si="7"/>
        <v>23.297799999999999</v>
      </c>
      <c r="Z35" s="62">
        <f t="shared" si="25"/>
        <v>1.41E-2</v>
      </c>
      <c r="AA35" s="62">
        <f t="shared" si="9"/>
        <v>23.2837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0"/>
        <v>0124-06</v>
      </c>
      <c r="AE35" s="85" t="str">
        <f t="shared" si="11"/>
        <v>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 &amp; aws s3 cp s3://rtdc.mdm.uploadarchive.raw/RTDC4017/ "%USERPROFILE%\AppData\Local\Temp\OnboardLogs"\RTDC4017\2017-04-07 --exclude "*" --recursive --include "*20170407*" &amp; "%USERPROFILE%\Documents\GitHub\mrs-test-scripts\Headless Mode &amp; Sideloading\WalkAndUnGZ.bat" "%USERPROFILE%\AppData\Local\Temp\OnboardLogs"\RTDC4017\2017-04-07</v>
      </c>
      <c r="AF35" s="82" t="str">
        <f t="shared" si="12"/>
        <v>"C:\Program Files (x86)\AstroGrep\AstroGrep.exe" /e /r /s /spath="%USERPROFILE%\AppData\Local\Temp\OnboardLogs" /stypes="app*4017*20170406*" /stext=" 14:.+((SYSTEM_STATE.+slice.+state.+changed )|(ment ac)|(multiple cpu faults)|(system.+state.+changed )|(\[timeout)|(PRM\|1\|D)|(kpr)|(kdp)|(\|lc)|(penalty))"</v>
      </c>
      <c r="AG35" s="1" t="str">
        <f t="shared" si="13"/>
        <v>EC</v>
      </c>
      <c r="AH35" s="86" t="str">
        <f t="shared" si="18"/>
        <v>"%USERPROFILE%\Documents\GitHub\eaglep3\Utilities\RefineRTDCRunTimes.py" --tripid 124-06 --locoid 4017 --swversion DE.1.0.9.0 --startMP 204:232978 --initTime 2017-04-06T07:09:31 --startdatetime 2017-04-06T07:26:26 --delay 6 --endMP 204:141 --enddatetime 2017-04-06T08:07:20 --enforcementcount 0 &gt;&gt;C:\Users\stu\Documents\GitHub\eaglep3-reporting\EC\2017-04-06-refined-times.txt</v>
      </c>
      <c r="AI35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{"issue":{"subject":"","project_id":79,"tracker_id":40,"status_id":1,"priority_id":2,"assigned_to_id":23,"start_date":"2017-04-06","description":"","custom_fields":[{"id":1,"name":"Subdivision","value":"EC"},{"id":4,"name":"Milepost","value":"0.0141"},{"id":17,"name":"Train ID","value":"124-06"},{"id":16,"name":"Locomotive ID","value":"4017"},{"id":130,"name":"Impact","value":""},{"id":150,"name":"Time of Event (Mountain Time)","value":"08:07:20"},{"id":151,"name":"Denver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0"/>
        <v>start /low /b %USERPROFILE%\Documents\GitHub\eaglep3\Utilities\DownloadLogsFromS3.py --loco 4017 --day 2017-04-06</v>
      </c>
      <c r="AN35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14:07:20"},{"id":29,"name":"Sharepoint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692</v>
      </c>
      <c r="B36" s="7">
        <v>4004</v>
      </c>
      <c r="C36" s="21" t="s">
        <v>216</v>
      </c>
      <c r="D36" s="21" t="s">
        <v>569</v>
      </c>
      <c r="E36" s="13">
        <v>42831.276516203703</v>
      </c>
      <c r="F36" s="13">
        <v>42831.281400462962</v>
      </c>
      <c r="G36" s="7">
        <v>1</v>
      </c>
      <c r="H36" s="21" t="s">
        <v>469</v>
      </c>
      <c r="I36" s="13">
        <v>42831.30605324074</v>
      </c>
      <c r="J36" s="7">
        <v>0</v>
      </c>
      <c r="K36" s="97" t="str">
        <f t="shared" si="0"/>
        <v>4003/4004</v>
      </c>
      <c r="L36" s="21" t="str">
        <f>VLOOKUP(A36,'Trips&amp;Operators'!$C$1:$G$99999,5,FALSE)</f>
        <v>YORK EDGAR</v>
      </c>
      <c r="M36" s="6">
        <f t="shared" si="1"/>
        <v>2.4652777778101154E-2</v>
      </c>
      <c r="N36" s="7">
        <f t="shared" si="23"/>
        <v>35.500000000465661</v>
      </c>
      <c r="O36" s="7"/>
      <c r="P36" s="7"/>
      <c r="Q36" s="22"/>
      <c r="R36" s="22"/>
      <c r="S36" s="31">
        <f t="shared" si="24"/>
        <v>1</v>
      </c>
      <c r="T36" s="46" t="str">
        <f t="shared" si="3"/>
        <v>NorthBound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4"/>
        <v>https://d0f6bd738d7f1b3e5a7ca70fe4ff75f0.us-east-1.aws.found.io/app/kibana#/discover/Steve-Slow-Train-Analysis-(2080s-and-2083s)?_g=(refreshInterval:(display:Off,pause:!f,section:0,value:0),time:(from:'2017-04-06T05:38:11-0600',mode:absolute,to:'2017-04-06T08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6" s="183" t="str">
        <f t="shared" si="5"/>
        <v>N</v>
      </c>
      <c r="X36" s="183">
        <f t="shared" si="26"/>
        <v>1</v>
      </c>
      <c r="Y36" s="62">
        <f t="shared" si="7"/>
        <v>4.6899999999999997E-2</v>
      </c>
      <c r="Z36" s="62">
        <f t="shared" si="25"/>
        <v>23.331900000000001</v>
      </c>
      <c r="AA36" s="62">
        <f t="shared" si="9"/>
        <v>23.285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0"/>
        <v>0125-06</v>
      </c>
      <c r="AE36" s="85" t="str">
        <f t="shared" si="11"/>
        <v>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 &amp; aws s3 cp s3://rtdc.mdm.uploadarchive.raw/RTDC4004/ "%USERPROFILE%\AppData\Local\Temp\OnboardLogs"\RTDC4004\2017-04-07 --exclude "*" --recursive --include "*20170407*" &amp; "%USERPROFILE%\Documents\GitHub\mrs-test-scripts\Headless Mode &amp; Sideloading\WalkAndUnGZ.bat" "%USERPROFILE%\AppData\Local\Temp\OnboardLogs"\RTDC4004\2017-04-07</v>
      </c>
      <c r="AF36" s="82" t="str">
        <f t="shared" si="12"/>
        <v>"C:\Program Files (x86)\AstroGrep\AstroGrep.exe" /e /r /s /spath="%USERPROFILE%\AppData\Local\Temp\OnboardLogs" /stypes="app*4004*20170406*" /stext=" 13:.+((SYSTEM_STATE.+slice.+state.+changed )|(ment ac)|(multiple cpu faults)|(system.+state.+changed )|(\[timeout)|(PRM\|1\|D)|(kpr)|(kdp)|(\|lc)|(penalty))"</v>
      </c>
      <c r="AG36" s="1" t="str">
        <f t="shared" si="13"/>
        <v>EC</v>
      </c>
      <c r="AH36" s="86" t="str">
        <f t="shared" si="18"/>
        <v>"%USERPROFILE%\Documents\GitHub\eaglep3\Utilities\RefineRTDCRunTimes.py" --tripid 125-06 --locoid 4004 --swversion DE.1.0.9.0 --startMP 204:469 --initTime 2017-04-06T06:38:11 --startdatetime 2017-04-06T06:45:13 --delay 1 --endMP 204:233319 --enddatetime 2017-04-06T07:20:43 --enforcementcount 0 &gt;&gt;C:\Users\stu\Documents\GitHub\eaglep3-reporting\EC\2017-04-06-refined-times.txt</v>
      </c>
      <c r="AI36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{"issue":{"subject":"","project_id":79,"tracker_id":40,"status_id":1,"priority_id":2,"assigned_to_id":23,"start_date":"2017-04-06","description":"","custom_fields":[{"id":1,"name":"Subdivision","value":"EC"},{"id":4,"name":"Milepost","value":"23.3319"},{"id":17,"name":"Train ID","value":"125-06"},{"id":16,"name":"Locomotive ID","value":"4004"},{"id":130,"name":"Impact","value":""},{"id":150,"name":"Time of Event (Mountain Time)","value":"07:20:43"},{"id":151,"name":"Denver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0"/>
        <v>start /low /b %USERPROFILE%\Documents\GitHub\eaglep3\Utilities\DownloadLogsFromS3.py --loco 4004 --day 2017-04-06</v>
      </c>
      <c r="AN36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13:20:43"},{"id":29,"name":"Sharepoint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701</v>
      </c>
      <c r="B37" s="7">
        <v>4003</v>
      </c>
      <c r="C37" s="21" t="s">
        <v>216</v>
      </c>
      <c r="D37" s="21" t="s">
        <v>871</v>
      </c>
      <c r="E37" s="13">
        <v>42831.307060185187</v>
      </c>
      <c r="F37" s="13">
        <v>42831.320798611108</v>
      </c>
      <c r="G37" s="7">
        <v>1</v>
      </c>
      <c r="H37" s="21" t="s">
        <v>439</v>
      </c>
      <c r="I37" s="13">
        <v>42831.347662037035</v>
      </c>
      <c r="J37" s="7">
        <v>0</v>
      </c>
      <c r="K37" s="97" t="str">
        <f t="shared" si="0"/>
        <v>4003/4004</v>
      </c>
      <c r="L37" s="21" t="str">
        <f>VLOOKUP(A37,'Trips&amp;Operators'!$C$1:$G$99999,5,FALSE)</f>
        <v>YORK EDGAR</v>
      </c>
      <c r="M37" s="6">
        <f t="shared" si="1"/>
        <v>2.6863425926421769E-2</v>
      </c>
      <c r="N37" s="7">
        <f t="shared" si="23"/>
        <v>38.683333334047347</v>
      </c>
      <c r="O37" s="7"/>
      <c r="P37" s="7"/>
      <c r="Q37" s="22"/>
      <c r="R37" s="22"/>
      <c r="S37" s="31">
        <f t="shared" si="24"/>
        <v>1</v>
      </c>
      <c r="T37" s="46" t="str">
        <f t="shared" si="3"/>
        <v>Southbound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4"/>
        <v>https://d0f6bd738d7f1b3e5a7ca70fe4ff75f0.us-east-1.aws.found.io/app/kibana#/discover/Steve-Slow-Train-Analysis-(2080s-and-2083s)?_g=(refreshInterval:(display:Off,pause:!f,section:0,value:0),time:(from:'2017-04-06T06:22:10-0600',mode:absolute,to:'2017-04-06T09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7" s="183" t="str">
        <f t="shared" si="5"/>
        <v>N</v>
      </c>
      <c r="X37" s="183">
        <f t="shared" si="26"/>
        <v>1</v>
      </c>
      <c r="Y37" s="62">
        <f t="shared" si="7"/>
        <v>23.299099999999999</v>
      </c>
      <c r="Z37" s="62">
        <f t="shared" si="25"/>
        <v>1.6E-2</v>
      </c>
      <c r="AA37" s="62">
        <f t="shared" si="9"/>
        <v>23.283100000000001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0"/>
        <v>0126-06</v>
      </c>
      <c r="AE37" s="85" t="str">
        <f t="shared" si="11"/>
        <v>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 &amp; aws s3 cp s3://rtdc.mdm.uploadarchive.raw/RTDC4003/ "%USERPROFILE%\AppData\Local\Temp\OnboardLogs"\RTDC4003\2017-04-07 --exclude "*" --recursive --include "*20170407*" &amp; "%USERPROFILE%\Documents\GitHub\mrs-test-scripts\Headless Mode &amp; Sideloading\WalkAndUnGZ.bat" "%USERPROFILE%\AppData\Local\Temp\OnboardLogs"\RTDC4003\2017-04-07</v>
      </c>
      <c r="AF37" s="82" t="str">
        <f t="shared" si="12"/>
        <v>"C:\Program Files (x86)\AstroGrep\AstroGrep.exe" /e /r /s /spath="%USERPROFILE%\AppData\Local\Temp\OnboardLogs" /stypes="app*4003*20170406*" /stext=" 14:.+((SYSTEM_STATE.+slice.+state.+changed )|(ment ac)|(multiple cpu faults)|(system.+state.+changed )|(\[timeout)|(PRM\|1\|D)|(kpr)|(kdp)|(\|lc)|(penalty))"</v>
      </c>
      <c r="AG37" s="1" t="str">
        <f t="shared" si="13"/>
        <v>EC</v>
      </c>
      <c r="AH37" s="86" t="str">
        <f t="shared" si="18"/>
        <v>"%USERPROFILE%\Documents\GitHub\eaglep3\Utilities\RefineRTDCRunTimes.py" --tripid 126-06 --locoid 4003 --swversion DE.1.0.9.0 --startMP 204:232991 --initTime 2017-04-06T07:22:10 --startdatetime 2017-04-06T07:41:57 --delay 1 --endMP 204:160 --enddatetime 2017-04-06T08:20:38 --enforcementcount 0 &gt;&gt;C:\Users\stu\Documents\GitHub\eaglep3-reporting\EC\2017-04-06-refined-times.txt</v>
      </c>
      <c r="AI37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{"issue":{"subject":"","project_id":79,"tracker_id":40,"status_id":1,"priority_id":2,"assigned_to_id":23,"start_date":"2017-04-06","description":"","custom_fields":[{"id":1,"name":"Subdivision","value":"EC"},{"id":4,"name":"Milepost","value":"0.016"},{"id":17,"name":"Train ID","value":"126-06"},{"id":16,"name":"Locomotive ID","value":"4003"},{"id":130,"name":"Impact","value":""},{"id":150,"name":"Time of Event (Mountain Time)","value":"08:20:38"},{"id":151,"name":"Denver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0"/>
        <v>start /low /b %USERPROFILE%\Documents\GitHub\eaglep3\Utilities\DownloadLogsFromS3.py --loco 4003 --day 2017-04-06</v>
      </c>
      <c r="AN37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14:20:38"},{"id":29,"name":"Sharepoint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694</v>
      </c>
      <c r="B38" s="7">
        <v>4006</v>
      </c>
      <c r="C38" s="21" t="s">
        <v>216</v>
      </c>
      <c r="D38" s="21" t="s">
        <v>420</v>
      </c>
      <c r="E38" s="13">
        <v>42831.289803240739</v>
      </c>
      <c r="F38" s="13">
        <v>42831.29184027778</v>
      </c>
      <c r="G38" s="7">
        <v>1</v>
      </c>
      <c r="H38" s="21" t="s">
        <v>872</v>
      </c>
      <c r="I38" s="13">
        <v>42831.317407407405</v>
      </c>
      <c r="J38" s="7">
        <v>0</v>
      </c>
      <c r="K38" s="97" t="str">
        <f t="shared" si="0"/>
        <v>4005/4006</v>
      </c>
      <c r="L38" s="21" t="str">
        <f>VLOOKUP(A38,'Trips&amp;Operators'!$C$1:$G$99999,5,FALSE)</f>
        <v>BADERTSCHER DIANE</v>
      </c>
      <c r="M38" s="6">
        <f t="shared" si="1"/>
        <v>2.5567129625414964E-2</v>
      </c>
      <c r="N38" s="7">
        <f t="shared" si="23"/>
        <v>36.816666660597548</v>
      </c>
      <c r="O38" s="7"/>
      <c r="P38" s="7"/>
      <c r="Q38" s="22"/>
      <c r="R38" s="22"/>
      <c r="S38" s="31">
        <f t="shared" si="24"/>
        <v>1</v>
      </c>
      <c r="T38" s="46" t="str">
        <f t="shared" si="3"/>
        <v>NorthBound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4"/>
        <v>https://d0f6bd738d7f1b3e5a7ca70fe4ff75f0.us-east-1.aws.found.io/app/kibana#/discover/Steve-Slow-Train-Analysis-(2080s-and-2083s)?_g=(refreshInterval:(display:Off,pause:!f,section:0,value:0),time:(from:'2017-04-06T05:57:19-0600',mode:absolute,to:'2017-04-06T08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8" s="183" t="str">
        <f t="shared" si="5"/>
        <v>N</v>
      </c>
      <c r="X38" s="183">
        <f t="shared" si="26"/>
        <v>1</v>
      </c>
      <c r="Y38" s="62">
        <f t="shared" si="7"/>
        <v>4.6199999999999998E-2</v>
      </c>
      <c r="Z38" s="62">
        <f t="shared" si="25"/>
        <v>23.3293</v>
      </c>
      <c r="AA38" s="62">
        <f t="shared" si="9"/>
        <v>23.283100000000001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0"/>
        <v>0127-06</v>
      </c>
      <c r="AE38" s="85" t="str">
        <f t="shared" si="11"/>
        <v>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 &amp; aws s3 cp s3://rtdc.mdm.uploadarchive.raw/RTDC4006/ "%USERPROFILE%\AppData\Local\Temp\OnboardLogs"\RTDC4006\2017-04-07 --exclude "*" --recursive --include "*20170407*" &amp; "%USERPROFILE%\Documents\GitHub\mrs-test-scripts\Headless Mode &amp; Sideloading\WalkAndUnGZ.bat" "%USERPROFILE%\AppData\Local\Temp\OnboardLogs"\RTDC4006\2017-04-07</v>
      </c>
      <c r="AF38" s="82" t="str">
        <f t="shared" si="12"/>
        <v>"C:\Program Files (x86)\AstroGrep\AstroGrep.exe" /e /r /s /spath="%USERPROFILE%\AppData\Local\Temp\OnboardLogs" /stypes="app*4006*20170406*" /stext=" 13:.+((SYSTEM_STATE.+slice.+state.+changed )|(ment ac)|(multiple cpu faults)|(system.+state.+changed )|(\[timeout)|(PRM\|1\|D)|(kpr)|(kdp)|(\|lc)|(penalty))"</v>
      </c>
      <c r="AG38" s="1" t="str">
        <f t="shared" si="13"/>
        <v>EC</v>
      </c>
      <c r="AH38" s="86" t="str">
        <f t="shared" si="18"/>
        <v>"%USERPROFILE%\Documents\GitHub\eaglep3\Utilities\RefineRTDCRunTimes.py" --tripid 127-06 --locoid 4006 --swversion DE.1.0.9.0 --startMP 204:462 --initTime 2017-04-06T06:57:19 --startdatetime 2017-04-06T07:00:15 --delay 1 --endMP 204:233293 --enddatetime 2017-04-06T07:37:04 --enforcementcount 0 &gt;&gt;C:\Users\stu\Documents\GitHub\eaglep3-reporting\EC\2017-04-06-refined-times.txt</v>
      </c>
      <c r="AI38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{"issue":{"subject":"","project_id":79,"tracker_id":40,"status_id":1,"priority_id":2,"assigned_to_id":23,"start_date":"2017-04-06","description":"","custom_fields":[{"id":1,"name":"Subdivision","value":"EC"},{"id":4,"name":"Milepost","value":"23.3293"},{"id":17,"name":"Train ID","value":"127-06"},{"id":16,"name":"Locomotive ID","value":"4006"},{"id":130,"name":"Impact","value":""},{"id":150,"name":"Time of Event (Mountain Time)","value":"07:37:04"},{"id":151,"name":"Denver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0"/>
        <v>start /low /b %USERPROFILE%\Documents\GitHub\eaglep3\Utilities\DownloadLogsFromS3.py --loco 4006 --day 2017-04-06</v>
      </c>
      <c r="AN38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13:37:04"},{"id":29,"name":"Sharepoint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706</v>
      </c>
      <c r="B39" s="7">
        <v>4005</v>
      </c>
      <c r="C39" s="21" t="s">
        <v>216</v>
      </c>
      <c r="D39" s="21" t="s">
        <v>467</v>
      </c>
      <c r="E39" s="13">
        <v>42831.321631944447</v>
      </c>
      <c r="F39" s="13">
        <v>42831.330810185187</v>
      </c>
      <c r="G39" s="7">
        <v>3</v>
      </c>
      <c r="H39" s="21" t="s">
        <v>411</v>
      </c>
      <c r="I39" s="13">
        <v>42831.359432870369</v>
      </c>
      <c r="J39" s="7">
        <v>0</v>
      </c>
      <c r="K39" s="97" t="str">
        <f t="shared" si="0"/>
        <v>4005/4006</v>
      </c>
      <c r="L39" s="21" t="str">
        <f>VLOOKUP(A39,'Trips&amp;Operators'!$C$1:$G$99999,5,FALSE)</f>
        <v>BADERTSCHER DIANE</v>
      </c>
      <c r="M39" s="6">
        <f t="shared" si="1"/>
        <v>2.8622685182199348E-2</v>
      </c>
      <c r="N39" s="7">
        <f t="shared" si="23"/>
        <v>41.216666662367061</v>
      </c>
      <c r="O39" s="7"/>
      <c r="P39" s="7"/>
      <c r="Q39" s="22"/>
      <c r="R39" s="22"/>
      <c r="S39" s="31">
        <f t="shared" si="24"/>
        <v>1</v>
      </c>
      <c r="T39" s="46" t="str">
        <f t="shared" si="3"/>
        <v>Southbound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4"/>
        <v>https://d0f6bd738d7f1b3e5a7ca70fe4ff75f0.us-east-1.aws.found.io/app/kibana#/discover/Steve-Slow-Train-Analysis-(2080s-and-2083s)?_g=(refreshInterval:(display:Off,pause:!f,section:0,value:0),time:(from:'2017-04-06T06:43:09-0600',mode:absolute,to:'2017-04-06T09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9" s="183" t="str">
        <f t="shared" si="5"/>
        <v>N</v>
      </c>
      <c r="X39" s="183">
        <f t="shared" si="26"/>
        <v>1</v>
      </c>
      <c r="Y39" s="62">
        <f t="shared" si="7"/>
        <v>23.2971</v>
      </c>
      <c r="Z39" s="62">
        <f t="shared" si="25"/>
        <v>1.41E-2</v>
      </c>
      <c r="AA39" s="62">
        <f t="shared" si="9"/>
        <v>23.283000000000001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0"/>
        <v>0128-06</v>
      </c>
      <c r="AE39" s="85" t="str">
        <f t="shared" si="11"/>
        <v>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 &amp; aws s3 cp s3://rtdc.mdm.uploadarchive.raw/RTDC4005/ "%USERPROFILE%\AppData\Local\Temp\OnboardLogs"\RTDC4005\2017-04-07 --exclude "*" --recursive --include "*20170407*" &amp; "%USERPROFILE%\Documents\GitHub\mrs-test-scripts\Headless Mode &amp; Sideloading\WalkAndUnGZ.bat" "%USERPROFILE%\AppData\Local\Temp\OnboardLogs"\RTDC4005\2017-04-07</v>
      </c>
      <c r="AF39" s="82" t="str">
        <f t="shared" si="12"/>
        <v>"C:\Program Files (x86)\AstroGrep\AstroGrep.exe" /e /r /s /spath="%USERPROFILE%\AppData\Local\Temp\OnboardLogs" /stypes="app*4005*20170406*" /stext=" 14:.+((SYSTEM_STATE.+slice.+state.+changed )|(ment ac)|(multiple cpu faults)|(system.+state.+changed )|(\[timeout)|(PRM\|1\|D)|(kpr)|(kdp)|(\|lc)|(penalty))"</v>
      </c>
      <c r="AG39" s="1" t="str">
        <f t="shared" si="13"/>
        <v>EC</v>
      </c>
      <c r="AH39" s="86" t="str">
        <f t="shared" si="18"/>
        <v>"%USERPROFILE%\Documents\GitHub\eaglep3\Utilities\RefineRTDCRunTimes.py" --tripid 128-06 --locoid 4005 --swversion DE.1.0.9.0 --startMP 204:232971 --initTime 2017-04-06T07:43:09 --startdatetime 2017-04-06T07:56:22 --delay 3 --endMP 204:141 --enddatetime 2017-04-06T08:37:35 --enforcementcount 0 &gt;&gt;C:\Users\stu\Documents\GitHub\eaglep3-reporting\EC\2017-04-06-refined-times.txt</v>
      </c>
      <c r="AI39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{"issue":{"subject":"","project_id":79,"tracker_id":40,"status_id":1,"priority_id":2,"assigned_to_id":23,"start_date":"2017-04-06","description":"","custom_fields":[{"id":1,"name":"Subdivision","value":"EC"},{"id":4,"name":"Milepost","value":"0.0141"},{"id":17,"name":"Train ID","value":"128-06"},{"id":16,"name":"Locomotive ID","value":"4005"},{"id":130,"name":"Impact","value":""},{"id":150,"name":"Time of Event (Mountain Time)","value":"08:37:35"},{"id":151,"name":"Denver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0"/>
        <v>start /low /b %USERPROFILE%\Documents\GitHub\eaglep3\Utilities\DownloadLogsFromS3.py --loco 4005 --day 2017-04-06</v>
      </c>
      <c r="AN39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14:37:35"},{"id":29,"name":"Sharepoint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699</v>
      </c>
      <c r="B40" s="7">
        <v>4044</v>
      </c>
      <c r="C40" s="21" t="s">
        <v>216</v>
      </c>
      <c r="D40" s="21" t="s">
        <v>438</v>
      </c>
      <c r="E40" s="13">
        <v>42831.301180555558</v>
      </c>
      <c r="F40" s="13">
        <v>42831.302719907406</v>
      </c>
      <c r="G40" s="7">
        <v>1</v>
      </c>
      <c r="H40" s="21" t="s">
        <v>419</v>
      </c>
      <c r="I40" s="13">
        <v>42831.328634259262</v>
      </c>
      <c r="J40" s="7">
        <v>0</v>
      </c>
      <c r="K40" s="97" t="str">
        <f t="shared" si="0"/>
        <v>4043/4044</v>
      </c>
      <c r="L40" s="21" t="str">
        <f>VLOOKUP(A40,'Trips&amp;Operators'!$C$1:$G$99999,5,FALSE)</f>
        <v>STARKS ANGELINA</v>
      </c>
      <c r="M40" s="6">
        <f t="shared" si="1"/>
        <v>2.5914351856044959E-2</v>
      </c>
      <c r="N40" s="7">
        <f t="shared" si="23"/>
        <v>37.316666672704741</v>
      </c>
      <c r="O40" s="7"/>
      <c r="P40" s="7"/>
      <c r="Q40" s="22"/>
      <c r="R40" s="22"/>
      <c r="S40" s="31">
        <f t="shared" si="24"/>
        <v>1</v>
      </c>
      <c r="T40" s="46" t="str">
        <f t="shared" si="3"/>
        <v>NorthBound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4"/>
        <v>https://d0f6bd738d7f1b3e5a7ca70fe4ff75f0.us-east-1.aws.found.io/app/kibana#/discover/Steve-Slow-Train-Analysis-(2080s-and-2083s)?_g=(refreshInterval:(display:Off,pause:!f,section:0,value:0),time:(from:'2017-04-06T06:13:42-0600',mode:absolute,to:'2017-04-06T08:53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0" s="183" t="str">
        <f t="shared" si="5"/>
        <v>N</v>
      </c>
      <c r="X40" s="183">
        <f t="shared" si="26"/>
        <v>1</v>
      </c>
      <c r="Y40" s="62">
        <f t="shared" si="7"/>
        <v>4.6600000000000003E-2</v>
      </c>
      <c r="Z40" s="62">
        <f t="shared" si="25"/>
        <v>23.330400000000001</v>
      </c>
      <c r="AA40" s="62">
        <f t="shared" si="9"/>
        <v>23.283799999999999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0"/>
        <v>0129-06</v>
      </c>
      <c r="AE40" s="85" t="str">
        <f t="shared" si="11"/>
        <v>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 &amp; 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</v>
      </c>
      <c r="AF40" s="82" t="str">
        <f t="shared" si="12"/>
        <v>"C:\Program Files (x86)\AstroGrep\AstroGrep.exe" /e /r /s /spath="%USERPROFILE%\AppData\Local\Temp\OnboardLogs" /stypes="app*4044*20170406*" /stext=" 13:.+((SYSTEM_STATE.+slice.+state.+changed )|(ment ac)|(multiple cpu faults)|(system.+state.+changed )|(\[timeout)|(PRM\|1\|D)|(kpr)|(kdp)|(\|lc)|(penalty))"</v>
      </c>
      <c r="AG40" s="1" t="str">
        <f t="shared" si="13"/>
        <v>EC</v>
      </c>
      <c r="AH40" s="86" t="str">
        <f t="shared" si="18"/>
        <v>"%USERPROFILE%\Documents\GitHub\eaglep3\Utilities\RefineRTDCRunTimes.py" --tripid 129-06 --locoid 4044 --swversion DE.1.0.9.0 --startMP 204:466 --initTime 2017-04-06T07:13:42 --startdatetime 2017-04-06T07:15:55 --delay 1 --endMP 204:233304 --enddatetime 2017-04-06T07:53:14 --enforcementcount 0 &gt;&gt;C:\Users\stu\Documents\GitHub\eaglep3-reporting\EC\2017-04-06-refined-times.txt</v>
      </c>
      <c r="AI40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{"issue":{"subject":"","project_id":79,"tracker_id":40,"status_id":1,"priority_id":2,"assigned_to_id":23,"start_date":"2017-04-06","description":"","custom_fields":[{"id":1,"name":"Subdivision","value":"EC"},{"id":4,"name":"Milepost","value":"23.3304"},{"id":17,"name":"Train ID","value":"129-06"},{"id":16,"name":"Locomotive ID","value":"4044"},{"id":130,"name":"Impact","value":""},{"id":150,"name":"Time of Event (Mountain Time)","value":"07:53:14"},{"id":151,"name":"Denver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0"/>
        <v>start /low /b %USERPROFILE%\Documents\GitHub\eaglep3\Utilities\DownloadLogsFromS3.py --loco 4044 --day 2017-04-06</v>
      </c>
      <c r="AN40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13:53:14"},{"id":29,"name":"Sharepoint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708</v>
      </c>
      <c r="B41" s="7">
        <v>4043</v>
      </c>
      <c r="C41" s="21" t="s">
        <v>216</v>
      </c>
      <c r="D41" s="21" t="s">
        <v>423</v>
      </c>
      <c r="E41" s="13">
        <v>42831.337893518517</v>
      </c>
      <c r="F41" s="13">
        <v>42831.341215277775</v>
      </c>
      <c r="G41" s="7">
        <v>1</v>
      </c>
      <c r="H41" s="21" t="s">
        <v>198</v>
      </c>
      <c r="I41" s="13">
        <v>42831.368622685186</v>
      </c>
      <c r="J41" s="7">
        <v>0</v>
      </c>
      <c r="K41" s="97" t="str">
        <f t="shared" si="0"/>
        <v>4043/4044</v>
      </c>
      <c r="L41" s="21" t="str">
        <f>VLOOKUP(A41,'Trips&amp;Operators'!$C$1:$G$99999,5,FALSE)</f>
        <v>STARKS ANGELINA</v>
      </c>
      <c r="M41" s="6">
        <f t="shared" si="1"/>
        <v>2.7407407411374152E-2</v>
      </c>
      <c r="N41" s="7">
        <f t="shared" si="23"/>
        <v>39.466666672378778</v>
      </c>
      <c r="O41" s="7"/>
      <c r="P41" s="7"/>
      <c r="Q41" s="22"/>
      <c r="R41" s="22"/>
      <c r="S41" s="31">
        <f t="shared" si="24"/>
        <v>1</v>
      </c>
      <c r="T41" s="46" t="str">
        <f t="shared" si="3"/>
        <v>Southbound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4"/>
        <v>https://d0f6bd738d7f1b3e5a7ca70fe4ff75f0.us-east-1.aws.found.io/app/kibana#/discover/Steve-Slow-Train-Analysis-(2080s-and-2083s)?_g=(refreshInterval:(display:Off,pause:!f,section:0,value:0),time:(from:'2017-04-06T07:06:34-0600',mode:absolute,to:'2017-04-06T09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1" s="183" t="str">
        <f t="shared" si="5"/>
        <v>N</v>
      </c>
      <c r="X41" s="183">
        <f t="shared" ref="X41:X72" si="27">VALUE(LEFT(AD41,4))-VALUE(LEFT(AD40,4))</f>
        <v>1</v>
      </c>
      <c r="Y41" s="62">
        <f t="shared" si="7"/>
        <v>23.2989</v>
      </c>
      <c r="Z41" s="62">
        <f t="shared" si="25"/>
        <v>1.52E-2</v>
      </c>
      <c r="AA41" s="62">
        <f t="shared" si="9"/>
        <v>23.2837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0"/>
        <v>0130-06</v>
      </c>
      <c r="AE41" s="85" t="str">
        <f t="shared" si="11"/>
        <v>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 &amp; aws s3 cp s3://rtdc.mdm.uploadarchive.raw/RTDC4043/ "%USERPROFILE%\AppData\Local\Temp\OnboardLogs"\RTDC4043\2017-04-07 --exclude "*" --recursive --include "*20170407*" &amp; "%USERPROFILE%\Documents\GitHub\mrs-test-scripts\Headless Mode &amp; Sideloading\WalkAndUnGZ.bat" "%USERPROFILE%\AppData\Local\Temp\OnboardLogs"\RTDC4043\2017-04-07</v>
      </c>
      <c r="AF41" s="82" t="str">
        <f t="shared" si="12"/>
        <v>"C:\Program Files (x86)\AstroGrep\AstroGrep.exe" /e /r /s /spath="%USERPROFILE%\AppData\Local\Temp\OnboardLogs" /stypes="app*4043*20170406*" /stext=" 14:.+((SYSTEM_STATE.+slice.+state.+changed )|(ment ac)|(multiple cpu faults)|(system.+state.+changed )|(\[timeout)|(PRM\|1\|D)|(kpr)|(kdp)|(\|lc)|(penalty))"</v>
      </c>
      <c r="AG41" s="1" t="str">
        <f t="shared" si="13"/>
        <v>EC</v>
      </c>
      <c r="AH41" s="86" t="str">
        <f t="shared" si="18"/>
        <v>"%USERPROFILE%\Documents\GitHub\eaglep3\Utilities\RefineRTDCRunTimes.py" --tripid 130-06 --locoid 4043 --swversion DE.1.0.9.0 --startMP 204:232989 --initTime 2017-04-06T08:06:34 --startdatetime 2017-04-06T08:11:21 --delay 1 --endMP 204:152 --enddatetime 2017-04-06T08:50:49 --enforcementcount 0 &gt;&gt;C:\Users\stu\Documents\GitHub\eaglep3-reporting\EC\2017-04-06-refined-times.txt</v>
      </c>
      <c r="AI41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{"issue":{"subject":"","project_id":79,"tracker_id":40,"status_id":1,"priority_id":2,"assigned_to_id":23,"start_date":"2017-04-06","description":"","custom_fields":[{"id":1,"name":"Subdivision","value":"EC"},{"id":4,"name":"Milepost","value":"0.0152"},{"id":17,"name":"Train ID","value":"130-06"},{"id":16,"name":"Locomotive ID","value":"4043"},{"id":130,"name":"Impact","value":""},{"id":150,"name":"Time of Event (Mountain Time)","value":"08:50:49"},{"id":151,"name":"Denver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0"/>
        <v>start /low /b %USERPROFILE%\Documents\GitHub\eaglep3\Utilities\DownloadLogsFromS3.py --loco 4043 --day 2017-04-06</v>
      </c>
      <c r="AN41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14:50:49"},{"id":29,"name":"Sharepoint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703</v>
      </c>
      <c r="B42" s="7">
        <v>4010</v>
      </c>
      <c r="C42" s="21" t="s">
        <v>216</v>
      </c>
      <c r="D42" s="21" t="s">
        <v>869</v>
      </c>
      <c r="E42" s="13">
        <v>42831.308935185189</v>
      </c>
      <c r="F42" s="13">
        <v>42831.312662037039</v>
      </c>
      <c r="G42" s="7">
        <v>1</v>
      </c>
      <c r="H42" s="21" t="s">
        <v>414</v>
      </c>
      <c r="I42" s="13">
        <v>42831.338842592595</v>
      </c>
      <c r="J42" s="7">
        <v>0</v>
      </c>
      <c r="K42" s="97" t="str">
        <f t="shared" si="0"/>
        <v>4009/4010</v>
      </c>
      <c r="L42" s="21" t="str">
        <f>VLOOKUP(A42,'Trips&amp;Operators'!$C$1:$G$99999,5,FALSE)</f>
        <v>FORTUNATO FRANK</v>
      </c>
      <c r="M42" s="6">
        <f t="shared" si="1"/>
        <v>2.6180555556493346E-2</v>
      </c>
      <c r="N42" s="7">
        <f t="shared" si="23"/>
        <v>37.700000001350418</v>
      </c>
      <c r="O42" s="7"/>
      <c r="P42" s="7"/>
      <c r="Q42" s="22"/>
      <c r="R42" s="22"/>
      <c r="S42" s="31">
        <f t="shared" si="24"/>
        <v>1</v>
      </c>
      <c r="T42" s="46" t="str">
        <f t="shared" si="3"/>
        <v>NorthBound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4"/>
        <v>https://d0f6bd738d7f1b3e5a7ca70fe4ff75f0.us-east-1.aws.found.io/app/kibana#/discover/Steve-Slow-Train-Analysis-(2080s-and-2083s)?_g=(refreshInterval:(display:Off,pause:!f,section:0,value:0),time:(from:'2017-04-06T06:24:52-0600',mode:absolute,to:'2017-04-06T09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42" s="183" t="str">
        <f t="shared" si="5"/>
        <v>N</v>
      </c>
      <c r="X42" s="183">
        <f t="shared" si="27"/>
        <v>1</v>
      </c>
      <c r="Y42" s="62">
        <f t="shared" si="7"/>
        <v>4.4200000000000003E-2</v>
      </c>
      <c r="Z42" s="62">
        <f t="shared" si="25"/>
        <v>23.330300000000001</v>
      </c>
      <c r="AA42" s="62">
        <f t="shared" si="9"/>
        <v>23.286100000000001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0"/>
        <v>0131-06</v>
      </c>
      <c r="AE42" s="85" t="str">
        <f t="shared" si="11"/>
        <v>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 &amp; 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</v>
      </c>
      <c r="AF42" s="82" t="str">
        <f t="shared" si="12"/>
        <v>"C:\Program Files (x86)\AstroGrep\AstroGrep.exe" /e /r /s /spath="%USERPROFILE%\AppData\Local\Temp\OnboardLogs" /stypes="app*4010*20170406*" /stext=" 14:.+((SYSTEM_STATE.+slice.+state.+changed )|(ment ac)|(multiple cpu faults)|(system.+state.+changed )|(\[timeout)|(PRM\|1\|D)|(kpr)|(kdp)|(\|lc)|(penalty))"</v>
      </c>
      <c r="AG42" s="1" t="str">
        <f t="shared" si="13"/>
        <v>EC</v>
      </c>
      <c r="AH42" s="86" t="str">
        <f t="shared" si="18"/>
        <v>"%USERPROFILE%\Documents\GitHub\eaglep3\Utilities\RefineRTDCRunTimes.py" --tripid 131-06 --locoid 4010 --swversion DE.1.0.9.0 --startMP 204:442 --initTime 2017-04-06T07:24:52 --startdatetime 2017-04-06T07:30:14 --delay 1 --endMP 204:233303 --enddatetime 2017-04-06T08:07:56 --enforcementcount 0 &gt;&gt;C:\Users\stu\Documents\GitHub\eaglep3-reporting\EC\2017-04-06-refined-times.txt</v>
      </c>
      <c r="AI42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{"issue":{"subject":"","project_id":79,"tracker_id":40,"status_id":1,"priority_id":2,"assigned_to_id":23,"start_date":"2017-04-06","description":"","custom_fields":[{"id":1,"name":"Subdivision","value":"EC"},{"id":4,"name":"Milepost","value":"23.3303"},{"id":17,"name":"Train ID","value":"131-06"},{"id":16,"name":"Locomotive ID","value":"4010"},{"id":130,"name":"Impact","value":""},{"id":150,"name":"Time of Event (Mountain Time)","value":"08:07:56"},{"id":151,"name":"Denver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0"/>
        <v>start /low /b %USERPROFILE%\Documents\GitHub\eaglep3\Utilities\DownloadLogsFromS3.py --loco 4010 --day 2017-04-06</v>
      </c>
      <c r="AN42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14:07:56"},{"id":29,"name":"Sharepoint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628</v>
      </c>
      <c r="B43" s="7">
        <v>4009</v>
      </c>
      <c r="C43" s="21" t="s">
        <v>216</v>
      </c>
      <c r="D43" s="21" t="s">
        <v>435</v>
      </c>
      <c r="E43" s="13">
        <v>42831.340243055558</v>
      </c>
      <c r="F43" s="13">
        <v>42831.351574074077</v>
      </c>
      <c r="G43" s="7">
        <v>1</v>
      </c>
      <c r="H43" s="21" t="s">
        <v>437</v>
      </c>
      <c r="I43" s="13">
        <v>42831.380682870367</v>
      </c>
      <c r="J43" s="7">
        <v>0</v>
      </c>
      <c r="K43" s="97" t="str">
        <f t="shared" si="0"/>
        <v>4009/4010</v>
      </c>
      <c r="L43" s="21" t="str">
        <f>VLOOKUP(A43,'Trips&amp;Operators'!$C$1:$G$99999,5,FALSE)</f>
        <v>FORTUNATO FRANK</v>
      </c>
      <c r="M43" s="6">
        <f t="shared" si="1"/>
        <v>2.9108796290529426E-2</v>
      </c>
      <c r="N43" s="7">
        <f t="shared" si="23"/>
        <v>41.916666658362374</v>
      </c>
      <c r="O43" s="7"/>
      <c r="P43" s="7"/>
      <c r="Q43" s="22"/>
      <c r="R43" s="22"/>
      <c r="S43" s="31">
        <f t="shared" si="24"/>
        <v>1</v>
      </c>
      <c r="T43" s="46" t="str">
        <f t="shared" si="3"/>
        <v>Southbound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4"/>
        <v>https://d0f6bd738d7f1b3e5a7ca70fe4ff75f0.us-east-1.aws.found.io/app/kibana#/discover/Steve-Slow-Train-Analysis-(2080s-and-2083s)?_g=(refreshInterval:(display:Off,pause:!f,section:0,value:0),time:(from:'2017-04-06T07:09:57-0600',mode:absolute,to:'2017-04-06T10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3" s="183" t="str">
        <f t="shared" si="5"/>
        <v>N</v>
      </c>
      <c r="X43" s="183">
        <f t="shared" si="27"/>
        <v>1</v>
      </c>
      <c r="Y43" s="62">
        <f t="shared" si="7"/>
        <v>23.2988</v>
      </c>
      <c r="Z43" s="62">
        <f t="shared" si="25"/>
        <v>1.4500000000000001E-2</v>
      </c>
      <c r="AA43" s="62">
        <f t="shared" si="9"/>
        <v>23.284299999999998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0"/>
        <v>0132-06</v>
      </c>
      <c r="AE43" s="85" t="str">
        <f t="shared" si="11"/>
        <v>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 &amp; 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</v>
      </c>
      <c r="AF43" s="82" t="str">
        <f t="shared" si="12"/>
        <v>"C:\Program Files (x86)\AstroGrep\AstroGrep.exe" /e /r /s /spath="%USERPROFILE%\AppData\Local\Temp\OnboardLogs" /stypes="app*4009*20170406*" /stext=" 15:.+((SYSTEM_STATE.+slice.+state.+changed )|(ment ac)|(multiple cpu faults)|(system.+state.+changed )|(\[timeout)|(PRM\|1\|D)|(kpr)|(kdp)|(\|lc)|(penalty))"</v>
      </c>
      <c r="AG43" s="1" t="str">
        <f t="shared" si="13"/>
        <v>EC</v>
      </c>
      <c r="AH43" s="86" t="str">
        <f t="shared" si="18"/>
        <v>"%USERPROFILE%\Documents\GitHub\eaglep3\Utilities\RefineRTDCRunTimes.py" --tripid 132-06 --locoid 4009 --swversion DE.1.0.9.0 --startMP 204:232988 --initTime 2017-04-06T08:09:57 --startdatetime 2017-04-06T08:26:16 --delay 1 --endMP 204:145 --enddatetime 2017-04-06T09:08:11 --enforcementcount 0 &gt;&gt;C:\Users\stu\Documents\GitHub\eaglep3-reporting\EC\2017-04-06-refined-times.txt</v>
      </c>
      <c r="AI43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{"issue":{"subject":"","project_id":79,"tracker_id":40,"status_id":1,"priority_id":2,"assigned_to_id":23,"start_date":"2017-04-06","description":"","custom_fields":[{"id":1,"name":"Subdivision","value":"EC"},{"id":4,"name":"Milepost","value":"0.0145"},{"id":17,"name":"Train ID","value":"132-06"},{"id":16,"name":"Locomotive ID","value":"4009"},{"id":130,"name":"Impact","value":""},{"id":150,"name":"Time of Event (Mountain Time)","value":"09:08:11"},{"id":151,"name":"Denver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0"/>
        <v>start /low /b %USERPROFILE%\Documents\GitHub\eaglep3\Utilities\DownloadLogsFromS3.py --loco 4009 --day 2017-04-06</v>
      </c>
      <c r="AN43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15:08:11"},{"id":29,"name":"Sharepoint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705</v>
      </c>
      <c r="B44" s="7">
        <v>4054</v>
      </c>
      <c r="C44" s="21" t="s">
        <v>216</v>
      </c>
      <c r="D44" s="21" t="s">
        <v>396</v>
      </c>
      <c r="E44" s="13">
        <v>42831.318159722221</v>
      </c>
      <c r="F44" s="13">
        <v>42831.32309027778</v>
      </c>
      <c r="G44" s="7">
        <v>2</v>
      </c>
      <c r="H44" s="21" t="s">
        <v>517</v>
      </c>
      <c r="I44" s="13">
        <v>42831.34820601852</v>
      </c>
      <c r="J44" s="7">
        <v>0</v>
      </c>
      <c r="K44" s="97" t="str">
        <f t="shared" si="0"/>
        <v>4053/4054</v>
      </c>
      <c r="L44" s="21" t="str">
        <f>VLOOKUP(A44,'Trips&amp;Operators'!$C$1:$G$99999,5,FALSE)</f>
        <v>ROBINSON KADDIBA</v>
      </c>
      <c r="M44" s="6">
        <f t="shared" si="1"/>
        <v>2.5115740740147885E-2</v>
      </c>
      <c r="N44" s="7">
        <f t="shared" si="23"/>
        <v>36.166666665812954</v>
      </c>
      <c r="O44" s="7"/>
      <c r="P44" s="7"/>
      <c r="Q44" s="22"/>
      <c r="R44" s="22"/>
      <c r="S44" s="31">
        <f t="shared" si="24"/>
        <v>1</v>
      </c>
      <c r="T44" s="46" t="str">
        <f t="shared" si="3"/>
        <v>NorthBound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4"/>
        <v>https://d0f6bd738d7f1b3e5a7ca70fe4ff75f0.us-east-1.aws.found.io/app/kibana#/discover/Steve-Slow-Train-Analysis-(2080s-and-2083s)?_g=(refreshInterval:(display:Off,pause:!f,section:0,value:0),time:(from:'2017-04-06T06:38:09-0600',mode:absolute,to:'2017-04-06T09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4" s="183" t="str">
        <f t="shared" si="5"/>
        <v>N</v>
      </c>
      <c r="X44" s="183">
        <f t="shared" si="27"/>
        <v>1</v>
      </c>
      <c r="Y44" s="62">
        <f t="shared" si="7"/>
        <v>4.4900000000000002E-2</v>
      </c>
      <c r="Z44" s="62">
        <f t="shared" si="25"/>
        <v>23.331199999999999</v>
      </c>
      <c r="AA44" s="62">
        <f t="shared" si="9"/>
        <v>23.286300000000001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0"/>
        <v>0133-06</v>
      </c>
      <c r="AE44" s="85" t="str">
        <f t="shared" si="11"/>
        <v>aws s3 cp s3://rtdc.mdm.uploadarchive.raw/RTDC4054/ "%USERPROFILE%\AppData\Local\Temp\OnboardLogs"\RTDC4054\2017-04-06 --exclude "*" --recursive --include "*20170406*" &amp; "%USERPROFILE%\Documents\GitHub\mrs-test-scripts\Headless Mode &amp; Sideloading\WalkAndUnGZ.bat" "%USERPROFILE%\AppData\Local\Temp\OnboardLogs"\RTDC4054\2017-04-06 &amp; aws s3 cp s3://rtdc.mdm.uploadarchive.raw/RTDC4054/ "%USERPROFILE%\AppData\Local\Temp\OnboardLogs"\RTDC4054\2017-04-07 --exclude "*" --recursive --include "*20170407*" &amp; "%USERPROFILE%\Documents\GitHub\mrs-test-scripts\Headless Mode &amp; Sideloading\WalkAndUnGZ.bat" "%USERPROFILE%\AppData\Local\Temp\OnboardLogs"\RTDC4054\2017-04-07</v>
      </c>
      <c r="AF44" s="82" t="str">
        <f t="shared" si="12"/>
        <v>"C:\Program Files (x86)\AstroGrep\AstroGrep.exe" /e /r /s /spath="%USERPROFILE%\AppData\Local\Temp\OnboardLogs" /stypes="app*4054*20170406*" /stext=" 14:.+((SYSTEM_STATE.+slice.+state.+changed )|(ment ac)|(multiple cpu faults)|(system.+state.+changed )|(\[timeout)|(PRM\|1\|D)|(kpr)|(kdp)|(\|lc)|(penalty))"</v>
      </c>
      <c r="AG44" s="1" t="str">
        <f t="shared" si="13"/>
        <v>EC</v>
      </c>
      <c r="AH44" s="86" t="str">
        <f t="shared" si="18"/>
        <v>"%USERPROFILE%\Documents\GitHub\eaglep3\Utilities\RefineRTDCRunTimes.py" --tripid 133-06 --locoid 4054 --swversion DE.1.0.9.0 --startMP 204:449 --initTime 2017-04-06T07:38:09 --startdatetime 2017-04-06T07:45:15 --delay 2 --endMP 204:233312 --enddatetime 2017-04-06T08:21:25 --enforcementcount 0 &gt;&gt;C:\Users\stu\Documents\GitHub\eaglep3-reporting\EC\2017-04-06-refined-times.txt</v>
      </c>
      <c r="AI44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{"issue":{"subject":"","project_id":79,"tracker_id":40,"status_id":1,"priority_id":2,"assigned_to_id":23,"start_date":"2017-04-06","description":"","custom_fields":[{"id":1,"name":"Subdivision","value":"EC"},{"id":4,"name":"Milepost","value":"23.3312"},{"id":17,"name":"Train ID","value":"133-06"},{"id":16,"name":"Locomotive ID","value":"4054"},{"id":130,"name":"Impact","value":""},{"id":150,"name":"Time of Event (Mountain Time)","value":"08:21:25"},{"id":151,"name":"Denver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0"/>
        <v>start /low /b %USERPROFILE%\Documents\GitHub\eaglep3\Utilities\DownloadLogsFromS3.py --loco 4054 --day 2017-04-06</v>
      </c>
      <c r="AN44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14:21:25"},{"id":29,"name":"Sharepoint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712</v>
      </c>
      <c r="B45" s="7">
        <v>4053</v>
      </c>
      <c r="C45" s="21" t="s">
        <v>216</v>
      </c>
      <c r="D45" s="21" t="s">
        <v>446</v>
      </c>
      <c r="E45" s="13">
        <v>42831.359398148146</v>
      </c>
      <c r="F45" s="13">
        <v>42831.361990740741</v>
      </c>
      <c r="G45" s="7">
        <v>1</v>
      </c>
      <c r="H45" s="21" t="s">
        <v>198</v>
      </c>
      <c r="I45" s="13">
        <v>42831.388680555552</v>
      </c>
      <c r="J45" s="7">
        <v>0</v>
      </c>
      <c r="K45" s="97" t="str">
        <f t="shared" si="0"/>
        <v>4053/4054</v>
      </c>
      <c r="L45" s="21" t="str">
        <f>VLOOKUP(A45,'Trips&amp;Operators'!$C$1:$G$99999,5,FALSE)</f>
        <v>ROBINSON KADDIBA</v>
      </c>
      <c r="M45" s="6">
        <f t="shared" si="1"/>
        <v>2.6689814811106771E-2</v>
      </c>
      <c r="N45" s="7">
        <f t="shared" si="23"/>
        <v>38.433333327993751</v>
      </c>
      <c r="O45" s="7"/>
      <c r="P45" s="7"/>
      <c r="Q45" s="22"/>
      <c r="R45" s="22"/>
      <c r="S45" s="31">
        <f t="shared" si="24"/>
        <v>1</v>
      </c>
      <c r="T45" s="46" t="str">
        <f t="shared" si="3"/>
        <v>Southbound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4"/>
        <v>https://d0f6bd738d7f1b3e5a7ca70fe4ff75f0.us-east-1.aws.found.io/app/kibana#/discover/Steve-Slow-Train-Analysis-(2080s-and-2083s)?_g=(refreshInterval:(display:Off,pause:!f,section:0,value:0),time:(from:'2017-04-06T07:37:32-0600',mode:absolute,to:'2017-04-06T10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5" s="183" t="str">
        <f t="shared" si="5"/>
        <v>N</v>
      </c>
      <c r="X45" s="183">
        <f t="shared" si="27"/>
        <v>1</v>
      </c>
      <c r="Y45" s="62">
        <f t="shared" si="7"/>
        <v>23.298500000000001</v>
      </c>
      <c r="Z45" s="62">
        <f t="shared" si="25"/>
        <v>1.52E-2</v>
      </c>
      <c r="AA45" s="62">
        <f t="shared" si="9"/>
        <v>23.283300000000001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0"/>
        <v>0134-06</v>
      </c>
      <c r="AE45" s="85" t="str">
        <f t="shared" si="11"/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AF45" s="82" t="str">
        <f t="shared" si="12"/>
        <v>"C:\Program Files (x86)\AstroGrep\AstroGrep.exe" /e /r /s /spath="%USERPROFILE%\AppData\Local\Temp\OnboardLogs" /stypes="app*4053*20170406*" /stext=" 15:.+((SYSTEM_STATE.+slice.+state.+changed )|(ment ac)|(multiple cpu faults)|(system.+state.+changed )|(\[timeout)|(PRM\|1\|D)|(kpr)|(kdp)|(\|lc)|(penalty))"</v>
      </c>
      <c r="AG45" s="1" t="str">
        <f t="shared" si="13"/>
        <v>EC</v>
      </c>
      <c r="AH45" s="86" t="str">
        <f t="shared" si="18"/>
        <v>"%USERPROFILE%\Documents\GitHub\eaglep3\Utilities\RefineRTDCRunTimes.py" --tripid 134-06 --locoid 4053 --swversion DE.1.0.9.0 --startMP 204:232985 --initTime 2017-04-06T08:37:32 --startdatetime 2017-04-06T08:41:16 --delay 1 --endMP 204:152 --enddatetime 2017-04-06T09:19:42 --enforcementcount 0 &gt;&gt;C:\Users\stu\Documents\GitHub\eaglep3-reporting\EC\2017-04-06-refined-times.txt</v>
      </c>
      <c r="AI45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{"issue":{"subject":"","project_id":79,"tracker_id":40,"status_id":1,"priority_id":2,"assigned_to_id":23,"start_date":"2017-04-06","description":"","custom_fields":[{"id":1,"name":"Subdivision","value":"EC"},{"id":4,"name":"Milepost","value":"0.0152"},{"id":17,"name":"Train ID","value":"134-06"},{"id":16,"name":"Locomotive ID","value":"4053"},{"id":130,"name":"Impact","value":""},{"id":150,"name":"Time of Event (Mountain Time)","value":"09:19:42"},{"id":151,"name":"Denver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0"/>
        <v>start /low /b %USERPROFILE%\Documents\GitHub\eaglep3\Utilities\DownloadLogsFromS3.py --loco 4053 --day 2017-04-06</v>
      </c>
      <c r="AN45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15:19:42"},{"id":29,"name":"Sharepoint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707</v>
      </c>
      <c r="B46" s="7">
        <v>4042</v>
      </c>
      <c r="C46" s="21" t="s">
        <v>216</v>
      </c>
      <c r="D46" s="21" t="s">
        <v>434</v>
      </c>
      <c r="E46" s="13">
        <v>42831.328599537039</v>
      </c>
      <c r="F46" s="13">
        <v>42831.333564814813</v>
      </c>
      <c r="G46" s="7">
        <v>1</v>
      </c>
      <c r="H46" s="21" t="s">
        <v>512</v>
      </c>
      <c r="I46" s="13">
        <v>42831.357870370368</v>
      </c>
      <c r="J46" s="7">
        <v>0</v>
      </c>
      <c r="K46" s="97" t="str">
        <f t="shared" si="0"/>
        <v>4041/4042</v>
      </c>
      <c r="L46" s="21" t="str">
        <f>VLOOKUP(A46,'Trips&amp;Operators'!$C$1:$G$99999,5,FALSE)</f>
        <v>GEBRETEKLE DAGNEW</v>
      </c>
      <c r="M46" s="6">
        <f t="shared" si="1"/>
        <v>2.4305555554747116E-2</v>
      </c>
      <c r="N46" s="7">
        <f t="shared" si="23"/>
        <v>34.999999998835847</v>
      </c>
      <c r="O46" s="7"/>
      <c r="P46" s="7"/>
      <c r="Q46" s="22"/>
      <c r="R46" s="22"/>
      <c r="S46" s="31">
        <f t="shared" si="24"/>
        <v>1</v>
      </c>
      <c r="T46" s="46" t="str">
        <f t="shared" si="3"/>
        <v>NorthBound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4"/>
        <v>https://d0f6bd738d7f1b3e5a7ca70fe4ff75f0.us-east-1.aws.found.io/app/kibana#/discover/Steve-Slow-Train-Analysis-(2080s-and-2083s)?_g=(refreshInterval:(display:Off,pause:!f,section:0,value:0),time:(from:'2017-04-06T06:53:11-0600',mode:absolute,to:'2017-04-06T09:35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6" s="183" t="str">
        <f t="shared" si="5"/>
        <v>N</v>
      </c>
      <c r="X46" s="183">
        <f t="shared" si="27"/>
        <v>1</v>
      </c>
      <c r="Y46" s="62">
        <f t="shared" si="7"/>
        <v>4.7100000000000003E-2</v>
      </c>
      <c r="Z46" s="62">
        <f t="shared" si="25"/>
        <v>23.332999999999998</v>
      </c>
      <c r="AA46" s="62">
        <f t="shared" si="9"/>
        <v>23.285899999999998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0"/>
        <v>0135-06</v>
      </c>
      <c r="AE46" s="85" t="str">
        <f t="shared" si="11"/>
        <v>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 &amp; 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</v>
      </c>
      <c r="AF46" s="82" t="str">
        <f t="shared" si="12"/>
        <v>"C:\Program Files (x86)\AstroGrep\AstroGrep.exe" /e /r /s /spath="%USERPROFILE%\AppData\Local\Temp\OnboardLogs" /stypes="app*4042*20170406*" /stext=" 14:.+((SYSTEM_STATE.+slice.+state.+changed )|(ment ac)|(multiple cpu faults)|(system.+state.+changed )|(\[timeout)|(PRM\|1\|D)|(kpr)|(kdp)|(\|lc)|(penalty))"</v>
      </c>
      <c r="AG46" s="1" t="str">
        <f t="shared" si="13"/>
        <v>EC</v>
      </c>
      <c r="AH46" s="86" t="str">
        <f t="shared" si="18"/>
        <v>"%USERPROFILE%\Documents\GitHub\eaglep3\Utilities\RefineRTDCRunTimes.py" --tripid 135-06 --locoid 4042 --swversion DE.1.0.9.0 --startMP 204:471 --initTime 2017-04-06T07:53:11 --startdatetime 2017-04-06T08:00:20 --delay 1 --endMP 204:233330 --enddatetime 2017-04-06T08:35:20 --enforcementcount 0 &gt;&gt;C:\Users\stu\Documents\GitHub\eaglep3-reporting\EC\2017-04-06-refined-times.txt</v>
      </c>
      <c r="AI46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{"issue":{"subject":"","project_id":79,"tracker_id":40,"status_id":1,"priority_id":2,"assigned_to_id":23,"start_date":"2017-04-06","description":"","custom_fields":[{"id":1,"name":"Subdivision","value":"EC"},{"id":4,"name":"Milepost","value":"23.333"},{"id":17,"name":"Train ID","value":"135-06"},{"id":16,"name":"Locomotive ID","value":"4042"},{"id":130,"name":"Impact","value":""},{"id":150,"name":"Time of Event (Mountain Time)","value":"08:35:20"},{"id":151,"name":"Denver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0"/>
        <v>start /low /b %USERPROFILE%\Documents\GitHub\eaglep3\Utilities\DownloadLogsFromS3.py --loco 4042 --day 2017-04-06</v>
      </c>
      <c r="AN46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14:35:20"},{"id":29,"name":"Sharepoint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714</v>
      </c>
      <c r="B47" s="7">
        <v>4041</v>
      </c>
      <c r="C47" s="21" t="s">
        <v>216</v>
      </c>
      <c r="D47" s="21" t="s">
        <v>435</v>
      </c>
      <c r="E47" s="13">
        <v>42831.369710648149</v>
      </c>
      <c r="F47" s="13">
        <v>42831.372418981482</v>
      </c>
      <c r="G47" s="7">
        <v>1</v>
      </c>
      <c r="H47" s="21" t="s">
        <v>212</v>
      </c>
      <c r="I47" s="13">
        <v>42831.399340277778</v>
      </c>
      <c r="J47" s="7">
        <v>0</v>
      </c>
      <c r="K47" s="97" t="str">
        <f t="shared" si="0"/>
        <v>4041/4042</v>
      </c>
      <c r="L47" s="21" t="str">
        <f>VLOOKUP(A47,'Trips&amp;Operators'!$C$1:$G$99999,5,FALSE)</f>
        <v>GEBRETEKLE DAGNEW</v>
      </c>
      <c r="M47" s="6">
        <f t="shared" si="1"/>
        <v>2.6921296295768116E-2</v>
      </c>
      <c r="N47" s="7">
        <f t="shared" si="23"/>
        <v>38.766666665906087</v>
      </c>
      <c r="O47" s="7"/>
      <c r="P47" s="7"/>
      <c r="Q47" s="22"/>
      <c r="R47" s="22"/>
      <c r="S47" s="31">
        <f t="shared" si="24"/>
        <v>1</v>
      </c>
      <c r="T47" s="46" t="str">
        <f t="shared" si="3"/>
        <v>Southbound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4"/>
        <v>https://d0f6bd738d7f1b3e5a7ca70fe4ff75f0.us-east-1.aws.found.io/app/kibana#/discover/Steve-Slow-Train-Analysis-(2080s-and-2083s)?_g=(refreshInterval:(display:Off,pause:!f,section:0,value:0),time:(from:'2017-04-06T07:52:23-0600',mode:absolute,to:'2017-04-06T10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7" s="183" t="str">
        <f t="shared" si="5"/>
        <v>N</v>
      </c>
      <c r="X47" s="183">
        <f t="shared" si="27"/>
        <v>1</v>
      </c>
      <c r="Y47" s="62">
        <f t="shared" si="7"/>
        <v>23.2988</v>
      </c>
      <c r="Z47" s="62">
        <f t="shared" si="25"/>
        <v>1.5599999999999999E-2</v>
      </c>
      <c r="AA47" s="62">
        <f t="shared" si="9"/>
        <v>23.283200000000001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0"/>
        <v>0136-06</v>
      </c>
      <c r="AE47" s="85" t="str">
        <f t="shared" si="11"/>
        <v>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 &amp; aws s3 cp s3://rtdc.mdm.uploadarchive.raw/RTDC4041/ "%USERPROFILE%\AppData\Local\Temp\OnboardLogs"\RTDC4041\2017-04-07 --exclude "*" --recursive --include "*20170407*" &amp; "%USERPROFILE%\Documents\GitHub\mrs-test-scripts\Headless Mode &amp; Sideloading\WalkAndUnGZ.bat" "%USERPROFILE%\AppData\Local\Temp\OnboardLogs"\RTDC4041\2017-04-07</v>
      </c>
      <c r="AF47" s="82" t="str">
        <f t="shared" si="12"/>
        <v>"C:\Program Files (x86)\AstroGrep\AstroGrep.exe" /e /r /s /spath="%USERPROFILE%\AppData\Local\Temp\OnboardLogs" /stypes="app*4041*20170406*" /stext=" 15:.+((SYSTEM_STATE.+slice.+state.+changed )|(ment ac)|(multiple cpu faults)|(system.+state.+changed )|(\[timeout)|(PRM\|1\|D)|(kpr)|(kdp)|(\|lc)|(penalty))"</v>
      </c>
      <c r="AG47" s="1" t="str">
        <f t="shared" si="13"/>
        <v>EC</v>
      </c>
      <c r="AH47" s="86" t="str">
        <f t="shared" si="18"/>
        <v>"%USERPROFILE%\Documents\GitHub\eaglep3\Utilities\RefineRTDCRunTimes.py" --tripid 136-06 --locoid 4041 --swversion DE.1.0.9.0 --startMP 204:232988 --initTime 2017-04-06T08:52:23 --startdatetime 2017-04-06T08:56:17 --delay 1 --endMP 204:156 --enddatetime 2017-04-06T09:35:03 --enforcementcount 0 &gt;&gt;C:\Users\stu\Documents\GitHub\eaglep3-reporting\EC\2017-04-06-refined-times.txt</v>
      </c>
      <c r="AI47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{"issue":{"subject":"","project_id":79,"tracker_id":40,"status_id":1,"priority_id":2,"assigned_to_id":23,"start_date":"2017-04-06","description":"","custom_fields":[{"id":1,"name":"Subdivision","value":"EC"},{"id":4,"name":"Milepost","value":"0.0156"},{"id":17,"name":"Train ID","value":"136-06"},{"id":16,"name":"Locomotive ID","value":"4041"},{"id":130,"name":"Impact","value":""},{"id":150,"name":"Time of Event (Mountain Time)","value":"09:35:03"},{"id":151,"name":"Denver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0"/>
        <v>start /low /b %USERPROFILE%\Documents\GitHub\eaglep3\Utilities\DownloadLogsFromS3.py --loco 4041 --day 2017-04-06</v>
      </c>
      <c r="AN47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15:35:03"},{"id":29,"name":"Sharepoint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626</v>
      </c>
      <c r="B48" s="7">
        <v>4018</v>
      </c>
      <c r="C48" s="21" t="s">
        <v>216</v>
      </c>
      <c r="D48" s="21" t="s">
        <v>598</v>
      </c>
      <c r="E48" s="13">
        <v>42831.340578703705</v>
      </c>
      <c r="F48" s="13">
        <v>42831.344027777777</v>
      </c>
      <c r="G48" s="7">
        <v>1</v>
      </c>
      <c r="H48" s="21" t="s">
        <v>519</v>
      </c>
      <c r="I48" s="13">
        <v>42831.369293981479</v>
      </c>
      <c r="J48" s="7">
        <v>0</v>
      </c>
      <c r="K48" s="97" t="str">
        <f t="shared" si="0"/>
        <v>4017/4018</v>
      </c>
      <c r="L48" s="21" t="str">
        <f>VLOOKUP(A48,'Trips&amp;Operators'!$C$1:$G$99999,5,FALSE)</f>
        <v>MENGES BRAD</v>
      </c>
      <c r="M48" s="6">
        <f t="shared" si="1"/>
        <v>2.5266203701903578E-2</v>
      </c>
      <c r="N48" s="7">
        <f t="shared" si="23"/>
        <v>36.383333330741152</v>
      </c>
      <c r="O48" s="7"/>
      <c r="P48" s="7"/>
      <c r="Q48" s="22"/>
      <c r="R48" s="22"/>
      <c r="S48" s="31">
        <f t="shared" si="24"/>
        <v>1</v>
      </c>
      <c r="T48" s="46" t="str">
        <f t="shared" si="3"/>
        <v>NorthBound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4"/>
        <v>https://d0f6bd738d7f1b3e5a7ca70fe4ff75f0.us-east-1.aws.found.io/app/kibana#/discover/Steve-Slow-Train-Analysis-(2080s-and-2083s)?_g=(refreshInterval:(display:Off,pause:!f,section:0,value:0),time:(from:'2017-04-06T07:10:26-0600',mode:absolute,to:'2017-04-06T09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8" s="183" t="str">
        <f t="shared" si="5"/>
        <v>N</v>
      </c>
      <c r="X48" s="183">
        <f t="shared" si="27"/>
        <v>1</v>
      </c>
      <c r="Y48" s="62">
        <f t="shared" si="7"/>
        <v>4.6399999999999997E-2</v>
      </c>
      <c r="Z48" s="62">
        <f t="shared" si="25"/>
        <v>23.33</v>
      </c>
      <c r="AA48" s="62">
        <f t="shared" si="9"/>
        <v>23.2836</v>
      </c>
      <c r="AB48" s="59" t="str">
        <f>VLOOKUP(A48,Enforcements!$C$7:$K$13,8,0)</f>
        <v>Bulletin (2)</v>
      </c>
      <c r="AC48" s="55" t="str">
        <f>VLOOKUP(A48,Enforcements!$C$7:$E$13,3,0)</f>
        <v>GRADE CROSSING</v>
      </c>
      <c r="AD48" s="56" t="str">
        <f t="shared" si="10"/>
        <v>0137-06</v>
      </c>
      <c r="AE48" s="85" t="str">
        <f t="shared" si="11"/>
        <v>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 &amp; aws s3 cp s3://rtdc.mdm.uploadarchive.raw/RTDC4018/ "%USERPROFILE%\AppData\Local\Temp\OnboardLogs"\RTDC4018\2017-04-07 --exclude "*" --recursive --include "*20170407*" &amp; "%USERPROFILE%\Documents\GitHub\mrs-test-scripts\Headless Mode &amp; Sideloading\WalkAndUnGZ.bat" "%USERPROFILE%\AppData\Local\Temp\OnboardLogs"\RTDC4018\2017-04-07</v>
      </c>
      <c r="AF48" s="82" t="str">
        <f t="shared" si="12"/>
        <v>"C:\Program Files (x86)\AstroGrep\AstroGrep.exe" /e /r /s /spath="%USERPROFILE%\AppData\Local\Temp\OnboardLogs" /stypes="app*4018*20170406*" /stext=" 14:.+((SYSTEM_STATE.+slice.+state.+changed )|(ment ac)|(multiple cpu faults)|(system.+state.+changed )|(\[timeout)|(PRM\|1\|D)|(kpr)|(kdp)|(\|lc)|(penalty))"</v>
      </c>
      <c r="AG48" s="1" t="str">
        <f t="shared" si="13"/>
        <v>EC</v>
      </c>
      <c r="AH48" s="86" t="str">
        <f t="shared" si="18"/>
        <v>"%USERPROFILE%\Documents\GitHub\eaglep3\Utilities\RefineRTDCRunTimes.py" --tripid 137-06 --locoid 4018 --swversion DE.1.0.9.0 --startMP 204:464 --initTime 2017-04-06T08:10:26 --startdatetime 2017-04-06T08:15:24 --delay 1 --endMP 204:233300 --enddatetime 2017-04-06T08:51:47 --enforcementcount 0 &gt;&gt;C:\Users\stu\Documents\GitHub\eaglep3-reporting\EC\2017-04-06-refined-times.txt</v>
      </c>
      <c r="AI48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{"issue":{"subject":"","project_id":79,"tracker_id":40,"status_id":1,"priority_id":2,"assigned_to_id":23,"start_date":"2017-04-06","description":"","custom_fields":[{"id":1,"name":"Subdivision","value":"EC"},{"id":4,"name":"Milepost","value":"23.33"},{"id":17,"name":"Train ID","value":"137-06"},{"id":16,"name":"Locomotive ID","value":"4018"},{"id":130,"name":"Impact","value":""},{"id":150,"name":"Time of Event (Mountain Time)","value":"08:51:47"},{"id":151,"name":"Denver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0"/>
        <v>start /low /b %USERPROFILE%\Documents\GitHub\eaglep3\Utilities\DownloadLogsFromS3.py --loco 4018 --day 2017-04-06</v>
      </c>
      <c r="AN48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14:51:47"},{"id":29,"name":"Sharepoint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632</v>
      </c>
      <c r="B49" s="7">
        <v>4017</v>
      </c>
      <c r="C49" s="21" t="s">
        <v>216</v>
      </c>
      <c r="D49" s="21" t="s">
        <v>446</v>
      </c>
      <c r="E49" s="13">
        <v>42831.381805555553</v>
      </c>
      <c r="F49" s="13">
        <v>42831.382974537039</v>
      </c>
      <c r="G49" s="7">
        <v>1</v>
      </c>
      <c r="H49" s="21" t="s">
        <v>184</v>
      </c>
      <c r="I49" s="13">
        <v>42831.410740740743</v>
      </c>
      <c r="J49" s="7">
        <v>0</v>
      </c>
      <c r="K49" s="97" t="str">
        <f t="shared" si="0"/>
        <v>4017/4018</v>
      </c>
      <c r="L49" s="21" t="str">
        <f>VLOOKUP(A49,'Trips&amp;Operators'!$C$1:$G$99999,5,FALSE)</f>
        <v>MENGES BRAD</v>
      </c>
      <c r="M49" s="6">
        <f t="shared" si="1"/>
        <v>2.7766203704231884E-2</v>
      </c>
      <c r="N49" s="7">
        <f t="shared" si="23"/>
        <v>39.983333334093913</v>
      </c>
      <c r="O49" s="7"/>
      <c r="P49" s="7"/>
      <c r="Q49" s="22"/>
      <c r="R49" s="22"/>
      <c r="S49" s="31">
        <f t="shared" si="24"/>
        <v>1</v>
      </c>
      <c r="T49" s="46" t="str">
        <f t="shared" si="3"/>
        <v>Southbound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4"/>
        <v>https://d0f6bd738d7f1b3e5a7ca70fe4ff75f0.us-east-1.aws.found.io/app/kibana#/discover/Steve-Slow-Train-Analysis-(2080s-and-2083s)?_g=(refreshInterval:(display:Off,pause:!f,section:0,value:0),time:(from:'2017-04-06T08:09:48-0600',mode:absolute,to:'2017-04-06T10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9" s="183" t="str">
        <f t="shared" si="5"/>
        <v>N</v>
      </c>
      <c r="X49" s="183">
        <f t="shared" si="27"/>
        <v>1</v>
      </c>
      <c r="Y49" s="62">
        <f t="shared" si="7"/>
        <v>23.298500000000001</v>
      </c>
      <c r="Z49" s="62">
        <f t="shared" si="25"/>
        <v>1.49E-2</v>
      </c>
      <c r="AA49" s="62">
        <f t="shared" si="9"/>
        <v>23.2836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0"/>
        <v>0138-06</v>
      </c>
      <c r="AE49" s="85" t="str">
        <f t="shared" si="11"/>
        <v>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 &amp; aws s3 cp s3://rtdc.mdm.uploadarchive.raw/RTDC4017/ "%USERPROFILE%\AppData\Local\Temp\OnboardLogs"\RTDC4017\2017-04-07 --exclude "*" --recursive --include "*20170407*" &amp; "%USERPROFILE%\Documents\GitHub\mrs-test-scripts\Headless Mode &amp; Sideloading\WalkAndUnGZ.bat" "%USERPROFILE%\AppData\Local\Temp\OnboardLogs"\RTDC4017\2017-04-07</v>
      </c>
      <c r="AF49" s="82" t="str">
        <f t="shared" si="12"/>
        <v>"C:\Program Files (x86)\AstroGrep\AstroGrep.exe" /e /r /s /spath="%USERPROFILE%\AppData\Local\Temp\OnboardLogs" /stypes="app*4017*20170406*" /stext=" 15:.+((SYSTEM_STATE.+slice.+state.+changed )|(ment ac)|(multiple cpu faults)|(system.+state.+changed )|(\[timeout)|(PRM\|1\|D)|(kpr)|(kdp)|(\|lc)|(penalty))"</v>
      </c>
      <c r="AG49" s="1" t="str">
        <f t="shared" si="13"/>
        <v>EC</v>
      </c>
      <c r="AH49" s="86" t="str">
        <f t="shared" si="18"/>
        <v>"%USERPROFILE%\Documents\GitHub\eaglep3\Utilities\RefineRTDCRunTimes.py" --tripid 138-06 --locoid 4017 --swversion DE.1.0.9.0 --startMP 204:232985 --initTime 2017-04-06T09:09:48 --startdatetime 2017-04-06T09:11:29 --delay 1 --endMP 204:149 --enddatetime 2017-04-06T09:51:28 --enforcementcount 0 &gt;&gt;C:\Users\stu\Documents\GitHub\eaglep3-reporting\EC\2017-04-06-refined-times.txt</v>
      </c>
      <c r="AI49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{"issue":{"subject":"","project_id":79,"tracker_id":40,"status_id":1,"priority_id":2,"assigned_to_id":23,"start_date":"2017-04-06","description":"","custom_fields":[{"id":1,"name":"Subdivision","value":"EC"},{"id":4,"name":"Milepost","value":"0.0149"},{"id":17,"name":"Train ID","value":"138-06"},{"id":16,"name":"Locomotive ID","value":"4017"},{"id":130,"name":"Impact","value":""},{"id":150,"name":"Time of Event (Mountain Time)","value":"09:51:28"},{"id":151,"name":"Denver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0"/>
        <v>start /low /b %USERPROFILE%\Documents\GitHub\eaglep3\Utilities\DownloadLogsFromS3.py --loco 4017 --day 2017-04-06</v>
      </c>
      <c r="AN49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15:51:28"},{"id":29,"name":"Sharepoint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710</v>
      </c>
      <c r="B50" s="7">
        <v>4004</v>
      </c>
      <c r="C50" s="21" t="s">
        <v>216</v>
      </c>
      <c r="D50" s="21" t="s">
        <v>422</v>
      </c>
      <c r="E50" s="13">
        <v>42831.349537037036</v>
      </c>
      <c r="F50" s="13">
        <v>42831.354386574072</v>
      </c>
      <c r="G50" s="7">
        <v>0</v>
      </c>
      <c r="H50" s="21" t="s">
        <v>873</v>
      </c>
      <c r="I50" s="13">
        <v>42831.378645833334</v>
      </c>
      <c r="J50" s="7">
        <v>0</v>
      </c>
      <c r="K50" s="97" t="str">
        <f t="shared" si="0"/>
        <v>4003/4004</v>
      </c>
      <c r="L50" s="21" t="str">
        <f>VLOOKUP(A50,'Trips&amp;Operators'!$C$1:$G$99999,5,FALSE)</f>
        <v>YORK EDGAR</v>
      </c>
      <c r="M50" s="6">
        <f t="shared" si="1"/>
        <v>2.4259259262180422E-2</v>
      </c>
      <c r="N50" s="7">
        <f t="shared" si="23"/>
        <v>34.933333337539807</v>
      </c>
      <c r="O50" s="7"/>
      <c r="P50" s="7"/>
      <c r="Q50" s="22"/>
      <c r="R50" s="22"/>
      <c r="S50" s="31">
        <f t="shared" si="24"/>
        <v>1</v>
      </c>
      <c r="T50" s="46" t="str">
        <f t="shared" si="3"/>
        <v>NorthBound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4"/>
        <v>https://d0f6bd738d7f1b3e5a7ca70fe4ff75f0.us-east-1.aws.found.io/app/kibana#/discover/Steve-Slow-Train-Analysis-(2080s-and-2083s)?_g=(refreshInterval:(display:Off,pause:!f,section:0,value:0),time:(from:'2017-04-06T07:23:20-0600',mode:absolute,to:'2017-04-06T10:05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0" s="183" t="str">
        <f t="shared" si="5"/>
        <v>N</v>
      </c>
      <c r="X50" s="183">
        <f t="shared" si="27"/>
        <v>1</v>
      </c>
      <c r="Y50" s="62">
        <f t="shared" si="7"/>
        <v>4.3999999999999997E-2</v>
      </c>
      <c r="Z50" s="62">
        <f t="shared" si="25"/>
        <v>23.328800000000001</v>
      </c>
      <c r="AA50" s="62">
        <f t="shared" si="9"/>
        <v>23.284800000000001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0"/>
        <v>0139-06</v>
      </c>
      <c r="AE50" s="85" t="str">
        <f t="shared" si="11"/>
        <v>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 &amp; aws s3 cp s3://rtdc.mdm.uploadarchive.raw/RTDC4004/ "%USERPROFILE%\AppData\Local\Temp\OnboardLogs"\RTDC4004\2017-04-07 --exclude "*" --recursive --include "*20170407*" &amp; "%USERPROFILE%\Documents\GitHub\mrs-test-scripts\Headless Mode &amp; Sideloading\WalkAndUnGZ.bat" "%USERPROFILE%\AppData\Local\Temp\OnboardLogs"\RTDC4004\2017-04-07</v>
      </c>
      <c r="AF50" s="82" t="str">
        <f t="shared" si="12"/>
        <v>"C:\Program Files (x86)\AstroGrep\AstroGrep.exe" /e /r /s /spath="%USERPROFILE%\AppData\Local\Temp\OnboardLogs" /stypes="app*4004*20170406*" /stext=" 15:.+((SYSTEM_STATE.+slice.+state.+changed )|(ment ac)|(multiple cpu faults)|(system.+state.+changed )|(\[timeout)|(PRM\|1\|D)|(kpr)|(kdp)|(\|lc)|(penalty))"</v>
      </c>
      <c r="AG50" s="1" t="str">
        <f t="shared" si="13"/>
        <v>EC</v>
      </c>
      <c r="AH50" s="86" t="str">
        <f t="shared" si="18"/>
        <v>"%USERPROFILE%\Documents\GitHub\eaglep3\Utilities\RefineRTDCRunTimes.py" --tripid 139-06 --locoid 4004 --swversion DE.1.0.9.0 --startMP 204:440 --initTime 2017-04-06T08:23:20 --startdatetime 2017-04-06T08:30:19 --delay 0 --endMP 204:233288 --enddatetime 2017-04-06T09:05:15 --enforcementcount 0 &gt;&gt;C:\Users\stu\Documents\GitHub\eaglep3-reporting\EC\2017-04-06-refined-times.txt</v>
      </c>
      <c r="AI50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{"issue":{"subject":"","project_id":79,"tracker_id":40,"status_id":1,"priority_id":2,"assigned_to_id":23,"start_date":"2017-04-06","description":"","custom_fields":[{"id":1,"name":"Subdivision","value":"EC"},{"id":4,"name":"Milepost","value":"23.3288"},{"id":17,"name":"Train ID","value":"139-06"},{"id":16,"name":"Locomotive ID","value":"4004"},{"id":130,"name":"Impact","value":""},{"id":150,"name":"Time of Event (Mountain Time)","value":"09:05:15"},{"id":151,"name":"Denver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0"/>
        <v>start /low /b %USERPROFILE%\Documents\GitHub\eaglep3\Utilities\DownloadLogsFromS3.py --loco 4004 --day 2017-04-06</v>
      </c>
      <c r="AN50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15:05:15"},{"id":29,"name":"Sharepoint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715</v>
      </c>
      <c r="B51" s="7">
        <v>4003</v>
      </c>
      <c r="C51" s="21" t="s">
        <v>216</v>
      </c>
      <c r="D51" s="21" t="s">
        <v>472</v>
      </c>
      <c r="E51" s="13">
        <v>42831.379652777781</v>
      </c>
      <c r="F51" s="13">
        <v>42831.393958333334</v>
      </c>
      <c r="G51" s="7">
        <v>1</v>
      </c>
      <c r="H51" s="21" t="s">
        <v>212</v>
      </c>
      <c r="I51" s="13">
        <v>42831.420046296298</v>
      </c>
      <c r="J51" s="7">
        <v>0</v>
      </c>
      <c r="K51" s="97" t="str">
        <f t="shared" si="0"/>
        <v>4003/4004</v>
      </c>
      <c r="L51" s="21" t="str">
        <f>VLOOKUP(A51,'Trips&amp;Operators'!$C$1:$G$99999,5,FALSE)</f>
        <v>YORK EDGAR</v>
      </c>
      <c r="M51" s="6">
        <f t="shared" si="1"/>
        <v>2.6087962964083999E-2</v>
      </c>
      <c r="N51" s="7">
        <f t="shared" si="23"/>
        <v>37.566666668280959</v>
      </c>
      <c r="O51" s="7"/>
      <c r="P51" s="7"/>
      <c r="Q51" s="22"/>
      <c r="R51" s="22"/>
      <c r="S51" s="31">
        <f t="shared" si="24"/>
        <v>1</v>
      </c>
      <c r="T51" s="46" t="str">
        <f t="shared" si="3"/>
        <v>Southbound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4"/>
        <v>https://d0f6bd738d7f1b3e5a7ca70fe4ff75f0.us-east-1.aws.found.io/app/kibana#/discover/Steve-Slow-Train-Analysis-(2080s-and-2083s)?_g=(refreshInterval:(display:Off,pause:!f,section:0,value:0),time:(from:'2017-04-06T08:06:42-0600',mode:absolute,to:'2017-04-06T11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1" s="183" t="str">
        <f t="shared" si="5"/>
        <v>N</v>
      </c>
      <c r="X51" s="183">
        <f t="shared" si="27"/>
        <v>1</v>
      </c>
      <c r="Y51" s="62">
        <f t="shared" si="7"/>
        <v>23.296299999999999</v>
      </c>
      <c r="Z51" s="62">
        <f t="shared" si="25"/>
        <v>1.5599999999999999E-2</v>
      </c>
      <c r="AA51" s="62">
        <f t="shared" si="9"/>
        <v>23.2807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0"/>
        <v>0140-06</v>
      </c>
      <c r="AE51" s="85" t="str">
        <f t="shared" si="11"/>
        <v>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 &amp; aws s3 cp s3://rtdc.mdm.uploadarchive.raw/RTDC4003/ "%USERPROFILE%\AppData\Local\Temp\OnboardLogs"\RTDC4003\2017-04-07 --exclude "*" --recursive --include "*20170407*" &amp; "%USERPROFILE%\Documents\GitHub\mrs-test-scripts\Headless Mode &amp; Sideloading\WalkAndUnGZ.bat" "%USERPROFILE%\AppData\Local\Temp\OnboardLogs"\RTDC4003\2017-04-07</v>
      </c>
      <c r="AF51" s="82" t="str">
        <f t="shared" si="12"/>
        <v>"C:\Program Files (x86)\AstroGrep\AstroGrep.exe" /e /r /s /spath="%USERPROFILE%\AppData\Local\Temp\OnboardLogs" /stypes="app*4003*20170406*" /stext=" 16:.+((SYSTEM_STATE.+slice.+state.+changed )|(ment ac)|(multiple cpu faults)|(system.+state.+changed )|(\[timeout)|(PRM\|1\|D)|(kpr)|(kdp)|(\|lc)|(penalty))"</v>
      </c>
      <c r="AG51" s="1" t="str">
        <f t="shared" si="13"/>
        <v>EC</v>
      </c>
      <c r="AH51" s="86" t="str">
        <f t="shared" si="18"/>
        <v>"%USERPROFILE%\Documents\GitHub\eaglep3\Utilities\RefineRTDCRunTimes.py" --tripid 140-06 --locoid 4003 --swversion DE.1.0.9.0 --startMP 204:232963 --initTime 2017-04-06T09:06:42 --startdatetime 2017-04-06T09:27:18 --delay 1 --endMP 204:156 --enddatetime 2017-04-06T10:04:52 --enforcementcount 0 &gt;&gt;C:\Users\stu\Documents\GitHub\eaglep3-reporting\EC\2017-04-06-refined-times.txt</v>
      </c>
      <c r="AI51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{"issue":{"subject":"","project_id":79,"tracker_id":40,"status_id":1,"priority_id":2,"assigned_to_id":23,"start_date":"2017-04-06","description":"","custom_fields":[{"id":1,"name":"Subdivision","value":"EC"},{"id":4,"name":"Milepost","value":"0.0156"},{"id":17,"name":"Train ID","value":"140-06"},{"id":16,"name":"Locomotive ID","value":"4003"},{"id":130,"name":"Impact","value":""},{"id":150,"name":"Time of Event (Mountain Time)","value":"10:04:52"},{"id":151,"name":"Denver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0"/>
        <v>start /low /b %USERPROFILE%\Documents\GitHub\eaglep3\Utilities\DownloadLogsFromS3.py --loco 4003 --day 2017-04-06</v>
      </c>
      <c r="AN51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16:04:52"},{"id":29,"name":"Sharepoint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713</v>
      </c>
      <c r="B52" s="7">
        <v>4006</v>
      </c>
      <c r="C52" s="21" t="s">
        <v>216</v>
      </c>
      <c r="D52" s="21" t="s">
        <v>211</v>
      </c>
      <c r="E52" s="13">
        <v>42831.361342592594</v>
      </c>
      <c r="F52" s="13">
        <v>42831.364745370367</v>
      </c>
      <c r="G52" s="7">
        <v>1</v>
      </c>
      <c r="H52" s="21" t="s">
        <v>874</v>
      </c>
      <c r="I52" s="13">
        <v>42831.391493055555</v>
      </c>
      <c r="J52" s="7">
        <v>0</v>
      </c>
      <c r="K52" s="97" t="str">
        <f t="shared" si="0"/>
        <v>4005/4006</v>
      </c>
      <c r="L52" s="21" t="str">
        <f>VLOOKUP(A52,'Trips&amp;Operators'!$C$1:$G$99999,5,FALSE)</f>
        <v>BADERTSCHER DIANE</v>
      </c>
      <c r="M52" s="6">
        <f t="shared" si="1"/>
        <v>2.6747685187729076E-2</v>
      </c>
      <c r="N52" s="7">
        <f t="shared" si="23"/>
        <v>38.516666670329869</v>
      </c>
      <c r="O52" s="7"/>
      <c r="P52" s="7"/>
      <c r="Q52" s="22"/>
      <c r="R52" s="22"/>
      <c r="S52" s="31">
        <f t="shared" si="24"/>
        <v>1</v>
      </c>
      <c r="T52" s="46" t="str">
        <f t="shared" si="3"/>
        <v>NorthBound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4"/>
        <v>https://d0f6bd738d7f1b3e5a7ca70fe4ff75f0.us-east-1.aws.found.io/app/kibana#/discover/Steve-Slow-Train-Analysis-(2080s-and-2083s)?_g=(refreshInterval:(display:Off,pause:!f,section:0,value:0),time:(from:'2017-04-06T07:40:20-0600',mode:absolute,to:'2017-04-06T10:23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52" s="183" t="str">
        <f t="shared" si="5"/>
        <v>N</v>
      </c>
      <c r="X52" s="183">
        <f t="shared" si="27"/>
        <v>1</v>
      </c>
      <c r="Y52" s="62">
        <f t="shared" si="7"/>
        <v>4.5499999999999999E-2</v>
      </c>
      <c r="Z52" s="62">
        <f t="shared" si="25"/>
        <v>23.328700000000001</v>
      </c>
      <c r="AA52" s="62">
        <f t="shared" si="9"/>
        <v>23.283200000000001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0"/>
        <v>0141-06</v>
      </c>
      <c r="AE52" s="85" t="str">
        <f t="shared" si="11"/>
        <v>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 &amp; aws s3 cp s3://rtdc.mdm.uploadarchive.raw/RTDC4006/ "%USERPROFILE%\AppData\Local\Temp\OnboardLogs"\RTDC4006\2017-04-07 --exclude "*" --recursive --include "*20170407*" &amp; "%USERPROFILE%\Documents\GitHub\mrs-test-scripts\Headless Mode &amp; Sideloading\WalkAndUnGZ.bat" "%USERPROFILE%\AppData\Local\Temp\OnboardLogs"\RTDC4006\2017-04-07</v>
      </c>
      <c r="AF52" s="82" t="str">
        <f t="shared" si="12"/>
        <v>"C:\Program Files (x86)\AstroGrep\AstroGrep.exe" /e /r /s /spath="%USERPROFILE%\AppData\Local\Temp\OnboardLogs" /stypes="app*4006*20170406*" /stext=" 15:.+((SYSTEM_STATE.+slice.+state.+changed )|(ment ac)|(multiple cpu faults)|(system.+state.+changed )|(\[timeout)|(PRM\|1\|D)|(kpr)|(kdp)|(\|lc)|(penalty))"</v>
      </c>
      <c r="AG52" s="1" t="str">
        <f t="shared" si="13"/>
        <v>EC</v>
      </c>
      <c r="AH52" s="86" t="str">
        <f t="shared" si="18"/>
        <v>"%USERPROFILE%\Documents\GitHub\eaglep3\Utilities\RefineRTDCRunTimes.py" --tripid 141-06 --locoid 4006 --swversion DE.1.0.9.0 --startMP 204:455 --initTime 2017-04-06T08:40:20 --startdatetime 2017-04-06T08:45:14 --delay 1 --endMP 204:233287 --enddatetime 2017-04-06T09:23:45 --enforcementcount 0 &gt;&gt;C:\Users\stu\Documents\GitHub\eaglep3-reporting\EC\2017-04-06-refined-times.txt</v>
      </c>
      <c r="AI52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{"issue":{"subject":"","project_id":79,"tracker_id":40,"status_id":1,"priority_id":2,"assigned_to_id":23,"start_date":"2017-04-06","description":"","custom_fields":[{"id":1,"name":"Subdivision","value":"EC"},{"id":4,"name":"Milepost","value":"23.3287"},{"id":17,"name":"Train ID","value":"141-06"},{"id":16,"name":"Locomotive ID","value":"4006"},{"id":130,"name":"Impact","value":""},{"id":150,"name":"Time of Event (Mountain Time)","value":"09:23:45"},{"id":151,"name":"Denver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0"/>
        <v>start /low /b %USERPROFILE%\Documents\GitHub\eaglep3\Utilities\DownloadLogsFromS3.py --loco 4006 --day 2017-04-06</v>
      </c>
      <c r="AN52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15:23:45"},{"id":29,"name":"Sharepoint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718</v>
      </c>
      <c r="B53" s="7">
        <v>4005</v>
      </c>
      <c r="C53" s="21" t="s">
        <v>216</v>
      </c>
      <c r="D53" s="21" t="s">
        <v>875</v>
      </c>
      <c r="E53" s="13">
        <v>42831.395578703705</v>
      </c>
      <c r="F53" s="13">
        <v>42831.403645833336</v>
      </c>
      <c r="G53" s="7">
        <v>1</v>
      </c>
      <c r="H53" s="21" t="s">
        <v>514</v>
      </c>
      <c r="I53" s="13">
        <v>42831.43178240741</v>
      </c>
      <c r="J53" s="7">
        <v>0</v>
      </c>
      <c r="K53" s="97" t="str">
        <f t="shared" si="0"/>
        <v>4005/4006</v>
      </c>
      <c r="L53" s="21" t="str">
        <f>VLOOKUP(A53,'Trips&amp;Operators'!$C$1:$G$99999,5,FALSE)</f>
        <v>BADERTSCHER DIANE</v>
      </c>
      <c r="M53" s="6">
        <f t="shared" si="1"/>
        <v>2.8136574073869269E-2</v>
      </c>
      <c r="N53" s="7">
        <f t="shared" si="23"/>
        <v>40.516666666371748</v>
      </c>
      <c r="O53" s="7"/>
      <c r="P53" s="7"/>
      <c r="Q53" s="22"/>
      <c r="R53" s="22"/>
      <c r="S53" s="31">
        <f t="shared" si="24"/>
        <v>1</v>
      </c>
      <c r="T53" s="46" t="str">
        <f t="shared" si="3"/>
        <v>Southbound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4"/>
        <v>https://d0f6bd738d7f1b3e5a7ca70fe4ff75f0.us-east-1.aws.found.io/app/kibana#/discover/Steve-Slow-Train-Analysis-(2080s-and-2083s)?_g=(refreshInterval:(display:Off,pause:!f,section:0,value:0),time:(from:'2017-04-06T08:29:38-0600',mode:absolute,to:'2017-04-06T11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3" s="183" t="str">
        <f t="shared" si="5"/>
        <v>N</v>
      </c>
      <c r="X53" s="183">
        <f t="shared" si="27"/>
        <v>1</v>
      </c>
      <c r="Y53" s="62">
        <f t="shared" si="7"/>
        <v>23.298100000000002</v>
      </c>
      <c r="Z53" s="62">
        <f t="shared" si="25"/>
        <v>1.32E-2</v>
      </c>
      <c r="AA53" s="62">
        <f t="shared" si="9"/>
        <v>23.2849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0"/>
        <v>0142-06</v>
      </c>
      <c r="AE53" s="85" t="str">
        <f t="shared" si="11"/>
        <v>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 &amp; aws s3 cp s3://rtdc.mdm.uploadarchive.raw/RTDC4005/ "%USERPROFILE%\AppData\Local\Temp\OnboardLogs"\RTDC4005\2017-04-07 --exclude "*" --recursive --include "*20170407*" &amp; "%USERPROFILE%\Documents\GitHub\mrs-test-scripts\Headless Mode &amp; Sideloading\WalkAndUnGZ.bat" "%USERPROFILE%\AppData\Local\Temp\OnboardLogs"\RTDC4005\2017-04-07</v>
      </c>
      <c r="AF53" s="82" t="str">
        <f t="shared" si="12"/>
        <v>"C:\Program Files (x86)\AstroGrep\AstroGrep.exe" /e /r /s /spath="%USERPROFILE%\AppData\Local\Temp\OnboardLogs" /stypes="app*4005*20170406*" /stext=" 16:.+((SYSTEM_STATE.+slice.+state.+changed )|(ment ac)|(multiple cpu faults)|(system.+state.+changed )|(\[timeout)|(PRM\|1\|D)|(kpr)|(kdp)|(\|lc)|(penalty))"</v>
      </c>
      <c r="AG53" s="1" t="str">
        <f t="shared" si="13"/>
        <v>EC</v>
      </c>
      <c r="AH53" s="86" t="str">
        <f t="shared" si="18"/>
        <v>"%USERPROFILE%\Documents\GitHub\eaglep3\Utilities\RefineRTDCRunTimes.py" --tripid 142-06 --locoid 4005 --swversion DE.1.0.9.0 --startMP 204:232981 --initTime 2017-04-06T09:29:38 --startdatetime 2017-04-06T09:41:15 --delay 1 --endMP 204:132 --enddatetime 2017-04-06T10:21:46 --enforcementcount 0 &gt;&gt;C:\Users\stu\Documents\GitHub\eaglep3-reporting\EC\2017-04-06-refined-times.txt</v>
      </c>
      <c r="AI53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{"issue":{"subject":"","project_id":79,"tracker_id":40,"status_id":1,"priority_id":2,"assigned_to_id":23,"start_date":"2017-04-06","description":"","custom_fields":[{"id":1,"name":"Subdivision","value":"EC"},{"id":4,"name":"Milepost","value":"0.0132"},{"id":17,"name":"Train ID","value":"142-06"},{"id":16,"name":"Locomotive ID","value":"4005"},{"id":130,"name":"Impact","value":""},{"id":150,"name":"Time of Event (Mountain Time)","value":"10:21:46"},{"id":151,"name":"Denver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0"/>
        <v>start /low /b %USERPROFILE%\Documents\GitHub\eaglep3\Utilities\DownloadLogsFromS3.py --loco 4005 --day 2017-04-06</v>
      </c>
      <c r="AN53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16:21:46"},{"id":29,"name":"Sharepoint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630</v>
      </c>
      <c r="B54" s="7">
        <v>4044</v>
      </c>
      <c r="C54" s="21" t="s">
        <v>216</v>
      </c>
      <c r="D54" s="21" t="s">
        <v>210</v>
      </c>
      <c r="E54" s="13">
        <v>42831.373425925929</v>
      </c>
      <c r="F54" s="13">
        <v>42831.375162037039</v>
      </c>
      <c r="G54" s="7">
        <v>1</v>
      </c>
      <c r="H54" s="21" t="s">
        <v>577</v>
      </c>
      <c r="I54" s="13">
        <v>42831.400289351855</v>
      </c>
      <c r="J54" s="7">
        <v>0</v>
      </c>
      <c r="K54" s="97" t="str">
        <f t="shared" si="0"/>
        <v>4043/4044</v>
      </c>
      <c r="L54" s="21" t="str">
        <f>VLOOKUP(A54,'Trips&amp;Operators'!$C$1:$G$99999,5,FALSE)</f>
        <v>STARKS ANGELINA</v>
      </c>
      <c r="M54" s="6">
        <f t="shared" si="1"/>
        <v>2.5127314816927537E-2</v>
      </c>
      <c r="N54" s="7">
        <f t="shared" si="23"/>
        <v>36.183333336375654</v>
      </c>
      <c r="O54" s="7"/>
      <c r="P54" s="7"/>
      <c r="Q54" s="22"/>
      <c r="R54" s="22"/>
      <c r="S54" s="31">
        <f t="shared" si="24"/>
        <v>1</v>
      </c>
      <c r="T54" s="46" t="str">
        <f t="shared" si="3"/>
        <v>NorthBound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4"/>
        <v>https://d0f6bd738d7f1b3e5a7ca70fe4ff75f0.us-east-1.aws.found.io/app/kibana#/discover/Steve-Slow-Train-Analysis-(2080s-and-2083s)?_g=(refreshInterval:(display:Off,pause:!f,section:0,value:0),time:(from:'2017-04-06T07:57:44-0600',mode:absolute,to:'2017-04-06T10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4" s="183" t="str">
        <f t="shared" si="5"/>
        <v>N</v>
      </c>
      <c r="X54" s="183">
        <f t="shared" si="27"/>
        <v>1</v>
      </c>
      <c r="Y54" s="62">
        <f t="shared" si="7"/>
        <v>4.53E-2</v>
      </c>
      <c r="Z54" s="62">
        <f t="shared" si="25"/>
        <v>23.328199999999999</v>
      </c>
      <c r="AA54" s="62">
        <f t="shared" si="9"/>
        <v>23.282899999999998</v>
      </c>
      <c r="AB54" s="59" t="str">
        <f>VLOOKUP(A54,Enforcements!$C$7:$K$13,8,0)</f>
        <v>Bulletin (2)</v>
      </c>
      <c r="AC54" s="55" t="str">
        <f>VLOOKUP(A54,Enforcements!$C$7:$E$13,3,0)</f>
        <v>GRADE CROSSING</v>
      </c>
      <c r="AD54" s="56" t="str">
        <f t="shared" si="10"/>
        <v>0143-06</v>
      </c>
      <c r="AE54" s="85" t="str">
        <f t="shared" si="11"/>
        <v>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 &amp; 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</v>
      </c>
      <c r="AF54" s="82" t="str">
        <f t="shared" si="12"/>
        <v>"C:\Program Files (x86)\AstroGrep\AstroGrep.exe" /e /r /s /spath="%USERPROFILE%\AppData\Local\Temp\OnboardLogs" /stypes="app*4044*20170406*" /stext=" 15:.+((SYSTEM_STATE.+slice.+state.+changed )|(ment ac)|(multiple cpu faults)|(system.+state.+changed )|(\[timeout)|(PRM\|1\|D)|(kpr)|(kdp)|(\|lc)|(penalty))"</v>
      </c>
      <c r="AG54" s="1" t="str">
        <f t="shared" si="13"/>
        <v>EC</v>
      </c>
      <c r="AH54" s="86" t="str">
        <f t="shared" si="18"/>
        <v>"%USERPROFILE%\Documents\GitHub\eaglep3\Utilities\RefineRTDCRunTimes.py" --tripid 143-06 --locoid 4044 --swversion DE.1.0.9.0 --startMP 204:453 --initTime 2017-04-06T08:57:44 --startdatetime 2017-04-06T09:00:14 --delay 1 --endMP 204:233282 --enddatetime 2017-04-06T09:36:25 --enforcementcount 0 &gt;&gt;C:\Users\stu\Documents\GitHub\eaglep3-reporting\EC\2017-04-06-refined-times.txt</v>
      </c>
      <c r="AI54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{"issue":{"subject":"","project_id":79,"tracker_id":40,"status_id":1,"priority_id":2,"assigned_to_id":23,"start_date":"2017-04-06","description":"","custom_fields":[{"id":1,"name":"Subdivision","value":"EC"},{"id":4,"name":"Milepost","value":"23.3282"},{"id":17,"name":"Train ID","value":"143-06"},{"id":16,"name":"Locomotive ID","value":"4044"},{"id":130,"name":"Impact","value":""},{"id":150,"name":"Time of Event (Mountain Time)","value":"09:36:25"},{"id":151,"name":"Denver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0"/>
        <v>start /low /b %USERPROFILE%\Documents\GitHub\eaglep3\Utilities\DownloadLogsFromS3.py --loco 4044 --day 2017-04-06</v>
      </c>
      <c r="AN54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15:36:25"},{"id":29,"name":"Sharepoint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634</v>
      </c>
      <c r="B55" s="7">
        <v>4043</v>
      </c>
      <c r="C55" s="21" t="s">
        <v>216</v>
      </c>
      <c r="D55" s="21" t="s">
        <v>876</v>
      </c>
      <c r="E55" s="13">
        <v>42831.411990740744</v>
      </c>
      <c r="F55" s="13">
        <v>42831.414502314816</v>
      </c>
      <c r="G55" s="7">
        <v>1</v>
      </c>
      <c r="H55" s="21" t="s">
        <v>381</v>
      </c>
      <c r="I55" s="13">
        <v>42831.444328703707</v>
      </c>
      <c r="J55" s="7">
        <v>0</v>
      </c>
      <c r="K55" s="97" t="str">
        <f t="shared" si="0"/>
        <v>4043/4044</v>
      </c>
      <c r="L55" s="21" t="str">
        <f>VLOOKUP(A55,'Trips&amp;Operators'!$C$1:$G$99999,5,FALSE)</f>
        <v>STARKS ANGELINA</v>
      </c>
      <c r="M55" s="6">
        <f t="shared" si="1"/>
        <v>2.9826388890796807E-2</v>
      </c>
      <c r="N55" s="7">
        <f t="shared" si="23"/>
        <v>42.950000002747402</v>
      </c>
      <c r="O55" s="7"/>
      <c r="P55" s="7"/>
      <c r="Q55" s="22"/>
      <c r="R55" s="22"/>
      <c r="S55" s="31">
        <f t="shared" si="24"/>
        <v>1</v>
      </c>
      <c r="T55" s="46" t="str">
        <f t="shared" si="3"/>
        <v>Southbound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4"/>
        <v>https://d0f6bd738d7f1b3e5a7ca70fe4ff75f0.us-east-1.aws.found.io/app/kibana#/discover/Steve-Slow-Train-Analysis-(2080s-and-2083s)?_g=(refreshInterval:(display:Off,pause:!f,section:0,value:0),time:(from:'2017-04-06T08:53:16-0600',mode:absolute,to:'2017-04-06T11:39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5" s="183" t="str">
        <f t="shared" si="5"/>
        <v>N</v>
      </c>
      <c r="X55" s="183">
        <f t="shared" si="27"/>
        <v>1</v>
      </c>
      <c r="Y55" s="62">
        <f t="shared" si="7"/>
        <v>23.2973</v>
      </c>
      <c r="Z55" s="62">
        <f t="shared" si="25"/>
        <v>1.43E-2</v>
      </c>
      <c r="AA55" s="62">
        <f t="shared" si="9"/>
        <v>23.283000000000001</v>
      </c>
      <c r="AB55" s="59" t="str">
        <f>VLOOKUP(A55,Enforcements!$C$7:$K$13,8,0)</f>
        <v>Bulletin (2)</v>
      </c>
      <c r="AC55" s="55" t="str">
        <f>VLOOKUP(A55,Enforcements!$C$7:$E$13,3,0)</f>
        <v>GRADE CROSSING</v>
      </c>
      <c r="AD55" s="56" t="str">
        <f t="shared" si="10"/>
        <v>0144-06</v>
      </c>
      <c r="AE55" s="85" t="str">
        <f t="shared" si="11"/>
        <v>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 &amp; aws s3 cp s3://rtdc.mdm.uploadarchive.raw/RTDC4043/ "%USERPROFILE%\AppData\Local\Temp\OnboardLogs"\RTDC4043\2017-04-07 --exclude "*" --recursive --include "*20170407*" &amp; "%USERPROFILE%\Documents\GitHub\mrs-test-scripts\Headless Mode &amp; Sideloading\WalkAndUnGZ.bat" "%USERPROFILE%\AppData\Local\Temp\OnboardLogs"\RTDC4043\2017-04-07</v>
      </c>
      <c r="AF55" s="82" t="str">
        <f t="shared" si="12"/>
        <v>"C:\Program Files (x86)\AstroGrep\AstroGrep.exe" /e /r /s /spath="%USERPROFILE%\AppData\Local\Temp\OnboardLogs" /stypes="app*4043*20170406*" /stext=" 16:.+((SYSTEM_STATE.+slice.+state.+changed )|(ment ac)|(multiple cpu faults)|(system.+state.+changed )|(\[timeout)|(PRM\|1\|D)|(kpr)|(kdp)|(\|lc)|(penalty))"</v>
      </c>
      <c r="AG55" s="1" t="str">
        <f t="shared" si="13"/>
        <v>EC</v>
      </c>
      <c r="AH55" s="86" t="str">
        <f t="shared" si="18"/>
        <v>"%USERPROFILE%\Documents\GitHub\eaglep3\Utilities\RefineRTDCRunTimes.py" --tripid 144-06 --locoid 4043 --swversion DE.1.0.9.0 --startMP 204:232973 --initTime 2017-04-06T09:53:16 --startdatetime 2017-04-06T09:56:53 --delay 1 --endMP 204:143 --enddatetime 2017-04-06T10:39:50 --enforcementcount 0 &gt;&gt;C:\Users\stu\Documents\GitHub\eaglep3-reporting\EC\2017-04-06-refined-times.txt</v>
      </c>
      <c r="AI55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{"issue":{"subject":"","project_id":79,"tracker_id":40,"status_id":1,"priority_id":2,"assigned_to_id":23,"start_date":"2017-04-06","description":"","custom_fields":[{"id":1,"name":"Subdivision","value":"EC"},{"id":4,"name":"Milepost","value":"0.0143"},{"id":17,"name":"Train ID","value":"144-06"},{"id":16,"name":"Locomotive ID","value":"4043"},{"id":130,"name":"Impact","value":""},{"id":150,"name":"Time of Event (Mountain Time)","value":"10:39:50"},{"id":151,"name":"Denver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0"/>
        <v>start /low /b %USERPROFILE%\Documents\GitHub\eaglep3\Utilities\DownloadLogsFromS3.py --loco 4043 --day 2017-04-06</v>
      </c>
      <c r="AN55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16:39:50"},{"id":29,"name":"Sharepoint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716</v>
      </c>
      <c r="B56" s="7">
        <v>4010</v>
      </c>
      <c r="C56" s="21" t="s">
        <v>216</v>
      </c>
      <c r="D56" s="21" t="s">
        <v>430</v>
      </c>
      <c r="E56" s="13">
        <v>42831.382476851853</v>
      </c>
      <c r="F56" s="13">
        <v>42831.385729166665</v>
      </c>
      <c r="G56" s="7">
        <v>1</v>
      </c>
      <c r="H56" s="21" t="s">
        <v>877</v>
      </c>
      <c r="I56" s="13">
        <v>42831.41207175926</v>
      </c>
      <c r="J56" s="7">
        <v>0</v>
      </c>
      <c r="K56" s="97" t="str">
        <f t="shared" si="0"/>
        <v>4009/4010</v>
      </c>
      <c r="L56" s="21" t="str">
        <f>VLOOKUP(A56,'Trips&amp;Operators'!$C$1:$G$99999,5,FALSE)</f>
        <v>FORTUNATO FRANK</v>
      </c>
      <c r="M56" s="6">
        <f t="shared" si="1"/>
        <v>2.6342592595028691E-2</v>
      </c>
      <c r="N56" s="7">
        <f t="shared" si="23"/>
        <v>37.933333336841315</v>
      </c>
      <c r="O56" s="7"/>
      <c r="P56" s="7"/>
      <c r="Q56" s="22"/>
      <c r="R56" s="22"/>
      <c r="S56" s="31">
        <f t="shared" si="24"/>
        <v>1</v>
      </c>
      <c r="T56" s="46" t="str">
        <f t="shared" si="3"/>
        <v>NorthBound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4"/>
        <v>https://d0f6bd738d7f1b3e5a7ca70fe4ff75f0.us-east-1.aws.found.io/app/kibana#/discover/Steve-Slow-Train-Analysis-(2080s-and-2083s)?_g=(refreshInterval:(display:Off,pause:!f,section:0,value:0),time:(from:'2017-04-06T08:10:46-0600',mode:absolute,to:'2017-04-06T10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6" s="183" t="str">
        <f t="shared" si="5"/>
        <v>N</v>
      </c>
      <c r="X56" s="183">
        <f t="shared" si="27"/>
        <v>1</v>
      </c>
      <c r="Y56" s="62">
        <f t="shared" si="7"/>
        <v>4.4600000000000001E-2</v>
      </c>
      <c r="Z56" s="62">
        <f t="shared" si="25"/>
        <v>23.333200000000001</v>
      </c>
      <c r="AA56" s="62">
        <f t="shared" si="9"/>
        <v>23.288600000000002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0"/>
        <v>0145-06</v>
      </c>
      <c r="AE56" s="85" t="str">
        <f t="shared" si="11"/>
        <v>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 &amp; 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</v>
      </c>
      <c r="AF56" s="82" t="str">
        <f t="shared" si="12"/>
        <v>"C:\Program Files (x86)\AstroGrep\AstroGrep.exe" /e /r /s /spath="%USERPROFILE%\AppData\Local\Temp\OnboardLogs" /stypes="app*4010*20170406*" /stext=" 15:.+((SYSTEM_STATE.+slice.+state.+changed )|(ment ac)|(multiple cpu faults)|(system.+state.+changed )|(\[timeout)|(PRM\|1\|D)|(kpr)|(kdp)|(\|lc)|(penalty))"</v>
      </c>
      <c r="AG56" s="1" t="str">
        <f t="shared" si="13"/>
        <v>EC</v>
      </c>
      <c r="AH56" s="86" t="str">
        <f t="shared" si="18"/>
        <v>"%USERPROFILE%\Documents\GitHub\eaglep3\Utilities\RefineRTDCRunTimes.py" --tripid 145-06 --locoid 4010 --swversion DE.1.0.9.0 --startMP 204:446 --initTime 2017-04-06T09:10:46 --startdatetime 2017-04-06T09:15:27 --delay 1 --endMP 204:233332 --enddatetime 2017-04-06T09:53:23 --enforcementcount 0 &gt;&gt;C:\Users\stu\Documents\GitHub\eaglep3-reporting\EC\2017-04-06-refined-times.txt</v>
      </c>
      <c r="AI56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{"issue":{"subject":"","project_id":79,"tracker_id":40,"status_id":1,"priority_id":2,"assigned_to_id":23,"start_date":"2017-04-06","description":"","custom_fields":[{"id":1,"name":"Subdivision","value":"EC"},{"id":4,"name":"Milepost","value":"23.3332"},{"id":17,"name":"Train ID","value":"145-06"},{"id":16,"name":"Locomotive ID","value":"4010"},{"id":130,"name":"Impact","value":""},{"id":150,"name":"Time of Event (Mountain Time)","value":"09:53:23"},{"id":151,"name":"Denver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0"/>
        <v>start /low /b %USERPROFILE%\Documents\GitHub\eaglep3\Utilities\DownloadLogsFromS3.py --loco 4010 --day 2017-04-06</v>
      </c>
      <c r="AN56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15:53:23"},{"id":29,"name":"Sharepoint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721</v>
      </c>
      <c r="B57" s="7">
        <v>4009</v>
      </c>
      <c r="C57" s="21" t="s">
        <v>216</v>
      </c>
      <c r="D57" s="21" t="s">
        <v>585</v>
      </c>
      <c r="E57" s="13">
        <v>42831.415567129632</v>
      </c>
      <c r="F57" s="13">
        <v>42831.424641203703</v>
      </c>
      <c r="G57" s="7">
        <v>1</v>
      </c>
      <c r="H57" s="21" t="s">
        <v>408</v>
      </c>
      <c r="I57" s="13">
        <v>42831.452569444446</v>
      </c>
      <c r="J57" s="7">
        <v>0</v>
      </c>
      <c r="K57" s="97" t="str">
        <f t="shared" si="0"/>
        <v>4009/4010</v>
      </c>
      <c r="L57" s="21" t="str">
        <f>VLOOKUP(A57,'Trips&amp;Operators'!$C$1:$G$99999,5,FALSE)</f>
        <v>FORTUNATO FRANK</v>
      </c>
      <c r="M57" s="6">
        <f t="shared" si="1"/>
        <v>2.792824074276723E-2</v>
      </c>
      <c r="N57" s="7">
        <f t="shared" si="23"/>
        <v>40.216666669584811</v>
      </c>
      <c r="O57" s="7"/>
      <c r="P57" s="7"/>
      <c r="Q57" s="22"/>
      <c r="R57" s="22"/>
      <c r="S57" s="31">
        <f t="shared" si="24"/>
        <v>1</v>
      </c>
      <c r="T57" s="46" t="str">
        <f t="shared" si="3"/>
        <v>Southbound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4"/>
        <v>https://d0f6bd738d7f1b3e5a7ca70fe4ff75f0.us-east-1.aws.found.io/app/kibana#/discover/Steve-Slow-Train-Analysis-(2080s-and-2083s)?_g=(refreshInterval:(display:Off,pause:!f,section:0,value:0),time:(from:'2017-04-06T08:58:25-0600',mode:absolute,to:'2017-04-06T11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57" s="183" t="str">
        <f t="shared" si="5"/>
        <v>N</v>
      </c>
      <c r="X57" s="183">
        <f t="shared" si="27"/>
        <v>1</v>
      </c>
      <c r="Y57" s="62">
        <f t="shared" si="7"/>
        <v>23.3002</v>
      </c>
      <c r="Z57" s="62">
        <f t="shared" si="25"/>
        <v>1.38E-2</v>
      </c>
      <c r="AA57" s="62">
        <f t="shared" si="9"/>
        <v>23.2864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0"/>
        <v>0146-06</v>
      </c>
      <c r="AE57" s="85" t="str">
        <f t="shared" si="11"/>
        <v>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 &amp; 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</v>
      </c>
      <c r="AF57" s="82" t="str">
        <f t="shared" si="12"/>
        <v>"C:\Program Files (x86)\AstroGrep\AstroGrep.exe" /e /r /s /spath="%USERPROFILE%\AppData\Local\Temp\OnboardLogs" /stypes="app*4009*20170406*" /stext=" 16:.+((SYSTEM_STATE.+slice.+state.+changed )|(ment ac)|(multiple cpu faults)|(system.+state.+changed )|(\[timeout)|(PRM\|1\|D)|(kpr)|(kdp)|(\|lc)|(penalty))"</v>
      </c>
      <c r="AG57" s="1" t="str">
        <f t="shared" si="13"/>
        <v>EC</v>
      </c>
      <c r="AH57" s="86" t="str">
        <f t="shared" si="18"/>
        <v>"%USERPROFILE%\Documents\GitHub\eaglep3\Utilities\RefineRTDCRunTimes.py" --tripid 146-06 --locoid 4009 --swversion DE.1.0.9.0 --startMP 204:233002 --initTime 2017-04-06T09:58:25 --startdatetime 2017-04-06T10:11:29 --delay 1 --endMP 204:138 --enddatetime 2017-04-06T10:51:42 --enforcementcount 0 &gt;&gt;C:\Users\stu\Documents\GitHub\eaglep3-reporting\EC\2017-04-06-refined-times.txt</v>
      </c>
      <c r="AI57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{"issue":{"subject":"","project_id":79,"tracker_id":40,"status_id":1,"priority_id":2,"assigned_to_id":23,"start_date":"2017-04-06","description":"","custom_fields":[{"id":1,"name":"Subdivision","value":"EC"},{"id":4,"name":"Milepost","value":"0.0138"},{"id":17,"name":"Train ID","value":"146-06"},{"id":16,"name":"Locomotive ID","value":"4009"},{"id":130,"name":"Impact","value":""},{"id":150,"name":"Time of Event (Mountain Time)","value":"10:51:42"},{"id":151,"name":"Denver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0"/>
        <v>start /low /b %USERPROFILE%\Documents\GitHub\eaglep3\Utilities\DownloadLogsFromS3.py --loco 4009 --day 2017-04-06</v>
      </c>
      <c r="AN57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16:51:42"},{"id":29,"name":"Sharepoint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717</v>
      </c>
      <c r="B58" s="7">
        <v>4054</v>
      </c>
      <c r="C58" s="21" t="s">
        <v>216</v>
      </c>
      <c r="D58" s="21" t="s">
        <v>438</v>
      </c>
      <c r="E58" s="13">
        <v>42831.389918981484</v>
      </c>
      <c r="F58" s="13">
        <v>42831.395983796298</v>
      </c>
      <c r="G58" s="7">
        <v>1</v>
      </c>
      <c r="H58" s="21" t="s">
        <v>582</v>
      </c>
      <c r="I58" s="13">
        <v>42831.420659722222</v>
      </c>
      <c r="J58" s="7">
        <v>0</v>
      </c>
      <c r="K58" s="97" t="str">
        <f t="shared" si="0"/>
        <v>4053/4054</v>
      </c>
      <c r="L58" s="21" t="str">
        <f>VLOOKUP(A58,'Trips&amp;Operators'!$C$1:$G$99999,5,FALSE)</f>
        <v>ROBINSON KADDIBA</v>
      </c>
      <c r="M58" s="6">
        <f t="shared" si="1"/>
        <v>2.4675925924384501E-2</v>
      </c>
      <c r="N58" s="7">
        <f t="shared" si="23"/>
        <v>35.533333331113681</v>
      </c>
      <c r="O58" s="7"/>
      <c r="P58" s="7"/>
      <c r="Q58" s="22"/>
      <c r="R58" s="22"/>
      <c r="S58" s="31">
        <f t="shared" si="24"/>
        <v>1</v>
      </c>
      <c r="T58" s="46" t="str">
        <f t="shared" si="3"/>
        <v>NorthBound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4"/>
        <v>https://d0f6bd738d7f1b3e5a7ca70fe4ff75f0.us-east-1.aws.found.io/app/kibana#/discover/Steve-Slow-Train-Analysis-(2080s-and-2083s)?_g=(refreshInterval:(display:Off,pause:!f,section:0,value:0),time:(from:'2017-04-06T08:21:29-0600',mode:absolute,to:'2017-04-06T11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8" s="183" t="str">
        <f t="shared" si="5"/>
        <v>N</v>
      </c>
      <c r="X58" s="183">
        <f t="shared" si="27"/>
        <v>1</v>
      </c>
      <c r="Y58" s="62">
        <f t="shared" si="7"/>
        <v>4.6600000000000003E-2</v>
      </c>
      <c r="Z58" s="62">
        <f t="shared" si="25"/>
        <v>23.330500000000001</v>
      </c>
      <c r="AA58" s="62">
        <f t="shared" si="9"/>
        <v>23.283899999999999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0"/>
        <v>0147-06</v>
      </c>
      <c r="AE58" s="85" t="str">
        <f t="shared" si="11"/>
        <v>aws s3 cp s3://rtdc.mdm.uploadarchive.raw/RTDC4054/ "%USERPROFILE%\AppData\Local\Temp\OnboardLogs"\RTDC4054\2017-04-06 --exclude "*" --recursive --include "*20170406*" &amp; "%USERPROFILE%\Documents\GitHub\mrs-test-scripts\Headless Mode &amp; Sideloading\WalkAndUnGZ.bat" "%USERPROFILE%\AppData\Local\Temp\OnboardLogs"\RTDC4054\2017-04-06 &amp; aws s3 cp s3://rtdc.mdm.uploadarchive.raw/RTDC4054/ "%USERPROFILE%\AppData\Local\Temp\OnboardLogs"\RTDC4054\2017-04-07 --exclude "*" --recursive --include "*20170407*" &amp; "%USERPROFILE%\Documents\GitHub\mrs-test-scripts\Headless Mode &amp; Sideloading\WalkAndUnGZ.bat" "%USERPROFILE%\AppData\Local\Temp\OnboardLogs"\RTDC4054\2017-04-07</v>
      </c>
      <c r="AF58" s="82" t="str">
        <f t="shared" si="12"/>
        <v>"C:\Program Files (x86)\AstroGrep\AstroGrep.exe" /e /r /s /spath="%USERPROFILE%\AppData\Local\Temp\OnboardLogs" /stypes="app*4054*20170406*" /stext=" 16:.+((SYSTEM_STATE.+slice.+state.+changed )|(ment ac)|(multiple cpu faults)|(system.+state.+changed )|(\[timeout)|(PRM\|1\|D)|(kpr)|(kdp)|(\|lc)|(penalty))"</v>
      </c>
      <c r="AG58" s="1" t="str">
        <f t="shared" si="13"/>
        <v>EC</v>
      </c>
      <c r="AH58" s="86" t="str">
        <f t="shared" si="18"/>
        <v>"%USERPROFILE%\Documents\GitHub\eaglep3\Utilities\RefineRTDCRunTimes.py" --tripid 147-06 --locoid 4054 --swversion DE.1.0.9.0 --startMP 204:466 --initTime 2017-04-06T09:21:29 --startdatetime 2017-04-06T09:30:13 --delay 1 --endMP 204:233305 --enddatetime 2017-04-06T10:05:45 --enforcementcount 0 &gt;&gt;C:\Users\stu\Documents\GitHub\eaglep3-reporting\EC\2017-04-06-refined-times.txt</v>
      </c>
      <c r="AI58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{"issue":{"subject":"","project_id":79,"tracker_id":40,"status_id":1,"priority_id":2,"assigned_to_id":23,"start_date":"2017-04-06","description":"","custom_fields":[{"id":1,"name":"Subdivision","value":"EC"},{"id":4,"name":"Milepost","value":"23.3305"},{"id":17,"name":"Train ID","value":"147-06"},{"id":16,"name":"Locomotive ID","value":"4054"},{"id":130,"name":"Impact","value":""},{"id":150,"name":"Time of Event (Mountain Time)","value":"10:05:45"},{"id":151,"name":"Denver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0"/>
        <v>start /low /b %USERPROFILE%\Documents\GitHub\eaglep3\Utilities\DownloadLogsFromS3.py --loco 4054 --day 2017-04-06</v>
      </c>
      <c r="AN58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16:05:45"},{"id":29,"name":"Sharepoint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636</v>
      </c>
      <c r="B59" s="7">
        <v>4053</v>
      </c>
      <c r="C59" s="21" t="s">
        <v>216</v>
      </c>
      <c r="D59" s="21" t="s">
        <v>861</v>
      </c>
      <c r="E59" s="13">
        <v>42831.426817129628</v>
      </c>
      <c r="F59" s="13">
        <v>42831.434884259259</v>
      </c>
      <c r="G59" s="7">
        <v>0</v>
      </c>
      <c r="H59" s="21" t="s">
        <v>439</v>
      </c>
      <c r="I59" s="13">
        <v>42831.462395833332</v>
      </c>
      <c r="J59" s="7">
        <v>0</v>
      </c>
      <c r="K59" s="97" t="str">
        <f t="shared" si="0"/>
        <v>4053/4054</v>
      </c>
      <c r="L59" s="21" t="str">
        <f>VLOOKUP(A59,'Trips&amp;Operators'!$C$1:$G$99999,5,FALSE)</f>
        <v>ROBINSON KADDIBA</v>
      </c>
      <c r="M59" s="6">
        <f t="shared" si="1"/>
        <v>2.7511574073287193E-2</v>
      </c>
      <c r="N59" s="7">
        <f t="shared" ref="N59:N80" si="28">24*60*SUM($M59:$M59)</f>
        <v>39.616666665533558</v>
      </c>
      <c r="O59" s="7"/>
      <c r="P59" s="7"/>
      <c r="Q59" s="22"/>
      <c r="R59" s="22"/>
      <c r="S59" s="31">
        <f t="shared" si="24"/>
        <v>1</v>
      </c>
      <c r="T59" s="46" t="str">
        <f t="shared" si="3"/>
        <v>Southbound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4"/>
        <v>https://d0f6bd738d7f1b3e5a7ca70fe4ff75f0.us-east-1.aws.found.io/app/kibana#/discover/Steve-Slow-Train-Analysis-(2080s-and-2083s)?_g=(refreshInterval:(display:Off,pause:!f,section:0,value:0),time:(from:'2017-04-06T09:14:37-0600',mode:absolute,to:'2017-04-06T12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9" s="183" t="str">
        <f t="shared" si="5"/>
        <v>N</v>
      </c>
      <c r="X59" s="183">
        <f t="shared" si="27"/>
        <v>1</v>
      </c>
      <c r="Y59" s="62">
        <f t="shared" si="7"/>
        <v>23.298999999999999</v>
      </c>
      <c r="Z59" s="62">
        <f t="shared" si="25"/>
        <v>1.6E-2</v>
      </c>
      <c r="AA59" s="62">
        <f t="shared" si="9"/>
        <v>23.283000000000001</v>
      </c>
      <c r="AB59" s="59" t="str">
        <f>VLOOKUP(A59,Enforcements!$C$7:$K$13,8,0)</f>
        <v>Bulletin (2)</v>
      </c>
      <c r="AC59" s="55" t="str">
        <f>VLOOKUP(A59,Enforcements!$C$7:$E$13,3,0)</f>
        <v>GRADE CROSSING</v>
      </c>
      <c r="AD59" s="56" t="str">
        <f t="shared" si="10"/>
        <v>0148-06</v>
      </c>
      <c r="AE59" s="85" t="str">
        <f t="shared" si="11"/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AF59" s="82" t="str">
        <f t="shared" si="12"/>
        <v>"C:\Program Files (x86)\AstroGrep\AstroGrep.exe" /e /r /s /spath="%USERPROFILE%\AppData\Local\Temp\OnboardLogs" /stypes="app*4053*20170406*" /stext=" 17:.+((SYSTEM_STATE.+slice.+state.+changed )|(ment ac)|(multiple cpu faults)|(system.+state.+changed )|(\[timeout)|(PRM\|1\|D)|(kpr)|(kdp)|(\|lc)|(penalty))"</v>
      </c>
      <c r="AG59" s="1" t="str">
        <f t="shared" si="13"/>
        <v>EC</v>
      </c>
      <c r="AH59" s="86" t="str">
        <f t="shared" si="18"/>
        <v>"%USERPROFILE%\Documents\GitHub\eaglep3\Utilities\RefineRTDCRunTimes.py" --tripid 148-06 --locoid 4053 --swversion DE.1.0.9.0 --startMP 204:232990 --initTime 2017-04-06T10:14:37 --startdatetime 2017-04-06T10:26:14 --delay 0 --endMP 204:160 --enddatetime 2017-04-06T11:05:51 --enforcementcount 0 &gt;&gt;C:\Users\stu\Documents\GitHub\eaglep3-reporting\EC\2017-04-06-refined-times.txt</v>
      </c>
      <c r="AI59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{"issue":{"subject":"","project_id":79,"tracker_id":40,"status_id":1,"priority_id":2,"assigned_to_id":23,"start_date":"2017-04-06","description":"","custom_fields":[{"id":1,"name":"Subdivision","value":"EC"},{"id":4,"name":"Milepost","value":"0.016"},{"id":17,"name":"Train ID","value":"148-06"},{"id":16,"name":"Locomotive ID","value":"4053"},{"id":130,"name":"Impact","value":""},{"id":150,"name":"Time of Event (Mountain Time)","value":"11:05:51"},{"id":151,"name":"Denver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0"/>
        <v>start /low /b %USERPROFILE%\Documents\GitHub\eaglep3\Utilities\DownloadLogsFromS3.py --loco 4053 --day 2017-04-06</v>
      </c>
      <c r="AN59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17:05:51"},{"id":29,"name":"Sharepoint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633</v>
      </c>
      <c r="B60" s="7">
        <v>4042</v>
      </c>
      <c r="C60" s="21" t="s">
        <v>216</v>
      </c>
      <c r="D60" s="21" t="s">
        <v>438</v>
      </c>
      <c r="E60" s="13">
        <v>42831.401226851849</v>
      </c>
      <c r="F60" s="13">
        <v>42831.406435185185</v>
      </c>
      <c r="G60" s="7">
        <v>2</v>
      </c>
      <c r="H60" s="21" t="s">
        <v>878</v>
      </c>
      <c r="I60" s="13">
        <v>42831.43105324074</v>
      </c>
      <c r="J60" s="7">
        <v>0</v>
      </c>
      <c r="K60" s="97" t="str">
        <f t="shared" si="0"/>
        <v>4041/4042</v>
      </c>
      <c r="L60" s="21" t="str">
        <f>VLOOKUP(A60,'Trips&amp;Operators'!$C$1:$G$99999,5,FALSE)</f>
        <v>GEBRETEKLE DAGNEW</v>
      </c>
      <c r="M60" s="6">
        <f t="shared" si="1"/>
        <v>2.4618055555038154E-2</v>
      </c>
      <c r="N60" s="7">
        <f t="shared" si="28"/>
        <v>35.449999999254942</v>
      </c>
      <c r="O60" s="7"/>
      <c r="P60" s="7"/>
      <c r="Q60" s="22"/>
      <c r="R60" s="22"/>
      <c r="S60" s="31">
        <f t="shared" si="24"/>
        <v>1</v>
      </c>
      <c r="T60" s="46" t="str">
        <f t="shared" si="3"/>
        <v>NorthBound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4"/>
        <v>https://d0f6bd738d7f1b3e5a7ca70fe4ff75f0.us-east-1.aws.found.io/app/kibana#/discover/Steve-Slow-Train-Analysis-(2080s-and-2083s)?_g=(refreshInterval:(display:Off,pause:!f,section:0,value:0),time:(from:'2017-04-06T08:37:46-0600',mode:absolute,to:'2017-04-06T11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0" s="183" t="str">
        <f t="shared" si="5"/>
        <v>N</v>
      </c>
      <c r="X60" s="183">
        <f t="shared" si="27"/>
        <v>1</v>
      </c>
      <c r="Y60" s="62">
        <f t="shared" si="7"/>
        <v>4.6600000000000003E-2</v>
      </c>
      <c r="Z60" s="62">
        <f t="shared" si="25"/>
        <v>23.325299999999999</v>
      </c>
      <c r="AA60" s="62">
        <f t="shared" si="9"/>
        <v>23.278699999999997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0"/>
        <v>0149-06</v>
      </c>
      <c r="AE60" s="85" t="str">
        <f t="shared" si="11"/>
        <v>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 &amp; 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</v>
      </c>
      <c r="AF60" s="82" t="str">
        <f t="shared" si="12"/>
        <v>"C:\Program Files (x86)\AstroGrep\AstroGrep.exe" /e /r /s /spath="%USERPROFILE%\AppData\Local\Temp\OnboardLogs" /stypes="app*4042*20170406*" /stext=" 16:.+((SYSTEM_STATE.+slice.+state.+changed )|(ment ac)|(multiple cpu faults)|(system.+state.+changed )|(\[timeout)|(PRM\|1\|D)|(kpr)|(kdp)|(\|lc)|(penalty))"</v>
      </c>
      <c r="AG60" s="1" t="str">
        <f t="shared" si="13"/>
        <v>EC</v>
      </c>
      <c r="AH60" s="86" t="str">
        <f t="shared" si="18"/>
        <v>"%USERPROFILE%\Documents\GitHub\eaglep3\Utilities\RefineRTDCRunTimes.py" --tripid 149-06 --locoid 4042 --swversion DE.1.0.9.0 --startMP 204:466 --initTime 2017-04-06T09:37:46 --startdatetime 2017-04-06T09:45:16 --delay 2 --endMP 204:233253 --enddatetime 2017-04-06T10:20:43 --enforcementcount 0 &gt;&gt;C:\Users\stu\Documents\GitHub\eaglep3-reporting\EC\2017-04-06-refined-times.txt</v>
      </c>
      <c r="AI60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{"issue":{"subject":"","project_id":79,"tracker_id":40,"status_id":1,"priority_id":2,"assigned_to_id":23,"start_date":"2017-04-06","description":"","custom_fields":[{"id":1,"name":"Subdivision","value":"EC"},{"id":4,"name":"Milepost","value":"23.3253"},{"id":17,"name":"Train ID","value":"149-06"},{"id":16,"name":"Locomotive ID","value":"4042"},{"id":130,"name":"Impact","value":""},{"id":150,"name":"Time of Event (Mountain Time)","value":"10:20:43"},{"id":151,"name":"Denver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0"/>
        <v>start /low /b %USERPROFILE%\Documents\GitHub\eaglep3\Utilities\DownloadLogsFromS3.py --loco 4042 --day 2017-04-06</v>
      </c>
      <c r="AN60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16:20:43"},{"id":29,"name":"Sharepoint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726</v>
      </c>
      <c r="B61" s="7">
        <v>4041</v>
      </c>
      <c r="C61" s="21" t="s">
        <v>216</v>
      </c>
      <c r="D61" s="21" t="s">
        <v>879</v>
      </c>
      <c r="E61" s="13">
        <v>42831.440567129626</v>
      </c>
      <c r="F61" s="13">
        <v>42831.445451388892</v>
      </c>
      <c r="G61" s="7">
        <v>1</v>
      </c>
      <c r="H61" s="21" t="s">
        <v>408</v>
      </c>
      <c r="I61" s="13">
        <v>42831.471631944441</v>
      </c>
      <c r="J61" s="7">
        <v>0</v>
      </c>
      <c r="K61" s="97" t="str">
        <f t="shared" si="0"/>
        <v>4041/4042</v>
      </c>
      <c r="L61" s="21" t="str">
        <f>VLOOKUP(A61,'Trips&amp;Operators'!$C$1:$G$99999,5,FALSE)</f>
        <v>GEBRETEKLE DAGNEW</v>
      </c>
      <c r="M61" s="6">
        <f t="shared" si="1"/>
        <v>2.6180555549217388E-2</v>
      </c>
      <c r="N61" s="7">
        <f t="shared" si="28"/>
        <v>37.699999990873039</v>
      </c>
      <c r="O61" s="7"/>
      <c r="P61" s="7"/>
      <c r="Q61" s="22"/>
      <c r="R61" s="22"/>
      <c r="S61" s="31">
        <f t="shared" si="24"/>
        <v>1</v>
      </c>
      <c r="T61" s="46" t="str">
        <f t="shared" si="3"/>
        <v>Southbound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4"/>
        <v>https://d0f6bd738d7f1b3e5a7ca70fe4ff75f0.us-east-1.aws.found.io/app/kibana#/discover/Steve-Slow-Train-Analysis-(2080s-and-2083s)?_g=(refreshInterval:(display:Off,pause:!f,section:0,value:0),time:(from:'2017-04-06T09:34:25-0600',mode:absolute,to:'2017-04-06T12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1" s="183" t="str">
        <f t="shared" si="5"/>
        <v>N</v>
      </c>
      <c r="X61" s="183">
        <f t="shared" si="27"/>
        <v>1</v>
      </c>
      <c r="Y61" s="62">
        <f t="shared" si="7"/>
        <v>23.293800000000001</v>
      </c>
      <c r="Z61" s="62">
        <f t="shared" si="25"/>
        <v>1.38E-2</v>
      </c>
      <c r="AA61" s="62">
        <f t="shared" si="9"/>
        <v>23.28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0"/>
        <v>0150-06</v>
      </c>
      <c r="AE61" s="85" t="str">
        <f t="shared" si="11"/>
        <v>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 &amp; aws s3 cp s3://rtdc.mdm.uploadarchive.raw/RTDC4041/ "%USERPROFILE%\AppData\Local\Temp\OnboardLogs"\RTDC4041\2017-04-07 --exclude "*" --recursive --include "*20170407*" &amp; "%USERPROFILE%\Documents\GitHub\mrs-test-scripts\Headless Mode &amp; Sideloading\WalkAndUnGZ.bat" "%USERPROFILE%\AppData\Local\Temp\OnboardLogs"\RTDC4041\2017-04-07</v>
      </c>
      <c r="AF61" s="82" t="str">
        <f t="shared" si="12"/>
        <v>"C:\Program Files (x86)\AstroGrep\AstroGrep.exe" /e /r /s /spath="%USERPROFILE%\AppData\Local\Temp\OnboardLogs" /stypes="app*4041*20170406*" /stext=" 17:.+((SYSTEM_STATE.+slice.+state.+changed )|(ment ac)|(multiple cpu faults)|(system.+state.+changed )|(\[timeout)|(PRM\|1\|D)|(kpr)|(kdp)|(\|lc)|(penalty))"</v>
      </c>
      <c r="AG61" s="1" t="str">
        <f t="shared" si="13"/>
        <v>EC</v>
      </c>
      <c r="AH61" s="86" t="str">
        <f t="shared" si="18"/>
        <v>"%USERPROFILE%\Documents\GitHub\eaglep3\Utilities\RefineRTDCRunTimes.py" --tripid 150-06 --locoid 4041 --swversion DE.1.0.9.0 --startMP 204:232938 --initTime 2017-04-06T10:34:25 --startdatetime 2017-04-06T10:41:27 --delay 1 --endMP 204:138 --enddatetime 2017-04-06T11:19:09 --enforcementcount 0 &gt;&gt;C:\Users\stu\Documents\GitHub\eaglep3-reporting\EC\2017-04-06-refined-times.txt</v>
      </c>
      <c r="AI61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{"issue":{"subject":"","project_id":79,"tracker_id":40,"status_id":1,"priority_id":2,"assigned_to_id":23,"start_date":"2017-04-06","description":"","custom_fields":[{"id":1,"name":"Subdivision","value":"EC"},{"id":4,"name":"Milepost","value":"0.0138"},{"id":17,"name":"Train ID","value":"150-06"},{"id":16,"name":"Locomotive ID","value":"4041"},{"id":130,"name":"Impact","value":""},{"id":150,"name":"Time of Event (Mountain Time)","value":"11:19:09"},{"id":151,"name":"Denver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0"/>
        <v>start /low /b %USERPROFILE%\Documents\GitHub\eaglep3\Utilities\DownloadLogsFromS3.py --loco 4041 --day 2017-04-06</v>
      </c>
      <c r="AN61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17:19:09"},{"id":29,"name":"Sharepoint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720</v>
      </c>
      <c r="B62" s="7">
        <v>4018</v>
      </c>
      <c r="C62" s="21" t="s">
        <v>216</v>
      </c>
      <c r="D62" s="21" t="s">
        <v>598</v>
      </c>
      <c r="E62" s="13">
        <v>42831.412465277775</v>
      </c>
      <c r="F62" s="13">
        <v>42831.416898148149</v>
      </c>
      <c r="G62" s="7">
        <v>1</v>
      </c>
      <c r="H62" s="21" t="s">
        <v>880</v>
      </c>
      <c r="I62" s="13">
        <v>42831.442094907405</v>
      </c>
      <c r="J62" s="7">
        <v>0</v>
      </c>
      <c r="K62" s="97" t="str">
        <f t="shared" si="0"/>
        <v>4017/4018</v>
      </c>
      <c r="L62" s="21" t="str">
        <f>VLOOKUP(A62,'Trips&amp;Operators'!$C$1:$G$99999,5,FALSE)</f>
        <v>MENGES BRAD</v>
      </c>
      <c r="M62" s="6">
        <f t="shared" si="1"/>
        <v>2.5196759255777579E-2</v>
      </c>
      <c r="N62" s="7">
        <f t="shared" si="28"/>
        <v>36.283333328319713</v>
      </c>
      <c r="O62" s="7"/>
      <c r="P62" s="7"/>
      <c r="Q62" s="22"/>
      <c r="R62" s="22"/>
      <c r="S62" s="31">
        <f t="shared" si="24"/>
        <v>1</v>
      </c>
      <c r="T62" s="46" t="str">
        <f t="shared" si="3"/>
        <v>NorthBound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4"/>
        <v>https://d0f6bd738d7f1b3e5a7ca70fe4ff75f0.us-east-1.aws.found.io/app/kibana#/discover/Steve-Slow-Train-Analysis-(2080s-and-2083s)?_g=(refreshInterval:(display:Off,pause:!f,section:0,value:0),time:(from:'2017-04-06T08:53:57-0600',mode:absolute,to:'2017-04-06T11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2" s="183" t="str">
        <f t="shared" si="5"/>
        <v>N</v>
      </c>
      <c r="X62" s="183">
        <f t="shared" si="27"/>
        <v>1</v>
      </c>
      <c r="Y62" s="62">
        <f t="shared" si="7"/>
        <v>4.6399999999999997E-2</v>
      </c>
      <c r="Z62" s="62">
        <f t="shared" si="25"/>
        <v>23.3249</v>
      </c>
      <c r="AA62" s="62">
        <f t="shared" si="9"/>
        <v>23.278500000000001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0"/>
        <v>0151-06</v>
      </c>
      <c r="AE62" s="85" t="str">
        <f t="shared" si="11"/>
        <v>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 &amp; aws s3 cp s3://rtdc.mdm.uploadarchive.raw/RTDC4018/ "%USERPROFILE%\AppData\Local\Temp\OnboardLogs"\RTDC4018\2017-04-07 --exclude "*" --recursive --include "*20170407*" &amp; "%USERPROFILE%\Documents\GitHub\mrs-test-scripts\Headless Mode &amp; Sideloading\WalkAndUnGZ.bat" "%USERPROFILE%\AppData\Local\Temp\OnboardLogs"\RTDC4018\2017-04-07</v>
      </c>
      <c r="AF62" s="82" t="str">
        <f t="shared" si="12"/>
        <v>"C:\Program Files (x86)\AstroGrep\AstroGrep.exe" /e /r /s /spath="%USERPROFILE%\AppData\Local\Temp\OnboardLogs" /stypes="app*4018*20170406*" /stext=" 16:.+((SYSTEM_STATE.+slice.+state.+changed )|(ment ac)|(multiple cpu faults)|(system.+state.+changed )|(\[timeout)|(PRM\|1\|D)|(kpr)|(kdp)|(\|lc)|(penalty))"</v>
      </c>
      <c r="AG62" s="1" t="str">
        <f t="shared" si="13"/>
        <v>EC</v>
      </c>
      <c r="AH62" s="86" t="str">
        <f t="shared" si="18"/>
        <v>"%USERPROFILE%\Documents\GitHub\eaglep3\Utilities\RefineRTDCRunTimes.py" --tripid 151-06 --locoid 4018 --swversion DE.1.0.9.0 --startMP 204:464 --initTime 2017-04-06T09:53:57 --startdatetime 2017-04-06T10:00:20 --delay 1 --endMP 204:233249 --enddatetime 2017-04-06T10:36:37 --enforcementcount 0 &gt;&gt;C:\Users\stu\Documents\GitHub\eaglep3-reporting\EC\2017-04-06-refined-times.txt</v>
      </c>
      <c r="AI62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{"issue":{"subject":"","project_id":79,"tracker_id":40,"status_id":1,"priority_id":2,"assigned_to_id":23,"start_date":"2017-04-06","description":"","custom_fields":[{"id":1,"name":"Subdivision","value":"EC"},{"id":4,"name":"Milepost","value":"23.3249"},{"id":17,"name":"Train ID","value":"151-06"},{"id":16,"name":"Locomotive ID","value":"4018"},{"id":130,"name":"Impact","value":""},{"id":150,"name":"Time of Event (Mountain Time)","value":"10:36:37"},{"id":151,"name":"Denver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0"/>
        <v>start /low /b %USERPROFILE%\Documents\GitHub\eaglep3\Utilities\DownloadLogsFromS3.py --loco 4018 --day 2017-04-06</v>
      </c>
      <c r="AN62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16:36:37"},{"id":29,"name":"Sharepoint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729</v>
      </c>
      <c r="B63" s="7">
        <v>4017</v>
      </c>
      <c r="C63" s="21" t="s">
        <v>216</v>
      </c>
      <c r="D63" s="21" t="s">
        <v>881</v>
      </c>
      <c r="E63" s="13">
        <v>42831.451342592591</v>
      </c>
      <c r="F63" s="13">
        <v>42831.455879629626</v>
      </c>
      <c r="G63" s="7">
        <v>1</v>
      </c>
      <c r="H63" s="21" t="s">
        <v>381</v>
      </c>
      <c r="I63" s="13">
        <v>42831.484351851854</v>
      </c>
      <c r="J63" s="7">
        <v>0</v>
      </c>
      <c r="K63" s="97" t="str">
        <f t="shared" si="0"/>
        <v>4017/4018</v>
      </c>
      <c r="L63" s="21" t="str">
        <f>VLOOKUP(A63,'Trips&amp;Operators'!$C$1:$G$99999,5,FALSE)</f>
        <v>MENGES BRAD</v>
      </c>
      <c r="M63" s="6">
        <f t="shared" si="1"/>
        <v>2.8472222227719612E-2</v>
      </c>
      <c r="N63" s="7">
        <f t="shared" si="28"/>
        <v>41.000000007916242</v>
      </c>
      <c r="O63" s="7"/>
      <c r="P63" s="7"/>
      <c r="Q63" s="22"/>
      <c r="R63" s="22"/>
      <c r="S63" s="31">
        <f t="shared" si="24"/>
        <v>1</v>
      </c>
      <c r="T63" s="46" t="str">
        <f t="shared" si="3"/>
        <v>Southbound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4"/>
        <v>https://d0f6bd738d7f1b3e5a7ca70fe4ff75f0.us-east-1.aws.found.io/app/kibana#/discover/Steve-Slow-Train-Analysis-(2080s-and-2083s)?_g=(refreshInterval:(display:Off,pause:!f,section:0,value:0),time:(from:'2017-04-06T09:49:56-0600',mode:absolute,to:'2017-04-06T12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3" s="183" t="str">
        <f t="shared" si="5"/>
        <v>N</v>
      </c>
      <c r="X63" s="183">
        <f t="shared" si="27"/>
        <v>1</v>
      </c>
      <c r="Y63" s="62">
        <f t="shared" si="7"/>
        <v>23.296500000000002</v>
      </c>
      <c r="Z63" s="62">
        <f t="shared" si="25"/>
        <v>1.43E-2</v>
      </c>
      <c r="AA63" s="62">
        <f t="shared" si="9"/>
        <v>23.282200000000003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0"/>
        <v>0152-06</v>
      </c>
      <c r="AE63" s="85" t="str">
        <f t="shared" si="11"/>
        <v>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 &amp; aws s3 cp s3://rtdc.mdm.uploadarchive.raw/RTDC4017/ "%USERPROFILE%\AppData\Local\Temp\OnboardLogs"\RTDC4017\2017-04-07 --exclude "*" --recursive --include "*20170407*" &amp; "%USERPROFILE%\Documents\GitHub\mrs-test-scripts\Headless Mode &amp; Sideloading\WalkAndUnGZ.bat" "%USERPROFILE%\AppData\Local\Temp\OnboardLogs"\RTDC4017\2017-04-07</v>
      </c>
      <c r="AF63" s="82" t="str">
        <f t="shared" si="12"/>
        <v>"C:\Program Files (x86)\AstroGrep\AstroGrep.exe" /e /r /s /spath="%USERPROFILE%\AppData\Local\Temp\OnboardLogs" /stypes="app*4017*20170406*" /stext=" 17:.+((SYSTEM_STATE.+slice.+state.+changed )|(ment ac)|(multiple cpu faults)|(system.+state.+changed )|(\[timeout)|(PRM\|1\|D)|(kpr)|(kdp)|(\|lc)|(penalty))"</v>
      </c>
      <c r="AG63" s="1" t="str">
        <f t="shared" si="13"/>
        <v>EC</v>
      </c>
      <c r="AH63" s="86" t="str">
        <f t="shared" si="18"/>
        <v>"%USERPROFILE%\Documents\GitHub\eaglep3\Utilities\RefineRTDCRunTimes.py" --tripid 152-06 --locoid 4017 --swversion DE.1.0.9.0 --startMP 204:232965 --initTime 2017-04-06T10:49:56 --startdatetime 2017-04-06T10:56:28 --delay 1 --endMP 204:143 --enddatetime 2017-04-06T11:37:28 --enforcementcount 0 &gt;&gt;C:\Users\stu\Documents\GitHub\eaglep3-reporting\EC\2017-04-06-refined-times.txt</v>
      </c>
      <c r="AI63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{"issue":{"subject":"","project_id":79,"tracker_id":40,"status_id":1,"priority_id":2,"assigned_to_id":23,"start_date":"2017-04-06","description":"","custom_fields":[{"id":1,"name":"Subdivision","value":"EC"},{"id":4,"name":"Milepost","value":"0.0143"},{"id":17,"name":"Train ID","value":"152-06"},{"id":16,"name":"Locomotive ID","value":"4017"},{"id":130,"name":"Impact","value":""},{"id":150,"name":"Time of Event (Mountain Time)","value":"11:37:28"},{"id":151,"name":"Denver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0"/>
        <v>start /low /b %USERPROFILE%\Documents\GitHub\eaglep3\Utilities\DownloadLogsFromS3.py --loco 4017 --day 2017-04-06</v>
      </c>
      <c r="AN63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17:37:28"},{"id":29,"name":"Sharepoint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723</v>
      </c>
      <c r="B64" s="7">
        <v>4004</v>
      </c>
      <c r="C64" s="21" t="s">
        <v>216</v>
      </c>
      <c r="D64" s="21" t="s">
        <v>581</v>
      </c>
      <c r="E64" s="13">
        <v>42831.420972222222</v>
      </c>
      <c r="F64" s="13">
        <v>42831.427256944444</v>
      </c>
      <c r="G64" s="7">
        <v>1</v>
      </c>
      <c r="H64" s="21" t="s">
        <v>419</v>
      </c>
      <c r="I64" s="13">
        <v>42831.451828703706</v>
      </c>
      <c r="J64" s="7">
        <v>0</v>
      </c>
      <c r="K64" s="97" t="str">
        <f t="shared" si="0"/>
        <v>4003/4004</v>
      </c>
      <c r="L64" s="21" t="str">
        <f>VLOOKUP(A64,'Trips&amp;Operators'!$C$1:$G$99999,5,FALSE)</f>
        <v>YORK EDGAR</v>
      </c>
      <c r="M64" s="6">
        <f t="shared" si="1"/>
        <v>2.457175926247146E-2</v>
      </c>
      <c r="N64" s="7">
        <f t="shared" si="28"/>
        <v>35.383333337958902</v>
      </c>
      <c r="O64" s="7"/>
      <c r="P64" s="7"/>
      <c r="Q64" s="22"/>
      <c r="R64" s="22"/>
      <c r="S64" s="31">
        <f t="shared" si="24"/>
        <v>1</v>
      </c>
      <c r="T64" s="46" t="str">
        <f t="shared" si="3"/>
        <v>NorthBound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4"/>
        <v>https://d0f6bd738d7f1b3e5a7ca70fe4ff75f0.us-east-1.aws.found.io/app/kibana#/discover/Steve-Slow-Train-Analysis-(2080s-and-2083s)?_g=(refreshInterval:(display:Off,pause:!f,section:0,value:0),time:(from:'2017-04-06T09:06:12-0600',mode:absolute,to:'2017-04-06T11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4" s="183" t="str">
        <f t="shared" si="5"/>
        <v>N</v>
      </c>
      <c r="X64" s="183">
        <f t="shared" si="27"/>
        <v>1</v>
      </c>
      <c r="Y64" s="62">
        <f t="shared" si="7"/>
        <v>4.6699999999999998E-2</v>
      </c>
      <c r="Z64" s="62">
        <f t="shared" si="25"/>
        <v>23.330400000000001</v>
      </c>
      <c r="AA64" s="62">
        <f t="shared" si="9"/>
        <v>23.2837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0"/>
        <v>0153-06</v>
      </c>
      <c r="AE64" s="85" t="str">
        <f t="shared" si="11"/>
        <v>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 &amp; aws s3 cp s3://rtdc.mdm.uploadarchive.raw/RTDC4004/ "%USERPROFILE%\AppData\Local\Temp\OnboardLogs"\RTDC4004\2017-04-07 --exclude "*" --recursive --include "*20170407*" &amp; "%USERPROFILE%\Documents\GitHub\mrs-test-scripts\Headless Mode &amp; Sideloading\WalkAndUnGZ.bat" "%USERPROFILE%\AppData\Local\Temp\OnboardLogs"\RTDC4004\2017-04-07</v>
      </c>
      <c r="AF64" s="82" t="str">
        <f t="shared" si="12"/>
        <v>"C:\Program Files (x86)\AstroGrep\AstroGrep.exe" /e /r /s /spath="%USERPROFILE%\AppData\Local\Temp\OnboardLogs" /stypes="app*4004*20170406*" /stext=" 16:.+((SYSTEM_STATE.+slice.+state.+changed )|(ment ac)|(multiple cpu faults)|(system.+state.+changed )|(\[timeout)|(PRM\|1\|D)|(kpr)|(kdp)|(\|lc)|(penalty))"</v>
      </c>
      <c r="AG64" s="1" t="str">
        <f t="shared" si="13"/>
        <v>EC</v>
      </c>
      <c r="AH64" s="86" t="str">
        <f t="shared" si="18"/>
        <v>"%USERPROFILE%\Documents\GitHub\eaglep3\Utilities\RefineRTDCRunTimes.py" --tripid 153-06 --locoid 4004 --swversion DE.1.0.9.0 --startMP 204:467 --initTime 2017-04-06T10:06:12 --startdatetime 2017-04-06T10:15:15 --delay 1 --endMP 204:233304 --enddatetime 2017-04-06T10:50:38 --enforcementcount 0 &gt;&gt;C:\Users\stu\Documents\GitHub\eaglep3-reporting\EC\2017-04-06-refined-times.txt</v>
      </c>
      <c r="AI64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{"issue":{"subject":"","project_id":79,"tracker_id":40,"status_id":1,"priority_id":2,"assigned_to_id":23,"start_date":"2017-04-06","description":"","custom_fields":[{"id":1,"name":"Subdivision","value":"EC"},{"id":4,"name":"Milepost","value":"23.3304"},{"id":17,"name":"Train ID","value":"153-06"},{"id":16,"name":"Locomotive ID","value":"4004"},{"id":130,"name":"Impact","value":""},{"id":150,"name":"Time of Event (Mountain Time)","value":"10:50:38"},{"id":151,"name":"Denver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0"/>
        <v>start /low /b %USERPROFILE%\Documents\GitHub\eaglep3\Utilities\DownloadLogsFromS3.py --loco 4004 --day 2017-04-06</v>
      </c>
      <c r="AN64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16:50:38"},{"id":29,"name":"Sharepoint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730</v>
      </c>
      <c r="B65" s="7">
        <v>4003</v>
      </c>
      <c r="C65" s="21" t="s">
        <v>216</v>
      </c>
      <c r="D65" s="21" t="s">
        <v>423</v>
      </c>
      <c r="E65" s="13">
        <v>42831.452939814815</v>
      </c>
      <c r="F65" s="13">
        <v>42831.466689814813</v>
      </c>
      <c r="G65" s="7">
        <v>0</v>
      </c>
      <c r="H65" s="21" t="s">
        <v>212</v>
      </c>
      <c r="I65" s="13">
        <v>42831.492511574077</v>
      </c>
      <c r="J65" s="7">
        <v>0</v>
      </c>
      <c r="K65" s="97" t="str">
        <f t="shared" si="0"/>
        <v>4003/4004</v>
      </c>
      <c r="L65" s="21" t="str">
        <f>VLOOKUP(A65,'Trips&amp;Operators'!$C$1:$G$99999,5,FALSE)</f>
        <v>YORK EDGAR</v>
      </c>
      <c r="M65" s="6">
        <f t="shared" si="1"/>
        <v>2.5821759263635613E-2</v>
      </c>
      <c r="N65" s="7">
        <f t="shared" si="28"/>
        <v>37.183333339635283</v>
      </c>
      <c r="O65" s="7"/>
      <c r="P65" s="7"/>
      <c r="Q65" s="22"/>
      <c r="R65" s="22"/>
      <c r="S65" s="31">
        <f t="shared" si="24"/>
        <v>1</v>
      </c>
      <c r="T65" s="46" t="str">
        <f t="shared" si="3"/>
        <v>Southbound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4"/>
        <v>https://d0f6bd738d7f1b3e5a7ca70fe4ff75f0.us-east-1.aws.found.io/app/kibana#/discover/Steve-Slow-Train-Analysis-(2080s-and-2083s)?_g=(refreshInterval:(display:Off,pause:!f,section:0,value:0),time:(from:'2017-04-06T09:52:14-0600',mode:absolute,to:'2017-04-06T12:49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5" s="183" t="str">
        <f t="shared" si="5"/>
        <v>N</v>
      </c>
      <c r="X65" s="183">
        <f t="shared" si="27"/>
        <v>1</v>
      </c>
      <c r="Y65" s="62">
        <f t="shared" si="7"/>
        <v>23.2989</v>
      </c>
      <c r="Z65" s="62">
        <f t="shared" si="25"/>
        <v>1.5599999999999999E-2</v>
      </c>
      <c r="AA65" s="62">
        <f t="shared" si="9"/>
        <v>23.283300000000001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0"/>
        <v>0154-06</v>
      </c>
      <c r="AE65" s="85" t="str">
        <f t="shared" si="11"/>
        <v>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 &amp; aws s3 cp s3://rtdc.mdm.uploadarchive.raw/RTDC4003/ "%USERPROFILE%\AppData\Local\Temp\OnboardLogs"\RTDC4003\2017-04-07 --exclude "*" --recursive --include "*20170407*" &amp; "%USERPROFILE%\Documents\GitHub\mrs-test-scripts\Headless Mode &amp; Sideloading\WalkAndUnGZ.bat" "%USERPROFILE%\AppData\Local\Temp\OnboardLogs"\RTDC4003\2017-04-07</v>
      </c>
      <c r="AF65" s="82" t="str">
        <f t="shared" si="12"/>
        <v>"C:\Program Files (x86)\AstroGrep\AstroGrep.exe" /e /r /s /spath="%USERPROFILE%\AppData\Local\Temp\OnboardLogs" /stypes="app*4003*20170406*" /stext=" 17:.+((SYSTEM_STATE.+slice.+state.+changed )|(ment ac)|(multiple cpu faults)|(system.+state.+changed )|(\[timeout)|(PRM\|1\|D)|(kpr)|(kdp)|(\|lc)|(penalty))"</v>
      </c>
      <c r="AG65" s="1" t="str">
        <f t="shared" si="13"/>
        <v>EC</v>
      </c>
      <c r="AH65" s="86" t="str">
        <f t="shared" si="18"/>
        <v>"%USERPROFILE%\Documents\GitHub\eaglep3\Utilities\RefineRTDCRunTimes.py" --tripid 154-06 --locoid 4003 --swversion DE.1.0.9.0 --startMP 204:232989 --initTime 2017-04-06T10:52:14 --startdatetime 2017-04-06T11:12:02 --delay 0 --endMP 204:156 --enddatetime 2017-04-06T11:49:13 --enforcementcount 0 &gt;&gt;C:\Users\stu\Documents\GitHub\eaglep3-reporting\EC\2017-04-06-refined-times.txt</v>
      </c>
      <c r="AI65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{"issue":{"subject":"","project_id":79,"tracker_id":40,"status_id":1,"priority_id":2,"assigned_to_id":23,"start_date":"2017-04-06","description":"","custom_fields":[{"id":1,"name":"Subdivision","value":"EC"},{"id":4,"name":"Milepost","value":"0.0156"},{"id":17,"name":"Train ID","value":"154-06"},{"id":16,"name":"Locomotive ID","value":"4003"},{"id":130,"name":"Impact","value":""},{"id":150,"name":"Time of Event (Mountain Time)","value":"11:49:13"},{"id":151,"name":"Denver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0"/>
        <v>start /low /b %USERPROFILE%\Documents\GitHub\eaglep3\Utilities\DownloadLogsFromS3.py --loco 4003 --day 2017-04-06</v>
      </c>
      <c r="AN65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17:49:13"},{"id":29,"name":"Sharepoint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725</v>
      </c>
      <c r="B66" s="7">
        <v>4006</v>
      </c>
      <c r="C66" s="21" t="s">
        <v>216</v>
      </c>
      <c r="D66" s="21" t="s">
        <v>869</v>
      </c>
      <c r="E66" s="13">
        <v>42831.433553240742</v>
      </c>
      <c r="F66" s="13">
        <v>42831.437673611108</v>
      </c>
      <c r="G66" s="7">
        <v>2</v>
      </c>
      <c r="H66" s="21" t="s">
        <v>584</v>
      </c>
      <c r="I66" s="13">
        <v>42831.463275462964</v>
      </c>
      <c r="J66" s="7">
        <v>0</v>
      </c>
      <c r="K66" s="97" t="str">
        <f t="shared" si="0"/>
        <v>4005/4006</v>
      </c>
      <c r="L66" s="21" t="str">
        <f>VLOOKUP(A66,'Trips&amp;Operators'!$C$1:$G$99999,5,FALSE)</f>
        <v>SHOOK JOHN</v>
      </c>
      <c r="M66" s="6">
        <f t="shared" si="1"/>
        <v>2.5601851855753921E-2</v>
      </c>
      <c r="N66" s="7">
        <f t="shared" si="28"/>
        <v>36.866666672285646</v>
      </c>
      <c r="O66" s="7"/>
      <c r="P66" s="7"/>
      <c r="Q66" s="22"/>
      <c r="R66" s="22"/>
      <c r="S66" s="31">
        <f t="shared" si="24"/>
        <v>1</v>
      </c>
      <c r="T66" s="46" t="str">
        <f t="shared" si="3"/>
        <v>NorthBound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4"/>
        <v>https://d0f6bd738d7f1b3e5a7ca70fe4ff75f0.us-east-1.aws.found.io/app/kibana#/discover/Steve-Slow-Train-Analysis-(2080s-and-2083s)?_g=(refreshInterval:(display:Off,pause:!f,section:0,value:0),time:(from:'2017-04-06T09:24:19-0600',mode:absolute,to:'2017-04-06T12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6" s="183" t="str">
        <f t="shared" si="5"/>
        <v>N</v>
      </c>
      <c r="X66" s="183">
        <f t="shared" si="27"/>
        <v>1</v>
      </c>
      <c r="Y66" s="62">
        <f t="shared" si="7"/>
        <v>4.4200000000000003E-2</v>
      </c>
      <c r="Z66" s="62">
        <f t="shared" si="25"/>
        <v>23.3291</v>
      </c>
      <c r="AA66" s="62">
        <f t="shared" si="9"/>
        <v>23.2849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0"/>
        <v>0155-06</v>
      </c>
      <c r="AE66" s="85" t="str">
        <f t="shared" si="11"/>
        <v>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 &amp; aws s3 cp s3://rtdc.mdm.uploadarchive.raw/RTDC4006/ "%USERPROFILE%\AppData\Local\Temp\OnboardLogs"\RTDC4006\2017-04-07 --exclude "*" --recursive --include "*20170407*" &amp; "%USERPROFILE%\Documents\GitHub\mrs-test-scripts\Headless Mode &amp; Sideloading\WalkAndUnGZ.bat" "%USERPROFILE%\AppData\Local\Temp\OnboardLogs"\RTDC4006\2017-04-07</v>
      </c>
      <c r="AF66" s="82" t="str">
        <f t="shared" si="12"/>
        <v>"C:\Program Files (x86)\AstroGrep\AstroGrep.exe" /e /r /s /spath="%USERPROFILE%\AppData\Local\Temp\OnboardLogs" /stypes="app*4006*20170406*" /stext=" 17:.+((SYSTEM_STATE.+slice.+state.+changed )|(ment ac)|(multiple cpu faults)|(system.+state.+changed )|(\[timeout)|(PRM\|1\|D)|(kpr)|(kdp)|(\|lc)|(penalty))"</v>
      </c>
      <c r="AG66" s="1" t="str">
        <f t="shared" si="13"/>
        <v>EC</v>
      </c>
      <c r="AH66" s="86" t="str">
        <f t="shared" si="18"/>
        <v>"%USERPROFILE%\Documents\GitHub\eaglep3\Utilities\RefineRTDCRunTimes.py" --tripid 155-06 --locoid 4006 --swversion DE.1.0.9.0 --startMP 204:442 --initTime 2017-04-06T10:24:19 --startdatetime 2017-04-06T10:30:15 --delay 2 --endMP 204:233291 --enddatetime 2017-04-06T11:07:07 --enforcementcount 0 &gt;&gt;C:\Users\stu\Documents\GitHub\eaglep3-reporting\EC\2017-04-06-refined-times.txt</v>
      </c>
      <c r="AI66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{"issue":{"subject":"","project_id":79,"tracker_id":40,"status_id":1,"priority_id":2,"assigned_to_id":23,"start_date":"2017-04-06","description":"","custom_fields":[{"id":1,"name":"Subdivision","value":"EC"},{"id":4,"name":"Milepost","value":"23.3291"},{"id":17,"name":"Train ID","value":"155-06"},{"id":16,"name":"Locomotive ID","value":"4006"},{"id":130,"name":"Impact","value":""},{"id":150,"name":"Time of Event (Mountain Time)","value":"11:07:07"},{"id":151,"name":"Denver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0"/>
        <v>start /low /b %USERPROFILE%\Documents\GitHub\eaglep3\Utilities\DownloadLogsFromS3.py --loco 4006 --day 2017-04-06</v>
      </c>
      <c r="AN66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17:07:07"},{"id":29,"name":"Sharepoint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732</v>
      </c>
      <c r="B67" s="7">
        <v>4005</v>
      </c>
      <c r="C67" s="21" t="s">
        <v>216</v>
      </c>
      <c r="D67" s="21" t="s">
        <v>570</v>
      </c>
      <c r="E67" s="13">
        <v>42831.465196759258</v>
      </c>
      <c r="F67" s="13">
        <v>42831.476585648146</v>
      </c>
      <c r="G67" s="7">
        <v>1</v>
      </c>
      <c r="H67" s="21" t="s">
        <v>199</v>
      </c>
      <c r="I67" s="13">
        <v>42831.504918981482</v>
      </c>
      <c r="J67" s="7">
        <v>0</v>
      </c>
      <c r="K67" s="97" t="str">
        <f t="shared" si="0"/>
        <v>4005/4006</v>
      </c>
      <c r="L67" s="21" t="str">
        <f>VLOOKUP(A67,'Trips&amp;Operators'!$C$1:$G$99999,5,FALSE)</f>
        <v>SHOOK JOHN</v>
      </c>
      <c r="M67" s="6">
        <f t="shared" si="1"/>
        <v>2.8333333335467614E-2</v>
      </c>
      <c r="N67" s="7">
        <f t="shared" si="28"/>
        <v>40.800000003073364</v>
      </c>
      <c r="O67" s="7"/>
      <c r="P67" s="7"/>
      <c r="Q67" s="22"/>
      <c r="R67" s="22"/>
      <c r="S67" s="31">
        <f t="shared" si="24"/>
        <v>1</v>
      </c>
      <c r="T67" s="46" t="str">
        <f t="shared" si="3"/>
        <v>Southbound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4"/>
        <v>https://d0f6bd738d7f1b3e5a7ca70fe4ff75f0.us-east-1.aws.found.io/app/kibana#/discover/Steve-Slow-Train-Analysis-(2080s-and-2083s)?_g=(refreshInterval:(display:Off,pause:!f,section:0,value:0),time:(from:'2017-04-06T10:09:53-0600',mode:absolute,to:'2017-04-06T13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7" s="183" t="str">
        <f t="shared" si="5"/>
        <v>N</v>
      </c>
      <c r="X67" s="183">
        <f t="shared" si="27"/>
        <v>1</v>
      </c>
      <c r="Y67" s="62">
        <f t="shared" si="7"/>
        <v>23.297799999999999</v>
      </c>
      <c r="Z67" s="62">
        <f t="shared" si="25"/>
        <v>1.5800000000000002E-2</v>
      </c>
      <c r="AA67" s="62">
        <f t="shared" si="9"/>
        <v>23.282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0"/>
        <v>0156-06</v>
      </c>
      <c r="AE67" s="85" t="str">
        <f t="shared" si="11"/>
        <v>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 &amp; aws s3 cp s3://rtdc.mdm.uploadarchive.raw/RTDC4005/ "%USERPROFILE%\AppData\Local\Temp\OnboardLogs"\RTDC4005\2017-04-07 --exclude "*" --recursive --include "*20170407*" &amp; "%USERPROFILE%\Documents\GitHub\mrs-test-scripts\Headless Mode &amp; Sideloading\WalkAndUnGZ.bat" "%USERPROFILE%\AppData\Local\Temp\OnboardLogs"\RTDC4005\2017-04-07</v>
      </c>
      <c r="AF67" s="82" t="str">
        <f t="shared" si="12"/>
        <v>"C:\Program Files (x86)\AstroGrep\AstroGrep.exe" /e /r /s /spath="%USERPROFILE%\AppData\Local\Temp\OnboardLogs" /stypes="app*4005*20170406*" /stext=" 18:.+((SYSTEM_STATE.+slice.+state.+changed )|(ment ac)|(multiple cpu faults)|(system.+state.+changed )|(\[timeout)|(PRM\|1\|D)|(kpr)|(kdp)|(\|lc)|(penalty))"</v>
      </c>
      <c r="AG67" s="1" t="str">
        <f t="shared" si="13"/>
        <v>EC</v>
      </c>
      <c r="AH67" s="86" t="str">
        <f t="shared" si="18"/>
        <v>"%USERPROFILE%\Documents\GitHub\eaglep3\Utilities\RefineRTDCRunTimes.py" --tripid 156-06 --locoid 4005 --swversion DE.1.0.9.0 --startMP 204:232978 --initTime 2017-04-06T11:09:53 --startdatetime 2017-04-06T11:26:17 --delay 1 --endMP 204:158 --enddatetime 2017-04-06T12:07:05 --enforcementcount 0 &gt;&gt;C:\Users\stu\Documents\GitHub\eaglep3-reporting\EC\2017-04-06-refined-times.txt</v>
      </c>
      <c r="AI67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{"issue":{"subject":"","project_id":79,"tracker_id":40,"status_id":1,"priority_id":2,"assigned_to_id":23,"start_date":"2017-04-06","description":"","custom_fields":[{"id":1,"name":"Subdivision","value":"EC"},{"id":4,"name":"Milepost","value":"0.0158"},{"id":17,"name":"Train ID","value":"156-06"},{"id":16,"name":"Locomotive ID","value":"4005"},{"id":130,"name":"Impact","value":""},{"id":150,"name":"Time of Event (Mountain Time)","value":"12:07:05"},{"id":151,"name":"Denver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0"/>
        <v>start /low /b %USERPROFILE%\Documents\GitHub\eaglep3\Utilities\DownloadLogsFromS3.py --loco 4005 --day 2017-04-06</v>
      </c>
      <c r="AN67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18:07:05"},{"id":29,"name":"Sharepoint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635</v>
      </c>
      <c r="B68" s="7">
        <v>4044</v>
      </c>
      <c r="C68" s="21" t="s">
        <v>216</v>
      </c>
      <c r="D68" s="21" t="s">
        <v>430</v>
      </c>
      <c r="E68" s="13">
        <v>42831.447800925926</v>
      </c>
      <c r="F68" s="13">
        <v>42831.448819444442</v>
      </c>
      <c r="G68" s="7">
        <v>0</v>
      </c>
      <c r="H68" s="21" t="s">
        <v>469</v>
      </c>
      <c r="I68" s="13">
        <v>42831.474085648151</v>
      </c>
      <c r="J68" s="7">
        <v>0</v>
      </c>
      <c r="K68" s="97" t="str">
        <f t="shared" si="0"/>
        <v>4043/4044</v>
      </c>
      <c r="L68" s="21" t="str">
        <f>VLOOKUP(A68,'Trips&amp;Operators'!$C$1:$G$99999,5,FALSE)</f>
        <v>STARKS ANGELINA</v>
      </c>
      <c r="M68" s="6">
        <f t="shared" si="1"/>
        <v>2.5266203709179536E-2</v>
      </c>
      <c r="N68" s="7">
        <f t="shared" si="28"/>
        <v>36.383333341218531</v>
      </c>
      <c r="O68" s="7"/>
      <c r="P68" s="7"/>
      <c r="Q68" s="22"/>
      <c r="R68" s="22"/>
      <c r="S68" s="31">
        <f t="shared" si="24"/>
        <v>1</v>
      </c>
      <c r="T68" s="46" t="str">
        <f t="shared" si="3"/>
        <v>NorthBound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4"/>
        <v>https://d0f6bd738d7f1b3e5a7ca70fe4ff75f0.us-east-1.aws.found.io/app/kibana#/discover/Steve-Slow-Train-Analysis-(2080s-and-2083s)?_g=(refreshInterval:(display:Off,pause:!f,section:0,value:0),time:(from:'2017-04-06T09:44:50-0600',mode:absolute,to:'2017-04-06T12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8" s="183" t="str">
        <f t="shared" si="5"/>
        <v>N</v>
      </c>
      <c r="X68" s="183">
        <f t="shared" si="27"/>
        <v>1</v>
      </c>
      <c r="Y68" s="62">
        <f t="shared" si="7"/>
        <v>4.4600000000000001E-2</v>
      </c>
      <c r="Z68" s="62">
        <f t="shared" si="25"/>
        <v>23.331900000000001</v>
      </c>
      <c r="AA68" s="62">
        <f t="shared" si="9"/>
        <v>23.287300000000002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0"/>
        <v>0157-06</v>
      </c>
      <c r="AE68" s="85" t="str">
        <f t="shared" si="11"/>
        <v>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 &amp; 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</v>
      </c>
      <c r="AF68" s="82" t="str">
        <f t="shared" si="12"/>
        <v>"C:\Program Files (x86)\AstroGrep\AstroGrep.exe" /e /r /s /spath="%USERPROFILE%\AppData\Local\Temp\OnboardLogs" /stypes="app*4044*20170406*" /stext=" 17:.+((SYSTEM_STATE.+slice.+state.+changed )|(ment ac)|(multiple cpu faults)|(system.+state.+changed )|(\[timeout)|(PRM\|1\|D)|(kpr)|(kdp)|(\|lc)|(penalty))"</v>
      </c>
      <c r="AG68" s="1" t="str">
        <f t="shared" si="13"/>
        <v>EC</v>
      </c>
      <c r="AH68" s="86" t="str">
        <f t="shared" si="18"/>
        <v>"%USERPROFILE%\Documents\GitHub\eaglep3\Utilities\RefineRTDCRunTimes.py" --tripid 157-06 --locoid 4044 --swversion DE.1.0.9.0 --startMP 204:446 --initTime 2017-04-06T10:44:50 --startdatetime 2017-04-06T10:46:18 --delay 0 --endMP 204:233319 --enddatetime 2017-04-06T11:22:41 --enforcementcount 0 &gt;&gt;C:\Users\stu\Documents\GitHub\eaglep3-reporting\EC\2017-04-06-refined-times.txt</v>
      </c>
      <c r="AI68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{"issue":{"subject":"","project_id":79,"tracker_id":40,"status_id":1,"priority_id":2,"assigned_to_id":23,"start_date":"2017-04-06","description":"","custom_fields":[{"id":1,"name":"Subdivision","value":"EC"},{"id":4,"name":"Milepost","value":"23.3319"},{"id":17,"name":"Train ID","value":"157-06"},{"id":16,"name":"Locomotive ID","value":"4044"},{"id":130,"name":"Impact","value":""},{"id":150,"name":"Time of Event (Mountain Time)","value":"11:22:41"},{"id":151,"name":"Denver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0"/>
        <v>start /low /b %USERPROFILE%\Documents\GitHub\eaglep3\Utilities\DownloadLogsFromS3.py --loco 4044 --day 2017-04-06</v>
      </c>
      <c r="AN68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17:22:41"},{"id":29,"name":"Sharepoint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728</v>
      </c>
      <c r="B69" s="7">
        <v>4043</v>
      </c>
      <c r="C69" s="21" t="s">
        <v>216</v>
      </c>
      <c r="D69" s="21" t="s">
        <v>440</v>
      </c>
      <c r="E69" s="13">
        <v>42831.485289351855</v>
      </c>
      <c r="F69" s="13">
        <v>42831.486979166664</v>
      </c>
      <c r="G69" s="7">
        <v>1</v>
      </c>
      <c r="H69" s="21" t="s">
        <v>184</v>
      </c>
      <c r="I69" s="13">
        <v>42831.514722222222</v>
      </c>
      <c r="J69" s="7">
        <v>0</v>
      </c>
      <c r="K69" s="97" t="str">
        <f t="shared" si="0"/>
        <v>4043/4044</v>
      </c>
      <c r="L69" s="21" t="str">
        <f>VLOOKUP(A69,'Trips&amp;Operators'!$C$1:$G$99999,5,FALSE)</f>
        <v>STARKS ANGELINA</v>
      </c>
      <c r="M69" s="6">
        <f t="shared" si="1"/>
        <v>2.7743055557948537E-2</v>
      </c>
      <c r="N69" s="7">
        <f t="shared" si="28"/>
        <v>39.950000003445894</v>
      </c>
      <c r="O69" s="7"/>
      <c r="P69" s="7"/>
      <c r="Q69" s="22"/>
      <c r="R69" s="22"/>
      <c r="S69" s="31">
        <f t="shared" si="24"/>
        <v>1</v>
      </c>
      <c r="T69" s="46" t="str">
        <f t="shared" si="3"/>
        <v>Southbound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4"/>
        <v>https://d0f6bd738d7f1b3e5a7ca70fe4ff75f0.us-east-1.aws.found.io/app/kibana#/discover/Steve-Slow-Train-Analysis-(2080s-and-2083s)?_g=(refreshInterval:(display:Off,pause:!f,section:0,value:0),time:(from:'2017-04-06T10:38:49-0600',mode:absolute,to:'2017-04-06T13:21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9" s="183" t="str">
        <f t="shared" si="5"/>
        <v>N</v>
      </c>
      <c r="X69" s="183">
        <f t="shared" si="27"/>
        <v>1</v>
      </c>
      <c r="Y69" s="62">
        <f t="shared" si="7"/>
        <v>23.299800000000001</v>
      </c>
      <c r="Z69" s="62">
        <f t="shared" si="25"/>
        <v>1.49E-2</v>
      </c>
      <c r="AA69" s="62">
        <f t="shared" si="9"/>
        <v>23.2849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0"/>
        <v>0158-06</v>
      </c>
      <c r="AE69" s="85" t="str">
        <f t="shared" si="11"/>
        <v>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 &amp; aws s3 cp s3://rtdc.mdm.uploadarchive.raw/RTDC4043/ "%USERPROFILE%\AppData\Local\Temp\OnboardLogs"\RTDC4043\2017-04-07 --exclude "*" --recursive --include "*20170407*" &amp; "%USERPROFILE%\Documents\GitHub\mrs-test-scripts\Headless Mode &amp; Sideloading\WalkAndUnGZ.bat" "%USERPROFILE%\AppData\Local\Temp\OnboardLogs"\RTDC4043\2017-04-07</v>
      </c>
      <c r="AF69" s="82" t="str">
        <f t="shared" si="12"/>
        <v>"C:\Program Files (x86)\AstroGrep\AstroGrep.exe" /e /r /s /spath="%USERPROFILE%\AppData\Local\Temp\OnboardLogs" /stypes="app*4043*20170406*" /stext=" 18:.+((SYSTEM_STATE.+slice.+state.+changed )|(ment ac)|(multiple cpu faults)|(system.+state.+changed )|(\[timeout)|(PRM\|1\|D)|(kpr)|(kdp)|(\|lc)|(penalty))"</v>
      </c>
      <c r="AG69" s="1" t="str">
        <f t="shared" si="13"/>
        <v>EC</v>
      </c>
      <c r="AH69" s="86" t="str">
        <f t="shared" si="18"/>
        <v>"%USERPROFILE%\Documents\GitHub\eaglep3\Utilities\RefineRTDCRunTimes.py" --tripid 158-06 --locoid 4043 --swversion DE.1.0.9.0 --startMP 204:232998 --initTime 2017-04-06T11:38:49 --startdatetime 2017-04-06T11:41:15 --delay 1 --endMP 204:149 --enddatetime 2017-04-06T12:21:12 --enforcementcount 0 &gt;&gt;C:\Users\stu\Documents\GitHub\eaglep3-reporting\EC\2017-04-06-refined-times.txt</v>
      </c>
      <c r="AI69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{"issue":{"subject":"","project_id":79,"tracker_id":40,"status_id":1,"priority_id":2,"assigned_to_id":23,"start_date":"2017-04-06","description":"","custom_fields":[{"id":1,"name":"Subdivision","value":"EC"},{"id":4,"name":"Milepost","value":"0.0149"},{"id":17,"name":"Train ID","value":"158-06"},{"id":16,"name":"Locomotive ID","value":"4043"},{"id":130,"name":"Impact","value":""},{"id":150,"name":"Time of Event (Mountain Time)","value":"12:21:12"},{"id":151,"name":"Denver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0"/>
        <v>start /low /b %USERPROFILE%\Documents\GitHub\eaglep3\Utilities\DownloadLogsFromS3.py --loco 4043 --day 2017-04-06</v>
      </c>
      <c r="AN69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18:21:12"},{"id":29,"name":"Sharepoint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731</v>
      </c>
      <c r="B70" s="7">
        <v>4010</v>
      </c>
      <c r="C70" s="21" t="s">
        <v>216</v>
      </c>
      <c r="D70" s="21" t="s">
        <v>882</v>
      </c>
      <c r="E70" s="13">
        <v>42831.454965277779</v>
      </c>
      <c r="F70" s="13">
        <v>42831.458495370367</v>
      </c>
      <c r="G70" s="7">
        <v>1</v>
      </c>
      <c r="H70" s="21" t="s">
        <v>883</v>
      </c>
      <c r="I70" s="13">
        <v>42831.4846875</v>
      </c>
      <c r="J70" s="7">
        <v>0</v>
      </c>
      <c r="K70" s="97" t="str">
        <f t="shared" si="0"/>
        <v>4009/4010</v>
      </c>
      <c r="L70" s="21" t="str">
        <f>VLOOKUP(A70,'Trips&amp;Operators'!$C$1:$G$99999,5,FALSE)</f>
        <v>CLARK KATHLEEN</v>
      </c>
      <c r="M70" s="6">
        <f t="shared" si="1"/>
        <v>2.6192129633272998E-2</v>
      </c>
      <c r="N70" s="7">
        <f t="shared" si="28"/>
        <v>37.716666671913117</v>
      </c>
      <c r="O70" s="7"/>
      <c r="P70" s="7"/>
      <c r="Q70" s="22"/>
      <c r="R70" s="22"/>
      <c r="S70" s="31">
        <f t="shared" si="24"/>
        <v>1</v>
      </c>
      <c r="T70" s="46" t="str">
        <f t="shared" si="3"/>
        <v>NorthBound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4"/>
        <v>https://d0f6bd738d7f1b3e5a7ca70fe4ff75f0.us-east-1.aws.found.io/app/kibana#/discover/Steve-Slow-Train-Analysis-(2080s-and-2083s)?_g=(refreshInterval:(display:Off,pause:!f,section:0,value:0),time:(from:'2017-04-06T09:55:09-0600',mode:absolute,to:'2017-04-06T12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0" s="183" t="str">
        <f t="shared" si="5"/>
        <v>N</v>
      </c>
      <c r="X70" s="183">
        <f t="shared" si="27"/>
        <v>1</v>
      </c>
      <c r="Y70" s="62">
        <f t="shared" si="7"/>
        <v>4.8599999999999997E-2</v>
      </c>
      <c r="Z70" s="62">
        <f t="shared" si="25"/>
        <v>23.3276</v>
      </c>
      <c r="AA70" s="62">
        <f t="shared" si="9"/>
        <v>23.279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0"/>
        <v>0159-06</v>
      </c>
      <c r="AE70" s="85" t="str">
        <f t="shared" si="11"/>
        <v>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 &amp; 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</v>
      </c>
      <c r="AF70" s="82" t="str">
        <f t="shared" si="12"/>
        <v>"C:\Program Files (x86)\AstroGrep\AstroGrep.exe" /e /r /s /spath="%USERPROFILE%\AppData\Local\Temp\OnboardLogs" /stypes="app*4010*20170406*" /stext=" 17:.+((SYSTEM_STATE.+slice.+state.+changed )|(ment ac)|(multiple cpu faults)|(system.+state.+changed )|(\[timeout)|(PRM\|1\|D)|(kpr)|(kdp)|(\|lc)|(penalty))"</v>
      </c>
      <c r="AG70" s="1" t="str">
        <f t="shared" si="13"/>
        <v>EC</v>
      </c>
      <c r="AH70" s="86" t="str">
        <f t="shared" si="18"/>
        <v>"%USERPROFILE%\Documents\GitHub\eaglep3\Utilities\RefineRTDCRunTimes.py" --tripid 159-06 --locoid 4010 --swversion DE.1.0.9.0 --startMP 204:486 --initTime 2017-04-06T10:55:09 --startdatetime 2017-04-06T11:00:14 --delay 1 --endMP 204:233276 --enddatetime 2017-04-06T11:37:57 --enforcementcount 0 &gt;&gt;C:\Users\stu\Documents\GitHub\eaglep3-reporting\EC\2017-04-06-refined-times.txt</v>
      </c>
      <c r="AI70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{"issue":{"subject":"","project_id":79,"tracker_id":40,"status_id":1,"priority_id":2,"assigned_to_id":23,"start_date":"2017-04-06","description":"","custom_fields":[{"id":1,"name":"Subdivision","value":"EC"},{"id":4,"name":"Milepost","value":"23.3276"},{"id":17,"name":"Train ID","value":"159-06"},{"id":16,"name":"Locomotive ID","value":"4010"},{"id":130,"name":"Impact","value":""},{"id":150,"name":"Time of Event (Mountain Time)","value":"11:37:57"},{"id":151,"name":"Denver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0"/>
        <v>start /low /b %USERPROFILE%\Documents\GitHub\eaglep3\Utilities\DownloadLogsFromS3.py --loco 4010 --day 2017-04-06</v>
      </c>
      <c r="AN70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17:37:57"},{"id":29,"name":"Sharepoint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740</v>
      </c>
      <c r="B71" s="7">
        <v>4009</v>
      </c>
      <c r="C71" s="21" t="s">
        <v>216</v>
      </c>
      <c r="D71" s="21" t="s">
        <v>467</v>
      </c>
      <c r="E71" s="13">
        <v>42831.493726851855</v>
      </c>
      <c r="F71" s="13">
        <v>42831.497476851851</v>
      </c>
      <c r="G71" s="7">
        <v>1</v>
      </c>
      <c r="H71" s="21" t="s">
        <v>884</v>
      </c>
      <c r="I71" s="13">
        <v>42831.525833333333</v>
      </c>
      <c r="J71" s="7">
        <v>0</v>
      </c>
      <c r="K71" s="97" t="str">
        <f t="shared" si="0"/>
        <v>4009/4010</v>
      </c>
      <c r="L71" s="21" t="str">
        <f>VLOOKUP(A71,'Trips&amp;Operators'!$C$1:$G$99999,5,FALSE)</f>
        <v>CLARK KATHLEEN</v>
      </c>
      <c r="M71" s="6">
        <f t="shared" si="1"/>
        <v>2.8356481481750961E-2</v>
      </c>
      <c r="N71" s="7">
        <f t="shared" si="28"/>
        <v>40.833333333721384</v>
      </c>
      <c r="O71" s="7"/>
      <c r="P71" s="7"/>
      <c r="Q71" s="22"/>
      <c r="R71" s="22"/>
      <c r="S71" s="31">
        <f t="shared" si="24"/>
        <v>1</v>
      </c>
      <c r="T71" s="46" t="str">
        <f t="shared" si="3"/>
        <v>Southbound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4"/>
        <v>https://d0f6bd738d7f1b3e5a7ca70fe4ff75f0.us-east-1.aws.found.io/app/kibana#/discover/Steve-Slow-Train-Analysis-(2080s-and-2083s)?_g=(refreshInterval:(display:Off,pause:!f,section:0,value:0),time:(from:'2017-04-06T10:50:58-0600',mode:absolute,to:'2017-04-06T13:37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1" s="183" t="str">
        <f t="shared" si="5"/>
        <v>N</v>
      </c>
      <c r="X71" s="183">
        <f t="shared" si="27"/>
        <v>1</v>
      </c>
      <c r="Y71" s="62">
        <f t="shared" si="7"/>
        <v>23.2971</v>
      </c>
      <c r="Z71" s="62">
        <f t="shared" si="25"/>
        <v>1.7999999999999999E-2</v>
      </c>
      <c r="AA71" s="62">
        <f t="shared" si="9"/>
        <v>23.2791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0"/>
        <v>0160-06</v>
      </c>
      <c r="AE71" s="85" t="str">
        <f t="shared" si="11"/>
        <v>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 &amp; 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</v>
      </c>
      <c r="AF71" s="82" t="str">
        <f t="shared" si="12"/>
        <v>"C:\Program Files (x86)\AstroGrep\AstroGrep.exe" /e /r /s /spath="%USERPROFILE%\AppData\Local\Temp\OnboardLogs" /stypes="app*4009*20170406*" /stext=" 18:.+((SYSTEM_STATE.+slice.+state.+changed )|(ment ac)|(multiple cpu faults)|(system.+state.+changed )|(\[timeout)|(PRM\|1\|D)|(kpr)|(kdp)|(\|lc)|(penalty))"</v>
      </c>
      <c r="AG71" s="1" t="str">
        <f t="shared" si="13"/>
        <v>EC</v>
      </c>
      <c r="AH71" s="86" t="str">
        <f t="shared" si="18"/>
        <v>"%USERPROFILE%\Documents\GitHub\eaglep3\Utilities\RefineRTDCRunTimes.py" --tripid 160-06 --locoid 4009 --swversion DE.1.0.9.0 --startMP 204:232971 --initTime 2017-04-06T11:50:58 --startdatetime 2017-04-06T11:56:22 --delay 1 --endMP 204:180 --enddatetime 2017-04-06T12:37:12 --enforcementcount 0 &gt;&gt;C:\Users\stu\Documents\GitHub\eaglep3-reporting\EC\2017-04-06-refined-times.txt</v>
      </c>
      <c r="AI71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{"issue":{"subject":"","project_id":79,"tracker_id":40,"status_id":1,"priority_id":2,"assigned_to_id":23,"start_date":"2017-04-06","description":"","custom_fields":[{"id":1,"name":"Subdivision","value":"EC"},{"id":4,"name":"Milepost","value":"0.018"},{"id":17,"name":"Train ID","value":"160-06"},{"id":16,"name":"Locomotive ID","value":"4009"},{"id":130,"name":"Impact","value":""},{"id":150,"name":"Time of Event (Mountain Time)","value":"12:37:12"},{"id":151,"name":"Denver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0"/>
        <v>start /low /b %USERPROFILE%\Documents\GitHub\eaglep3\Utilities\DownloadLogsFromS3.py --loco 4009 --day 2017-04-06</v>
      </c>
      <c r="AN71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18:37:12"},{"id":29,"name":"Sharepoint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733</v>
      </c>
      <c r="B72" s="7">
        <v>4054</v>
      </c>
      <c r="C72" s="21" t="s">
        <v>216</v>
      </c>
      <c r="D72" s="21" t="s">
        <v>438</v>
      </c>
      <c r="E72" s="13">
        <v>42831.464803240742</v>
      </c>
      <c r="F72" s="13">
        <v>42831.469004629631</v>
      </c>
      <c r="G72" s="7">
        <v>2</v>
      </c>
      <c r="H72" s="21" t="s">
        <v>595</v>
      </c>
      <c r="I72" s="13">
        <v>42831.494351851848</v>
      </c>
      <c r="J72" s="7">
        <v>0</v>
      </c>
      <c r="K72" s="97" t="str">
        <f t="shared" si="0"/>
        <v>4053/4054</v>
      </c>
      <c r="L72" s="21" t="str">
        <f>VLOOKUP(A72,'Trips&amp;Operators'!$C$1:$G$99999,5,FALSE)</f>
        <v>BRANDNER MELINDA</v>
      </c>
      <c r="M72" s="6">
        <f t="shared" si="1"/>
        <v>2.5347222217533272E-2</v>
      </c>
      <c r="N72" s="7">
        <f t="shared" si="28"/>
        <v>36.499999993247911</v>
      </c>
      <c r="O72" s="7"/>
      <c r="P72" s="7"/>
      <c r="Q72" s="22"/>
      <c r="R72" s="22"/>
      <c r="S72" s="31">
        <f t="shared" si="24"/>
        <v>1</v>
      </c>
      <c r="T72" s="46" t="str">
        <f t="shared" si="3"/>
        <v>NorthBound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4"/>
        <v>https://d0f6bd738d7f1b3e5a7ca70fe4ff75f0.us-east-1.aws.found.io/app/kibana#/discover/Steve-Slow-Train-Analysis-(2080s-and-2083s)?_g=(refreshInterval:(display:Off,pause:!f,section:0,value:0),time:(from:'2017-04-06T10:09:19-0600',mode:absolute,to:'2017-04-06T12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2" s="183" t="str">
        <f t="shared" si="5"/>
        <v>N</v>
      </c>
      <c r="X72" s="183">
        <f t="shared" si="27"/>
        <v>1</v>
      </c>
      <c r="Y72" s="62">
        <f t="shared" si="7"/>
        <v>4.6600000000000003E-2</v>
      </c>
      <c r="Z72" s="62">
        <f t="shared" si="25"/>
        <v>23.330200000000001</v>
      </c>
      <c r="AA72" s="62">
        <f t="shared" si="9"/>
        <v>23.2836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0"/>
        <v>0161-06</v>
      </c>
      <c r="AE72" s="85" t="str">
        <f t="shared" si="11"/>
        <v>aws s3 cp s3://rtdc.mdm.uploadarchive.raw/RTDC4054/ "%USERPROFILE%\AppData\Local\Temp\OnboardLogs"\RTDC4054\2017-04-06 --exclude "*" --recursive --include "*20170406*" &amp; "%USERPROFILE%\Documents\GitHub\mrs-test-scripts\Headless Mode &amp; Sideloading\WalkAndUnGZ.bat" "%USERPROFILE%\AppData\Local\Temp\OnboardLogs"\RTDC4054\2017-04-06 &amp; aws s3 cp s3://rtdc.mdm.uploadarchive.raw/RTDC4054/ "%USERPROFILE%\AppData\Local\Temp\OnboardLogs"\RTDC4054\2017-04-07 --exclude "*" --recursive --include "*20170407*" &amp; "%USERPROFILE%\Documents\GitHub\mrs-test-scripts\Headless Mode &amp; Sideloading\WalkAndUnGZ.bat" "%USERPROFILE%\AppData\Local\Temp\OnboardLogs"\RTDC4054\2017-04-07</v>
      </c>
      <c r="AF72" s="82" t="str">
        <f t="shared" si="12"/>
        <v>"C:\Program Files (x86)\AstroGrep\AstroGrep.exe" /e /r /s /spath="%USERPROFILE%\AppData\Local\Temp\OnboardLogs" /stypes="app*4054*20170406*" /stext=" 17:.+((SYSTEM_STATE.+slice.+state.+changed )|(ment ac)|(multiple cpu faults)|(system.+state.+changed )|(\[timeout)|(PRM\|1\|D)|(kpr)|(kdp)|(\|lc)|(penalty))"</v>
      </c>
      <c r="AG72" s="1" t="str">
        <f t="shared" si="13"/>
        <v>EC</v>
      </c>
      <c r="AH72" s="86" t="str">
        <f t="shared" si="18"/>
        <v>"%USERPROFILE%\Documents\GitHub\eaglep3\Utilities\RefineRTDCRunTimes.py" --tripid 161-06 --locoid 4054 --swversion DE.1.0.9.0 --startMP 204:466 --initTime 2017-04-06T11:09:19 --startdatetime 2017-04-06T11:15:22 --delay 2 --endMP 204:233302 --enddatetime 2017-04-06T11:51:52 --enforcementcount 0 &gt;&gt;C:\Users\stu\Documents\GitHub\eaglep3-reporting\EC\2017-04-06-refined-times.txt</v>
      </c>
      <c r="AI72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{"issue":{"subject":"","project_id":79,"tracker_id":40,"status_id":1,"priority_id":2,"assigned_to_id":23,"start_date":"2017-04-06","description":"","custom_fields":[{"id":1,"name":"Subdivision","value":"EC"},{"id":4,"name":"Milepost","value":"23.3302"},{"id":17,"name":"Train ID","value":"161-06"},{"id":16,"name":"Locomotive ID","value":"4054"},{"id":130,"name":"Impact","value":""},{"id":150,"name":"Time of Event (Mountain Time)","value":"11:51:52"},{"id":151,"name":"Denver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0"/>
        <v>start /low /b %USERPROFILE%\Documents\GitHub\eaglep3\Utilities\DownloadLogsFromS3.py --loco 4054 --day 2017-04-06</v>
      </c>
      <c r="AN72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17:51:52"},{"id":29,"name":"Sharepoint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638</v>
      </c>
      <c r="B73" s="7">
        <v>4053</v>
      </c>
      <c r="C73" s="21" t="s">
        <v>216</v>
      </c>
      <c r="D73" s="21" t="s">
        <v>446</v>
      </c>
      <c r="E73" s="13">
        <v>42831.501076388886</v>
      </c>
      <c r="F73" s="13">
        <v>42831.5078125</v>
      </c>
      <c r="G73" s="7">
        <v>2</v>
      </c>
      <c r="H73" s="21" t="s">
        <v>885</v>
      </c>
      <c r="I73" s="13">
        <v>42831.535682870373</v>
      </c>
      <c r="J73" s="7">
        <v>0</v>
      </c>
      <c r="K73" s="97" t="str">
        <f t="shared" si="0"/>
        <v>4053/4054</v>
      </c>
      <c r="L73" s="21" t="str">
        <f>VLOOKUP(A73,'Trips&amp;Operators'!$C$1:$G$99999,5,FALSE)</f>
        <v>BRANDNER MELINDA</v>
      </c>
      <c r="M73" s="6">
        <f t="shared" si="1"/>
        <v>2.7870370373420883E-2</v>
      </c>
      <c r="N73" s="7">
        <f t="shared" si="28"/>
        <v>40.133333337726071</v>
      </c>
      <c r="O73" s="7"/>
      <c r="P73" s="7"/>
      <c r="Q73" s="22"/>
      <c r="R73" s="22"/>
      <c r="S73" s="31">
        <f t="shared" si="24"/>
        <v>1</v>
      </c>
      <c r="T73" s="46" t="str">
        <f t="shared" si="3"/>
        <v>Southbound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4"/>
        <v>https://d0f6bd738d7f1b3e5a7ca70fe4ff75f0.us-east-1.aws.found.io/app/kibana#/discover/Steve-Slow-Train-Analysis-(2080s-and-2083s)?_g=(refreshInterval:(display:Off,pause:!f,section:0,value:0),time:(from:'2017-04-06T11:01:33-0600',mode:absolute,to:'2017-04-06T13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3" s="183" t="str">
        <f t="shared" si="5"/>
        <v>N</v>
      </c>
      <c r="X73" s="183">
        <f t="shared" ref="X73:X104" si="29">VALUE(LEFT(AD73,4))-VALUE(LEFT(AD72,4))</f>
        <v>1</v>
      </c>
      <c r="Y73" s="62">
        <f t="shared" si="7"/>
        <v>23.298500000000001</v>
      </c>
      <c r="Z73" s="62">
        <f t="shared" si="25"/>
        <v>1.9199999999999998E-2</v>
      </c>
      <c r="AA73" s="62">
        <f t="shared" si="9"/>
        <v>23.279299999999999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0"/>
        <v>0162-06</v>
      </c>
      <c r="AE73" s="85" t="str">
        <f t="shared" si="11"/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AF73" s="82" t="str">
        <f t="shared" si="12"/>
        <v>"C:\Program Files (x86)\AstroGrep\AstroGrep.exe" /e /r /s /spath="%USERPROFILE%\AppData\Local\Temp\OnboardLogs" /stypes="app*4053*20170406*" /stext=" 18:.+((SYSTEM_STATE.+slice.+state.+changed )|(ment ac)|(multiple cpu faults)|(system.+state.+changed )|(\[timeout)|(PRM\|1\|D)|(kpr)|(kdp)|(\|lc)|(penalty))"</v>
      </c>
      <c r="AG73" s="1" t="str">
        <f t="shared" si="13"/>
        <v>EC</v>
      </c>
      <c r="AH73" s="86" t="str">
        <f t="shared" si="18"/>
        <v>"%USERPROFILE%\Documents\GitHub\eaglep3\Utilities\RefineRTDCRunTimes.py" --tripid 162-06 --locoid 4053 --swversion DE.1.0.9.0 --startMP 204:232985 --initTime 2017-04-06T12:01:33 --startdatetime 2017-04-06T12:11:15 --delay 2 --endMP 204:192 --enddatetime 2017-04-06T12:51:23 --enforcementcount 0 &gt;&gt;C:\Users\stu\Documents\GitHub\eaglep3-reporting\EC\2017-04-06-refined-times.txt</v>
      </c>
      <c r="AI73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{"issue":{"subject":"","project_id":79,"tracker_id":40,"status_id":1,"priority_id":2,"assigned_to_id":23,"start_date":"2017-04-06","description":"","custom_fields":[{"id":1,"name":"Subdivision","value":"EC"},{"id":4,"name":"Milepost","value":"0.0192"},{"id":17,"name":"Train ID","value":"162-06"},{"id":16,"name":"Locomotive ID","value":"4053"},{"id":130,"name":"Impact","value":""},{"id":150,"name":"Time of Event (Mountain Time)","value":"12:51:23"},{"id":151,"name":"Denver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0"/>
        <v>start /low /b %USERPROFILE%\Documents\GitHub\eaglep3\Utilities\DownloadLogsFromS3.py --loco 4053 --day 2017-04-06</v>
      </c>
      <c r="AN73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18:51:23"},{"id":29,"name":"Sharepoint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737</v>
      </c>
      <c r="B74" s="7">
        <v>4042</v>
      </c>
      <c r="C74" s="21" t="s">
        <v>216</v>
      </c>
      <c r="D74" s="21" t="s">
        <v>420</v>
      </c>
      <c r="E74" s="13">
        <v>42831.474791666667</v>
      </c>
      <c r="F74" s="13">
        <v>42831.479351851849</v>
      </c>
      <c r="G74" s="7">
        <v>2</v>
      </c>
      <c r="H74" s="21" t="s">
        <v>873</v>
      </c>
      <c r="I74" s="13">
        <v>42831.503807870373</v>
      </c>
      <c r="J74" s="7">
        <v>0</v>
      </c>
      <c r="K74" s="97" t="str">
        <f t="shared" si="0"/>
        <v>4041/4042</v>
      </c>
      <c r="L74" s="21" t="str">
        <f>VLOOKUP(A74,'Trips&amp;Operators'!$C$1:$G$99999,5,FALSE)</f>
        <v>GUZMAN DANNY</v>
      </c>
      <c r="M74" s="6">
        <f t="shared" si="1"/>
        <v>2.4456018523778766E-2</v>
      </c>
      <c r="N74" s="7">
        <f t="shared" si="28"/>
        <v>35.216666674241424</v>
      </c>
      <c r="O74" s="7"/>
      <c r="P74" s="7"/>
      <c r="Q74" s="22"/>
      <c r="R74" s="22"/>
      <c r="S74" s="31">
        <f t="shared" si="24"/>
        <v>1</v>
      </c>
      <c r="T74" s="46" t="str">
        <f t="shared" si="3"/>
        <v>NorthBound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4"/>
        <v>https://d0f6bd738d7f1b3e5a7ca70fe4ff75f0.us-east-1.aws.found.io/app/kibana#/discover/Steve-Slow-Train-Analysis-(2080s-and-2083s)?_g=(refreshInterval:(display:Off,pause:!f,section:0,value:0),time:(from:'2017-04-06T10:23:42-0600',mode:absolute,to:'2017-04-06T13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4" s="183" t="str">
        <f t="shared" si="5"/>
        <v>N</v>
      </c>
      <c r="X74" s="183">
        <f t="shared" si="29"/>
        <v>1</v>
      </c>
      <c r="Y74" s="62">
        <f t="shared" si="7"/>
        <v>4.6199999999999998E-2</v>
      </c>
      <c r="Z74" s="62">
        <f t="shared" si="25"/>
        <v>23.328800000000001</v>
      </c>
      <c r="AA74" s="62">
        <f t="shared" si="9"/>
        <v>23.282600000000002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0"/>
        <v>0163-06</v>
      </c>
      <c r="AE74" s="85" t="str">
        <f t="shared" si="11"/>
        <v>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 &amp; 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</v>
      </c>
      <c r="AF74" s="82" t="str">
        <f t="shared" si="12"/>
        <v>"C:\Program Files (x86)\AstroGrep\AstroGrep.exe" /e /r /s /spath="%USERPROFILE%\AppData\Local\Temp\OnboardLogs" /stypes="app*4042*20170406*" /stext=" 18:.+((SYSTEM_STATE.+slice.+state.+changed )|(ment ac)|(multiple cpu faults)|(system.+state.+changed )|(\[timeout)|(PRM\|1\|D)|(kpr)|(kdp)|(\|lc)|(penalty))"</v>
      </c>
      <c r="AG74" s="1" t="str">
        <f t="shared" si="13"/>
        <v>EC</v>
      </c>
      <c r="AH74" s="86" t="str">
        <f t="shared" si="18"/>
        <v>"%USERPROFILE%\Documents\GitHub\eaglep3\Utilities\RefineRTDCRunTimes.py" --tripid 163-06 --locoid 4042 --swversion DE.1.0.9.0 --startMP 204:462 --initTime 2017-04-06T11:23:42 --startdatetime 2017-04-06T11:30:16 --delay 2 --endMP 204:233288 --enddatetime 2017-04-06T12:05:29 --enforcementcount 0 &gt;&gt;C:\Users\stu\Documents\GitHub\eaglep3-reporting\EC\2017-04-06-refined-times.txt</v>
      </c>
      <c r="AI74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{"issue":{"subject":"","project_id":79,"tracker_id":40,"status_id":1,"priority_id":2,"assigned_to_id":23,"start_date":"2017-04-06","description":"","custom_fields":[{"id":1,"name":"Subdivision","value":"EC"},{"id":4,"name":"Milepost","value":"23.3288"},{"id":17,"name":"Train ID","value":"163-06"},{"id":16,"name":"Locomotive ID","value":"4042"},{"id":130,"name":"Impact","value":""},{"id":150,"name":"Time of Event (Mountain Time)","value":"12:05:29"},{"id":151,"name":"Denver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0"/>
        <v>start /low /b %USERPROFILE%\Documents\GitHub\eaglep3\Utilities\DownloadLogsFromS3.py --loco 4042 --day 2017-04-06</v>
      </c>
      <c r="AN74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18:05:29"},{"id":29,"name":"Sharepoint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746</v>
      </c>
      <c r="B75" s="7">
        <v>4041</v>
      </c>
      <c r="C75" s="21" t="s">
        <v>216</v>
      </c>
      <c r="D75" s="21" t="s">
        <v>403</v>
      </c>
      <c r="E75" s="13">
        <v>42831.512245370373</v>
      </c>
      <c r="F75" s="13">
        <v>42831.518275462964</v>
      </c>
      <c r="G75" s="7">
        <v>1</v>
      </c>
      <c r="H75" s="21" t="s">
        <v>213</v>
      </c>
      <c r="I75" s="13">
        <v>42831.546412037038</v>
      </c>
      <c r="J75" s="7">
        <v>0</v>
      </c>
      <c r="K75" s="97" t="str">
        <f t="shared" si="0"/>
        <v>4041/4042</v>
      </c>
      <c r="L75" s="21" t="str">
        <f>VLOOKUP(A75,'Trips&amp;Operators'!$C$1:$G$99999,5,FALSE)</f>
        <v>GUZMAN DANNY</v>
      </c>
      <c r="M75" s="6">
        <f t="shared" si="1"/>
        <v>2.8136574073869269E-2</v>
      </c>
      <c r="N75" s="7">
        <f t="shared" si="28"/>
        <v>40.516666666371748</v>
      </c>
      <c r="O75" s="7"/>
      <c r="P75" s="7"/>
      <c r="Q75" s="22"/>
      <c r="R75" s="22"/>
      <c r="S75" s="31">
        <f t="shared" si="24"/>
        <v>1</v>
      </c>
      <c r="T75" s="46" t="str">
        <f t="shared" si="3"/>
        <v>Southbound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4"/>
        <v>https://d0f6bd738d7f1b3e5a7ca70fe4ff75f0.us-east-1.aws.found.io/app/kibana#/discover/Steve-Slow-Train-Analysis-(2080s-and-2083s)?_g=(refreshInterval:(display:Off,pause:!f,section:0,value:0),time:(from:'2017-04-06T11:17:38-0600',mode:absolute,to:'2017-04-06T14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5" s="183" t="str">
        <f t="shared" si="5"/>
        <v>N</v>
      </c>
      <c r="X75" s="183">
        <f t="shared" si="29"/>
        <v>1</v>
      </c>
      <c r="Y75" s="62">
        <f t="shared" si="7"/>
        <v>23.297699999999999</v>
      </c>
      <c r="Z75" s="62">
        <f t="shared" si="25"/>
        <v>1.47E-2</v>
      </c>
      <c r="AA75" s="62">
        <f t="shared" si="9"/>
        <v>23.282999999999998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0"/>
        <v>0164-06</v>
      </c>
      <c r="AE75" s="85" t="str">
        <f t="shared" si="11"/>
        <v>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 &amp; aws s3 cp s3://rtdc.mdm.uploadarchive.raw/RTDC4041/ "%USERPROFILE%\AppData\Local\Temp\OnboardLogs"\RTDC4041\2017-04-07 --exclude "*" --recursive --include "*20170407*" &amp; "%USERPROFILE%\Documents\GitHub\mrs-test-scripts\Headless Mode &amp; Sideloading\WalkAndUnGZ.bat" "%USERPROFILE%\AppData\Local\Temp\OnboardLogs"\RTDC4041\2017-04-07</v>
      </c>
      <c r="AF75" s="82" t="str">
        <f t="shared" si="12"/>
        <v>"C:\Program Files (x86)\AstroGrep\AstroGrep.exe" /e /r /s /spath="%USERPROFILE%\AppData\Local\Temp\OnboardLogs" /stypes="app*4041*20170406*" /stext=" 19:.+((SYSTEM_STATE.+slice.+state.+changed )|(ment ac)|(multiple cpu faults)|(system.+state.+changed )|(\[timeout)|(PRM\|1\|D)|(kpr)|(kdp)|(\|lc)|(penalty))"</v>
      </c>
      <c r="AG75" s="1" t="str">
        <f t="shared" si="13"/>
        <v>EC</v>
      </c>
      <c r="AH75" s="86" t="str">
        <f t="shared" si="18"/>
        <v>"%USERPROFILE%\Documents\GitHub\eaglep3\Utilities\RefineRTDCRunTimes.py" --tripid 164-06 --locoid 4041 --swversion DE.1.0.9.0 --startMP 204:232977 --initTime 2017-04-06T12:17:38 --startdatetime 2017-04-06T12:26:19 --delay 1 --endMP 204:147 --enddatetime 2017-04-06T13:06:50 --enforcementcount 0 &gt;&gt;C:\Users\stu\Documents\GitHub\eaglep3-reporting\EC\2017-04-06-refined-times.txt</v>
      </c>
      <c r="AI75" s="104" t="str">
        <f t="shared" si="19"/>
        <v>echo {"issue":{"subject":"","project_id":79,"tracker_id":40,"status_id":1,"priority_id":2,"assigned_to_id":23,"start_date":"2017-04-06","description":"","custom_fields":[{"id":1,"name":"Subdivision","value":"EC"},{"id":4,"name":"Milepost","value":"0.0147"},{"id":17,"name":"Train ID","value":"164-06"},{"id":16,"name":"Locomotive ID","value":"4041"},{"id":130,"name":"Impact","value":""},{"id":150,"name":"Time of Event (Mountain Time)","value":"13:06:50"},{"id":151,"name":"Denver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0"/>
        <v>start /low /b %USERPROFILE%\Documents\GitHub\eaglep3\Utilities\DownloadLogsFromS3.py --loco 4041 --day 2017-04-06</v>
      </c>
      <c r="AN75" s="159" t="str">
        <f t="shared" si="21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19:06:50"},{"id":29,"name":"Sharepoint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739</v>
      </c>
      <c r="B76" s="7">
        <v>4018</v>
      </c>
      <c r="C76" s="21" t="s">
        <v>216</v>
      </c>
      <c r="D76" s="21" t="s">
        <v>207</v>
      </c>
      <c r="E76" s="13">
        <v>42831.489814814813</v>
      </c>
      <c r="F76" s="13">
        <v>42831.491365740738</v>
      </c>
      <c r="G76" s="7">
        <v>1</v>
      </c>
      <c r="H76" s="21" t="s">
        <v>424</v>
      </c>
      <c r="I76" s="13">
        <v>42831.515972222223</v>
      </c>
      <c r="J76" s="7">
        <v>0</v>
      </c>
      <c r="K76" s="97" t="str">
        <f t="shared" ref="K76:K139" si="30">IF(ISEVEN(B76),(B76-1)&amp;"/"&amp;B76,B76&amp;"/"&amp;(B76+1))</f>
        <v>4017/4018</v>
      </c>
      <c r="L76" s="21" t="str">
        <f>VLOOKUP(A76,'Trips&amp;Operators'!$C$1:$G$99999,5,FALSE)</f>
        <v>SMITH MICHAEL</v>
      </c>
      <c r="M76" s="6">
        <f t="shared" ref="M76:M139" si="31">I76-F76</f>
        <v>2.4606481485534459E-2</v>
      </c>
      <c r="N76" s="7">
        <f t="shared" si="28"/>
        <v>35.433333339169621</v>
      </c>
      <c r="O76" s="7"/>
      <c r="P76" s="7"/>
      <c r="Q76" s="22"/>
      <c r="R76" s="22"/>
      <c r="S76" s="31">
        <f t="shared" si="24"/>
        <v>1</v>
      </c>
      <c r="T76" s="46" t="str">
        <f t="shared" ref="T76:T139" si="32">IF(ISEVEN(LEFT(AD76,4)),"Southbound","NorthBound")</f>
        <v>NorthBound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ref="V76:V139" si="33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-04-06T10:45:20-0600',mode:absolute,to:'2017-04-06T13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6" s="183" t="str">
        <f t="shared" ref="W76:W139" si="34">IF(AA76&lt;IF(AG76="EC",23,5.65),"Y","N")</f>
        <v>N</v>
      </c>
      <c r="X76" s="183">
        <f t="shared" si="29"/>
        <v>1</v>
      </c>
      <c r="Y76" s="62">
        <f t="shared" ref="Y76:Y139" si="35">RIGHT(D76,LEN(D76)-4)/10000</f>
        <v>4.5999999999999999E-2</v>
      </c>
      <c r="Z76" s="62">
        <f t="shared" si="25"/>
        <v>23.3308</v>
      </c>
      <c r="AA76" s="62">
        <f t="shared" ref="AA76:AA139" si="36">ABS(Z76-Y76)</f>
        <v>23.284800000000001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ref="AD76:AD139" si="37">IF(LEN(A76)=6,"0"&amp;A76,A76)</f>
        <v>0165-06</v>
      </c>
      <c r="AE76" s="85" t="str">
        <f t="shared" ref="AE76:AE139" si="38"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 &amp; aws s3 cp s3://rtdc.mdm.uploadarchive.raw/RTDC4018/ "%USERPROFILE%\AppData\Local\Temp\OnboardLogs"\RTDC4018\2017-04-07 --exclude "*" --recursive --include "*20170407*" &amp; "%USERPROFILE%\Documents\GitHub\mrs-test-scripts\Headless Mode &amp; Sideloading\WalkAndUnGZ.bat" "%USERPROFILE%\AppData\Local\Temp\OnboardLogs"\RTDC4018\2017-04-07</v>
      </c>
      <c r="AF76" s="82" t="str">
        <f t="shared" ref="AF76:AF139" si="39"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/stypes="app*4018*20170406*" /stext=" 18:.+((SYSTEM_STATE.+slice.+state.+changed )|(ment ac)|(multiple cpu faults)|(system.+state.+changed )|(\[timeout)|(PRM\|1\|D)|(kpr)|(kdp)|(\|lc)|(penalty))"</v>
      </c>
      <c r="AG76" s="1" t="str">
        <f t="shared" ref="AG76:AG139" si="40">IFERROR(IF(VALUE(LEFT(AD76,2))&lt;=2,"EC",IF(OR(VALUE(LEFT(AD76,2))=8,VALUE(LEFT(AD76,2))=18),"NW","Other")),"Other")</f>
        <v>EC</v>
      </c>
      <c r="AH76" s="86" t="str">
        <f t="shared" ref="AH76:AH139" si="41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165-06 --locoid 4018 --swversion DE.1.0.9.0 --startMP 204:460 --initTime 2017-04-06T11:45:20 --startdatetime 2017-04-06T11:47:34 --delay 1 --endMP 204:233308 --enddatetime 2017-04-06T12:23:00 --enforcementcount 0 &gt;&gt;C:\Users\stu\Documents\GitHub\eaglep3-reporting\EC\2017-04-06-refined-times.txt</v>
      </c>
      <c r="AI76" s="104" t="str">
        <f t="shared" ref="AI76:AI139" si="42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{"issue":{"subject":"","project_id":79,"tracker_id":40,"status_id":1,"priority_id":2,"assigned_to_id":23,"start_date":"2017-04-06","description":"","custom_fields":[{"id":1,"name":"Subdivision","value":"EC"},{"id":4,"name":"Milepost","value":"23.3308"},{"id":17,"name":"Train ID","value":"165-06"},{"id":16,"name":"Locomotive ID","value":"4018"},{"id":130,"name":"Impact","value":""},{"id":150,"name":"Time of Event (Mountain Time)","value":"12:23:00"},{"id":151,"name":"Denver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ref="AM76:AM139" si="43">"start /low /b "&amp;dls3logs&amp;" --loco "&amp;B76&amp;" --day "&amp;TEXT(F76,"YYYY-MM-DD")</f>
        <v>start /low /b %USERPROFILE%\Documents\GitHub\eaglep3\Utilities\DownloadLogsFromS3.py --loco 4018 --day 2017-04-06</v>
      </c>
      <c r="AN76" s="159" t="str">
        <f t="shared" ref="AN76:AN139" si="44"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18:23:00"},{"id":29,"name":"Sharepoint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748</v>
      </c>
      <c r="B77" s="7">
        <v>4017</v>
      </c>
      <c r="C77" s="21" t="s">
        <v>216</v>
      </c>
      <c r="D77" s="21" t="s">
        <v>886</v>
      </c>
      <c r="E77" s="13">
        <v>42831.518125000002</v>
      </c>
      <c r="F77" s="13">
        <v>42831.528692129628</v>
      </c>
      <c r="G77" s="7">
        <v>1</v>
      </c>
      <c r="H77" s="21" t="s">
        <v>184</v>
      </c>
      <c r="I77" s="13">
        <v>42831.557256944441</v>
      </c>
      <c r="J77" s="7">
        <v>0</v>
      </c>
      <c r="K77" s="97" t="str">
        <f t="shared" si="30"/>
        <v>4017/4018</v>
      </c>
      <c r="L77" s="21" t="str">
        <f>VLOOKUP(A77,'Trips&amp;Operators'!$C$1:$G$99999,5,FALSE)</f>
        <v>SMITH MICHAEL</v>
      </c>
      <c r="M77" s="6">
        <f t="shared" si="31"/>
        <v>2.8564814812853001E-2</v>
      </c>
      <c r="N77" s="7">
        <f t="shared" si="28"/>
        <v>41.133333330508322</v>
      </c>
      <c r="O77" s="7"/>
      <c r="P77" s="7"/>
      <c r="Q77" s="22"/>
      <c r="R77" s="22"/>
      <c r="S77" s="31">
        <f t="shared" si="24"/>
        <v>1</v>
      </c>
      <c r="T77" s="46" t="str">
        <f t="shared" si="32"/>
        <v>Southbound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si="33"/>
        <v>https://d0f6bd738d7f1b3e5a7ca70fe4ff75f0.us-east-1.aws.found.io/app/kibana#/discover/Steve-Slow-Train-Analysis-(2080s-and-2083s)?_g=(refreshInterval:(display:Off,pause:!f,section:0,value:0),time:(from:'2017-04-06T11:26:06-0600',mode:absolute,to:'2017-04-06T14:22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7" s="183" t="str">
        <f t="shared" si="34"/>
        <v>N</v>
      </c>
      <c r="X77" s="183">
        <f t="shared" si="29"/>
        <v>1</v>
      </c>
      <c r="Y77" s="62">
        <f t="shared" si="35"/>
        <v>23.297599999999999</v>
      </c>
      <c r="Z77" s="62">
        <f t="shared" si="25"/>
        <v>1.49E-2</v>
      </c>
      <c r="AA77" s="62">
        <f t="shared" si="36"/>
        <v>23.282699999999998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37"/>
        <v>0166-06</v>
      </c>
      <c r="AE77" s="85" t="str">
        <f t="shared" si="38"/>
        <v>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 &amp; aws s3 cp s3://rtdc.mdm.uploadarchive.raw/RTDC4017/ "%USERPROFILE%\AppData\Local\Temp\OnboardLogs"\RTDC4017\2017-04-07 --exclude "*" --recursive --include "*20170407*" &amp; "%USERPROFILE%\Documents\GitHub\mrs-test-scripts\Headless Mode &amp; Sideloading\WalkAndUnGZ.bat" "%USERPROFILE%\AppData\Local\Temp\OnboardLogs"\RTDC4017\2017-04-07</v>
      </c>
      <c r="AF77" s="82" t="str">
        <f t="shared" si="39"/>
        <v>"C:\Program Files (x86)\AstroGrep\AstroGrep.exe" /e /r /s /spath="%USERPROFILE%\AppData\Local\Temp\OnboardLogs" /stypes="app*4017*20170406*" /stext=" 19:.+((SYSTEM_STATE.+slice.+state.+changed )|(ment ac)|(multiple cpu faults)|(system.+state.+changed )|(\[timeout)|(PRM\|1\|D)|(kpr)|(kdp)|(\|lc)|(penalty))"</v>
      </c>
      <c r="AG77" s="1" t="str">
        <f t="shared" si="40"/>
        <v>EC</v>
      </c>
      <c r="AH77" s="86" t="str">
        <f t="shared" si="41"/>
        <v>"%USERPROFILE%\Documents\GitHub\eaglep3\Utilities\RefineRTDCRunTimes.py" --tripid 166-06 --locoid 4017 --swversion DE.1.0.9.0 --startMP 204:232976 --initTime 2017-04-06T12:26:06 --startdatetime 2017-04-06T12:41:19 --delay 1 --endMP 204:149 --enddatetime 2017-04-06T13:22:27 --enforcementcount 0 &gt;&gt;C:\Users\stu\Documents\GitHub\eaglep3-reporting\EC\2017-04-06-refined-times.txt</v>
      </c>
      <c r="AI77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{"issue":{"subject":"","project_id":79,"tracker_id":40,"status_id":1,"priority_id":2,"assigned_to_id":23,"start_date":"2017-04-06","description":"","custom_fields":[{"id":1,"name":"Subdivision","value":"EC"},{"id":4,"name":"Milepost","value":"0.0149"},{"id":17,"name":"Train ID","value":"166-06"},{"id":16,"name":"Locomotive ID","value":"4017"},{"id":130,"name":"Impact","value":""},{"id":150,"name":"Time of Event (Mountain Time)","value":"13:22:27"},{"id":151,"name":"Denver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43"/>
        <v>start /low /b %USERPROFILE%\Documents\GitHub\eaglep3\Utilities\DownloadLogsFromS3.py --loco 4017 --day 2017-04-06</v>
      </c>
      <c r="AN77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19:22:27"},{"id":29,"name":"Sharepoint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741</v>
      </c>
      <c r="B78" s="7">
        <v>4004</v>
      </c>
      <c r="C78" s="21" t="s">
        <v>216</v>
      </c>
      <c r="D78" s="21" t="s">
        <v>598</v>
      </c>
      <c r="E78" s="13">
        <v>42831.49554398148</v>
      </c>
      <c r="F78" s="13">
        <v>42831.500173611108</v>
      </c>
      <c r="G78" s="7">
        <v>1</v>
      </c>
      <c r="H78" s="21" t="s">
        <v>887</v>
      </c>
      <c r="I78" s="13">
        <v>42831.525104166663</v>
      </c>
      <c r="J78" s="7">
        <v>0</v>
      </c>
      <c r="K78" s="97" t="str">
        <f t="shared" si="30"/>
        <v>4003/4004</v>
      </c>
      <c r="L78" s="21" t="str">
        <f>VLOOKUP(A78,'Trips&amp;Operators'!$C$1:$G$99999,5,FALSE)</f>
        <v>DELGADO DIANAH</v>
      </c>
      <c r="M78" s="6">
        <f t="shared" si="31"/>
        <v>2.4930555555329192E-2</v>
      </c>
      <c r="N78" s="7">
        <f t="shared" si="28"/>
        <v>35.899999999674037</v>
      </c>
      <c r="O78" s="7"/>
      <c r="P78" s="7"/>
      <c r="Q78" s="22"/>
      <c r="R78" s="22"/>
      <c r="S78" s="31">
        <f t="shared" si="24"/>
        <v>1</v>
      </c>
      <c r="T78" s="46" t="str">
        <f t="shared" si="32"/>
        <v>NorthBound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3"/>
        <v>https://d0f6bd738d7f1b3e5a7ca70fe4ff75f0.us-east-1.aws.found.io/app/kibana#/discover/Steve-Slow-Train-Analysis-(2080s-and-2083s)?_g=(refreshInterval:(display:Off,pause:!f,section:0,value:0),time:(from:'2017-04-06T10:53:35-0600',mode:absolute,to:'2017-04-06T13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8" s="183" t="str">
        <f t="shared" si="34"/>
        <v>N</v>
      </c>
      <c r="X78" s="183">
        <f t="shared" si="29"/>
        <v>1</v>
      </c>
      <c r="Y78" s="62">
        <f t="shared" si="35"/>
        <v>4.6399999999999997E-2</v>
      </c>
      <c r="Z78" s="62">
        <f t="shared" si="25"/>
        <v>23.341000000000001</v>
      </c>
      <c r="AA78" s="62">
        <f t="shared" si="36"/>
        <v>23.294600000000003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7"/>
        <v>0167-06</v>
      </c>
      <c r="AE78" s="85" t="str">
        <f t="shared" si="38"/>
        <v>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 &amp; aws s3 cp s3://rtdc.mdm.uploadarchive.raw/RTDC4004/ "%USERPROFILE%\AppData\Local\Temp\OnboardLogs"\RTDC4004\2017-04-07 --exclude "*" --recursive --include "*20170407*" &amp; "%USERPROFILE%\Documents\GitHub\mrs-test-scripts\Headless Mode &amp; Sideloading\WalkAndUnGZ.bat" "%USERPROFILE%\AppData\Local\Temp\OnboardLogs"\RTDC4004\2017-04-07</v>
      </c>
      <c r="AF78" s="82" t="str">
        <f t="shared" si="39"/>
        <v>"C:\Program Files (x86)\AstroGrep\AstroGrep.exe" /e /r /s /spath="%USERPROFILE%\AppData\Local\Temp\OnboardLogs" /stypes="app*4004*20170406*" /stext=" 18:.+((SYSTEM_STATE.+slice.+state.+changed )|(ment ac)|(multiple cpu faults)|(system.+state.+changed )|(\[timeout)|(PRM\|1\|D)|(kpr)|(kdp)|(\|lc)|(penalty))"</v>
      </c>
      <c r="AG78" s="1" t="str">
        <f t="shared" si="40"/>
        <v>EC</v>
      </c>
      <c r="AH78" s="86" t="str">
        <f t="shared" si="41"/>
        <v>"%USERPROFILE%\Documents\GitHub\eaglep3\Utilities\RefineRTDCRunTimes.py" --tripid 167-06 --locoid 4004 --swversion DE.1.0.9.0 --startMP 204:464 --initTime 2017-04-06T11:53:35 --startdatetime 2017-04-06T12:00:15 --delay 1 --endMP 204:233410 --enddatetime 2017-04-06T12:36:09 --enforcementcount 0 &gt;&gt;C:\Users\stu\Documents\GitHub\eaglep3-reporting\EC\2017-04-06-refined-times.txt</v>
      </c>
      <c r="AI78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{"issue":{"subject":"","project_id":79,"tracker_id":40,"status_id":1,"priority_id":2,"assigned_to_id":23,"start_date":"2017-04-06","description":"","custom_fields":[{"id":1,"name":"Subdivision","value":"EC"},{"id":4,"name":"Milepost","value":"23.341"},{"id":17,"name":"Train ID","value":"167-06"},{"id":16,"name":"Locomotive ID","value":"4004"},{"id":130,"name":"Impact","value":""},{"id":150,"name":"Time of Event (Mountain Time)","value":"12:36:09"},{"id":151,"name":"Denver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si="43"/>
        <v>start /low /b %USERPROFILE%\Documents\GitHub\eaglep3\Utilities\DownloadLogsFromS3.py --loco 4004 --day 2017-04-06</v>
      </c>
      <c r="AN78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18:36:09"},{"id":29,"name":"Sharepoint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639</v>
      </c>
      <c r="B79" s="7">
        <v>4003</v>
      </c>
      <c r="C79" s="21" t="s">
        <v>216</v>
      </c>
      <c r="D79" s="21" t="s">
        <v>888</v>
      </c>
      <c r="E79" s="13">
        <v>42831.533368055556</v>
      </c>
      <c r="F79" s="13">
        <v>42831.5390625</v>
      </c>
      <c r="G79" s="7">
        <v>1</v>
      </c>
      <c r="H79" s="21" t="s">
        <v>593</v>
      </c>
      <c r="I79" s="13">
        <v>42831.567418981482</v>
      </c>
      <c r="J79" s="7">
        <v>0</v>
      </c>
      <c r="K79" s="97" t="str">
        <f t="shared" si="30"/>
        <v>4003/4004</v>
      </c>
      <c r="L79" s="21" t="str">
        <f>VLOOKUP(A79,'Trips&amp;Operators'!$C$1:$G$99999,5,FALSE)</f>
        <v>DELGADO DIANAH</v>
      </c>
      <c r="M79" s="6">
        <f t="shared" si="31"/>
        <v>2.8356481481750961E-2</v>
      </c>
      <c r="N79" s="7">
        <f t="shared" si="28"/>
        <v>40.833333333721384</v>
      </c>
      <c r="O79" s="7"/>
      <c r="P79" s="7"/>
      <c r="Q79" s="22"/>
      <c r="R79" s="22"/>
      <c r="S79" s="31">
        <f t="shared" si="24"/>
        <v>1</v>
      </c>
      <c r="T79" s="46" t="str">
        <f t="shared" si="32"/>
        <v>Southbound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3"/>
        <v>https://d0f6bd738d7f1b3e5a7ca70fe4ff75f0.us-east-1.aws.found.io/app/kibana#/discover/Steve-Slow-Train-Analysis-(2080s-and-2083s)?_g=(refreshInterval:(display:Off,pause:!f,section:0,value:0),time:(from:'2017-04-06T11:48:03-0600',mode:absolute,to:'2017-04-06T14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9" s="183" t="str">
        <f t="shared" si="34"/>
        <v>N</v>
      </c>
      <c r="X79" s="183">
        <f t="shared" si="29"/>
        <v>1</v>
      </c>
      <c r="Y79" s="62">
        <f t="shared" si="35"/>
        <v>23.306699999999999</v>
      </c>
      <c r="Z79" s="62">
        <f t="shared" si="25"/>
        <v>1.2699999999999999E-2</v>
      </c>
      <c r="AA79" s="62">
        <f t="shared" si="36"/>
        <v>23.294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7"/>
        <v>0168-06</v>
      </c>
      <c r="AE79" s="85" t="str">
        <f t="shared" si="38"/>
        <v>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 &amp; aws s3 cp s3://rtdc.mdm.uploadarchive.raw/RTDC4003/ "%USERPROFILE%\AppData\Local\Temp\OnboardLogs"\RTDC4003\2017-04-07 --exclude "*" --recursive --include "*20170407*" &amp; "%USERPROFILE%\Documents\GitHub\mrs-test-scripts\Headless Mode &amp; Sideloading\WalkAndUnGZ.bat" "%USERPROFILE%\AppData\Local\Temp\OnboardLogs"\RTDC4003\2017-04-07</v>
      </c>
      <c r="AF79" s="82" t="str">
        <f t="shared" si="39"/>
        <v>"C:\Program Files (x86)\AstroGrep\AstroGrep.exe" /e /r /s /spath="%USERPROFILE%\AppData\Local\Temp\OnboardLogs" /stypes="app*4003*20170406*" /stext=" 19:.+((SYSTEM_STATE.+slice.+state.+changed )|(ment ac)|(multiple cpu faults)|(system.+state.+changed )|(\[timeout)|(PRM\|1\|D)|(kpr)|(kdp)|(\|lc)|(penalty))"</v>
      </c>
      <c r="AG79" s="1" t="str">
        <f t="shared" si="40"/>
        <v>EC</v>
      </c>
      <c r="AH79" s="86" t="str">
        <f t="shared" si="41"/>
        <v>"%USERPROFILE%\Documents\GitHub\eaglep3\Utilities\RefineRTDCRunTimes.py" --tripid 168-06 --locoid 4003 --swversion DE.1.0.9.0 --startMP 204:233067 --initTime 2017-04-06T12:48:03 --startdatetime 2017-04-06T12:56:15 --delay 1 --endMP 204:127 --enddatetime 2017-04-06T13:37:05 --enforcementcount 0 &gt;&gt;C:\Users\stu\Documents\GitHub\eaglep3-reporting\EC\2017-04-06-refined-times.txt</v>
      </c>
      <c r="AI79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{"issue":{"subject":"","project_id":79,"tracker_id":40,"status_id":1,"priority_id":2,"assigned_to_id":23,"start_date":"2017-04-06","description":"","custom_fields":[{"id":1,"name":"Subdivision","value":"EC"},{"id":4,"name":"Milepost","value":"0.0127"},{"id":17,"name":"Train ID","value":"168-06"},{"id":16,"name":"Locomotive ID","value":"4003"},{"id":130,"name":"Impact","value":""},{"id":150,"name":"Time of Event (Mountain Time)","value":"13:37:05"},{"id":151,"name":"Denver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43"/>
        <v>start /low /b %USERPROFILE%\Documents\GitHub\eaglep3\Utilities\DownloadLogsFromS3.py --loco 4003 --day 2017-04-06</v>
      </c>
      <c r="AN79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19:37:05"},{"id":29,"name":"Sharepoint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744</v>
      </c>
      <c r="B80" s="7">
        <v>4006</v>
      </c>
      <c r="C80" s="21" t="s">
        <v>216</v>
      </c>
      <c r="D80" s="21" t="s">
        <v>882</v>
      </c>
      <c r="E80" s="13">
        <v>42831.509606481479</v>
      </c>
      <c r="F80" s="13">
        <v>42831.51116898148</v>
      </c>
      <c r="G80" s="7">
        <v>1</v>
      </c>
      <c r="H80" s="21" t="s">
        <v>436</v>
      </c>
      <c r="I80" s="13">
        <v>42831.537303240744</v>
      </c>
      <c r="J80" s="7">
        <v>0</v>
      </c>
      <c r="K80" s="97" t="str">
        <f t="shared" si="30"/>
        <v>4005/4006</v>
      </c>
      <c r="L80" s="21" t="str">
        <f>VLOOKUP(A80,'Trips&amp;Operators'!$C$1:$G$99999,5,FALSE)</f>
        <v>WILLIAMS DONTE</v>
      </c>
      <c r="M80" s="6">
        <f t="shared" si="31"/>
        <v>2.6134259263926651E-2</v>
      </c>
      <c r="N80" s="7">
        <f t="shared" si="28"/>
        <v>37.633333340054378</v>
      </c>
      <c r="O80" s="7"/>
      <c r="P80" s="7"/>
      <c r="Q80" s="22"/>
      <c r="R80" s="22"/>
      <c r="S80" s="31">
        <f t="shared" si="24"/>
        <v>1</v>
      </c>
      <c r="T80" s="46" t="str">
        <f t="shared" si="32"/>
        <v>NorthBound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3"/>
        <v>https://d0f6bd738d7f1b3e5a7ca70fe4ff75f0.us-east-1.aws.found.io/app/kibana#/discover/Steve-Slow-Train-Analysis-(2080s-and-2083s)?_g=(refreshInterval:(display:Off,pause:!f,section:0,value:0),time:(from:'2017-04-06T11:13:50-0600',mode:absolute,to:'2017-04-06T13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80" s="183" t="str">
        <f t="shared" si="34"/>
        <v>N</v>
      </c>
      <c r="X80" s="183">
        <f t="shared" si="29"/>
        <v>1</v>
      </c>
      <c r="Y80" s="62">
        <f t="shared" si="35"/>
        <v>4.8599999999999997E-2</v>
      </c>
      <c r="Z80" s="62">
        <f t="shared" si="25"/>
        <v>23.329699999999999</v>
      </c>
      <c r="AA80" s="62">
        <f t="shared" si="36"/>
        <v>23.281099999999999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7"/>
        <v>0169-06</v>
      </c>
      <c r="AE80" s="85" t="str">
        <f t="shared" si="38"/>
        <v>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 &amp; aws s3 cp s3://rtdc.mdm.uploadarchive.raw/RTDC4006/ "%USERPROFILE%\AppData\Local\Temp\OnboardLogs"\RTDC4006\2017-04-07 --exclude "*" --recursive --include "*20170407*" &amp; "%USERPROFILE%\Documents\GitHub\mrs-test-scripts\Headless Mode &amp; Sideloading\WalkAndUnGZ.bat" "%USERPROFILE%\AppData\Local\Temp\OnboardLogs"\RTDC4006\2017-04-07</v>
      </c>
      <c r="AF80" s="82" t="str">
        <f t="shared" si="39"/>
        <v>"C:\Program Files (x86)\AstroGrep\AstroGrep.exe" /e /r /s /spath="%USERPROFILE%\AppData\Local\Temp\OnboardLogs" /stypes="app*4006*20170406*" /stext=" 18:.+((SYSTEM_STATE.+slice.+state.+changed )|(ment ac)|(multiple cpu faults)|(system.+state.+changed )|(\[timeout)|(PRM\|1\|D)|(kpr)|(kdp)|(\|lc)|(penalty))"</v>
      </c>
      <c r="AG80" s="1" t="str">
        <f t="shared" si="40"/>
        <v>EC</v>
      </c>
      <c r="AH80" s="86" t="str">
        <f t="shared" si="41"/>
        <v>"%USERPROFILE%\Documents\GitHub\eaglep3\Utilities\RefineRTDCRunTimes.py" --tripid 169-06 --locoid 4006 --swversion DE.1.0.9.0 --startMP 204:486 --initTime 2017-04-06T12:13:50 --startdatetime 2017-04-06T12:16:05 --delay 1 --endMP 204:233297 --enddatetime 2017-04-06T12:53:43 --enforcementcount 0 &gt;&gt;C:\Users\stu\Documents\GitHub\eaglep3-reporting\EC\2017-04-06-refined-times.txt</v>
      </c>
      <c r="AI80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{"issue":{"subject":"","project_id":79,"tracker_id":40,"status_id":1,"priority_id":2,"assigned_to_id":23,"start_date":"2017-04-06","description":"","custom_fields":[{"id":1,"name":"Subdivision","value":"EC"},{"id":4,"name":"Milepost","value":"23.3297"},{"id":17,"name":"Train ID","value":"169-06"},{"id":16,"name":"Locomotive ID","value":"4006"},{"id":130,"name":"Impact","value":""},{"id":150,"name":"Time of Event (Mountain Time)","value":"12:53:43"},{"id":151,"name":"Denver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8"/>
      <c r="AL80" s="48"/>
      <c r="AM80" s="150" t="str">
        <f t="shared" si="43"/>
        <v>start /low /b %USERPROFILE%\Documents\GitHub\eaglep3\Utilities\DownloadLogsFromS3.py --loco 4006 --day 2017-04-06</v>
      </c>
      <c r="AN80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18:53:43"},{"id":29,"name":"Sharepoint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x14ac:dyDescent="0.25">
      <c r="A81" s="33" t="s">
        <v>753</v>
      </c>
      <c r="B81" s="7">
        <v>4005</v>
      </c>
      <c r="C81" s="21" t="s">
        <v>216</v>
      </c>
      <c r="D81" s="21" t="s">
        <v>580</v>
      </c>
      <c r="E81" s="13">
        <v>42831.545856481483</v>
      </c>
      <c r="F81" s="13">
        <v>42831.547083333331</v>
      </c>
      <c r="G81" s="7">
        <v>1</v>
      </c>
      <c r="H81" s="21" t="s">
        <v>889</v>
      </c>
      <c r="I81" s="13">
        <v>42831.550381944442</v>
      </c>
      <c r="J81" s="7">
        <v>0</v>
      </c>
      <c r="K81" s="97" t="str">
        <f t="shared" si="30"/>
        <v>4005/4006</v>
      </c>
      <c r="L81" s="21" t="str">
        <f>VLOOKUP(A81,'Trips&amp;Operators'!$C$1:$G$99999,5,FALSE)</f>
        <v>WILLIAMS DONTE</v>
      </c>
      <c r="M81" s="6">
        <f t="shared" si="31"/>
        <v>3.2986111109494232E-3</v>
      </c>
      <c r="N81" s="7"/>
      <c r="O81" s="7"/>
      <c r="P81" s="7">
        <f>24*60*SUM($M81:$M81)</f>
        <v>4.7499999997671694</v>
      </c>
      <c r="Q81" s="22"/>
      <c r="R81" s="22" t="s">
        <v>530</v>
      </c>
      <c r="S81" s="31">
        <f t="shared" si="24"/>
        <v>0</v>
      </c>
      <c r="T81" s="46" t="str">
        <f t="shared" si="32"/>
        <v>Southbound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0</v>
      </c>
      <c r="V81" s="182" t="str">
        <f t="shared" si="33"/>
        <v>https://d0f6bd738d7f1b3e5a7ca70fe4ff75f0.us-east-1.aws.found.io/app/kibana#/discover/Steve-Slow-Train-Analysis-(2080s-and-2083s)?_g=(refreshInterval:(display:Off,pause:!f,section:0,value:0),time:(from:'2017-04-06T12:06:02-0600',mode:absolute,to:'2017-04-06T14:12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1" s="183" t="str">
        <f t="shared" si="34"/>
        <v>Y</v>
      </c>
      <c r="X81" s="183">
        <f t="shared" si="29"/>
        <v>1</v>
      </c>
      <c r="Y81" s="62">
        <f t="shared" si="35"/>
        <v>23.298300000000001</v>
      </c>
      <c r="Z81" s="62">
        <f t="shared" si="25"/>
        <v>22.865200000000002</v>
      </c>
      <c r="AA81" s="62">
        <f t="shared" si="36"/>
        <v>0.4330999999999996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7"/>
        <v>0170-06</v>
      </c>
      <c r="AE81" s="85" t="str">
        <f t="shared" si="38"/>
        <v>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 &amp; aws s3 cp s3://rtdc.mdm.uploadarchive.raw/RTDC4005/ "%USERPROFILE%\AppData\Local\Temp\OnboardLogs"\RTDC4005\2017-04-07 --exclude "*" --recursive --include "*20170407*" &amp; "%USERPROFILE%\Documents\GitHub\mrs-test-scripts\Headless Mode &amp; Sideloading\WalkAndUnGZ.bat" "%USERPROFILE%\AppData\Local\Temp\OnboardLogs"\RTDC4005\2017-04-07</v>
      </c>
      <c r="AF81" s="82" t="str">
        <f t="shared" si="39"/>
        <v>"C:\Program Files (x86)\AstroGrep\AstroGrep.exe" /e /r /s /spath="%USERPROFILE%\AppData\Local\Temp\OnboardLogs" /stypes="app*4005*20170406*" /stext=" 19:.+((SYSTEM_STATE.+slice.+state.+changed )|(ment ac)|(multiple cpu faults)|(system.+state.+changed )|(\[timeout)|(PRM\|1\|D)|(kpr)|(kdp)|(\|lc)|(penalty))"</v>
      </c>
      <c r="AG81" s="1" t="str">
        <f t="shared" si="40"/>
        <v>EC</v>
      </c>
      <c r="AH81" s="86" t="str">
        <f t="shared" si="41"/>
        <v>"%USERPROFILE%\Documents\GitHub\eaglep3\Utilities\RefineRTDCRunTimes.py" --tripid 170-06 --locoid 4005 --swversion DE.1.0.9.0 --startMP 204:232983 --initTime 2017-04-06T13:06:02 --startdatetime 2017-04-06T13:07:48 --delay 1 --endMP 204:228652 --enddatetime 2017-04-06T13:12:33 --enforcementcount 0 &gt;&gt;C:\Users\stu\Documents\GitHub\eaglep3-reporting\EC\2017-04-06-refined-times.txt</v>
      </c>
      <c r="AI81" s="104" t="str">
        <f t="shared" si="42"/>
        <v>echo {"issue":{"subject":"Onboard in-route failure","project_id":79,"tracker_id":40,"status_id":1,"priority_id":2,"assigned_to_id":23,"start_date":"2017-04-06","description":"","custom_fields":[{"id":1,"name":"Subdivision","value":"EC"},{"id":4,"name":"Milepost","value":"22.8652"},{"id":17,"name":"Train ID","value":"170-06"},{"id":16,"name":"Locomotive ID","value":"4005"},{"id":130,"name":"Impact","value":""},{"id":150,"name":"Time of Event (Mountain Time)","value":"13:12:33"},{"id":151,"name":"Denver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 t="shared" si="43"/>
        <v>start /low /b %USERPROFILE%\Documents\GitHub\eaglep3\Utilities\DownloadLogsFromS3.py --loco 4005 --day 2017-04-06</v>
      </c>
      <c r="AN81" s="159" t="str">
        <f t="shared" si="44"/>
        <v>echo {"issue":{"subject":"Onboard in-route failure","project_id":30,"tracker_id":4,"status_id":1,"priority_id":1,"assigned_to_id":10,"start_date":"2017-04-06","description":"","custom_fields":[{"id":30,"name":"Category","value":"Issue"},{"id":3,"name":"Functional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19:12:33"},{"id":29,"name":"Sharepoint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2" spans="1:91" s="20" customFormat="1" x14ac:dyDescent="0.25">
      <c r="A82" s="33" t="s">
        <v>747</v>
      </c>
      <c r="B82" s="7">
        <v>4044</v>
      </c>
      <c r="C82" s="21" t="s">
        <v>216</v>
      </c>
      <c r="D82" s="21" t="s">
        <v>468</v>
      </c>
      <c r="E82" s="13">
        <v>42831.516423611109</v>
      </c>
      <c r="F82" s="13">
        <v>42831.521168981482</v>
      </c>
      <c r="G82" s="7">
        <v>2</v>
      </c>
      <c r="H82" s="21" t="s">
        <v>890</v>
      </c>
      <c r="I82" s="13">
        <v>42831.5468287037</v>
      </c>
      <c r="J82" s="7">
        <v>0</v>
      </c>
      <c r="K82" s="97" t="str">
        <f t="shared" si="30"/>
        <v>4043/4044</v>
      </c>
      <c r="L82" s="21" t="str">
        <f>VLOOKUP(A82,'Trips&amp;Operators'!$C$1:$G$99999,5,FALSE)</f>
        <v>STRICKLAND EVAN</v>
      </c>
      <c r="M82" s="6">
        <f t="shared" si="31"/>
        <v>2.565972221782431E-2</v>
      </c>
      <c r="N82" s="7">
        <f t="shared" ref="N82:N113" si="45">24*60*SUM($M82:$M82)</f>
        <v>36.949999993667006</v>
      </c>
      <c r="O82" s="7"/>
      <c r="P82" s="7"/>
      <c r="Q82" s="22"/>
      <c r="R82" s="22"/>
      <c r="S82" s="31">
        <f t="shared" si="24"/>
        <v>1</v>
      </c>
      <c r="T82" s="46" t="str">
        <f t="shared" si="32"/>
        <v>NorthBound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3"/>
        <v>https://d0f6bd738d7f1b3e5a7ca70fe4ff75f0.us-east-1.aws.found.io/app/kibana#/discover/Steve-Slow-Train-Analysis-(2080s-and-2083s)?_g=(refreshInterval:(display:Off,pause:!f,section:0,value:0),time:(from:'2017-04-06T11:23:39-0600',mode:absolute,to:'2017-04-06T14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2" s="183" t="str">
        <f t="shared" si="34"/>
        <v>N</v>
      </c>
      <c r="X82" s="183">
        <f t="shared" si="29"/>
        <v>1</v>
      </c>
      <c r="Y82" s="62">
        <f t="shared" si="35"/>
        <v>4.3299999999999998E-2</v>
      </c>
      <c r="Z82" s="62">
        <f t="shared" si="25"/>
        <v>23.334700000000002</v>
      </c>
      <c r="AA82" s="62">
        <f t="shared" si="36"/>
        <v>23.291400000000003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7"/>
        <v>0171-06</v>
      </c>
      <c r="AE82" s="85" t="str">
        <f t="shared" si="38"/>
        <v>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 &amp; 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</v>
      </c>
      <c r="AF82" s="82" t="str">
        <f t="shared" si="39"/>
        <v>"C:\Program Files (x86)\AstroGrep\AstroGrep.exe" /e /r /s /spath="%USERPROFILE%\AppData\Local\Temp\OnboardLogs" /stypes="app*4044*20170406*" /stext=" 19:.+((SYSTEM_STATE.+slice.+state.+changed )|(ment ac)|(multiple cpu faults)|(system.+state.+changed )|(\[timeout)|(PRM\|1\|D)|(kpr)|(kdp)|(\|lc)|(penalty))"</v>
      </c>
      <c r="AG82" s="1" t="str">
        <f t="shared" si="40"/>
        <v>EC</v>
      </c>
      <c r="AH82" s="86" t="str">
        <f t="shared" si="41"/>
        <v>"%USERPROFILE%\Documents\GitHub\eaglep3\Utilities\RefineRTDCRunTimes.py" --tripid 171-06 --locoid 4044 --swversion DE.1.0.9.0 --startMP 204:433 --initTime 2017-04-06T12:23:39 --startdatetime 2017-04-06T12:30:29 --delay 2 --endMP 204:233347 --enddatetime 2017-04-06T13:07:26 --enforcementcount 0 &gt;&gt;C:\Users\stu\Documents\GitHub\eaglep3-reporting\EC\2017-04-06-refined-times.txt</v>
      </c>
      <c r="AI82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{"issue":{"subject":"","project_id":79,"tracker_id":40,"status_id":1,"priority_id":2,"assigned_to_id":23,"start_date":"2017-04-06","description":"","custom_fields":[{"id":1,"name":"Subdivision","value":"EC"},{"id":4,"name":"Milepost","value":"23.3347"},{"id":17,"name":"Train ID","value":"171-06"},{"id":16,"name":"Locomotive ID","value":"4044"},{"id":130,"name":"Impact","value":""},{"id":150,"name":"Time of Event (Mountain Time)","value":"13:07:26"},{"id":151,"name":"Denver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43"/>
        <v>start /low /b %USERPROFILE%\Documents\GitHub\eaglep3\Utilities\DownloadLogsFromS3.py --loco 4044 --day 2017-04-06</v>
      </c>
      <c r="AN82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19:07:26"},{"id":29,"name":"Sharepoint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755</v>
      </c>
      <c r="B83" s="7">
        <v>4043</v>
      </c>
      <c r="C83" s="21" t="s">
        <v>216</v>
      </c>
      <c r="D83" s="21" t="s">
        <v>891</v>
      </c>
      <c r="E83" s="13">
        <v>42831.548842592594</v>
      </c>
      <c r="F83" s="13">
        <v>42831.560127314813</v>
      </c>
      <c r="G83" s="7">
        <v>1</v>
      </c>
      <c r="H83" s="21" t="s">
        <v>381</v>
      </c>
      <c r="I83" s="13">
        <v>42831.589074074072</v>
      </c>
      <c r="J83" s="7">
        <v>0</v>
      </c>
      <c r="K83" s="97" t="str">
        <f t="shared" si="30"/>
        <v>4043/4044</v>
      </c>
      <c r="L83" s="21" t="str">
        <f>VLOOKUP(A83,'Trips&amp;Operators'!$C$1:$G$99999,5,FALSE)</f>
        <v>STRICKLAND EVAN</v>
      </c>
      <c r="M83" s="6">
        <f t="shared" si="31"/>
        <v>2.8946759259270038E-2</v>
      </c>
      <c r="N83" s="7">
        <f t="shared" si="45"/>
        <v>41.683333333348855</v>
      </c>
      <c r="O83" s="7"/>
      <c r="P83" s="7"/>
      <c r="Q83" s="22"/>
      <c r="R83" s="22"/>
      <c r="S83" s="31">
        <f t="shared" si="24"/>
        <v>1</v>
      </c>
      <c r="T83" s="46" t="str">
        <f t="shared" si="32"/>
        <v>Southbound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3"/>
        <v>https://d0f6bd738d7f1b3e5a7ca70fe4ff75f0.us-east-1.aws.found.io/app/kibana#/discover/Steve-Slow-Train-Analysis-(2080s-and-2083s)?_g=(refreshInterval:(display:Off,pause:!f,section:0,value:0),time:(from:'2017-04-06T12:10:20-0600',mode:absolute,to:'2017-04-06T15:08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3" s="183" t="str">
        <f t="shared" si="34"/>
        <v>N</v>
      </c>
      <c r="X83" s="183">
        <f t="shared" si="29"/>
        <v>1</v>
      </c>
      <c r="Y83" s="62">
        <f t="shared" si="35"/>
        <v>23.302499999999998</v>
      </c>
      <c r="Z83" s="62">
        <f t="shared" si="25"/>
        <v>1.43E-2</v>
      </c>
      <c r="AA83" s="62">
        <f t="shared" si="36"/>
        <v>23.2882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7"/>
        <v>0172-06</v>
      </c>
      <c r="AE83" s="85" t="str">
        <f t="shared" si="38"/>
        <v>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 &amp; aws s3 cp s3://rtdc.mdm.uploadarchive.raw/RTDC4043/ "%USERPROFILE%\AppData\Local\Temp\OnboardLogs"\RTDC4043\2017-04-07 --exclude "*" --recursive --include "*20170407*" &amp; "%USERPROFILE%\Documents\GitHub\mrs-test-scripts\Headless Mode &amp; Sideloading\WalkAndUnGZ.bat" "%USERPROFILE%\AppData\Local\Temp\OnboardLogs"\RTDC4043\2017-04-07</v>
      </c>
      <c r="AF83" s="82" t="str">
        <f t="shared" si="39"/>
        <v>"C:\Program Files (x86)\AstroGrep\AstroGrep.exe" /e /r /s /spath="%USERPROFILE%\AppData\Local\Temp\OnboardLogs" /stypes="app*4043*20170406*" /stext=" 20:.+((SYSTEM_STATE.+slice.+state.+changed )|(ment ac)|(multiple cpu faults)|(system.+state.+changed )|(\[timeout)|(PRM\|1\|D)|(kpr)|(kdp)|(\|lc)|(penalty))"</v>
      </c>
      <c r="AG83" s="1" t="str">
        <f t="shared" si="40"/>
        <v>EC</v>
      </c>
      <c r="AH83" s="86" t="str">
        <f t="shared" si="41"/>
        <v>"%USERPROFILE%\Documents\GitHub\eaglep3\Utilities\RefineRTDCRunTimes.py" --tripid 172-06 --locoid 4043 --swversion DE.1.0.9.0 --startMP 204:233025 --initTime 2017-04-06T13:10:20 --startdatetime 2017-04-06T13:26:35 --delay 1 --endMP 204:143 --enddatetime 2017-04-06T14:08:16 --enforcementcount 0 &gt;&gt;C:\Users\stu\Documents\GitHub\eaglep3-reporting\EC\2017-04-06-refined-times.txt</v>
      </c>
      <c r="AI83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{"issue":{"subject":"","project_id":79,"tracker_id":40,"status_id":1,"priority_id":2,"assigned_to_id":23,"start_date":"2017-04-06","description":"","custom_fields":[{"id":1,"name":"Subdivision","value":"EC"},{"id":4,"name":"Milepost","value":"0.0143"},{"id":17,"name":"Train ID","value":"172-06"},{"id":16,"name":"Locomotive ID","value":"4043"},{"id":130,"name":"Impact","value":""},{"id":150,"name":"Time of Event (Mountain Time)","value":"14:08:16"},{"id":151,"name":"Denver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43"/>
        <v>start /low /b %USERPROFILE%\Documents\GitHub\eaglep3\Utilities\DownloadLogsFromS3.py --loco 4043 --day 2017-04-06</v>
      </c>
      <c r="AN83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20:08:16"},{"id":29,"name":"Sharepoint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750</v>
      </c>
      <c r="B84" s="7">
        <v>4010</v>
      </c>
      <c r="C84" s="21" t="s">
        <v>216</v>
      </c>
      <c r="D84" s="21" t="s">
        <v>518</v>
      </c>
      <c r="E84" s="13">
        <v>42831.52753472222</v>
      </c>
      <c r="F84" s="13">
        <v>42831.531412037039</v>
      </c>
      <c r="G84" s="7">
        <v>1</v>
      </c>
      <c r="H84" s="21" t="s">
        <v>883</v>
      </c>
      <c r="I84" s="13">
        <v>42831.560231481482</v>
      </c>
      <c r="J84" s="7">
        <v>0</v>
      </c>
      <c r="K84" s="97" t="str">
        <f t="shared" si="30"/>
        <v>4009/4010</v>
      </c>
      <c r="L84" s="21" t="str">
        <f>VLOOKUP(A84,'Trips&amp;Operators'!$C$1:$G$99999,5,FALSE)</f>
        <v>CLARK KATHLEEN</v>
      </c>
      <c r="M84" s="6">
        <f t="shared" si="31"/>
        <v>2.8819444443797693E-2</v>
      </c>
      <c r="N84" s="7">
        <f t="shared" si="45"/>
        <v>41.499999999068677</v>
      </c>
      <c r="O84" s="7"/>
      <c r="P84" s="7"/>
      <c r="Q84" s="22"/>
      <c r="R84" s="22"/>
      <c r="S84" s="31">
        <f t="shared" si="24"/>
        <v>1</v>
      </c>
      <c r="T84" s="46" t="str">
        <f t="shared" si="32"/>
        <v>NorthBound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3"/>
        <v>https://d0f6bd738d7f1b3e5a7ca70fe4ff75f0.us-east-1.aws.found.io/app/kibana#/discover/Steve-Slow-Train-Analysis-(2080s-and-2083s)?_g=(refreshInterval:(display:Off,pause:!f,section:0,value:0),time:(from:'2017-04-06T11:39:39-0600',mode:absolute,to:'2017-04-06T14:26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4" s="183" t="str">
        <f t="shared" si="34"/>
        <v>N</v>
      </c>
      <c r="X84" s="183">
        <f t="shared" si="29"/>
        <v>1</v>
      </c>
      <c r="Y84" s="62">
        <f t="shared" si="35"/>
        <v>4.8399999999999999E-2</v>
      </c>
      <c r="Z84" s="62">
        <f t="shared" si="25"/>
        <v>23.3276</v>
      </c>
      <c r="AA84" s="62">
        <f t="shared" si="36"/>
        <v>23.279199999999999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7"/>
        <v>0173-06</v>
      </c>
      <c r="AE84" s="85" t="str">
        <f t="shared" si="38"/>
        <v>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 &amp; 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</v>
      </c>
      <c r="AF84" s="82" t="str">
        <f t="shared" si="39"/>
        <v>"C:\Program Files (x86)\AstroGrep\AstroGrep.exe" /e /r /s /spath="%USERPROFILE%\AppData\Local\Temp\OnboardLogs" /stypes="app*4010*20170406*" /stext=" 19:.+((SYSTEM_STATE.+slice.+state.+changed )|(ment ac)|(multiple cpu faults)|(system.+state.+changed )|(\[timeout)|(PRM\|1\|D)|(kpr)|(kdp)|(\|lc)|(penalty))"</v>
      </c>
      <c r="AG84" s="1" t="str">
        <f t="shared" si="40"/>
        <v>EC</v>
      </c>
      <c r="AH84" s="86" t="str">
        <f t="shared" si="41"/>
        <v>"%USERPROFILE%\Documents\GitHub\eaglep3\Utilities\RefineRTDCRunTimes.py" --tripid 173-06 --locoid 4010 --swversion DE.1.0.9.0 --startMP 204:484 --initTime 2017-04-06T12:39:39 --startdatetime 2017-04-06T12:45:14 --delay 1 --endMP 204:233276 --enddatetime 2017-04-06T13:26:44 --enforcementcount 0 &gt;&gt;C:\Users\stu\Documents\GitHub\eaglep3-reporting\EC\2017-04-06-refined-times.txt</v>
      </c>
      <c r="AI84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{"issue":{"subject":"","project_id":79,"tracker_id":40,"status_id":1,"priority_id":2,"assigned_to_id":23,"start_date":"2017-04-06","description":"","custom_fields":[{"id":1,"name":"Subdivision","value":"EC"},{"id":4,"name":"Milepost","value":"23.3276"},{"id":17,"name":"Train ID","value":"173-06"},{"id":16,"name":"Locomotive ID","value":"4010"},{"id":130,"name":"Impact","value":""},{"id":150,"name":"Time of Event (Mountain Time)","value":"13:26:44"},{"id":151,"name":"Denver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3"/>
        <v>start /low /b %USERPROFILE%\Documents\GitHub\eaglep3\Utilities\DownloadLogsFromS3.py --loco 4010 --day 2017-04-06</v>
      </c>
      <c r="AN84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19:26:44"},{"id":29,"name":"Sharepoint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757</v>
      </c>
      <c r="B85" s="7">
        <v>4009</v>
      </c>
      <c r="C85" s="21" t="s">
        <v>216</v>
      </c>
      <c r="D85" s="21" t="s">
        <v>892</v>
      </c>
      <c r="E85" s="13">
        <v>42831.565879629627</v>
      </c>
      <c r="F85" s="13">
        <v>42831.570324074077</v>
      </c>
      <c r="G85" s="7">
        <v>0</v>
      </c>
      <c r="H85" s="21" t="s">
        <v>412</v>
      </c>
      <c r="I85" s="13">
        <v>42831.598414351851</v>
      </c>
      <c r="J85" s="7">
        <v>0</v>
      </c>
      <c r="K85" s="97" t="str">
        <f t="shared" si="30"/>
        <v>4009/4010</v>
      </c>
      <c r="L85" s="21" t="str">
        <f>VLOOKUP(A85,'Trips&amp;Operators'!$C$1:$G$99999,5,FALSE)</f>
        <v>CLARK KATHLEEN</v>
      </c>
      <c r="M85" s="6">
        <f t="shared" si="31"/>
        <v>2.8090277774026617E-2</v>
      </c>
      <c r="N85" s="7">
        <f t="shared" si="45"/>
        <v>40.449999994598329</v>
      </c>
      <c r="O85" s="7"/>
      <c r="P85" s="7"/>
      <c r="Q85" s="22"/>
      <c r="R85" s="22"/>
      <c r="S85" s="31">
        <f t="shared" si="24"/>
        <v>1</v>
      </c>
      <c r="T85" s="46" t="str">
        <f t="shared" si="32"/>
        <v>Southbound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3"/>
        <v>https://d0f6bd738d7f1b3e5a7ca70fe4ff75f0.us-east-1.aws.found.io/app/kibana#/discover/Steve-Slow-Train-Analysis-(2080s-and-2083s)?_g=(refreshInterval:(display:Off,pause:!f,section:0,value:0),time:(from:'2017-04-06T12:34:52-0600',mode:absolute,to:'2017-04-06T15:21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5" s="183" t="str">
        <f t="shared" si="34"/>
        <v>N</v>
      </c>
      <c r="X85" s="183">
        <f t="shared" si="29"/>
        <v>1</v>
      </c>
      <c r="Y85" s="62">
        <f t="shared" si="35"/>
        <v>23.295500000000001</v>
      </c>
      <c r="Z85" s="62">
        <f t="shared" si="25"/>
        <v>1.6299999999999999E-2</v>
      </c>
      <c r="AA85" s="62">
        <f t="shared" si="36"/>
        <v>23.279199999999999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7"/>
        <v>0174-06</v>
      </c>
      <c r="AE85" s="85" t="str">
        <f t="shared" si="38"/>
        <v>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 &amp; 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</v>
      </c>
      <c r="AF85" s="82" t="str">
        <f t="shared" si="39"/>
        <v>"C:\Program Files (x86)\AstroGrep\AstroGrep.exe" /e /r /s /spath="%USERPROFILE%\AppData\Local\Temp\OnboardLogs" /stypes="app*4009*20170406*" /stext=" 20:.+((SYSTEM_STATE.+slice.+state.+changed )|(ment ac)|(multiple cpu faults)|(system.+state.+changed )|(\[timeout)|(PRM\|1\|D)|(kpr)|(kdp)|(\|lc)|(penalty))"</v>
      </c>
      <c r="AG85" s="1" t="str">
        <f t="shared" si="40"/>
        <v>EC</v>
      </c>
      <c r="AH85" s="86" t="str">
        <f t="shared" si="41"/>
        <v>"%USERPROFILE%\Documents\GitHub\eaglep3\Utilities\RefineRTDCRunTimes.py" --tripid 174-06 --locoid 4009 --swversion DE.1.0.9.0 --startMP 204:232955 --initTime 2017-04-06T13:34:52 --startdatetime 2017-04-06T13:41:16 --delay 0 --endMP 204:163 --enddatetime 2017-04-06T14:21:43 --enforcementcount 0 &gt;&gt;C:\Users\stu\Documents\GitHub\eaglep3-reporting\EC\2017-04-06-refined-times.txt</v>
      </c>
      <c r="AI85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{"issue":{"subject":"","project_id":79,"tracker_id":40,"status_id":1,"priority_id":2,"assigned_to_id":23,"start_date":"2017-04-06","description":"","custom_fields":[{"id":1,"name":"Subdivision","value":"EC"},{"id":4,"name":"Milepost","value":"0.0163"},{"id":17,"name":"Train ID","value":"174-06"},{"id":16,"name":"Locomotive ID","value":"4009"},{"id":130,"name":"Impact","value":""},{"id":150,"name":"Time of Event (Mountain Time)","value":"14:21:43"},{"id":151,"name":"Denver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43"/>
        <v>start /low /b %USERPROFILE%\Documents\GitHub\eaglep3\Utilities\DownloadLogsFromS3.py --loco 4009 --day 2017-04-06</v>
      </c>
      <c r="AN85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20:21:43"},{"id":29,"name":"Sharepoint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751</v>
      </c>
      <c r="B86" s="7">
        <v>4054</v>
      </c>
      <c r="C86" s="21" t="s">
        <v>216</v>
      </c>
      <c r="D86" s="21" t="s">
        <v>422</v>
      </c>
      <c r="E86" s="13">
        <v>42831.537534722222</v>
      </c>
      <c r="F86" s="13">
        <v>42831.541921296295</v>
      </c>
      <c r="G86" s="7">
        <v>1</v>
      </c>
      <c r="H86" s="21" t="s">
        <v>872</v>
      </c>
      <c r="I86" s="13">
        <v>42831.574201388888</v>
      </c>
      <c r="J86" s="7">
        <v>0</v>
      </c>
      <c r="K86" s="97" t="str">
        <f t="shared" si="30"/>
        <v>4053/4054</v>
      </c>
      <c r="L86" s="21" t="str">
        <f>VLOOKUP(A86,'Trips&amp;Operators'!$C$1:$G$99999,5,FALSE)</f>
        <v>BRANDNER MELINDA</v>
      </c>
      <c r="M86" s="6">
        <f t="shared" si="31"/>
        <v>3.2280092593282461E-2</v>
      </c>
      <c r="N86" s="7">
        <f t="shared" si="45"/>
        <v>46.483333334326744</v>
      </c>
      <c r="O86" s="7"/>
      <c r="P86" s="7"/>
      <c r="Q86" s="22"/>
      <c r="R86" s="22"/>
      <c r="S86" s="31">
        <f t="shared" si="24"/>
        <v>1</v>
      </c>
      <c r="T86" s="46" t="str">
        <f t="shared" si="32"/>
        <v>NorthBound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3"/>
        <v>https://d0f6bd738d7f1b3e5a7ca70fe4ff75f0.us-east-1.aws.found.io/app/kibana#/discover/Steve-Slow-Train-Analysis-(2080s-and-2083s)?_g=(refreshInterval:(display:Off,pause:!f,section:0,value:0),time:(from:'2017-04-06T11:54:03-0600',mode:absolute,to:'2017-04-06T14:46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6" s="183" t="str">
        <f t="shared" si="34"/>
        <v>N</v>
      </c>
      <c r="X86" s="183">
        <f t="shared" si="29"/>
        <v>1</v>
      </c>
      <c r="Y86" s="62">
        <f t="shared" si="35"/>
        <v>4.3999999999999997E-2</v>
      </c>
      <c r="Z86" s="62">
        <f t="shared" si="25"/>
        <v>23.3293</v>
      </c>
      <c r="AA86" s="62">
        <f t="shared" si="36"/>
        <v>23.285299999999999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7"/>
        <v>0175-06</v>
      </c>
      <c r="AE86" s="85" t="str">
        <f t="shared" si="38"/>
        <v>aws s3 cp s3://rtdc.mdm.uploadarchive.raw/RTDC4054/ "%USERPROFILE%\AppData\Local\Temp\OnboardLogs"\RTDC4054\2017-04-06 --exclude "*" --recursive --include "*20170406*" &amp; "%USERPROFILE%\Documents\GitHub\mrs-test-scripts\Headless Mode &amp; Sideloading\WalkAndUnGZ.bat" "%USERPROFILE%\AppData\Local\Temp\OnboardLogs"\RTDC4054\2017-04-06 &amp; aws s3 cp s3://rtdc.mdm.uploadarchive.raw/RTDC4054/ "%USERPROFILE%\AppData\Local\Temp\OnboardLogs"\RTDC4054\2017-04-07 --exclude "*" --recursive --include "*20170407*" &amp; "%USERPROFILE%\Documents\GitHub\mrs-test-scripts\Headless Mode &amp; Sideloading\WalkAndUnGZ.bat" "%USERPROFILE%\AppData\Local\Temp\OnboardLogs"\RTDC4054\2017-04-07</v>
      </c>
      <c r="AF86" s="82" t="str">
        <f t="shared" si="39"/>
        <v>"C:\Program Files (x86)\AstroGrep\AstroGrep.exe" /e /r /s /spath="%USERPROFILE%\AppData\Local\Temp\OnboardLogs" /stypes="app*4054*20170406*" /stext=" 19:.+((SYSTEM_STATE.+slice.+state.+changed )|(ment ac)|(multiple cpu faults)|(system.+state.+changed )|(\[timeout)|(PRM\|1\|D)|(kpr)|(kdp)|(\|lc)|(penalty))"</v>
      </c>
      <c r="AG86" s="1" t="str">
        <f t="shared" si="40"/>
        <v>EC</v>
      </c>
      <c r="AH86" s="86" t="str">
        <f t="shared" si="41"/>
        <v>"%USERPROFILE%\Documents\GitHub\eaglep3\Utilities\RefineRTDCRunTimes.py" --tripid 175-06 --locoid 4054 --swversion DE.1.0.9.0 --startMP 204:440 --initTime 2017-04-06T12:54:03 --startdatetime 2017-04-06T13:00:22 --delay 1 --endMP 204:233293 --enddatetime 2017-04-06T13:46:51 --enforcementcount 0 &gt;&gt;C:\Users\stu\Documents\GitHub\eaglep3-reporting\EC\2017-04-06-refined-times.txt</v>
      </c>
      <c r="AI86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{"issue":{"subject":"","project_id":79,"tracker_id":40,"status_id":1,"priority_id":2,"assigned_to_id":23,"start_date":"2017-04-06","description":"","custom_fields":[{"id":1,"name":"Subdivision","value":"EC"},{"id":4,"name":"Milepost","value":"23.3293"},{"id":17,"name":"Train ID","value":"175-06"},{"id":16,"name":"Locomotive ID","value":"4054"},{"id":130,"name":"Impact","value":""},{"id":150,"name":"Time of Event (Mountain Time)","value":"13:46:51"},{"id":151,"name":"Denver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43"/>
        <v>start /low /b %USERPROFILE%\Documents\GitHub\eaglep3\Utilities\DownloadLogsFromS3.py --loco 4054 --day 2017-04-06</v>
      </c>
      <c r="AN86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19:46:51"},{"id":29,"name":"Sharepoint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1" customFormat="1" x14ac:dyDescent="0.25">
      <c r="A87" s="33" t="s">
        <v>763</v>
      </c>
      <c r="B87" s="7">
        <v>4053</v>
      </c>
      <c r="C87" s="21" t="s">
        <v>216</v>
      </c>
      <c r="D87" s="21" t="s">
        <v>876</v>
      </c>
      <c r="E87" s="13">
        <v>42831.579560185186</v>
      </c>
      <c r="F87" s="13">
        <v>42831.580833333333</v>
      </c>
      <c r="G87" s="7">
        <v>1</v>
      </c>
      <c r="H87" s="21" t="s">
        <v>411</v>
      </c>
      <c r="I87" s="13">
        <v>42831.607974537037</v>
      </c>
      <c r="J87" s="7">
        <v>0</v>
      </c>
      <c r="K87" s="97" t="str">
        <f t="shared" si="30"/>
        <v>4053/4054</v>
      </c>
      <c r="L87" s="21" t="str">
        <f>VLOOKUP(A87,'Trips&amp;Operators'!$C$1:$G$99999,5,FALSE)</f>
        <v>BRANDNER MELINDA</v>
      </c>
      <c r="M87" s="6">
        <f t="shared" si="31"/>
        <v>2.7141203703649808E-2</v>
      </c>
      <c r="N87" s="7">
        <f t="shared" si="45"/>
        <v>39.083333333255723</v>
      </c>
      <c r="O87" s="7"/>
      <c r="P87" s="7"/>
      <c r="Q87" s="22"/>
      <c r="R87" s="22"/>
      <c r="S87" s="31">
        <f t="shared" si="24"/>
        <v>1</v>
      </c>
      <c r="T87" s="46" t="str">
        <f t="shared" si="32"/>
        <v>Southbound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3"/>
        <v>https://d0f6bd738d7f1b3e5a7ca70fe4ff75f0.us-east-1.aws.found.io/app/kibana#/discover/Steve-Slow-Train-Analysis-(2080s-and-2083s)?_g=(refreshInterval:(display:Off,pause:!f,section:0,value:0),time:(from:'2017-04-06T12:54:34-0600',mode:absolute,to:'2017-04-06T15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7" s="183" t="str">
        <f t="shared" si="34"/>
        <v>N</v>
      </c>
      <c r="X87" s="183">
        <f t="shared" si="29"/>
        <v>1</v>
      </c>
      <c r="Y87" s="62">
        <f t="shared" si="35"/>
        <v>23.2973</v>
      </c>
      <c r="Z87" s="62">
        <f t="shared" si="25"/>
        <v>1.41E-2</v>
      </c>
      <c r="AA87" s="62">
        <f t="shared" si="36"/>
        <v>23.283200000000001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7"/>
        <v>0176-06</v>
      </c>
      <c r="AE87" s="85" t="str">
        <f t="shared" si="38"/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AF87" s="82" t="str">
        <f t="shared" si="39"/>
        <v>"C:\Program Files (x86)\AstroGrep\AstroGrep.exe" /e /r /s /spath="%USERPROFILE%\AppData\Local\Temp\OnboardLogs" /stypes="app*4053*20170406*" /stext=" 20:.+((SYSTEM_STATE.+slice.+state.+changed )|(ment ac)|(multiple cpu faults)|(system.+state.+changed )|(\[timeout)|(PRM\|1\|D)|(kpr)|(kdp)|(\|lc)|(penalty))"</v>
      </c>
      <c r="AG87" s="1" t="str">
        <f t="shared" si="40"/>
        <v>EC</v>
      </c>
      <c r="AH87" s="86" t="str">
        <f t="shared" si="41"/>
        <v>"%USERPROFILE%\Documents\GitHub\eaglep3\Utilities\RefineRTDCRunTimes.py" --tripid 176-06 --locoid 4053 --swversion DE.1.0.9.0 --startMP 204:232973 --initTime 2017-04-06T13:54:34 --startdatetime 2017-04-06T13:56:24 --delay 1 --endMP 204:141 --enddatetime 2017-04-06T14:35:29 --enforcementcount 0 &gt;&gt;C:\Users\stu\Documents\GitHub\eaglep3-reporting\EC\2017-04-06-refined-times.txt</v>
      </c>
      <c r="AI87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{"issue":{"subject":"","project_id":79,"tracker_id":40,"status_id":1,"priority_id":2,"assigned_to_id":23,"start_date":"2017-04-06","description":"","custom_fields":[{"id":1,"name":"Subdivision","value":"EC"},{"id":4,"name":"Milepost","value":"0.0141"},{"id":17,"name":"Train ID","value":"176-06"},{"id":16,"name":"Locomotive ID","value":"4053"},{"id":130,"name":"Impact","value":""},{"id":150,"name":"Time of Event (Mountain Time)","value":"14:35:29"},{"id":151,"name":"Denver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8"/>
      <c r="AL87" s="48"/>
      <c r="AM87" s="150" t="str">
        <f t="shared" si="43"/>
        <v>start /low /b %USERPROFILE%\Documents\GitHub\eaglep3\Utilities\DownloadLogsFromS3.py --loco 4053 --day 2017-04-06</v>
      </c>
      <c r="AN87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20:35:29"},{"id":29,"name":"Sharepoint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754</v>
      </c>
      <c r="B88" s="7">
        <v>4042</v>
      </c>
      <c r="C88" s="21" t="s">
        <v>216</v>
      </c>
      <c r="D88" s="21" t="s">
        <v>211</v>
      </c>
      <c r="E88" s="13">
        <v>42831.548206018517</v>
      </c>
      <c r="F88" s="13">
        <v>42831.552314814813</v>
      </c>
      <c r="G88" s="7">
        <v>1</v>
      </c>
      <c r="H88" s="21" t="s">
        <v>576</v>
      </c>
      <c r="I88" s="13">
        <v>42831.578298611108</v>
      </c>
      <c r="J88" s="7">
        <v>0</v>
      </c>
      <c r="K88" s="97" t="str">
        <f t="shared" si="30"/>
        <v>4041/4042</v>
      </c>
      <c r="L88" s="21" t="str">
        <f>VLOOKUP(A88,'Trips&amp;Operators'!$C$1:$G$99999,5,FALSE)</f>
        <v>GUZMAN DANNY</v>
      </c>
      <c r="M88" s="6">
        <f t="shared" si="31"/>
        <v>2.5983796294895001E-2</v>
      </c>
      <c r="N88" s="7">
        <f t="shared" si="45"/>
        <v>37.416666664648801</v>
      </c>
      <c r="O88" s="7"/>
      <c r="P88" s="7"/>
      <c r="Q88" s="22"/>
      <c r="R88" s="22"/>
      <c r="S88" s="31">
        <f t="shared" si="24"/>
        <v>1</v>
      </c>
      <c r="T88" s="46" t="str">
        <f t="shared" si="32"/>
        <v>NorthBound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3"/>
        <v>https://d0f6bd738d7f1b3e5a7ca70fe4ff75f0.us-east-1.aws.found.io/app/kibana#/discover/Steve-Slow-Train-Analysis-(2080s-and-2083s)?_g=(refreshInterval:(display:Off,pause:!f,section:0,value:0),time:(from:'2017-04-06T12:09:25-0600',mode:absolute,to:'2017-04-06T14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8" s="183" t="str">
        <f t="shared" si="34"/>
        <v>N</v>
      </c>
      <c r="X88" s="183">
        <f t="shared" si="29"/>
        <v>1</v>
      </c>
      <c r="Y88" s="62">
        <f t="shared" si="35"/>
        <v>4.5499999999999999E-2</v>
      </c>
      <c r="Z88" s="62">
        <f t="shared" si="25"/>
        <v>23.331700000000001</v>
      </c>
      <c r="AA88" s="62">
        <f t="shared" si="36"/>
        <v>23.286200000000001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7"/>
        <v>0177-06</v>
      </c>
      <c r="AE88" s="85" t="str">
        <f t="shared" si="38"/>
        <v>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 &amp; 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</v>
      </c>
      <c r="AF88" s="82" t="str">
        <f t="shared" si="39"/>
        <v>"C:\Program Files (x86)\AstroGrep\AstroGrep.exe" /e /r /s /spath="%USERPROFILE%\AppData\Local\Temp\OnboardLogs" /stypes="app*4042*20170406*" /stext=" 19:.+((SYSTEM_STATE.+slice.+state.+changed )|(ment ac)|(multiple cpu faults)|(system.+state.+changed )|(\[timeout)|(PRM\|1\|D)|(kpr)|(kdp)|(\|lc)|(penalty))"</v>
      </c>
      <c r="AG88" s="1" t="str">
        <f t="shared" si="40"/>
        <v>EC</v>
      </c>
      <c r="AH88" s="86" t="str">
        <f t="shared" si="41"/>
        <v>"%USERPROFILE%\Documents\GitHub\eaglep3\Utilities\RefineRTDCRunTimes.py" --tripid 177-06 --locoid 4042 --swversion DE.1.0.9.0 --startMP 204:455 --initTime 2017-04-06T13:09:25 --startdatetime 2017-04-06T13:15:20 --delay 1 --endMP 204:233317 --enddatetime 2017-04-06T13:52:45 --enforcementcount 0 &gt;&gt;C:\Users\stu\Documents\GitHub\eaglep3-reporting\EC\2017-04-06-refined-times.txt</v>
      </c>
      <c r="AI88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{"issue":{"subject":"","project_id":79,"tracker_id":40,"status_id":1,"priority_id":2,"assigned_to_id":23,"start_date":"2017-04-06","description":"","custom_fields":[{"id":1,"name":"Subdivision","value":"EC"},{"id":4,"name":"Milepost","value":"23.3317"},{"id":17,"name":"Train ID","value":"177-06"},{"id":16,"name":"Locomotive ID","value":"4042"},{"id":130,"name":"Impact","value":""},{"id":150,"name":"Time of Event (Mountain Time)","value":"13:52:45"},{"id":151,"name":"Denver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43"/>
        <v>start /low /b %USERPROFILE%\Documents\GitHub\eaglep3\Utilities\DownloadLogsFromS3.py --loco 4042 --day 2017-04-06</v>
      </c>
      <c r="AN88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19:52:45"},{"id":29,"name":"Sharepoint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641</v>
      </c>
      <c r="B89" s="7">
        <v>4041</v>
      </c>
      <c r="C89" s="21" t="s">
        <v>216</v>
      </c>
      <c r="D89" s="21" t="s">
        <v>421</v>
      </c>
      <c r="E89" s="13">
        <v>42831.581006944441</v>
      </c>
      <c r="F89" s="13">
        <v>42831.591180555559</v>
      </c>
      <c r="G89" s="7">
        <v>1</v>
      </c>
      <c r="H89" s="21" t="s">
        <v>885</v>
      </c>
      <c r="I89" s="13">
        <v>42831.619247685187</v>
      </c>
      <c r="J89" s="7">
        <v>0</v>
      </c>
      <c r="K89" s="97" t="str">
        <f t="shared" si="30"/>
        <v>4041/4042</v>
      </c>
      <c r="L89" s="21" t="str">
        <f>VLOOKUP(A89,'Trips&amp;Operators'!$C$1:$G$99999,5,FALSE)</f>
        <v>GUZMAN DANNY</v>
      </c>
      <c r="M89" s="6">
        <f t="shared" si="31"/>
        <v>2.806712962774327E-2</v>
      </c>
      <c r="N89" s="7">
        <f t="shared" si="45"/>
        <v>40.416666663950309</v>
      </c>
      <c r="O89" s="7"/>
      <c r="P89" s="7"/>
      <c r="Q89" s="22"/>
      <c r="R89" s="22"/>
      <c r="S89" s="31">
        <f t="shared" si="24"/>
        <v>1</v>
      </c>
      <c r="T89" s="46" t="str">
        <f t="shared" si="32"/>
        <v>Southbound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3"/>
        <v>https://d0f6bd738d7f1b3e5a7ca70fe4ff75f0.us-east-1.aws.found.io/app/kibana#/discover/Steve-Slow-Train-Analysis-(2080s-and-2083s)?_g=(refreshInterval:(display:Off,pause:!f,section:0,value:0),time:(from:'2017-04-06T12:56:39-0600',mode:absolute,to:'2017-04-06T15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89" s="183" t="str">
        <f t="shared" si="34"/>
        <v>N</v>
      </c>
      <c r="X89" s="183">
        <f t="shared" si="29"/>
        <v>1</v>
      </c>
      <c r="Y89" s="62">
        <f t="shared" si="35"/>
        <v>23.299299999999999</v>
      </c>
      <c r="Z89" s="62">
        <f t="shared" si="25"/>
        <v>1.9199999999999998E-2</v>
      </c>
      <c r="AA89" s="62">
        <f t="shared" si="36"/>
        <v>23.280099999999997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7"/>
        <v>0178-06</v>
      </c>
      <c r="AE89" s="85" t="str">
        <f t="shared" si="38"/>
        <v>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 &amp; aws s3 cp s3://rtdc.mdm.uploadarchive.raw/RTDC4041/ "%USERPROFILE%\AppData\Local\Temp\OnboardLogs"\RTDC4041\2017-04-07 --exclude "*" --recursive --include "*20170407*" &amp; "%USERPROFILE%\Documents\GitHub\mrs-test-scripts\Headless Mode &amp; Sideloading\WalkAndUnGZ.bat" "%USERPROFILE%\AppData\Local\Temp\OnboardLogs"\RTDC4041\2017-04-07</v>
      </c>
      <c r="AF89" s="82" t="str">
        <f t="shared" si="39"/>
        <v>"C:\Program Files (x86)\AstroGrep\AstroGrep.exe" /e /r /s /spath="%USERPROFILE%\AppData\Local\Temp\OnboardLogs" /stypes="app*4041*20170406*" /stext=" 20:.+((SYSTEM_STATE.+slice.+state.+changed )|(ment ac)|(multiple cpu faults)|(system.+state.+changed )|(\[timeout)|(PRM\|1\|D)|(kpr)|(kdp)|(\|lc)|(penalty))"</v>
      </c>
      <c r="AG89" s="1" t="str">
        <f t="shared" si="40"/>
        <v>EC</v>
      </c>
      <c r="AH89" s="86" t="str">
        <f t="shared" si="41"/>
        <v>"%USERPROFILE%\Documents\GitHub\eaglep3\Utilities\RefineRTDCRunTimes.py" --tripid 178-06 --locoid 4041 --swversion DE.1.0.9.0 --startMP 204:232993 --initTime 2017-04-06T13:56:39 --startdatetime 2017-04-06T14:11:18 --delay 1 --endMP 204:192 --enddatetime 2017-04-06T14:51:43 --enforcementcount 0 &gt;&gt;C:\Users\stu\Documents\GitHub\eaglep3-reporting\EC\2017-04-06-refined-times.txt</v>
      </c>
      <c r="AI89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{"issue":{"subject":"","project_id":79,"tracker_id":40,"status_id":1,"priority_id":2,"assigned_to_id":23,"start_date":"2017-04-06","description":"","custom_fields":[{"id":1,"name":"Subdivision","value":"EC"},{"id":4,"name":"Milepost","value":"0.0192"},{"id":17,"name":"Train ID","value":"178-06"},{"id":16,"name":"Locomotive ID","value":"4041"},{"id":130,"name":"Impact","value":""},{"id":150,"name":"Time of Event (Mountain Time)","value":"14:51:43"},{"id":151,"name":"Denver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3"/>
        <v>start /low /b %USERPROFILE%\Documents\GitHub\eaglep3\Utilities\DownloadLogsFromS3.py --loco 4041 --day 2017-04-06</v>
      </c>
      <c r="AN89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20:51:43"},{"id":29,"name":"Sharepoint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756</v>
      </c>
      <c r="B90" s="7">
        <v>4018</v>
      </c>
      <c r="C90" s="21" t="s">
        <v>216</v>
      </c>
      <c r="D90" s="21" t="s">
        <v>396</v>
      </c>
      <c r="E90" s="13">
        <v>42831.558645833335</v>
      </c>
      <c r="F90" s="13">
        <v>42831.562673611108</v>
      </c>
      <c r="G90" s="7">
        <v>2</v>
      </c>
      <c r="H90" s="21" t="s">
        <v>436</v>
      </c>
      <c r="I90" s="13">
        <v>42831.58730324074</v>
      </c>
      <c r="J90" s="7">
        <v>0</v>
      </c>
      <c r="K90" s="97" t="str">
        <f t="shared" si="30"/>
        <v>4017/4018</v>
      </c>
      <c r="L90" s="21" t="str">
        <f>VLOOKUP(A90,'Trips&amp;Operators'!$C$1:$G$99999,5,FALSE)</f>
        <v>SMITH MICHAEL</v>
      </c>
      <c r="M90" s="6">
        <f t="shared" si="31"/>
        <v>2.4629629631817807E-2</v>
      </c>
      <c r="N90" s="7">
        <f t="shared" si="45"/>
        <v>35.466666669817641</v>
      </c>
      <c r="O90" s="7"/>
      <c r="P90" s="7"/>
      <c r="Q90" s="22"/>
      <c r="R90" s="22"/>
      <c r="S90" s="31">
        <f t="shared" si="24"/>
        <v>1</v>
      </c>
      <c r="T90" s="46" t="str">
        <f t="shared" si="32"/>
        <v>NorthBound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3"/>
        <v>https://d0f6bd738d7f1b3e5a7ca70fe4ff75f0.us-east-1.aws.found.io/app/kibana#/discover/Steve-Slow-Train-Analysis-(2080s-and-2083s)?_g=(refreshInterval:(display:Off,pause:!f,section:0,value:0),time:(from:'2017-04-06T12:24:27-0600',mode:absolute,to:'2017-04-06T15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0" s="183" t="str">
        <f t="shared" si="34"/>
        <v>N</v>
      </c>
      <c r="X90" s="183">
        <f t="shared" si="29"/>
        <v>1</v>
      </c>
      <c r="Y90" s="62">
        <f t="shared" si="35"/>
        <v>4.4900000000000002E-2</v>
      </c>
      <c r="Z90" s="62">
        <f t="shared" si="25"/>
        <v>23.329699999999999</v>
      </c>
      <c r="AA90" s="62">
        <f t="shared" si="36"/>
        <v>23.284800000000001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7"/>
        <v>0179-06</v>
      </c>
      <c r="AE90" s="85" t="str">
        <f t="shared" si="38"/>
        <v>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 &amp; aws s3 cp s3://rtdc.mdm.uploadarchive.raw/RTDC4018/ "%USERPROFILE%\AppData\Local\Temp\OnboardLogs"\RTDC4018\2017-04-07 --exclude "*" --recursive --include "*20170407*" &amp; "%USERPROFILE%\Documents\GitHub\mrs-test-scripts\Headless Mode &amp; Sideloading\WalkAndUnGZ.bat" "%USERPROFILE%\AppData\Local\Temp\OnboardLogs"\RTDC4018\2017-04-07</v>
      </c>
      <c r="AF90" s="82" t="str">
        <f t="shared" si="39"/>
        <v>"C:\Program Files (x86)\AstroGrep\AstroGrep.exe" /e /r /s /spath="%USERPROFILE%\AppData\Local\Temp\OnboardLogs" /stypes="app*4018*20170406*" /stext=" 20:.+((SYSTEM_STATE.+slice.+state.+changed )|(ment ac)|(multiple cpu faults)|(system.+state.+changed )|(\[timeout)|(PRM\|1\|D)|(kpr)|(kdp)|(\|lc)|(penalty))"</v>
      </c>
      <c r="AG90" s="1" t="str">
        <f t="shared" si="40"/>
        <v>EC</v>
      </c>
      <c r="AH90" s="86" t="str">
        <f t="shared" si="41"/>
        <v>"%USERPROFILE%\Documents\GitHub\eaglep3\Utilities\RefineRTDCRunTimes.py" --tripid 179-06 --locoid 4018 --swversion DE.1.0.9.0 --startMP 204:449 --initTime 2017-04-06T13:24:27 --startdatetime 2017-04-06T13:30:15 --delay 2 --endMP 204:233297 --enddatetime 2017-04-06T14:05:43 --enforcementcount 0 &gt;&gt;C:\Users\stu\Documents\GitHub\eaglep3-reporting\EC\2017-04-06-refined-times.txt</v>
      </c>
      <c r="AI90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{"issue":{"subject":"","project_id":79,"tracker_id":40,"status_id":1,"priority_id":2,"assigned_to_id":23,"start_date":"2017-04-06","description":"","custom_fields":[{"id":1,"name":"Subdivision","value":"EC"},{"id":4,"name":"Milepost","value":"23.3297"},{"id":17,"name":"Train ID","value":"179-06"},{"id":16,"name":"Locomotive ID","value":"4018"},{"id":130,"name":"Impact","value":""},{"id":150,"name":"Time of Event (Mountain Time)","value":"14:05:43"},{"id":151,"name":"Denver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3"/>
        <v>start /low /b %USERPROFILE%\Documents\GitHub\eaglep3\Utilities\DownloadLogsFromS3.py --loco 4018 --day 2017-04-06</v>
      </c>
      <c r="AN90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20:05:43"},{"id":29,"name":"Sharepoint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765</v>
      </c>
      <c r="B91" s="7">
        <v>4017</v>
      </c>
      <c r="C91" s="21" t="s">
        <v>216</v>
      </c>
      <c r="D91" s="21" t="s">
        <v>473</v>
      </c>
      <c r="E91" s="13">
        <v>42831.59275462963</v>
      </c>
      <c r="F91" s="13">
        <v>42831.601736111108</v>
      </c>
      <c r="G91" s="7">
        <v>1</v>
      </c>
      <c r="H91" s="21" t="s">
        <v>204</v>
      </c>
      <c r="I91" s="13">
        <v>42831.629340277781</v>
      </c>
      <c r="J91" s="7">
        <v>0</v>
      </c>
      <c r="K91" s="97" t="str">
        <f t="shared" si="30"/>
        <v>4017/4018</v>
      </c>
      <c r="L91" s="21" t="str">
        <f>VLOOKUP(A91,'Trips&amp;Operators'!$C$1:$G$99999,5,FALSE)</f>
        <v>SMITH MICHAEL</v>
      </c>
      <c r="M91" s="6">
        <f t="shared" si="31"/>
        <v>2.7604166672972497E-2</v>
      </c>
      <c r="N91" s="7">
        <f t="shared" si="45"/>
        <v>39.750000009080395</v>
      </c>
      <c r="O91" s="7"/>
      <c r="P91" s="7"/>
      <c r="Q91" s="22"/>
      <c r="R91" s="22"/>
      <c r="S91" s="31">
        <f t="shared" ref="S91:S154" si="46">SUM(U91:U91)/IF(AG91="EC",12,1)</f>
        <v>1</v>
      </c>
      <c r="T91" s="46" t="str">
        <f t="shared" si="32"/>
        <v>Southbound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3"/>
        <v>https://d0f6bd738d7f1b3e5a7ca70fe4ff75f0.us-east-1.aws.found.io/app/kibana#/discover/Steve-Slow-Train-Analysis-(2080s-and-2083s)?_g=(refreshInterval:(display:Off,pause:!f,section:0,value:0),time:(from:'2017-04-06T13:13:34-0600',mode:absolute,to:'2017-04-06T16:06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1" s="183" t="str">
        <f t="shared" si="34"/>
        <v>N</v>
      </c>
      <c r="X91" s="183">
        <f t="shared" si="29"/>
        <v>1</v>
      </c>
      <c r="Y91" s="62">
        <f t="shared" si="35"/>
        <v>23.297499999999999</v>
      </c>
      <c r="Z91" s="62">
        <f t="shared" ref="Z91:Z154" si="47">RIGHT(H91,LEN(H91)-4)/10000</f>
        <v>1.54E-2</v>
      </c>
      <c r="AA91" s="62">
        <f t="shared" si="36"/>
        <v>23.2821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7"/>
        <v>0180-06</v>
      </c>
      <c r="AE91" s="85" t="str">
        <f t="shared" si="38"/>
        <v>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 &amp; aws s3 cp s3://rtdc.mdm.uploadarchive.raw/RTDC4017/ "%USERPROFILE%\AppData\Local\Temp\OnboardLogs"\RTDC4017\2017-04-07 --exclude "*" --recursive --include "*20170407*" &amp; "%USERPROFILE%\Documents\GitHub\mrs-test-scripts\Headless Mode &amp; Sideloading\WalkAndUnGZ.bat" "%USERPROFILE%\AppData\Local\Temp\OnboardLogs"\RTDC4017\2017-04-07</v>
      </c>
      <c r="AF91" s="82" t="str">
        <f t="shared" si="39"/>
        <v>"C:\Program Files (x86)\AstroGrep\AstroGrep.exe" /e /r /s /spath="%USERPROFILE%\AppData\Local\Temp\OnboardLogs" /stypes="app*4017*20170406*" /stext=" 21:.+((SYSTEM_STATE.+slice.+state.+changed )|(ment ac)|(multiple cpu faults)|(system.+state.+changed )|(\[timeout)|(PRM\|1\|D)|(kpr)|(kdp)|(\|lc)|(penalty))"</v>
      </c>
      <c r="AG91" s="1" t="str">
        <f t="shared" si="40"/>
        <v>EC</v>
      </c>
      <c r="AH91" s="86" t="str">
        <f t="shared" si="41"/>
        <v>"%USERPROFILE%\Documents\GitHub\eaglep3\Utilities\RefineRTDCRunTimes.py" --tripid 180-06 --locoid 4017 --swversion DE.1.0.9.0 --startMP 204:232975 --initTime 2017-04-06T14:13:34 --startdatetime 2017-04-06T14:26:30 --delay 1 --endMP 204:154 --enddatetime 2017-04-06T15:06:15 --enforcementcount 0 &gt;&gt;C:\Users\stu\Documents\GitHub\eaglep3-reporting\EC\2017-04-06-refined-times.txt</v>
      </c>
      <c r="AI91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{"issue":{"subject":"","project_id":79,"tracker_id":40,"status_id":1,"priority_id":2,"assigned_to_id":23,"start_date":"2017-04-06","description":"","custom_fields":[{"id":1,"name":"Subdivision","value":"EC"},{"id":4,"name":"Milepost","value":"0.0154"},{"id":17,"name":"Train ID","value":"180-06"},{"id":16,"name":"Locomotive ID","value":"4017"},{"id":130,"name":"Impact","value":""},{"id":150,"name":"Time of Event (Mountain Time)","value":"15:06:15"},{"id":151,"name":"Denver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3"/>
        <v>start /low /b %USERPROFILE%\Documents\GitHub\eaglep3\Utilities\DownloadLogsFromS3.py --loco 4017 --day 2017-04-06</v>
      </c>
      <c r="AN91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21:06:15"},{"id":29,"name":"Sharepoint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759</v>
      </c>
      <c r="B92" s="7">
        <v>4004</v>
      </c>
      <c r="C92" s="21" t="s">
        <v>216</v>
      </c>
      <c r="D92" s="21" t="s">
        <v>430</v>
      </c>
      <c r="E92" s="13">
        <v>42831.569374999999</v>
      </c>
      <c r="F92" s="13">
        <v>42831.573113425926</v>
      </c>
      <c r="G92" s="7">
        <v>1</v>
      </c>
      <c r="H92" s="21" t="s">
        <v>893</v>
      </c>
      <c r="I92" s="13">
        <v>42831.59878472222</v>
      </c>
      <c r="J92" s="7">
        <v>0</v>
      </c>
      <c r="K92" s="97" t="str">
        <f t="shared" si="30"/>
        <v>4003/4004</v>
      </c>
      <c r="L92" s="21" t="str">
        <f>VLOOKUP(A92,'Trips&amp;Operators'!$C$1:$G$99999,5,FALSE)</f>
        <v>DELGADO DIANAH</v>
      </c>
      <c r="M92" s="6">
        <f t="shared" si="31"/>
        <v>2.5671296294603962E-2</v>
      </c>
      <c r="N92" s="7">
        <f t="shared" si="45"/>
        <v>36.966666664229706</v>
      </c>
      <c r="O92" s="7"/>
      <c r="P92" s="7"/>
      <c r="Q92" s="22"/>
      <c r="R92" s="22"/>
      <c r="S92" s="31">
        <f t="shared" si="46"/>
        <v>1</v>
      </c>
      <c r="T92" s="46" t="str">
        <f t="shared" si="32"/>
        <v>NorthBound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3"/>
        <v>https://d0f6bd738d7f1b3e5a7ca70fe4ff75f0.us-east-1.aws.found.io/app/kibana#/discover/Steve-Slow-Train-Analysis-(2080s-and-2083s)?_g=(refreshInterval:(display:Off,pause:!f,section:0,value:0),time:(from:'2017-04-06T12:39:54-0600',mode:absolute,to:'2017-04-06T15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2" s="183" t="str">
        <f t="shared" si="34"/>
        <v>N</v>
      </c>
      <c r="X92" s="183">
        <f t="shared" si="29"/>
        <v>1</v>
      </c>
      <c r="Y92" s="62">
        <f t="shared" si="35"/>
        <v>4.4600000000000001E-2</v>
      </c>
      <c r="Z92" s="62">
        <f t="shared" si="47"/>
        <v>23.3323</v>
      </c>
      <c r="AA92" s="62">
        <f t="shared" si="36"/>
        <v>23.287700000000001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7"/>
        <v>0181-06</v>
      </c>
      <c r="AE92" s="85" t="str">
        <f t="shared" si="38"/>
        <v>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 &amp; aws s3 cp s3://rtdc.mdm.uploadarchive.raw/RTDC4004/ "%USERPROFILE%\AppData\Local\Temp\OnboardLogs"\RTDC4004\2017-04-07 --exclude "*" --recursive --include "*20170407*" &amp; "%USERPROFILE%\Documents\GitHub\mrs-test-scripts\Headless Mode &amp; Sideloading\WalkAndUnGZ.bat" "%USERPROFILE%\AppData\Local\Temp\OnboardLogs"\RTDC4004\2017-04-07</v>
      </c>
      <c r="AF92" s="82" t="str">
        <f t="shared" si="39"/>
        <v>"C:\Program Files (x86)\AstroGrep\AstroGrep.exe" /e /r /s /spath="%USERPROFILE%\AppData\Local\Temp\OnboardLogs" /stypes="app*4004*20170406*" /stext=" 20:.+((SYSTEM_STATE.+slice.+state.+changed )|(ment ac)|(multiple cpu faults)|(system.+state.+changed )|(\[timeout)|(PRM\|1\|D)|(kpr)|(kdp)|(\|lc)|(penalty))"</v>
      </c>
      <c r="AG92" s="1" t="str">
        <f t="shared" si="40"/>
        <v>EC</v>
      </c>
      <c r="AH92" s="86" t="str">
        <f t="shared" si="41"/>
        <v>"%USERPROFILE%\Documents\GitHub\eaglep3\Utilities\RefineRTDCRunTimes.py" --tripid 181-06 --locoid 4004 --swversion DE.1.0.9.0 --startMP 204:446 --initTime 2017-04-06T13:39:54 --startdatetime 2017-04-06T13:45:17 --delay 1 --endMP 204:233323 --enddatetime 2017-04-06T14:22:15 --enforcementcount 0 &gt;&gt;C:\Users\stu\Documents\GitHub\eaglep3-reporting\EC\2017-04-06-refined-times.txt</v>
      </c>
      <c r="AI92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{"issue":{"subject":"","project_id":79,"tracker_id":40,"status_id":1,"priority_id":2,"assigned_to_id":23,"start_date":"2017-04-06","description":"","custom_fields":[{"id":1,"name":"Subdivision","value":"EC"},{"id":4,"name":"Milepost","value":"23.3323"},{"id":17,"name":"Train ID","value":"181-06"},{"id":16,"name":"Locomotive ID","value":"4004"},{"id":130,"name":"Impact","value":""},{"id":150,"name":"Time of Event (Mountain Time)","value":"14:22:15"},{"id":151,"name":"Denver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3"/>
        <v>start /low /b %USERPROFILE%\Documents\GitHub\eaglep3\Utilities\DownloadLogsFromS3.py --loco 4004 --day 2017-04-06</v>
      </c>
      <c r="AN92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20:22:15"},{"id":29,"name":"Sharepoint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767</v>
      </c>
      <c r="B93" s="7">
        <v>4003</v>
      </c>
      <c r="C93" s="21" t="s">
        <v>216</v>
      </c>
      <c r="D93" s="21" t="s">
        <v>575</v>
      </c>
      <c r="E93" s="13">
        <v>42831.608680555553</v>
      </c>
      <c r="F93" s="13">
        <v>42831.611967592595</v>
      </c>
      <c r="G93" s="7">
        <v>1</v>
      </c>
      <c r="H93" s="21" t="s">
        <v>213</v>
      </c>
      <c r="I93" s="13">
        <v>42831.638854166667</v>
      </c>
      <c r="J93" s="7">
        <v>0</v>
      </c>
      <c r="K93" s="97" t="str">
        <f t="shared" si="30"/>
        <v>4003/4004</v>
      </c>
      <c r="L93" s="21" t="str">
        <f>VLOOKUP(A93,'Trips&amp;Operators'!$C$1:$G$99999,5,FALSE)</f>
        <v>DELGADO DIANAH</v>
      </c>
      <c r="M93" s="6">
        <f t="shared" si="31"/>
        <v>2.6886574072705116E-2</v>
      </c>
      <c r="N93" s="7">
        <f t="shared" si="45"/>
        <v>38.716666664695367</v>
      </c>
      <c r="O93" s="7"/>
      <c r="P93" s="7"/>
      <c r="Q93" s="22"/>
      <c r="R93" s="22"/>
      <c r="S93" s="31">
        <f t="shared" si="46"/>
        <v>1</v>
      </c>
      <c r="T93" s="46" t="str">
        <f t="shared" si="32"/>
        <v>Southbound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3"/>
        <v>https://d0f6bd738d7f1b3e5a7ca70fe4ff75f0.us-east-1.aws.found.io/app/kibana#/discover/Steve-Slow-Train-Analysis-(2080s-and-2083s)?_g=(refreshInterval:(display:Off,pause:!f,section:0,value:0),time:(from:'2017-04-06T13:36:30-0600',mode:absolute,to:'2017-04-06T16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3" s="183" t="str">
        <f t="shared" si="34"/>
        <v>N</v>
      </c>
      <c r="X93" s="183">
        <f t="shared" si="29"/>
        <v>1</v>
      </c>
      <c r="Y93" s="62">
        <f t="shared" si="35"/>
        <v>23.300799999999999</v>
      </c>
      <c r="Z93" s="62">
        <f t="shared" si="47"/>
        <v>1.47E-2</v>
      </c>
      <c r="AA93" s="62">
        <f t="shared" si="36"/>
        <v>23.286099999999998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7"/>
        <v>0182-06</v>
      </c>
      <c r="AE93" s="85" t="str">
        <f t="shared" si="38"/>
        <v>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 &amp; aws s3 cp s3://rtdc.mdm.uploadarchive.raw/RTDC4003/ "%USERPROFILE%\AppData\Local\Temp\OnboardLogs"\RTDC4003\2017-04-07 --exclude "*" --recursive --include "*20170407*" &amp; "%USERPROFILE%\Documents\GitHub\mrs-test-scripts\Headless Mode &amp; Sideloading\WalkAndUnGZ.bat" "%USERPROFILE%\AppData\Local\Temp\OnboardLogs"\RTDC4003\2017-04-07</v>
      </c>
      <c r="AF93" s="82" t="str">
        <f t="shared" si="39"/>
        <v>"C:\Program Files (x86)\AstroGrep\AstroGrep.exe" /e /r /s /spath="%USERPROFILE%\AppData\Local\Temp\OnboardLogs" /stypes="app*4003*20170406*" /stext=" 21:.+((SYSTEM_STATE.+slice.+state.+changed )|(ment ac)|(multiple cpu faults)|(system.+state.+changed )|(\[timeout)|(PRM\|1\|D)|(kpr)|(kdp)|(\|lc)|(penalty))"</v>
      </c>
      <c r="AG93" s="1" t="str">
        <f t="shared" si="40"/>
        <v>EC</v>
      </c>
      <c r="AH93" s="86" t="str">
        <f t="shared" si="41"/>
        <v>"%USERPROFILE%\Documents\GitHub\eaglep3\Utilities\RefineRTDCRunTimes.py" --tripid 182-06 --locoid 4003 --swversion DE.1.0.9.0 --startMP 204:233008 --initTime 2017-04-06T14:36:30 --startdatetime 2017-04-06T14:41:14 --delay 1 --endMP 204:147 --enddatetime 2017-04-06T15:19:57 --enforcementcount 0 &gt;&gt;C:\Users\stu\Documents\GitHub\eaglep3-reporting\EC\2017-04-06-refined-times.txt</v>
      </c>
      <c r="AI93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{"issue":{"subject":"","project_id":79,"tracker_id":40,"status_id":1,"priority_id":2,"assigned_to_id":23,"start_date":"2017-04-06","description":"","custom_fields":[{"id":1,"name":"Subdivision","value":"EC"},{"id":4,"name":"Milepost","value":"0.0147"},{"id":17,"name":"Train ID","value":"182-06"},{"id":16,"name":"Locomotive ID","value":"4003"},{"id":130,"name":"Impact","value":""},{"id":150,"name":"Time of Event (Mountain Time)","value":"15:19:57"},{"id":151,"name":"Denver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8"/>
      <c r="AL93" s="48"/>
      <c r="AM93" s="150" t="str">
        <f t="shared" si="43"/>
        <v>start /low /b %USERPROFILE%\Documents\GitHub\eaglep3\Utilities\DownloadLogsFromS3.py --loco 4003 --day 2017-04-06</v>
      </c>
      <c r="AN93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21:19:57"},{"id":29,"name":"Sharepoint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3" t="s">
        <v>760</v>
      </c>
      <c r="B94" s="7">
        <v>4016</v>
      </c>
      <c r="C94" s="21" t="s">
        <v>216</v>
      </c>
      <c r="D94" s="21" t="s">
        <v>894</v>
      </c>
      <c r="E94" s="13">
        <v>42831.577731481484</v>
      </c>
      <c r="F94" s="13">
        <v>42831.58357638889</v>
      </c>
      <c r="G94" s="7">
        <v>1</v>
      </c>
      <c r="H94" s="21" t="s">
        <v>865</v>
      </c>
      <c r="I94" s="13">
        <v>42831.608993055554</v>
      </c>
      <c r="J94" s="7">
        <v>0</v>
      </c>
      <c r="K94" s="97" t="str">
        <f t="shared" si="30"/>
        <v>4015/4016</v>
      </c>
      <c r="L94" s="21" t="str">
        <f>VLOOKUP(A94,'Trips&amp;Operators'!$C$1:$G$99999,5,FALSE)</f>
        <v>ARVIDSON DANIEL</v>
      </c>
      <c r="M94" s="6">
        <f t="shared" si="31"/>
        <v>2.5416666663659271E-2</v>
      </c>
      <c r="N94" s="7">
        <f t="shared" si="45"/>
        <v>36.59999999566935</v>
      </c>
      <c r="O94" s="7"/>
      <c r="P94" s="7"/>
      <c r="Q94" s="22"/>
      <c r="R94" s="22"/>
      <c r="S94" s="31">
        <f t="shared" si="46"/>
        <v>1</v>
      </c>
      <c r="T94" s="46" t="str">
        <f t="shared" si="32"/>
        <v>NorthBound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3"/>
        <v>https://d0f6bd738d7f1b3e5a7ca70fe4ff75f0.us-east-1.aws.found.io/app/kibana#/discover/Steve-Slow-Train-Analysis-(2080s-and-2083s)?_g=(refreshInterval:(display:Off,pause:!f,section:0,value:0),time:(from:'2017-04-06T12:51:56-0600',mode:absolute,to:'2017-04-06T15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4" s="183" t="str">
        <f t="shared" si="34"/>
        <v>N</v>
      </c>
      <c r="X94" s="183">
        <f t="shared" si="29"/>
        <v>1</v>
      </c>
      <c r="Y94" s="62">
        <f t="shared" si="35"/>
        <v>4.3499999999999997E-2</v>
      </c>
      <c r="Z94" s="62">
        <f t="shared" si="47"/>
        <v>23.335899999999999</v>
      </c>
      <c r="AA94" s="62">
        <f t="shared" si="36"/>
        <v>23.292399999999997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7"/>
        <v>0183-06</v>
      </c>
      <c r="AE94" s="85" t="str">
        <f t="shared" si="38"/>
        <v>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 &amp; 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</v>
      </c>
      <c r="AF94" s="82" t="str">
        <f t="shared" si="39"/>
        <v>"C:\Program Files (x86)\AstroGrep\AstroGrep.exe" /e /r /s /spath="%USERPROFILE%\AppData\Local\Temp\OnboardLogs" /stypes="app*4016*20170406*" /stext=" 20:.+((SYSTEM_STATE.+slice.+state.+changed )|(ment ac)|(multiple cpu faults)|(system.+state.+changed )|(\[timeout)|(PRM\|1\|D)|(kpr)|(kdp)|(\|lc)|(penalty))"</v>
      </c>
      <c r="AG94" s="1" t="str">
        <f t="shared" si="40"/>
        <v>EC</v>
      </c>
      <c r="AH94" s="86" t="str">
        <f t="shared" si="41"/>
        <v>"%USERPROFILE%\Documents\GitHub\eaglep3\Utilities\RefineRTDCRunTimes.py" --tripid 183-06 --locoid 4016 --swversion DE.1.0.9.0 --startMP 204:435 --initTime 2017-04-06T13:51:56 --startdatetime 2017-04-06T14:00:21 --delay 1 --endMP 204:233359 --enddatetime 2017-04-06T14:36:57 --enforcementcount 0 &gt;&gt;C:\Users\stu\Documents\GitHub\eaglep3-reporting\EC\2017-04-06-refined-times.txt</v>
      </c>
      <c r="AI94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{"issue":{"subject":"","project_id":79,"tracker_id":40,"status_id":1,"priority_id":2,"assigned_to_id":23,"start_date":"2017-04-06","description":"","custom_fields":[{"id":1,"name":"Subdivision","value":"EC"},{"id":4,"name":"Milepost","value":"23.3359"},{"id":17,"name":"Train ID","value":"183-06"},{"id":16,"name":"Locomotive ID","value":"4016"},{"id":130,"name":"Impact","value":""},{"id":150,"name":"Time of Event (Mountain Time)","value":"14:36:57"},{"id":151,"name":"Denver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3"/>
        <v>start /low /b %USERPROFILE%\Documents\GitHub\eaglep3\Utilities\DownloadLogsFromS3.py --loco 4016 --day 2017-04-06</v>
      </c>
      <c r="AN94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20:36:57"},{"id":29,"name":"Sharepoint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770</v>
      </c>
      <c r="B95" s="7">
        <v>4015</v>
      </c>
      <c r="C95" s="21" t="s">
        <v>216</v>
      </c>
      <c r="D95" s="21" t="s">
        <v>895</v>
      </c>
      <c r="E95" s="13">
        <v>42831.617881944447</v>
      </c>
      <c r="F95" s="13">
        <v>42831.622453703705</v>
      </c>
      <c r="G95" s="7">
        <v>1</v>
      </c>
      <c r="H95" s="21" t="s">
        <v>514</v>
      </c>
      <c r="I95" s="13">
        <v>42831.65252314815</v>
      </c>
      <c r="J95" s="7">
        <v>0</v>
      </c>
      <c r="K95" s="97" t="str">
        <f t="shared" si="30"/>
        <v>4015/4016</v>
      </c>
      <c r="L95" s="21" t="str">
        <f>VLOOKUP(A95,'Trips&amp;Operators'!$C$1:$G$99999,5,FALSE)</f>
        <v>ARVIDSON DANIEL</v>
      </c>
      <c r="M95" s="6">
        <f t="shared" si="31"/>
        <v>3.0069444444961846E-2</v>
      </c>
      <c r="N95" s="7">
        <f t="shared" si="45"/>
        <v>43.300000000745058</v>
      </c>
      <c r="O95" s="7"/>
      <c r="P95" s="7"/>
      <c r="Q95" s="22"/>
      <c r="R95" s="22"/>
      <c r="S95" s="31">
        <f t="shared" si="46"/>
        <v>1</v>
      </c>
      <c r="T95" s="46" t="str">
        <f t="shared" si="32"/>
        <v>Southbound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3"/>
        <v>https://d0f6bd738d7f1b3e5a7ca70fe4ff75f0.us-east-1.aws.found.io/app/kibana#/discover/Steve-Slow-Train-Analysis-(2080s-and-2083s)?_g=(refreshInterval:(display:Off,pause:!f,section:0,value:0),time:(from:'2017-04-06T13:49:45-0600',mode:absolute,to:'2017-04-06T16:39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5" s="183" t="str">
        <f t="shared" si="34"/>
        <v>N</v>
      </c>
      <c r="X95" s="183">
        <f t="shared" si="29"/>
        <v>1</v>
      </c>
      <c r="Y95" s="62">
        <f t="shared" si="35"/>
        <v>23.304600000000001</v>
      </c>
      <c r="Z95" s="62">
        <f t="shared" si="47"/>
        <v>1.32E-2</v>
      </c>
      <c r="AA95" s="62">
        <f t="shared" si="36"/>
        <v>23.291399999999999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7"/>
        <v>0184-06</v>
      </c>
      <c r="AE95" s="85" t="str">
        <f t="shared" si="38"/>
        <v>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 &amp; 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</v>
      </c>
      <c r="AF95" s="82" t="str">
        <f t="shared" si="39"/>
        <v>"C:\Program Files (x86)\AstroGrep\AstroGrep.exe" /e /r /s /spath="%USERPROFILE%\AppData\Local\Temp\OnboardLogs" /stypes="app*4015*20170406*" /stext=" 21:.+((SYSTEM_STATE.+slice.+state.+changed )|(ment ac)|(multiple cpu faults)|(system.+state.+changed )|(\[timeout)|(PRM\|1\|D)|(kpr)|(kdp)|(\|lc)|(penalty))"</v>
      </c>
      <c r="AG95" s="1" t="str">
        <f t="shared" si="40"/>
        <v>EC</v>
      </c>
      <c r="AH95" s="86" t="str">
        <f t="shared" si="41"/>
        <v>"%USERPROFILE%\Documents\GitHub\eaglep3\Utilities\RefineRTDCRunTimes.py" --tripid 184-06 --locoid 4015 --swversion DE.1.0.9.0 --startMP 204:233046 --initTime 2017-04-06T14:49:45 --startdatetime 2017-04-06T14:56:20 --delay 1 --endMP 204:132 --enddatetime 2017-04-06T15:39:38 --enforcementcount 0 &gt;&gt;C:\Users\stu\Documents\GitHub\eaglep3-reporting\EC\2017-04-06-refined-times.txt</v>
      </c>
      <c r="AI95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{"issue":{"subject":"","project_id":79,"tracker_id":40,"status_id":1,"priority_id":2,"assigned_to_id":23,"start_date":"2017-04-06","description":"","custom_fields":[{"id":1,"name":"Subdivision","value":"EC"},{"id":4,"name":"Milepost","value":"0.0132"},{"id":17,"name":"Train ID","value":"184-06"},{"id":16,"name":"Locomotive ID","value":"4015"},{"id":130,"name":"Impact","value":""},{"id":150,"name":"Time of Event (Mountain Time)","value":"15:39:38"},{"id":151,"name":"Denver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43"/>
        <v>start /low /b %USERPROFILE%\Documents\GitHub\eaglep3\Utilities\DownloadLogsFromS3.py --loco 4015 --day 2017-04-06</v>
      </c>
      <c r="AN95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21:39:38"},{"id":29,"name":"Sharepoint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640</v>
      </c>
      <c r="B96" s="7">
        <v>4044</v>
      </c>
      <c r="C96" s="21" t="s">
        <v>216</v>
      </c>
      <c r="D96" s="21" t="s">
        <v>422</v>
      </c>
      <c r="E96" s="13">
        <v>42831.590428240743</v>
      </c>
      <c r="F96" s="13">
        <v>42831.593993055554</v>
      </c>
      <c r="G96" s="7">
        <v>1</v>
      </c>
      <c r="H96" s="21" t="s">
        <v>896</v>
      </c>
      <c r="I96" s="13">
        <v>42831.620648148149</v>
      </c>
      <c r="J96" s="7">
        <v>0</v>
      </c>
      <c r="K96" s="97" t="str">
        <f t="shared" si="30"/>
        <v>4043/4044</v>
      </c>
      <c r="L96" s="21" t="str">
        <f>VLOOKUP(A96,'Trips&amp;Operators'!$C$1:$G$99999,5,FALSE)</f>
        <v>STRICKLAND EVAN</v>
      </c>
      <c r="M96" s="6">
        <f t="shared" si="31"/>
        <v>2.6655092595319729E-2</v>
      </c>
      <c r="N96" s="7">
        <f t="shared" si="45"/>
        <v>38.38333333726041</v>
      </c>
      <c r="O96" s="7"/>
      <c r="P96" s="7"/>
      <c r="Q96" s="22"/>
      <c r="R96" s="22"/>
      <c r="S96" s="31">
        <f t="shared" si="46"/>
        <v>1</v>
      </c>
      <c r="T96" s="46" t="str">
        <f t="shared" si="32"/>
        <v>NorthBound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3"/>
        <v>https://d0f6bd738d7f1b3e5a7ca70fe4ff75f0.us-east-1.aws.found.io/app/kibana#/discover/Steve-Slow-Train-Analysis-(2080s-and-2083s)?_g=(refreshInterval:(display:Off,pause:!f,section:0,value:0),time:(from:'2017-04-06T13:10:13-0600',mode:absolute,to:'2017-04-06T15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6" s="183" t="str">
        <f t="shared" si="34"/>
        <v>N</v>
      </c>
      <c r="X96" s="183">
        <f t="shared" si="29"/>
        <v>1</v>
      </c>
      <c r="Y96" s="62">
        <f t="shared" si="35"/>
        <v>4.3999999999999997E-2</v>
      </c>
      <c r="Z96" s="62">
        <f t="shared" si="47"/>
        <v>23.3246</v>
      </c>
      <c r="AA96" s="62">
        <f t="shared" si="36"/>
        <v>23.2806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7"/>
        <v>0185-06</v>
      </c>
      <c r="AE96" s="85" t="str">
        <f t="shared" si="38"/>
        <v>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 &amp; 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</v>
      </c>
      <c r="AF96" s="82" t="str">
        <f t="shared" si="39"/>
        <v>"C:\Program Files (x86)\AstroGrep\AstroGrep.exe" /e /r /s /spath="%USERPROFILE%\AppData\Local\Temp\OnboardLogs" /stypes="app*4044*20170406*" /stext=" 20:.+((SYSTEM_STATE.+slice.+state.+changed )|(ment ac)|(multiple cpu faults)|(system.+state.+changed )|(\[timeout)|(PRM\|1\|D)|(kpr)|(kdp)|(\|lc)|(penalty))"</v>
      </c>
      <c r="AG96" s="1" t="str">
        <f t="shared" si="40"/>
        <v>EC</v>
      </c>
      <c r="AH96" s="86" t="str">
        <f t="shared" si="41"/>
        <v>"%USERPROFILE%\Documents\GitHub\eaglep3\Utilities\RefineRTDCRunTimes.py" --tripid 185-06 --locoid 4044 --swversion DE.1.0.9.0 --startMP 204:440 --initTime 2017-04-06T14:10:13 --startdatetime 2017-04-06T14:15:21 --delay 1 --endMP 204:233246 --enddatetime 2017-04-06T14:53:44 --enforcementcount 0 &gt;&gt;C:\Users\stu\Documents\GitHub\eaglep3-reporting\EC\2017-04-06-refined-times.txt</v>
      </c>
      <c r="AI96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{"issue":{"subject":"","project_id":79,"tracker_id":40,"status_id":1,"priority_id":2,"assigned_to_id":23,"start_date":"2017-04-06","description":"","custom_fields":[{"id":1,"name":"Subdivision","value":"EC"},{"id":4,"name":"Milepost","value":"23.3246"},{"id":17,"name":"Train ID","value":"185-06"},{"id":16,"name":"Locomotive ID","value":"4044"},{"id":130,"name":"Impact","value":""},{"id":150,"name":"Time of Event (Mountain Time)","value":"14:53:44"},{"id":151,"name":"Denver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3"/>
        <v>start /low /b %USERPROFILE%\Documents\GitHub\eaglep3\Utilities\DownloadLogsFromS3.py --loco 4044 --day 2017-04-06</v>
      </c>
      <c r="AN96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20:53:44"},{"id":29,"name":"Sharepoint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773</v>
      </c>
      <c r="B97" s="7">
        <v>4043</v>
      </c>
      <c r="C97" s="21" t="s">
        <v>216</v>
      </c>
      <c r="D97" s="21" t="s">
        <v>897</v>
      </c>
      <c r="E97" s="13">
        <v>42831.622986111113</v>
      </c>
      <c r="F97" s="13">
        <v>42831.632916666669</v>
      </c>
      <c r="G97" s="7">
        <v>1</v>
      </c>
      <c r="H97" s="21" t="s">
        <v>198</v>
      </c>
      <c r="I97" s="13">
        <v>42831.661319444444</v>
      </c>
      <c r="J97" s="7">
        <v>0</v>
      </c>
      <c r="K97" s="97" t="str">
        <f t="shared" si="30"/>
        <v>4043/4044</v>
      </c>
      <c r="L97" s="21" t="str">
        <f>VLOOKUP(A97,'Trips&amp;Operators'!$C$1:$G$99999,5,FALSE)</f>
        <v>STRICKLAND EVAN</v>
      </c>
      <c r="M97" s="6">
        <f t="shared" si="31"/>
        <v>2.8402777774317656E-2</v>
      </c>
      <c r="N97" s="7">
        <f t="shared" si="45"/>
        <v>40.899999995017424</v>
      </c>
      <c r="O97" s="7"/>
      <c r="P97" s="7"/>
      <c r="Q97" s="22"/>
      <c r="R97" s="22"/>
      <c r="S97" s="31">
        <f t="shared" si="46"/>
        <v>1</v>
      </c>
      <c r="T97" s="46" t="str">
        <f t="shared" si="32"/>
        <v>Southbound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3"/>
        <v>https://d0f6bd738d7f1b3e5a7ca70fe4ff75f0.us-east-1.aws.found.io/app/kibana#/discover/Steve-Slow-Train-Analysis-(2080s-and-2083s)?_g=(refreshInterval:(display:Off,pause:!f,section:0,value:0),time:(from:'2017-04-06T13:57:06-0600',mode:absolute,to:'2017-04-06T16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7" s="183" t="str">
        <f t="shared" si="34"/>
        <v>N</v>
      </c>
      <c r="X97" s="183">
        <f t="shared" si="29"/>
        <v>1</v>
      </c>
      <c r="Y97" s="62">
        <f t="shared" si="35"/>
        <v>23.293199999999999</v>
      </c>
      <c r="Z97" s="62">
        <f t="shared" si="47"/>
        <v>1.52E-2</v>
      </c>
      <c r="AA97" s="62">
        <f t="shared" si="36"/>
        <v>23.277999999999999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7"/>
        <v>0186-06</v>
      </c>
      <c r="AE97" s="85" t="str">
        <f t="shared" si="38"/>
        <v>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 &amp; aws s3 cp s3://rtdc.mdm.uploadarchive.raw/RTDC4043/ "%USERPROFILE%\AppData\Local\Temp\OnboardLogs"\RTDC4043\2017-04-07 --exclude "*" --recursive --include "*20170407*" &amp; "%USERPROFILE%\Documents\GitHub\mrs-test-scripts\Headless Mode &amp; Sideloading\WalkAndUnGZ.bat" "%USERPROFILE%\AppData\Local\Temp\OnboardLogs"\RTDC4043\2017-04-07</v>
      </c>
      <c r="AF97" s="82" t="str">
        <f t="shared" si="39"/>
        <v>"C:\Program Files (x86)\AstroGrep\AstroGrep.exe" /e /r /s /spath="%USERPROFILE%\AppData\Local\Temp\OnboardLogs" /stypes="app*4043*20170406*" /stext=" 21:.+((SYSTEM_STATE.+slice.+state.+changed )|(ment ac)|(multiple cpu faults)|(system.+state.+changed )|(\[timeout)|(PRM\|1\|D)|(kpr)|(kdp)|(\|lc)|(penalty))"</v>
      </c>
      <c r="AG97" s="1" t="str">
        <f t="shared" si="40"/>
        <v>EC</v>
      </c>
      <c r="AH97" s="86" t="str">
        <f t="shared" si="41"/>
        <v>"%USERPROFILE%\Documents\GitHub\eaglep3\Utilities\RefineRTDCRunTimes.py" --tripid 186-06 --locoid 4043 --swversion DE.1.0.9.0 --startMP 204:232932 --initTime 2017-04-06T14:57:06 --startdatetime 2017-04-06T15:11:24 --delay 1 --endMP 204:152 --enddatetime 2017-04-06T15:52:18 --enforcementcount 0 &gt;&gt;C:\Users\stu\Documents\GitHub\eaglep3-reporting\EC\2017-04-06-refined-times.txt</v>
      </c>
      <c r="AI97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{"issue":{"subject":"","project_id":79,"tracker_id":40,"status_id":1,"priority_id":2,"assigned_to_id":23,"start_date":"2017-04-06","description":"","custom_fields":[{"id":1,"name":"Subdivision","value":"EC"},{"id":4,"name":"Milepost","value":"0.0152"},{"id":17,"name":"Train ID","value":"186-06"},{"id":16,"name":"Locomotive ID","value":"4043"},{"id":130,"name":"Impact","value":""},{"id":150,"name":"Time of Event (Mountain Time)","value":"15:52:18"},{"id":151,"name":"Denver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3"/>
        <v>start /low /b %USERPROFILE%\Documents\GitHub\eaglep3\Utilities\DownloadLogsFromS3.py --loco 4043 --day 2017-04-06</v>
      </c>
      <c r="AN97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21:52:18"},{"id":29,"name":"Sharepoint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766</v>
      </c>
      <c r="B98" s="7">
        <v>4010</v>
      </c>
      <c r="C98" s="21" t="s">
        <v>216</v>
      </c>
      <c r="D98" s="21" t="s">
        <v>516</v>
      </c>
      <c r="E98" s="13">
        <v>42831.601041666669</v>
      </c>
      <c r="F98" s="13">
        <v>42831.604386574072</v>
      </c>
      <c r="G98" s="7">
        <v>1</v>
      </c>
      <c r="H98" s="21" t="s">
        <v>898</v>
      </c>
      <c r="I98" s="13">
        <v>42831.630219907405</v>
      </c>
      <c r="J98" s="7">
        <v>0</v>
      </c>
      <c r="K98" s="97" t="str">
        <f t="shared" si="30"/>
        <v>4009/4010</v>
      </c>
      <c r="L98" s="21" t="str">
        <f>VLOOKUP(A98,'Trips&amp;Operators'!$C$1:$G$99999,5,FALSE)</f>
        <v>CLARK KATHLEEN</v>
      </c>
      <c r="M98" s="6">
        <f t="shared" si="31"/>
        <v>2.5833333333139308E-2</v>
      </c>
      <c r="N98" s="7">
        <f t="shared" si="45"/>
        <v>37.199999999720603</v>
      </c>
      <c r="O98" s="7"/>
      <c r="P98" s="7"/>
      <c r="Q98" s="22"/>
      <c r="R98" s="22"/>
      <c r="S98" s="31">
        <f t="shared" si="46"/>
        <v>1</v>
      </c>
      <c r="T98" s="46" t="str">
        <f t="shared" si="32"/>
        <v>NorthBound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3"/>
        <v>https://d0f6bd738d7f1b3e5a7ca70fe4ff75f0.us-east-1.aws.found.io/app/kibana#/discover/Steve-Slow-Train-Analysis-(2080s-and-2083s)?_g=(refreshInterval:(display:Off,pause:!f,section:0,value:0),time:(from:'2017-04-06T13:25:30-0600',mode:absolute,to:'2017-04-06T16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8" s="183" t="str">
        <f t="shared" si="34"/>
        <v>N</v>
      </c>
      <c r="X98" s="183">
        <f t="shared" si="29"/>
        <v>1</v>
      </c>
      <c r="Y98" s="62">
        <f t="shared" si="35"/>
        <v>4.4400000000000002E-2</v>
      </c>
      <c r="Z98" s="62">
        <f t="shared" si="47"/>
        <v>23.326799999999999</v>
      </c>
      <c r="AA98" s="62">
        <f t="shared" si="36"/>
        <v>23.282399999999999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7"/>
        <v>0187-06</v>
      </c>
      <c r="AE98" s="85" t="str">
        <f t="shared" si="38"/>
        <v>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 &amp; 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</v>
      </c>
      <c r="AF98" s="82" t="str">
        <f t="shared" si="39"/>
        <v>"C:\Program Files (x86)\AstroGrep\AstroGrep.exe" /e /r /s /spath="%USERPROFILE%\AppData\Local\Temp\OnboardLogs" /stypes="app*4010*20170406*" /stext=" 21:.+((SYSTEM_STATE.+slice.+state.+changed )|(ment ac)|(multiple cpu faults)|(system.+state.+changed )|(\[timeout)|(PRM\|1\|D)|(kpr)|(kdp)|(\|lc)|(penalty))"</v>
      </c>
      <c r="AG98" s="1" t="str">
        <f t="shared" si="40"/>
        <v>EC</v>
      </c>
      <c r="AH98" s="86" t="str">
        <f t="shared" si="41"/>
        <v>"%USERPROFILE%\Documents\GitHub\eaglep3\Utilities\RefineRTDCRunTimes.py" --tripid 187-06 --locoid 4010 --swversion DE.1.0.9.0 --startMP 204:444 --initTime 2017-04-06T14:25:30 --startdatetime 2017-04-06T14:30:19 --delay 1 --endMP 204:233268 --enddatetime 2017-04-06T15:07:31 --enforcementcount 0 &gt;&gt;C:\Users\stu\Documents\GitHub\eaglep3-reporting\EC\2017-04-06-refined-times.txt</v>
      </c>
      <c r="AI98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{"issue":{"subject":"","project_id":79,"tracker_id":40,"status_id":1,"priority_id":2,"assigned_to_id":23,"start_date":"2017-04-06","description":"","custom_fields":[{"id":1,"name":"Subdivision","value":"EC"},{"id":4,"name":"Milepost","value":"23.3268"},{"id":17,"name":"Train ID","value":"187-06"},{"id":16,"name":"Locomotive ID","value":"4010"},{"id":130,"name":"Impact","value":""},{"id":150,"name":"Time of Event (Mountain Time)","value":"15:07:31"},{"id":151,"name":"Denver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3"/>
        <v>start /low /b %USERPROFILE%\Documents\GitHub\eaglep3\Utilities\DownloadLogsFromS3.py --loco 4010 --day 2017-04-06</v>
      </c>
      <c r="AN98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21:07:31"},{"id":29,"name":"Sharepoint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776</v>
      </c>
      <c r="B99" s="7">
        <v>4009</v>
      </c>
      <c r="C99" s="21" t="s">
        <v>216</v>
      </c>
      <c r="D99" s="21" t="s">
        <v>467</v>
      </c>
      <c r="E99" s="13">
        <v>42831.63795138889</v>
      </c>
      <c r="F99" s="13">
        <v>42831.643229166664</v>
      </c>
      <c r="G99" s="7">
        <v>1</v>
      </c>
      <c r="H99" s="21" t="s">
        <v>885</v>
      </c>
      <c r="I99" s="13">
        <v>42831.671631944446</v>
      </c>
      <c r="J99" s="7">
        <v>0</v>
      </c>
      <c r="K99" s="97" t="str">
        <f t="shared" si="30"/>
        <v>4009/4010</v>
      </c>
      <c r="L99" s="21" t="str">
        <f>VLOOKUP(A99,'Trips&amp;Operators'!$C$1:$G$99999,5,FALSE)</f>
        <v>CLARK KATHLEEN</v>
      </c>
      <c r="M99" s="6">
        <f t="shared" si="31"/>
        <v>2.8402777781593613E-2</v>
      </c>
      <c r="N99" s="7">
        <f t="shared" si="45"/>
        <v>40.900000005494803</v>
      </c>
      <c r="O99" s="7"/>
      <c r="P99" s="7"/>
      <c r="Q99" s="22"/>
      <c r="R99" s="22"/>
      <c r="S99" s="31">
        <f t="shared" si="46"/>
        <v>1</v>
      </c>
      <c r="T99" s="46" t="str">
        <f t="shared" si="32"/>
        <v>Southbound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3"/>
        <v>https://d0f6bd738d7f1b3e5a7ca70fe4ff75f0.us-east-1.aws.found.io/app/kibana#/discover/Steve-Slow-Train-Analysis-(2080s-and-2083s)?_g=(refreshInterval:(display:Off,pause:!f,section:0,value:0),time:(from:'2017-04-06T14:18:39-0600',mode:absolute,to:'2017-04-06T17:07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9" s="183" t="str">
        <f t="shared" si="34"/>
        <v>N</v>
      </c>
      <c r="X99" s="183">
        <f t="shared" si="29"/>
        <v>1</v>
      </c>
      <c r="Y99" s="62">
        <f t="shared" si="35"/>
        <v>23.2971</v>
      </c>
      <c r="Z99" s="62">
        <f t="shared" si="47"/>
        <v>1.9199999999999998E-2</v>
      </c>
      <c r="AA99" s="62">
        <f t="shared" si="36"/>
        <v>23.277899999999999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7"/>
        <v>0188-06</v>
      </c>
      <c r="AE99" s="85" t="str">
        <f t="shared" si="38"/>
        <v>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 &amp; 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</v>
      </c>
      <c r="AF99" s="82" t="str">
        <f t="shared" si="39"/>
        <v>"C:\Program Files (x86)\AstroGrep\AstroGrep.exe" /e /r /s /spath="%USERPROFILE%\AppData\Local\Temp\OnboardLogs" /stypes="app*4009*20170406*" /stext=" 22:.+((SYSTEM_STATE.+slice.+state.+changed )|(ment ac)|(multiple cpu faults)|(system.+state.+changed )|(\[timeout)|(PRM\|1\|D)|(kpr)|(kdp)|(\|lc)|(penalty))"</v>
      </c>
      <c r="AG99" s="1" t="str">
        <f t="shared" si="40"/>
        <v>EC</v>
      </c>
      <c r="AH99" s="86" t="str">
        <f t="shared" si="41"/>
        <v>"%USERPROFILE%\Documents\GitHub\eaglep3\Utilities\RefineRTDCRunTimes.py" --tripid 188-06 --locoid 4009 --swversion DE.1.0.9.0 --startMP 204:232971 --initTime 2017-04-06T15:18:39 --startdatetime 2017-04-06T15:26:15 --delay 1 --endMP 204:192 --enddatetime 2017-04-06T16:07:09 --enforcementcount 0 &gt;&gt;C:\Users\stu\Documents\GitHub\eaglep3-reporting\EC\2017-04-06-refined-times.txt</v>
      </c>
      <c r="AI99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{"issue":{"subject":"","project_id":79,"tracker_id":40,"status_id":1,"priority_id":2,"assigned_to_id":23,"start_date":"2017-04-06","description":"","custom_fields":[{"id":1,"name":"Subdivision","value":"EC"},{"id":4,"name":"Milepost","value":"0.0192"},{"id":17,"name":"Train ID","value":"188-06"},{"id":16,"name":"Locomotive ID","value":"4009"},{"id":130,"name":"Impact","value":""},{"id":150,"name":"Time of Event (Mountain Time)","value":"16:07:09"},{"id":151,"name":"Denver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3"/>
        <v>start /low /b %USERPROFILE%\Documents\GitHub\eaglep3\Utilities\DownloadLogsFromS3.py --loco 4009 --day 2017-04-06</v>
      </c>
      <c r="AN99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22:07:09"},{"id":29,"name":"Sharepoint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769</v>
      </c>
      <c r="B100" s="7">
        <v>4054</v>
      </c>
      <c r="C100" s="21" t="s">
        <v>216</v>
      </c>
      <c r="D100" s="21" t="s">
        <v>869</v>
      </c>
      <c r="E100" s="13">
        <v>42831.609953703701</v>
      </c>
      <c r="F100" s="13">
        <v>42831.614768518521</v>
      </c>
      <c r="G100" s="7">
        <v>1</v>
      </c>
      <c r="H100" s="21" t="s">
        <v>407</v>
      </c>
      <c r="I100" s="13">
        <v>42831.641423611109</v>
      </c>
      <c r="J100" s="7">
        <v>0</v>
      </c>
      <c r="K100" s="97" t="str">
        <f t="shared" si="30"/>
        <v>4053/4054</v>
      </c>
      <c r="L100" s="21" t="str">
        <f>VLOOKUP(A100,'Trips&amp;Operators'!$C$1:$G$99999,5,FALSE)</f>
        <v>BRANDNER MELINDA</v>
      </c>
      <c r="M100" s="6">
        <f t="shared" si="31"/>
        <v>2.6655092588043772E-2</v>
      </c>
      <c r="N100" s="7">
        <f t="shared" si="45"/>
        <v>38.383333326783031</v>
      </c>
      <c r="O100" s="7"/>
      <c r="P100" s="7"/>
      <c r="Q100" s="22"/>
      <c r="R100" s="22"/>
      <c r="S100" s="31">
        <f t="shared" si="46"/>
        <v>1</v>
      </c>
      <c r="T100" s="46" t="str">
        <f t="shared" si="32"/>
        <v>NorthBound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3"/>
        <v>https://d0f6bd738d7f1b3e5a7ca70fe4ff75f0.us-east-1.aws.found.io/app/kibana#/discover/Steve-Slow-Train-Analysis-(2080s-and-2083s)?_g=(refreshInterval:(display:Off,pause:!f,section:0,value:0),time:(from:'2017-04-06T13:38:20-0600',mode:absolute,to:'2017-04-06T16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0" s="183" t="str">
        <f t="shared" si="34"/>
        <v>N</v>
      </c>
      <c r="X100" s="183">
        <f t="shared" si="29"/>
        <v>1</v>
      </c>
      <c r="Y100" s="62">
        <f t="shared" si="35"/>
        <v>4.4200000000000003E-2</v>
      </c>
      <c r="Z100" s="62">
        <f t="shared" si="47"/>
        <v>23.329499999999999</v>
      </c>
      <c r="AA100" s="62">
        <f t="shared" si="36"/>
        <v>23.285299999999999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7"/>
        <v>0189-06</v>
      </c>
      <c r="AE100" s="85" t="str">
        <f t="shared" si="38"/>
        <v>aws s3 cp s3://rtdc.mdm.uploadarchive.raw/RTDC4054/ "%USERPROFILE%\AppData\Local\Temp\OnboardLogs"\RTDC4054\2017-04-06 --exclude "*" --recursive --include "*20170406*" &amp; "%USERPROFILE%\Documents\GitHub\mrs-test-scripts\Headless Mode &amp; Sideloading\WalkAndUnGZ.bat" "%USERPROFILE%\AppData\Local\Temp\OnboardLogs"\RTDC4054\2017-04-06 &amp; aws s3 cp s3://rtdc.mdm.uploadarchive.raw/RTDC4054/ "%USERPROFILE%\AppData\Local\Temp\OnboardLogs"\RTDC4054\2017-04-07 --exclude "*" --recursive --include "*20170407*" &amp; "%USERPROFILE%\Documents\GitHub\mrs-test-scripts\Headless Mode &amp; Sideloading\WalkAndUnGZ.bat" "%USERPROFILE%\AppData\Local\Temp\OnboardLogs"\RTDC4054\2017-04-07</v>
      </c>
      <c r="AF100" s="82" t="str">
        <f t="shared" si="39"/>
        <v>"C:\Program Files (x86)\AstroGrep\AstroGrep.exe" /e /r /s /spath="%USERPROFILE%\AppData\Local\Temp\OnboardLogs" /stypes="app*4054*20170406*" /stext=" 21:.+((SYSTEM_STATE.+slice.+state.+changed )|(ment ac)|(multiple cpu faults)|(system.+state.+changed )|(\[timeout)|(PRM\|1\|D)|(kpr)|(kdp)|(\|lc)|(penalty))"</v>
      </c>
      <c r="AG100" s="1" t="str">
        <f t="shared" si="40"/>
        <v>EC</v>
      </c>
      <c r="AH100" s="86" t="str">
        <f t="shared" si="41"/>
        <v>"%USERPROFILE%\Documents\GitHub\eaglep3\Utilities\RefineRTDCRunTimes.py" --tripid 189-06 --locoid 4054 --swversion DE.1.0.9.0 --startMP 204:442 --initTime 2017-04-06T14:38:20 --startdatetime 2017-04-06T14:45:16 --delay 1 --endMP 204:233295 --enddatetime 2017-04-06T15:23:39 --enforcementcount 0 &gt;&gt;C:\Users\stu\Documents\GitHub\eaglep3-reporting\EC\2017-04-06-refined-times.txt</v>
      </c>
      <c r="AI100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{"issue":{"subject":"","project_id":79,"tracker_id":40,"status_id":1,"priority_id":2,"assigned_to_id":23,"start_date":"2017-04-06","description":"","custom_fields":[{"id":1,"name":"Subdivision","value":"EC"},{"id":4,"name":"Milepost","value":"23.3295"},{"id":17,"name":"Train ID","value":"189-06"},{"id":16,"name":"Locomotive ID","value":"4054"},{"id":130,"name":"Impact","value":""},{"id":150,"name":"Time of Event (Mountain Time)","value":"15:23:39"},{"id":151,"name":"Denver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3"/>
        <v>start /low /b %USERPROFILE%\Documents\GitHub\eaglep3\Utilities\DownloadLogsFromS3.py --loco 4054 --day 2017-04-06</v>
      </c>
      <c r="AN100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21:23:39"},{"id":29,"name":"Sharepoint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777</v>
      </c>
      <c r="B101" s="7">
        <v>4053</v>
      </c>
      <c r="C101" s="21" t="s">
        <v>216</v>
      </c>
      <c r="D101" s="21" t="s">
        <v>403</v>
      </c>
      <c r="E101" s="13">
        <v>42831.649386574078</v>
      </c>
      <c r="F101" s="13">
        <v>42831.65388888889</v>
      </c>
      <c r="G101" s="7">
        <v>1</v>
      </c>
      <c r="H101" s="21" t="s">
        <v>213</v>
      </c>
      <c r="I101" s="13">
        <v>42831.681041666663</v>
      </c>
      <c r="J101" s="7">
        <v>0</v>
      </c>
      <c r="K101" s="97" t="str">
        <f t="shared" si="30"/>
        <v>4053/4054</v>
      </c>
      <c r="L101" s="21" t="str">
        <f>VLOOKUP(A101,'Trips&amp;Operators'!$C$1:$G$99999,5,FALSE)</f>
        <v>BRANDNER MELINDA</v>
      </c>
      <c r="M101" s="6">
        <f t="shared" si="31"/>
        <v>2.7152777773153502E-2</v>
      </c>
      <c r="N101" s="7">
        <f t="shared" si="45"/>
        <v>39.099999993341044</v>
      </c>
      <c r="O101" s="7"/>
      <c r="P101" s="7"/>
      <c r="Q101" s="22"/>
      <c r="R101" s="22"/>
      <c r="S101" s="31">
        <f t="shared" si="46"/>
        <v>1</v>
      </c>
      <c r="T101" s="46" t="str">
        <f t="shared" si="32"/>
        <v>Southbound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3"/>
        <v>https://d0f6bd738d7f1b3e5a7ca70fe4ff75f0.us-east-1.aws.found.io/app/kibana#/discover/Steve-Slow-Train-Analysis-(2080s-and-2083s)?_g=(refreshInterval:(display:Off,pause:!f,section:0,value:0),time:(from:'2017-04-06T14:35:07-0600',mode:absolute,to:'2017-04-06T17:20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1" s="183" t="str">
        <f t="shared" si="34"/>
        <v>N</v>
      </c>
      <c r="X101" s="183">
        <f t="shared" si="29"/>
        <v>1</v>
      </c>
      <c r="Y101" s="62">
        <f t="shared" si="35"/>
        <v>23.297699999999999</v>
      </c>
      <c r="Z101" s="62">
        <f t="shared" si="47"/>
        <v>1.47E-2</v>
      </c>
      <c r="AA101" s="62">
        <f t="shared" si="36"/>
        <v>23.282999999999998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7"/>
        <v>0190-06</v>
      </c>
      <c r="AE101" s="85" t="str">
        <f t="shared" si="38"/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AF101" s="82" t="str">
        <f t="shared" si="39"/>
        <v>"C:\Program Files (x86)\AstroGrep\AstroGrep.exe" /e /r /s /spath="%USERPROFILE%\AppData\Local\Temp\OnboardLogs" /stypes="app*4053*20170406*" /stext=" 22:.+((SYSTEM_STATE.+slice.+state.+changed )|(ment ac)|(multiple cpu faults)|(system.+state.+changed )|(\[timeout)|(PRM\|1\|D)|(kpr)|(kdp)|(\|lc)|(penalty))"</v>
      </c>
      <c r="AG101" s="1" t="str">
        <f t="shared" si="40"/>
        <v>EC</v>
      </c>
      <c r="AH101" s="86" t="str">
        <f t="shared" si="41"/>
        <v>"%USERPROFILE%\Documents\GitHub\eaglep3\Utilities\RefineRTDCRunTimes.py" --tripid 190-06 --locoid 4053 --swversion DE.1.0.9.0 --startMP 204:232977 --initTime 2017-04-06T15:35:07 --startdatetime 2017-04-06T15:41:36 --delay 1 --endMP 204:147 --enddatetime 2017-04-06T16:20:42 --enforcementcount 0 &gt;&gt;C:\Users\stu\Documents\GitHub\eaglep3-reporting\EC\2017-04-06-refined-times.txt</v>
      </c>
      <c r="AI101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{"issue":{"subject":"","project_id":79,"tracker_id":40,"status_id":1,"priority_id":2,"assigned_to_id":23,"start_date":"2017-04-06","description":"","custom_fields":[{"id":1,"name":"Subdivision","value":"EC"},{"id":4,"name":"Milepost","value":"0.0147"},{"id":17,"name":"Train ID","value":"190-06"},{"id":16,"name":"Locomotive ID","value":"4053"},{"id":130,"name":"Impact","value":""},{"id":150,"name":"Time of Event (Mountain Time)","value":"16:20:42"},{"id":151,"name":"Denver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3"/>
        <v>start /low /b %USERPROFILE%\Documents\GitHub\eaglep3\Utilities\DownloadLogsFromS3.py --loco 4053 --day 2017-04-06</v>
      </c>
      <c r="AN101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22:20:42"},{"id":29,"name":"Sharepoint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772</v>
      </c>
      <c r="B102" s="7">
        <v>4042</v>
      </c>
      <c r="C102" s="21" t="s">
        <v>216</v>
      </c>
      <c r="D102" s="21" t="s">
        <v>899</v>
      </c>
      <c r="E102" s="13">
        <v>42831.621180555558</v>
      </c>
      <c r="F102" s="13">
        <v>42831.625347222223</v>
      </c>
      <c r="G102" s="7">
        <v>1</v>
      </c>
      <c r="H102" s="21" t="s">
        <v>414</v>
      </c>
      <c r="I102" s="13">
        <v>42831.650821759256</v>
      </c>
      <c r="J102" s="7">
        <v>0</v>
      </c>
      <c r="K102" s="97" t="str">
        <f t="shared" si="30"/>
        <v>4041/4042</v>
      </c>
      <c r="L102" s="21" t="str">
        <f>VLOOKUP(A102,'Trips&amp;Operators'!$C$1:$G$99999,5,FALSE)</f>
        <v>GUZMAN DANNY</v>
      </c>
      <c r="M102" s="6">
        <f t="shared" si="31"/>
        <v>2.5474537033005618E-2</v>
      </c>
      <c r="N102" s="7">
        <f t="shared" si="45"/>
        <v>36.683333327528089</v>
      </c>
      <c r="O102" s="7"/>
      <c r="P102" s="7"/>
      <c r="Q102" s="22"/>
      <c r="R102" s="22"/>
      <c r="S102" s="31">
        <f t="shared" si="46"/>
        <v>1</v>
      </c>
      <c r="T102" s="46" t="str">
        <f t="shared" si="32"/>
        <v>NorthBound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3"/>
        <v>https://d0f6bd738d7f1b3e5a7ca70fe4ff75f0.us-east-1.aws.found.io/app/kibana#/discover/Steve-Slow-Train-Analysis-(2080s-and-2083s)?_g=(refreshInterval:(display:Off,pause:!f,section:0,value:0),time:(from:'2017-04-06T13:54:30-0600',mode:absolute,to:'2017-04-06T16:37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2" s="183" t="str">
        <f t="shared" si="34"/>
        <v>N</v>
      </c>
      <c r="X102" s="183">
        <f t="shared" si="29"/>
        <v>1</v>
      </c>
      <c r="Y102" s="62">
        <f t="shared" si="35"/>
        <v>5.28E-2</v>
      </c>
      <c r="Z102" s="62">
        <f t="shared" si="47"/>
        <v>23.330300000000001</v>
      </c>
      <c r="AA102" s="62">
        <f t="shared" si="36"/>
        <v>23.2775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7"/>
        <v>0191-06</v>
      </c>
      <c r="AE102" s="85" t="str">
        <f t="shared" si="38"/>
        <v>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 &amp; 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</v>
      </c>
      <c r="AF102" s="82" t="str">
        <f t="shared" si="39"/>
        <v>"C:\Program Files (x86)\AstroGrep\AstroGrep.exe" /e /r /s /spath="%USERPROFILE%\AppData\Local\Temp\OnboardLogs" /stypes="app*4042*20170406*" /stext=" 21:.+((SYSTEM_STATE.+slice.+state.+changed )|(ment ac)|(multiple cpu faults)|(system.+state.+changed )|(\[timeout)|(PRM\|1\|D)|(kpr)|(kdp)|(\|lc)|(penalty))"</v>
      </c>
      <c r="AG102" s="1" t="str">
        <f t="shared" si="40"/>
        <v>EC</v>
      </c>
      <c r="AH102" s="86" t="str">
        <f t="shared" si="41"/>
        <v>"%USERPROFILE%\Documents\GitHub\eaglep3\Utilities\RefineRTDCRunTimes.py" --tripid 191-06 --locoid 4042 --swversion DE.1.0.9.0 --startMP 204:528 --initTime 2017-04-06T14:54:30 --startdatetime 2017-04-06T15:00:30 --delay 1 --endMP 204:233303 --enddatetime 2017-04-06T15:37:11 --enforcementcount 0 &gt;&gt;C:\Users\stu\Documents\GitHub\eaglep3-reporting\EC\2017-04-06-refined-times.txt</v>
      </c>
      <c r="AI102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{"issue":{"subject":"","project_id":79,"tracker_id":40,"status_id":1,"priority_id":2,"assigned_to_id":23,"start_date":"2017-04-06","description":"","custom_fields":[{"id":1,"name":"Subdivision","value":"EC"},{"id":4,"name":"Milepost","value":"23.3303"},{"id":17,"name":"Train ID","value":"191-06"},{"id":16,"name":"Locomotive ID","value":"4042"},{"id":130,"name":"Impact","value":""},{"id":150,"name":"Time of Event (Mountain Time)","value":"15:37:11"},{"id":151,"name":"Denver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3"/>
        <v>start /low /b %USERPROFILE%\Documents\GitHub\eaglep3\Utilities\DownloadLogsFromS3.py --loco 4042 --day 2017-04-06</v>
      </c>
      <c r="AN102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21:37:11"},{"id":29,"name":"Sharepoint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779</v>
      </c>
      <c r="B103" s="7">
        <v>4041</v>
      </c>
      <c r="C103" s="21" t="s">
        <v>216</v>
      </c>
      <c r="D103" s="21" t="s">
        <v>579</v>
      </c>
      <c r="E103" s="13">
        <v>42831.652337962965</v>
      </c>
      <c r="F103" s="13">
        <v>42831.664097222223</v>
      </c>
      <c r="G103" s="7">
        <v>1</v>
      </c>
      <c r="H103" s="21" t="s">
        <v>439</v>
      </c>
      <c r="I103" s="13">
        <v>42831.692094907405</v>
      </c>
      <c r="J103" s="7">
        <v>0</v>
      </c>
      <c r="K103" s="97" t="str">
        <f t="shared" si="30"/>
        <v>4041/4042</v>
      </c>
      <c r="L103" s="21" t="str">
        <f>VLOOKUP(A103,'Trips&amp;Operators'!$C$1:$G$99999,5,FALSE)</f>
        <v>GUZMAN DANNY</v>
      </c>
      <c r="M103" s="6">
        <f t="shared" si="31"/>
        <v>2.7997685181617271E-2</v>
      </c>
      <c r="N103" s="7">
        <f t="shared" si="45"/>
        <v>40.31666666152887</v>
      </c>
      <c r="O103" s="7"/>
      <c r="P103" s="7"/>
      <c r="Q103" s="22"/>
      <c r="R103" s="22"/>
      <c r="S103" s="31">
        <f t="shared" si="46"/>
        <v>1</v>
      </c>
      <c r="T103" s="46" t="str">
        <f t="shared" si="32"/>
        <v>Southbound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3"/>
        <v>https://d0f6bd738d7f1b3e5a7ca70fe4ff75f0.us-east-1.aws.found.io/app/kibana#/discover/Steve-Slow-Train-Analysis-(2080s-and-2083s)?_g=(refreshInterval:(display:Off,pause:!f,section:0,value:0),time:(from:'2017-04-06T14:39:22-0600',mode:absolute,to:'2017-04-06T17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3" s="183" t="str">
        <f t="shared" si="34"/>
        <v>N</v>
      </c>
      <c r="X103" s="183">
        <f t="shared" si="29"/>
        <v>1</v>
      </c>
      <c r="Y103" s="62">
        <f t="shared" si="35"/>
        <v>23.297999999999998</v>
      </c>
      <c r="Z103" s="62">
        <f t="shared" si="47"/>
        <v>1.6E-2</v>
      </c>
      <c r="AA103" s="62">
        <f t="shared" si="36"/>
        <v>23.282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7"/>
        <v>0192-06</v>
      </c>
      <c r="AE103" s="85" t="str">
        <f t="shared" si="38"/>
        <v>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 &amp; aws s3 cp s3://rtdc.mdm.uploadarchive.raw/RTDC4041/ "%USERPROFILE%\AppData\Local\Temp\OnboardLogs"\RTDC4041\2017-04-07 --exclude "*" --recursive --include "*20170407*" &amp; "%USERPROFILE%\Documents\GitHub\mrs-test-scripts\Headless Mode &amp; Sideloading\WalkAndUnGZ.bat" "%USERPROFILE%\AppData\Local\Temp\OnboardLogs"\RTDC4041\2017-04-07</v>
      </c>
      <c r="AF103" s="82" t="str">
        <f t="shared" si="39"/>
        <v>"C:\Program Files (x86)\AstroGrep\AstroGrep.exe" /e /r /s /spath="%USERPROFILE%\AppData\Local\Temp\OnboardLogs" /stypes="app*4041*20170406*" /stext=" 22:.+((SYSTEM_STATE.+slice.+state.+changed )|(ment ac)|(multiple cpu faults)|(system.+state.+changed )|(\[timeout)|(PRM\|1\|D)|(kpr)|(kdp)|(\|lc)|(penalty))"</v>
      </c>
      <c r="AG103" s="1" t="str">
        <f t="shared" si="40"/>
        <v>EC</v>
      </c>
      <c r="AH103" s="86" t="str">
        <f t="shared" si="41"/>
        <v>"%USERPROFILE%\Documents\GitHub\eaglep3\Utilities\RefineRTDCRunTimes.py" --tripid 192-06 --locoid 4041 --swversion DE.1.0.9.0 --startMP 204:232980 --initTime 2017-04-06T15:39:22 --startdatetime 2017-04-06T15:56:18 --delay 1 --endMP 204:160 --enddatetime 2017-04-06T16:36:37 --enforcementcount 0 &gt;&gt;C:\Users\stu\Documents\GitHub\eaglep3-reporting\EC\2017-04-06-refined-times.txt</v>
      </c>
      <c r="AI103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{"issue":{"subject":"","project_id":79,"tracker_id":40,"status_id":1,"priority_id":2,"assigned_to_id":23,"start_date":"2017-04-06","description":"","custom_fields":[{"id":1,"name":"Subdivision","value":"EC"},{"id":4,"name":"Milepost","value":"0.016"},{"id":17,"name":"Train ID","value":"192-06"},{"id":16,"name":"Locomotive ID","value":"4041"},{"id":130,"name":"Impact","value":""},{"id":150,"name":"Time of Event (Mountain Time)","value":"16:36:37"},{"id":151,"name":"Denver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3"/>
        <v>start /low /b %USERPROFILE%\Documents\GitHub\eaglep3\Utilities\DownloadLogsFromS3.py --loco 4041 --day 2017-04-06</v>
      </c>
      <c r="AN103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22:36:37"},{"id":29,"name":"Sharepoint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774</v>
      </c>
      <c r="B104" s="7">
        <v>4018</v>
      </c>
      <c r="C104" s="21" t="s">
        <v>216</v>
      </c>
      <c r="D104" s="21" t="s">
        <v>210</v>
      </c>
      <c r="E104" s="13">
        <v>42831.631423611114</v>
      </c>
      <c r="F104" s="13">
        <v>42831.635775462964</v>
      </c>
      <c r="G104" s="7">
        <v>1</v>
      </c>
      <c r="H104" s="21" t="s">
        <v>584</v>
      </c>
      <c r="I104" s="13">
        <v>42831.660370370373</v>
      </c>
      <c r="J104" s="7">
        <v>0</v>
      </c>
      <c r="K104" s="97" t="str">
        <f t="shared" si="30"/>
        <v>4017/4018</v>
      </c>
      <c r="L104" s="21" t="str">
        <f>VLOOKUP(A104,'Trips&amp;Operators'!$C$1:$G$99999,5,FALSE)</f>
        <v>SMITH MICHAEL</v>
      </c>
      <c r="M104" s="6">
        <f t="shared" si="31"/>
        <v>2.4594907408754807E-2</v>
      </c>
      <c r="N104" s="7">
        <f t="shared" si="45"/>
        <v>35.416666668606922</v>
      </c>
      <c r="O104" s="7"/>
      <c r="P104" s="7"/>
      <c r="Q104" s="22"/>
      <c r="R104" s="22"/>
      <c r="S104" s="31">
        <f t="shared" si="46"/>
        <v>1</v>
      </c>
      <c r="T104" s="46" t="str">
        <f t="shared" si="32"/>
        <v>NorthBound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3"/>
        <v>https://d0f6bd738d7f1b3e5a7ca70fe4ff75f0.us-east-1.aws.found.io/app/kibana#/discover/Steve-Slow-Train-Analysis-(2080s-and-2083s)?_g=(refreshInterval:(display:Off,pause:!f,section:0,value:0),time:(from:'2017-04-06T14:09:15-0600',mode:absolute,to:'2017-04-06T16:50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4" s="183" t="str">
        <f t="shared" si="34"/>
        <v>N</v>
      </c>
      <c r="X104" s="183">
        <f t="shared" si="29"/>
        <v>1</v>
      </c>
      <c r="Y104" s="62">
        <f t="shared" si="35"/>
        <v>4.53E-2</v>
      </c>
      <c r="Z104" s="62">
        <f t="shared" si="47"/>
        <v>23.3291</v>
      </c>
      <c r="AA104" s="62">
        <f t="shared" si="36"/>
        <v>23.283799999999999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7"/>
        <v>0193-06</v>
      </c>
      <c r="AE104" s="85" t="str">
        <f t="shared" si="38"/>
        <v>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 &amp; aws s3 cp s3://rtdc.mdm.uploadarchive.raw/RTDC4018/ "%USERPROFILE%\AppData\Local\Temp\OnboardLogs"\RTDC4018\2017-04-07 --exclude "*" --recursive --include "*20170407*" &amp; "%USERPROFILE%\Documents\GitHub\mrs-test-scripts\Headless Mode &amp; Sideloading\WalkAndUnGZ.bat" "%USERPROFILE%\AppData\Local\Temp\OnboardLogs"\RTDC4018\2017-04-07</v>
      </c>
      <c r="AF104" s="82" t="str">
        <f t="shared" si="39"/>
        <v>"C:\Program Files (x86)\AstroGrep\AstroGrep.exe" /e /r /s /spath="%USERPROFILE%\AppData\Local\Temp\OnboardLogs" /stypes="app*4018*20170406*" /stext=" 21:.+((SYSTEM_STATE.+slice.+state.+changed )|(ment ac)|(multiple cpu faults)|(system.+state.+changed )|(\[timeout)|(PRM\|1\|D)|(kpr)|(kdp)|(\|lc)|(penalty))"</v>
      </c>
      <c r="AG104" s="1" t="str">
        <f t="shared" si="40"/>
        <v>EC</v>
      </c>
      <c r="AH104" s="86" t="str">
        <f t="shared" si="41"/>
        <v>"%USERPROFILE%\Documents\GitHub\eaglep3\Utilities\RefineRTDCRunTimes.py" --tripid 193-06 --locoid 4018 --swversion DE.1.0.9.0 --startMP 204:453 --initTime 2017-04-06T15:09:15 --startdatetime 2017-04-06T15:15:31 --delay 1 --endMP 204:233291 --enddatetime 2017-04-06T15:50:56 --enforcementcount 0 &gt;&gt;C:\Users\stu\Documents\GitHub\eaglep3-reporting\EC\2017-04-06-refined-times.txt</v>
      </c>
      <c r="AI104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{"issue":{"subject":"","project_id":79,"tracker_id":40,"status_id":1,"priority_id":2,"assigned_to_id":23,"start_date":"2017-04-06","description":"","custom_fields":[{"id":1,"name":"Subdivision","value":"EC"},{"id":4,"name":"Milepost","value":"23.3291"},{"id":17,"name":"Train ID","value":"193-06"},{"id":16,"name":"Locomotive ID","value":"4018"},{"id":130,"name":"Impact","value":""},{"id":150,"name":"Time of Event (Mountain Time)","value":"15:50:56"},{"id":151,"name":"Denver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3"/>
        <v>start /low /b %USERPROFILE%\Documents\GitHub\eaglep3\Utilities\DownloadLogsFromS3.py --loco 4018 --day 2017-04-06</v>
      </c>
      <c r="AN104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21:50:56"},{"id":29,"name":"Sharepoint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781</v>
      </c>
      <c r="B105" s="7">
        <v>4017</v>
      </c>
      <c r="C105" s="21" t="s">
        <v>216</v>
      </c>
      <c r="D105" s="21" t="s">
        <v>580</v>
      </c>
      <c r="E105" s="13">
        <v>42831.66207175926</v>
      </c>
      <c r="F105" s="13">
        <v>42831.674583333333</v>
      </c>
      <c r="G105" s="7">
        <v>1</v>
      </c>
      <c r="H105" s="21" t="s">
        <v>213</v>
      </c>
      <c r="I105" s="13">
        <v>42831.701793981483</v>
      </c>
      <c r="J105" s="7">
        <v>0</v>
      </c>
      <c r="K105" s="97" t="str">
        <f t="shared" si="30"/>
        <v>4017/4018</v>
      </c>
      <c r="L105" s="21" t="str">
        <f>VLOOKUP(A105,'Trips&amp;Operators'!$C$1:$G$99999,5,FALSE)</f>
        <v>SMITH MICHAEL</v>
      </c>
      <c r="M105" s="6">
        <f t="shared" si="31"/>
        <v>2.7210648149775807E-2</v>
      </c>
      <c r="N105" s="7">
        <f t="shared" si="45"/>
        <v>39.183333335677162</v>
      </c>
      <c r="O105" s="7"/>
      <c r="P105" s="7"/>
      <c r="Q105" s="22"/>
      <c r="R105" s="22"/>
      <c r="S105" s="31">
        <f t="shared" si="46"/>
        <v>1</v>
      </c>
      <c r="T105" s="46" t="str">
        <f t="shared" si="32"/>
        <v>Southbound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3"/>
        <v>https://d0f6bd738d7f1b3e5a7ca70fe4ff75f0.us-east-1.aws.found.io/app/kibana#/discover/Steve-Slow-Train-Analysis-(2080s-and-2083s)?_g=(refreshInterval:(display:Off,pause:!f,section:0,value:0),time:(from:'2017-04-06T14:53:23-0600',mode:absolute,to:'2017-04-06T17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5" s="183" t="str">
        <f t="shared" si="34"/>
        <v>N</v>
      </c>
      <c r="X105" s="183">
        <f t="shared" ref="X105:X136" si="48">VALUE(LEFT(AD105,4))-VALUE(LEFT(AD104,4))</f>
        <v>1</v>
      </c>
      <c r="Y105" s="62">
        <f t="shared" si="35"/>
        <v>23.298300000000001</v>
      </c>
      <c r="Z105" s="62">
        <f t="shared" si="47"/>
        <v>1.47E-2</v>
      </c>
      <c r="AA105" s="62">
        <f t="shared" si="36"/>
        <v>23.2836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7"/>
        <v>0194-06</v>
      </c>
      <c r="AE105" s="85" t="str">
        <f t="shared" si="38"/>
        <v>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 &amp; aws s3 cp s3://rtdc.mdm.uploadarchive.raw/RTDC4017/ "%USERPROFILE%\AppData\Local\Temp\OnboardLogs"\RTDC4017\2017-04-07 --exclude "*" --recursive --include "*20170407*" &amp; "%USERPROFILE%\Documents\GitHub\mrs-test-scripts\Headless Mode &amp; Sideloading\WalkAndUnGZ.bat" "%USERPROFILE%\AppData\Local\Temp\OnboardLogs"\RTDC4017\2017-04-07</v>
      </c>
      <c r="AF105" s="82" t="str">
        <f t="shared" si="39"/>
        <v>"C:\Program Files (x86)\AstroGrep\AstroGrep.exe" /e /r /s /spath="%USERPROFILE%\AppData\Local\Temp\OnboardLogs" /stypes="app*4017*20170406*" /stext=" 22:.+((SYSTEM_STATE.+slice.+state.+changed )|(ment ac)|(multiple cpu faults)|(system.+state.+changed )|(\[timeout)|(PRM\|1\|D)|(kpr)|(kdp)|(\|lc)|(penalty))"</v>
      </c>
      <c r="AG105" s="1" t="str">
        <f t="shared" si="40"/>
        <v>EC</v>
      </c>
      <c r="AH105" s="86" t="str">
        <f t="shared" si="41"/>
        <v>"%USERPROFILE%\Documents\GitHub\eaglep3\Utilities\RefineRTDCRunTimes.py" --tripid 194-06 --locoid 4017 --swversion DE.1.0.9.0 --startMP 204:232983 --initTime 2017-04-06T15:53:23 --startdatetime 2017-04-06T16:11:24 --delay 1 --endMP 204:147 --enddatetime 2017-04-06T16:50:35 --enforcementcount 0 &gt;&gt;C:\Users\stu\Documents\GitHub\eaglep3-reporting\EC\2017-04-06-refined-times.txt</v>
      </c>
      <c r="AI105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{"issue":{"subject":"","project_id":79,"tracker_id":40,"status_id":1,"priority_id":2,"assigned_to_id":23,"start_date":"2017-04-06","description":"","custom_fields":[{"id":1,"name":"Subdivision","value":"EC"},{"id":4,"name":"Milepost","value":"0.0147"},{"id":17,"name":"Train ID","value":"194-06"},{"id":16,"name":"Locomotive ID","value":"4017"},{"id":130,"name":"Impact","value":""},{"id":150,"name":"Time of Event (Mountain Time)","value":"16:50:35"},{"id":151,"name":"Denver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3"/>
        <v>start /low /b %USERPROFILE%\Documents\GitHub\eaglep3\Utilities\DownloadLogsFromS3.py --loco 4017 --day 2017-04-06</v>
      </c>
      <c r="AN105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22:50:35"},{"id":29,"name":"Sharepoint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643</v>
      </c>
      <c r="B106" s="7">
        <v>4004</v>
      </c>
      <c r="C106" s="21" t="s">
        <v>216</v>
      </c>
      <c r="D106" s="21" t="s">
        <v>210</v>
      </c>
      <c r="E106" s="13">
        <v>42831.642870370371</v>
      </c>
      <c r="F106" s="13">
        <v>42831.645995370367</v>
      </c>
      <c r="G106" s="7">
        <v>1</v>
      </c>
      <c r="H106" s="21" t="s">
        <v>900</v>
      </c>
      <c r="I106" s="13">
        <v>42831.670578703706</v>
      </c>
      <c r="J106" s="7">
        <v>0</v>
      </c>
      <c r="K106" s="97" t="str">
        <f t="shared" si="30"/>
        <v>4003/4004</v>
      </c>
      <c r="L106" s="21" t="str">
        <f>VLOOKUP(A106,'Trips&amp;Operators'!$C$1:$G$99999,5,FALSE)</f>
        <v>DELGADO DIANAH</v>
      </c>
      <c r="M106" s="6">
        <f t="shared" si="31"/>
        <v>2.4583333339251112E-2</v>
      </c>
      <c r="N106" s="7">
        <f t="shared" si="45"/>
        <v>35.400000008521602</v>
      </c>
      <c r="O106" s="7"/>
      <c r="P106" s="7"/>
      <c r="Q106" s="22"/>
      <c r="R106" s="22"/>
      <c r="S106" s="31">
        <f t="shared" si="46"/>
        <v>1</v>
      </c>
      <c r="T106" s="46" t="str">
        <f t="shared" si="32"/>
        <v>NorthBound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3"/>
        <v>https://d0f6bd738d7f1b3e5a7ca70fe4ff75f0.us-east-1.aws.found.io/app/kibana#/discover/Steve-Slow-Train-Analysis-(2080s-and-2083s)?_g=(refreshInterval:(display:Off,pause:!f,section:0,value:0),time:(from:'2017-04-06T14:25:44-0600',mode:absolute,to:'2017-04-06T17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6" s="183" t="str">
        <f t="shared" si="34"/>
        <v>N</v>
      </c>
      <c r="X106" s="183">
        <f t="shared" si="48"/>
        <v>1</v>
      </c>
      <c r="Y106" s="62">
        <f t="shared" si="35"/>
        <v>4.53E-2</v>
      </c>
      <c r="Z106" s="62">
        <f t="shared" si="47"/>
        <v>23.334099999999999</v>
      </c>
      <c r="AA106" s="62">
        <f t="shared" si="36"/>
        <v>23.288799999999998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7"/>
        <v>0195-06</v>
      </c>
      <c r="AE106" s="85" t="str">
        <f t="shared" si="38"/>
        <v>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 &amp; aws s3 cp s3://rtdc.mdm.uploadarchive.raw/RTDC4004/ "%USERPROFILE%\AppData\Local\Temp\OnboardLogs"\RTDC4004\2017-04-07 --exclude "*" --recursive --include "*20170407*" &amp; "%USERPROFILE%\Documents\GitHub\mrs-test-scripts\Headless Mode &amp; Sideloading\WalkAndUnGZ.bat" "%USERPROFILE%\AppData\Local\Temp\OnboardLogs"\RTDC4004\2017-04-07</v>
      </c>
      <c r="AF106" s="82" t="str">
        <f t="shared" si="39"/>
        <v>"C:\Program Files (x86)\AstroGrep\AstroGrep.exe" /e /r /s /spath="%USERPROFILE%\AppData\Local\Temp\OnboardLogs" /stypes="app*4004*20170406*" /stext=" 22:.+((SYSTEM_STATE.+slice.+state.+changed )|(ment ac)|(multiple cpu faults)|(system.+state.+changed )|(\[timeout)|(PRM\|1\|D)|(kpr)|(kdp)|(\|lc)|(penalty))"</v>
      </c>
      <c r="AG106" s="1" t="str">
        <f t="shared" si="40"/>
        <v>EC</v>
      </c>
      <c r="AH106" s="86" t="str">
        <f t="shared" si="41"/>
        <v>"%USERPROFILE%\Documents\GitHub\eaglep3\Utilities\RefineRTDCRunTimes.py" --tripid 195-06 --locoid 4004 --swversion DE.1.0.9.0 --startMP 204:453 --initTime 2017-04-06T15:25:44 --startdatetime 2017-04-06T15:30:14 --delay 1 --endMP 204:233341 --enddatetime 2017-04-06T16:05:38 --enforcementcount 0 &gt;&gt;C:\Users\stu\Documents\GitHub\eaglep3-reporting\EC\2017-04-06-refined-times.txt</v>
      </c>
      <c r="AI106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{"issue":{"subject":"","project_id":79,"tracker_id":40,"status_id":1,"priority_id":2,"assigned_to_id":23,"start_date":"2017-04-06","description":"","custom_fields":[{"id":1,"name":"Subdivision","value":"EC"},{"id":4,"name":"Milepost","value":"23.3341"},{"id":17,"name":"Train ID","value":"195-06"},{"id":16,"name":"Locomotive ID","value":"4004"},{"id":130,"name":"Impact","value":""},{"id":150,"name":"Time of Event (Mountain Time)","value":"16:05:38"},{"id":151,"name":"Denver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3"/>
        <v>start /low /b %USERPROFILE%\Documents\GitHub\eaglep3\Utilities\DownloadLogsFromS3.py --loco 4004 --day 2017-04-06</v>
      </c>
      <c r="AN106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22:05:38"},{"id":29,"name":"Sharepoint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785</v>
      </c>
      <c r="B107" s="7">
        <v>4003</v>
      </c>
      <c r="C107" s="21" t="s">
        <v>216</v>
      </c>
      <c r="D107" s="21" t="s">
        <v>901</v>
      </c>
      <c r="E107" s="13">
        <v>42831.679108796299</v>
      </c>
      <c r="F107" s="13">
        <v>42831.684872685182</v>
      </c>
      <c r="G107" s="7">
        <v>2</v>
      </c>
      <c r="H107" s="21" t="s">
        <v>583</v>
      </c>
      <c r="I107" s="13">
        <v>42831.711064814815</v>
      </c>
      <c r="J107" s="7">
        <v>0</v>
      </c>
      <c r="K107" s="97" t="str">
        <f t="shared" si="30"/>
        <v>4003/4004</v>
      </c>
      <c r="L107" s="21" t="str">
        <f>VLOOKUP(A107,'Trips&amp;Operators'!$C$1:$G$99999,5,FALSE)</f>
        <v>DELGADO DIANAH</v>
      </c>
      <c r="M107" s="6">
        <f t="shared" si="31"/>
        <v>2.6192129633272998E-2</v>
      </c>
      <c r="N107" s="7">
        <f t="shared" si="45"/>
        <v>37.716666671913117</v>
      </c>
      <c r="O107" s="7"/>
      <c r="P107" s="7"/>
      <c r="Q107" s="22"/>
      <c r="R107" s="22"/>
      <c r="S107" s="31">
        <f t="shared" si="46"/>
        <v>1</v>
      </c>
      <c r="T107" s="46" t="str">
        <f t="shared" si="32"/>
        <v>Southbound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3"/>
        <v>https://d0f6bd738d7f1b3e5a7ca70fe4ff75f0.us-east-1.aws.found.io/app/kibana#/discover/Steve-Slow-Train-Analysis-(2080s-and-2083s)?_g=(refreshInterval:(display:Off,pause:!f,section:0,value:0),time:(from:'2017-04-06T15:17:55-0600',mode:absolute,to:'2017-04-06T18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7" s="183" t="str">
        <f t="shared" si="34"/>
        <v>N</v>
      </c>
      <c r="X107" s="183">
        <f t="shared" si="48"/>
        <v>1</v>
      </c>
      <c r="Y107" s="62">
        <f t="shared" si="35"/>
        <v>23.307099999999998</v>
      </c>
      <c r="Z107" s="62">
        <f t="shared" si="47"/>
        <v>1.3599999999999999E-2</v>
      </c>
      <c r="AA107" s="62">
        <f t="shared" si="36"/>
        <v>23.293499999999998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7"/>
        <v>0196-06</v>
      </c>
      <c r="AE107" s="85" t="str">
        <f t="shared" si="38"/>
        <v>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 &amp; aws s3 cp s3://rtdc.mdm.uploadarchive.raw/RTDC4003/ "%USERPROFILE%\AppData\Local\Temp\OnboardLogs"\RTDC4003\2017-04-07 --exclude "*" --recursive --include "*20170407*" &amp; "%USERPROFILE%\Documents\GitHub\mrs-test-scripts\Headless Mode &amp; Sideloading\WalkAndUnGZ.bat" "%USERPROFILE%\AppData\Local\Temp\OnboardLogs"\RTDC4003\2017-04-07</v>
      </c>
      <c r="AF107" s="82" t="str">
        <f t="shared" si="39"/>
        <v>"C:\Program Files (x86)\AstroGrep\AstroGrep.exe" /e /r /s /spath="%USERPROFILE%\AppData\Local\Temp\OnboardLogs" /stypes="app*4003*20170406*" /stext=" 23:.+((SYSTEM_STATE.+slice.+state.+changed )|(ment ac)|(multiple cpu faults)|(system.+state.+changed )|(\[timeout)|(PRM\|1\|D)|(kpr)|(kdp)|(\|lc)|(penalty))"</v>
      </c>
      <c r="AG107" s="1" t="str">
        <f t="shared" si="40"/>
        <v>EC</v>
      </c>
      <c r="AH107" s="86" t="str">
        <f t="shared" si="41"/>
        <v>"%USERPROFILE%\Documents\GitHub\eaglep3\Utilities\RefineRTDCRunTimes.py" --tripid 196-06 --locoid 4003 --swversion DE.1.0.9.0 --startMP 204:233071 --initTime 2017-04-06T16:17:55 --startdatetime 2017-04-06T16:26:13 --delay 2 --endMP 204:136 --enddatetime 2017-04-06T17:03:56 --enforcementcount 0 &gt;&gt;C:\Users\stu\Documents\GitHub\eaglep3-reporting\EC\2017-04-06-refined-times.txt</v>
      </c>
      <c r="AI107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{"issue":{"subject":"","project_id":79,"tracker_id":40,"status_id":1,"priority_id":2,"assigned_to_id":23,"start_date":"2017-04-06","description":"","custom_fields":[{"id":1,"name":"Subdivision","value":"EC"},{"id":4,"name":"Milepost","value":"0.0136"},{"id":17,"name":"Train ID","value":"196-06"},{"id":16,"name":"Locomotive ID","value":"4003"},{"id":130,"name":"Impact","value":""},{"id":150,"name":"Time of Event (Mountain Time)","value":"17:03:56"},{"id":151,"name":"Denver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3"/>
        <v>start /low /b %USERPROFILE%\Documents\GitHub\eaglep3\Utilities\DownloadLogsFromS3.py --loco 4003 --day 2017-04-06</v>
      </c>
      <c r="AN107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23:03:56"},{"id":29,"name":"Sharepoint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780</v>
      </c>
      <c r="B108" s="7">
        <v>4016</v>
      </c>
      <c r="C108" s="21" t="s">
        <v>216</v>
      </c>
      <c r="D108" s="21" t="s">
        <v>586</v>
      </c>
      <c r="E108" s="13">
        <v>42831.65519675926</v>
      </c>
      <c r="F108" s="13">
        <v>42831.656678240739</v>
      </c>
      <c r="G108" s="7">
        <v>1</v>
      </c>
      <c r="H108" s="21" t="s">
        <v>872</v>
      </c>
      <c r="I108" s="13">
        <v>42831.681990740741</v>
      </c>
      <c r="J108" s="7">
        <v>0</v>
      </c>
      <c r="K108" s="97" t="str">
        <f t="shared" si="30"/>
        <v>4015/4016</v>
      </c>
      <c r="L108" s="21" t="str">
        <f>VLOOKUP(A108,'Trips&amp;Operators'!$C$1:$G$99999,5,FALSE)</f>
        <v>WILLIAMS DONTE</v>
      </c>
      <c r="M108" s="6">
        <f t="shared" si="31"/>
        <v>2.531250000174623E-2</v>
      </c>
      <c r="N108" s="7">
        <f t="shared" si="45"/>
        <v>36.450000002514571</v>
      </c>
      <c r="O108" s="7"/>
      <c r="P108" s="7"/>
      <c r="Q108" s="22"/>
      <c r="R108" s="22"/>
      <c r="S108" s="31">
        <f t="shared" si="46"/>
        <v>1</v>
      </c>
      <c r="T108" s="46" t="str">
        <f t="shared" si="32"/>
        <v>NorthBound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3"/>
        <v>https://d0f6bd738d7f1b3e5a7ca70fe4ff75f0.us-east-1.aws.found.io/app/kibana#/discover/Steve-Slow-Train-Analysis-(2080s-and-2083s)?_g=(refreshInterval:(display:Off,pause:!f,section:0,value:0),time:(from:'2017-04-06T14:43:29-0600',mode:absolute,to:'2017-04-06T17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8" s="183" t="str">
        <f t="shared" si="34"/>
        <v>N</v>
      </c>
      <c r="X108" s="183">
        <f t="shared" si="48"/>
        <v>1</v>
      </c>
      <c r="Y108" s="62">
        <f t="shared" si="35"/>
        <v>4.2599999999999999E-2</v>
      </c>
      <c r="Z108" s="62">
        <f t="shared" si="47"/>
        <v>23.3293</v>
      </c>
      <c r="AA108" s="62">
        <f t="shared" si="36"/>
        <v>23.2867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7"/>
        <v>0197-06</v>
      </c>
      <c r="AE108" s="85" t="str">
        <f t="shared" si="38"/>
        <v>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 &amp; 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</v>
      </c>
      <c r="AF108" s="82" t="str">
        <f t="shared" si="39"/>
        <v>"C:\Program Files (x86)\AstroGrep\AstroGrep.exe" /e /r /s /spath="%USERPROFILE%\AppData\Local\Temp\OnboardLogs" /stypes="app*4016*20170406*" /stext=" 22:.+((SYSTEM_STATE.+slice.+state.+changed )|(ment ac)|(multiple cpu faults)|(system.+state.+changed )|(\[timeout)|(PRM\|1\|D)|(kpr)|(kdp)|(\|lc)|(penalty))"</v>
      </c>
      <c r="AG108" s="1" t="str">
        <f t="shared" si="40"/>
        <v>EC</v>
      </c>
      <c r="AH108" s="86" t="str">
        <f t="shared" si="41"/>
        <v>"%USERPROFILE%\Documents\GitHub\eaglep3\Utilities\RefineRTDCRunTimes.py" --tripid 197-06 --locoid 4016 --swversion DE.1.0.9.0 --startMP 204:426 --initTime 2017-04-06T15:43:29 --startdatetime 2017-04-06T15:45:37 --delay 1 --endMP 204:233293 --enddatetime 2017-04-06T16:22:04 --enforcementcount 0 &gt;&gt;C:\Users\stu\Documents\GitHub\eaglep3-reporting\EC\2017-04-06-refined-times.txt</v>
      </c>
      <c r="AI108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{"issue":{"subject":"","project_id":79,"tracker_id":40,"status_id":1,"priority_id":2,"assigned_to_id":23,"start_date":"2017-04-06","description":"","custom_fields":[{"id":1,"name":"Subdivision","value":"EC"},{"id":4,"name":"Milepost","value":"23.3293"},{"id":17,"name":"Train ID","value":"197-06"},{"id":16,"name":"Locomotive ID","value":"4016"},{"id":130,"name":"Impact","value":""},{"id":150,"name":"Time of Event (Mountain Time)","value":"16:22:04"},{"id":151,"name":"Denver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3"/>
        <v>start /low /b %USERPROFILE%\Documents\GitHub\eaglep3\Utilities\DownloadLogsFromS3.py --loco 4016 --day 2017-04-06</v>
      </c>
      <c r="AN108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22:22:04"},{"id":29,"name":"Sharepoint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646</v>
      </c>
      <c r="B109" s="7">
        <v>4015</v>
      </c>
      <c r="C109" s="21" t="s">
        <v>216</v>
      </c>
      <c r="D109" s="21" t="s">
        <v>902</v>
      </c>
      <c r="E109" s="13">
        <v>42831.690439814818</v>
      </c>
      <c r="F109" s="13">
        <v>42831.695717592593</v>
      </c>
      <c r="G109" s="7">
        <v>1</v>
      </c>
      <c r="H109" s="21" t="s">
        <v>204</v>
      </c>
      <c r="I109" s="13">
        <v>42831.723298611112</v>
      </c>
      <c r="J109" s="7">
        <v>0</v>
      </c>
      <c r="K109" s="97" t="str">
        <f t="shared" si="30"/>
        <v>4015/4016</v>
      </c>
      <c r="L109" s="21" t="str">
        <f>VLOOKUP(A109,'Trips&amp;Operators'!$C$1:$G$99999,5,FALSE)</f>
        <v>WILLIAMS DONTE</v>
      </c>
      <c r="M109" s="6">
        <f t="shared" si="31"/>
        <v>2.7581018519413192E-2</v>
      </c>
      <c r="N109" s="7">
        <f t="shared" si="45"/>
        <v>39.716666667954996</v>
      </c>
      <c r="O109" s="7"/>
      <c r="P109" s="7"/>
      <c r="Q109" s="22"/>
      <c r="R109" s="22"/>
      <c r="S109" s="31">
        <f t="shared" si="46"/>
        <v>1</v>
      </c>
      <c r="T109" s="46" t="str">
        <f t="shared" si="32"/>
        <v>Southbound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3"/>
        <v>https://d0f6bd738d7f1b3e5a7ca70fe4ff75f0.us-east-1.aws.found.io/app/kibana#/discover/Steve-Slow-Train-Analysis-(2080s-and-2083s)?_g=(refreshInterval:(display:Off,pause:!f,section:0,value:0),time:(from:'2017-04-06T15:34:14-0600',mode:absolute,to:'2017-04-06T18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9" s="183" t="str">
        <f t="shared" si="34"/>
        <v>N</v>
      </c>
      <c r="X109" s="183">
        <f t="shared" si="48"/>
        <v>1</v>
      </c>
      <c r="Y109" s="62">
        <f t="shared" si="35"/>
        <v>23.2987</v>
      </c>
      <c r="Z109" s="62">
        <f t="shared" si="47"/>
        <v>1.54E-2</v>
      </c>
      <c r="AA109" s="62">
        <f t="shared" si="36"/>
        <v>23.283300000000001</v>
      </c>
      <c r="AB109" s="59" t="str">
        <f>VLOOKUP(A109,Enforcements!$C$7:$K$13,8,0)</f>
        <v>Bulletin (2)</v>
      </c>
      <c r="AC109" s="55" t="str">
        <f>VLOOKUP(A109,Enforcements!$C$7:$E$13,3,0)</f>
        <v>GRADE CROSSING</v>
      </c>
      <c r="AD109" s="56" t="str">
        <f t="shared" si="37"/>
        <v>0198-06</v>
      </c>
      <c r="AE109" s="85" t="str">
        <f t="shared" si="38"/>
        <v>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 &amp; 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</v>
      </c>
      <c r="AF109" s="82" t="str">
        <f t="shared" si="39"/>
        <v>"C:\Program Files (x86)\AstroGrep\AstroGrep.exe" /e /r /s /spath="%USERPROFILE%\AppData\Local\Temp\OnboardLogs" /stypes="app*4015*20170406*" /stext=" 23:.+((SYSTEM_STATE.+slice.+state.+changed )|(ment ac)|(multiple cpu faults)|(system.+state.+changed )|(\[timeout)|(PRM\|1\|D)|(kpr)|(kdp)|(\|lc)|(penalty))"</v>
      </c>
      <c r="AG109" s="1" t="str">
        <f t="shared" si="40"/>
        <v>EC</v>
      </c>
      <c r="AH109" s="86" t="str">
        <f t="shared" si="41"/>
        <v>"%USERPROFILE%\Documents\GitHub\eaglep3\Utilities\RefineRTDCRunTimes.py" --tripid 198-06 --locoid 4015 --swversion DE.1.0.9.0 --startMP 204:232987 --initTime 2017-04-06T16:34:14 --startdatetime 2017-04-06T16:41:50 --delay 1 --endMP 204:154 --enddatetime 2017-04-06T17:21:33 --enforcementcount 0 &gt;&gt;C:\Users\stu\Documents\GitHub\eaglep3-reporting\EC\2017-04-06-refined-times.txt</v>
      </c>
      <c r="AI109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{"issue":{"subject":"","project_id":79,"tracker_id":40,"status_id":1,"priority_id":2,"assigned_to_id":23,"start_date":"2017-04-06","description":"","custom_fields":[{"id":1,"name":"Subdivision","value":"EC"},{"id":4,"name":"Milepost","value":"0.0154"},{"id":17,"name":"Train ID","value":"198-06"},{"id":16,"name":"Locomotive ID","value":"4015"},{"id":130,"name":"Impact","value":""},{"id":150,"name":"Time of Event (Mountain Time)","value":"17:21:33"},{"id":151,"name":"Denver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3"/>
        <v>start /low /b %USERPROFILE%\Documents\GitHub\eaglep3\Utilities\DownloadLogsFromS3.py --loco 4015 --day 2017-04-06</v>
      </c>
      <c r="AN109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23:21:33"},{"id":29,"name":"Sharepoint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782</v>
      </c>
      <c r="B110" s="7">
        <v>4044</v>
      </c>
      <c r="C110" s="21" t="s">
        <v>216</v>
      </c>
      <c r="D110" s="21" t="s">
        <v>882</v>
      </c>
      <c r="E110" s="13">
        <v>42831.663391203707</v>
      </c>
      <c r="F110" s="13">
        <v>42831.666817129626</v>
      </c>
      <c r="G110" s="7">
        <v>1</v>
      </c>
      <c r="H110" s="21" t="s">
        <v>903</v>
      </c>
      <c r="I110" s="13">
        <v>42831.69327546296</v>
      </c>
      <c r="J110" s="7">
        <v>0</v>
      </c>
      <c r="K110" s="97" t="str">
        <f t="shared" si="30"/>
        <v>4043/4044</v>
      </c>
      <c r="L110" s="21" t="str">
        <f>VLOOKUP(A110,'Trips&amp;Operators'!$C$1:$G$99999,5,FALSE)</f>
        <v>STRICKLAND EVAN</v>
      </c>
      <c r="M110" s="6">
        <f t="shared" si="31"/>
        <v>2.6458333333721384E-2</v>
      </c>
      <c r="N110" s="7">
        <f t="shared" si="45"/>
        <v>38.100000000558794</v>
      </c>
      <c r="O110" s="7"/>
      <c r="P110" s="7"/>
      <c r="Q110" s="22"/>
      <c r="R110" s="22"/>
      <c r="S110" s="31">
        <f t="shared" si="46"/>
        <v>1</v>
      </c>
      <c r="T110" s="46" t="str">
        <f t="shared" si="32"/>
        <v>NorthBound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3"/>
        <v>https://d0f6bd738d7f1b3e5a7ca70fe4ff75f0.us-east-1.aws.found.io/app/kibana#/discover/Steve-Slow-Train-Analysis-(2080s-and-2083s)?_g=(refreshInterval:(display:Off,pause:!f,section:0,value:0),time:(from:'2017-04-06T14:55:17-0600',mode:absolute,to:'2017-04-06T17:38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0" s="183" t="str">
        <f t="shared" si="34"/>
        <v>N</v>
      </c>
      <c r="X110" s="183">
        <f t="shared" si="48"/>
        <v>1</v>
      </c>
      <c r="Y110" s="62">
        <f t="shared" si="35"/>
        <v>4.8599999999999997E-2</v>
      </c>
      <c r="Z110" s="62">
        <f t="shared" si="47"/>
        <v>23.331099999999999</v>
      </c>
      <c r="AA110" s="62">
        <f t="shared" si="36"/>
        <v>23.282499999999999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7"/>
        <v>0199-06</v>
      </c>
      <c r="AE110" s="85" t="str">
        <f t="shared" si="38"/>
        <v>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 &amp; 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</v>
      </c>
      <c r="AF110" s="82" t="str">
        <f t="shared" si="39"/>
        <v>"C:\Program Files (x86)\AstroGrep\AstroGrep.exe" /e /r /s /spath="%USERPROFILE%\AppData\Local\Temp\OnboardLogs" /stypes="app*4044*20170406*" /stext=" 22:.+((SYSTEM_STATE.+slice.+state.+changed )|(ment ac)|(multiple cpu faults)|(system.+state.+changed )|(\[timeout)|(PRM\|1\|D)|(kpr)|(kdp)|(\|lc)|(penalty))"</v>
      </c>
      <c r="AG110" s="1" t="str">
        <f t="shared" si="40"/>
        <v>EC</v>
      </c>
      <c r="AH110" s="86" t="str">
        <f t="shared" si="41"/>
        <v>"%USERPROFILE%\Documents\GitHub\eaglep3\Utilities\RefineRTDCRunTimes.py" --tripid 199-06 --locoid 4044 --swversion DE.1.0.9.0 --startMP 204:486 --initTime 2017-04-06T15:55:17 --startdatetime 2017-04-06T16:00:13 --delay 1 --endMP 204:233311 --enddatetime 2017-04-06T16:38:19 --enforcementcount 0 &gt;&gt;C:\Users\stu\Documents\GitHub\eaglep3-reporting\EC\2017-04-06-refined-times.txt</v>
      </c>
      <c r="AI110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{"issue":{"subject":"","project_id":79,"tracker_id":40,"status_id":1,"priority_id":2,"assigned_to_id":23,"start_date":"2017-04-06","description":"","custom_fields":[{"id":1,"name":"Subdivision","value":"EC"},{"id":4,"name":"Milepost","value":"23.3311"},{"id":17,"name":"Train ID","value":"199-06"},{"id":16,"name":"Locomotive ID","value":"4044"},{"id":130,"name":"Impact","value":""},{"id":150,"name":"Time of Event (Mountain Time)","value":"16:38:19"},{"id":151,"name":"Denver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3"/>
        <v>start /low /b %USERPROFILE%\Documents\GitHub\eaglep3\Utilities\DownloadLogsFromS3.py --loco 4044 --day 2017-04-06</v>
      </c>
      <c r="AN110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22:38:19"},{"id":29,"name":"Sharepoint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790</v>
      </c>
      <c r="B111" s="7">
        <v>4043</v>
      </c>
      <c r="C111" s="21" t="s">
        <v>216</v>
      </c>
      <c r="D111" s="21" t="s">
        <v>904</v>
      </c>
      <c r="E111" s="13">
        <v>42831.694884259261</v>
      </c>
      <c r="F111" s="13">
        <v>42831.705763888887</v>
      </c>
      <c r="G111" s="7">
        <v>1</v>
      </c>
      <c r="H111" s="21" t="s">
        <v>470</v>
      </c>
      <c r="I111" s="13">
        <v>42831.734224537038</v>
      </c>
      <c r="J111" s="7">
        <v>0</v>
      </c>
      <c r="K111" s="97" t="str">
        <f t="shared" si="30"/>
        <v>4043/4044</v>
      </c>
      <c r="L111" s="21" t="str">
        <f>VLOOKUP(A111,'Trips&amp;Operators'!$C$1:$G$99999,5,FALSE)</f>
        <v>STRICKLAND EVAN</v>
      </c>
      <c r="M111" s="6">
        <f t="shared" si="31"/>
        <v>2.846064815093996E-2</v>
      </c>
      <c r="N111" s="7">
        <f t="shared" si="45"/>
        <v>40.983333337353542</v>
      </c>
      <c r="O111" s="7"/>
      <c r="P111" s="7"/>
      <c r="Q111" s="22"/>
      <c r="R111" s="22"/>
      <c r="S111" s="31">
        <f t="shared" si="46"/>
        <v>1</v>
      </c>
      <c r="T111" s="46" t="str">
        <f t="shared" si="32"/>
        <v>Southbound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3"/>
        <v>https://d0f6bd738d7f1b3e5a7ca70fe4ff75f0.us-east-1.aws.found.io/app/kibana#/discover/Steve-Slow-Train-Analysis-(2080s-and-2083s)?_g=(refreshInterval:(display:Off,pause:!f,section:0,value:0),time:(from:'2017-04-06T15:40:38-0600',mode:absolute,to:'2017-04-06T18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1" s="183" t="str">
        <f t="shared" si="34"/>
        <v>N</v>
      </c>
      <c r="X111" s="183">
        <f t="shared" si="48"/>
        <v>1</v>
      </c>
      <c r="Y111" s="62">
        <f t="shared" si="35"/>
        <v>23.300899999999999</v>
      </c>
      <c r="Z111" s="62">
        <f t="shared" si="47"/>
        <v>1.6500000000000001E-2</v>
      </c>
      <c r="AA111" s="62">
        <f t="shared" si="36"/>
        <v>23.284399999999998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7"/>
        <v>0200-06</v>
      </c>
      <c r="AE111" s="85" t="str">
        <f t="shared" si="38"/>
        <v>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 &amp; aws s3 cp s3://rtdc.mdm.uploadarchive.raw/RTDC4043/ "%USERPROFILE%\AppData\Local\Temp\OnboardLogs"\RTDC4043\2017-04-07 --exclude "*" --recursive --include "*20170407*" &amp; "%USERPROFILE%\Documents\GitHub\mrs-test-scripts\Headless Mode &amp; Sideloading\WalkAndUnGZ.bat" "%USERPROFILE%\AppData\Local\Temp\OnboardLogs"\RTDC4043\2017-04-07</v>
      </c>
      <c r="AF111" s="82" t="str">
        <f t="shared" si="39"/>
        <v>"C:\Program Files (x86)\AstroGrep\AstroGrep.exe" /e /r /s /spath="%USERPROFILE%\AppData\Local\Temp\OnboardLogs" /stypes="app*4043*20170406*" /stext=" 23:.+((SYSTEM_STATE.+slice.+state.+changed )|(ment ac)|(multiple cpu faults)|(system.+state.+changed )|(\[timeout)|(PRM\|1\|D)|(kpr)|(kdp)|(\|lc)|(penalty))"</v>
      </c>
      <c r="AG111" s="1" t="str">
        <f t="shared" si="40"/>
        <v>EC</v>
      </c>
      <c r="AH111" s="86" t="str">
        <f t="shared" si="41"/>
        <v>"%USERPROFILE%\Documents\GitHub\eaglep3\Utilities\RefineRTDCRunTimes.py" --tripid 200-06 --locoid 4043 --swversion DE.1.0.9.0 --startMP 204:233009 --initTime 2017-04-06T16:40:38 --startdatetime 2017-04-06T16:56:18 --delay 1 --endMP 204:165 --enddatetime 2017-04-06T17:37:17 --enforcementcount 0 &gt;&gt;C:\Users\stu\Documents\GitHub\eaglep3-reporting\EC\2017-04-06-refined-times.txt</v>
      </c>
      <c r="AI111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{"issue":{"subject":"","project_id":79,"tracker_id":40,"status_id":1,"priority_id":2,"assigned_to_id":23,"start_date":"2017-04-06","description":"","custom_fields":[{"id":1,"name":"Subdivision","value":"EC"},{"id":4,"name":"Milepost","value":"0.0165"},{"id":17,"name":"Train ID","value":"200-06"},{"id":16,"name":"Locomotive ID","value":"4043"},{"id":130,"name":"Impact","value":""},{"id":150,"name":"Time of Event (Mountain Time)","value":"17:37:17"},{"id":151,"name":"Denver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20"/>
      <c r="AK111" s="48"/>
      <c r="AL111" s="48"/>
      <c r="AM111" s="150" t="str">
        <f t="shared" si="43"/>
        <v>start /low /b %USERPROFILE%\Documents\GitHub\eaglep3\Utilities\DownloadLogsFromS3.py --loco 4043 --day 2017-04-06</v>
      </c>
      <c r="AN111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23:37:17"},{"id":29,"name":"Sharepoint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3" t="s">
        <v>783</v>
      </c>
      <c r="B112" s="7">
        <v>4010</v>
      </c>
      <c r="C112" s="21" t="s">
        <v>216</v>
      </c>
      <c r="D112" s="21" t="s">
        <v>905</v>
      </c>
      <c r="E112" s="13">
        <v>42831.67291666667</v>
      </c>
      <c r="F112" s="13">
        <v>42831.677245370367</v>
      </c>
      <c r="G112" s="7">
        <v>1</v>
      </c>
      <c r="H112" s="21" t="s">
        <v>436</v>
      </c>
      <c r="I112" s="13">
        <v>42831.703217592592</v>
      </c>
      <c r="J112" s="7">
        <v>0</v>
      </c>
      <c r="K112" s="97" t="str">
        <f t="shared" si="30"/>
        <v>4009/4010</v>
      </c>
      <c r="L112" s="21" t="str">
        <f>VLOOKUP(A112,'Trips&amp;Operators'!$C$1:$G$99999,5,FALSE)</f>
        <v>CLARK KATHLEEN</v>
      </c>
      <c r="M112" s="6">
        <f t="shared" si="31"/>
        <v>2.5972222225391306E-2</v>
      </c>
      <c r="N112" s="7">
        <f t="shared" si="45"/>
        <v>37.400000004563481</v>
      </c>
      <c r="O112" s="7"/>
      <c r="P112" s="7"/>
      <c r="Q112" s="22"/>
      <c r="R112" s="22"/>
      <c r="S112" s="31">
        <f t="shared" si="46"/>
        <v>1</v>
      </c>
      <c r="T112" s="46" t="str">
        <f t="shared" si="32"/>
        <v>NorthBound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3"/>
        <v>https://d0f6bd738d7f1b3e5a7ca70fe4ff75f0.us-east-1.aws.found.io/app/kibana#/discover/Steve-Slow-Train-Analysis-(2080s-and-2083s)?_g=(refreshInterval:(display:Off,pause:!f,section:0,value:0),time:(from:'2017-04-06T15:09:00-0600',mode:absolute,to:'2017-04-06T17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2" s="183" t="str">
        <f t="shared" si="34"/>
        <v>N</v>
      </c>
      <c r="X112" s="183">
        <f t="shared" si="48"/>
        <v>1</v>
      </c>
      <c r="Y112" s="62">
        <f t="shared" si="35"/>
        <v>4.9299999999999997E-2</v>
      </c>
      <c r="Z112" s="62">
        <f t="shared" si="47"/>
        <v>23.329699999999999</v>
      </c>
      <c r="AA112" s="62">
        <f t="shared" si="36"/>
        <v>23.2804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7"/>
        <v>0201-06</v>
      </c>
      <c r="AE112" s="85" t="str">
        <f t="shared" si="38"/>
        <v>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 &amp; 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</v>
      </c>
      <c r="AF112" s="82" t="str">
        <f t="shared" si="39"/>
        <v>"C:\Program Files (x86)\AstroGrep\AstroGrep.exe" /e /r /s /spath="%USERPROFILE%\AppData\Local\Temp\OnboardLogs" /stypes="app*4010*20170406*" /stext=" 22:.+((SYSTEM_STATE.+slice.+state.+changed )|(ment ac)|(multiple cpu faults)|(system.+state.+changed )|(\[timeout)|(PRM\|1\|D)|(kpr)|(kdp)|(\|lc)|(penalty))"</v>
      </c>
      <c r="AG112" s="1" t="str">
        <f t="shared" si="40"/>
        <v>EC</v>
      </c>
      <c r="AH112" s="86" t="str">
        <f t="shared" si="41"/>
        <v>"%USERPROFILE%\Documents\GitHub\eaglep3\Utilities\RefineRTDCRunTimes.py" --tripid 201-06 --locoid 4010 --swversion DE.1.0.9.0 --startMP 204:493 --initTime 2017-04-06T16:09:00 --startdatetime 2017-04-06T16:15:14 --delay 1 --endMP 204:233297 --enddatetime 2017-04-06T16:52:38 --enforcementcount 0 &gt;&gt;C:\Users\stu\Documents\GitHub\eaglep3-reporting\EC\2017-04-06-refined-times.txt</v>
      </c>
      <c r="AI112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{"issue":{"subject":"","project_id":79,"tracker_id":40,"status_id":1,"priority_id":2,"assigned_to_id":23,"start_date":"2017-04-06","description":"","custom_fields":[{"id":1,"name":"Subdivision","value":"EC"},{"id":4,"name":"Milepost","value":"23.3297"},{"id":17,"name":"Train ID","value":"201-06"},{"id":16,"name":"Locomotive ID","value":"4010"},{"id":130,"name":"Impact","value":""},{"id":150,"name":"Time of Event (Mountain Time)","value":"16:52:38"},{"id":151,"name":"Denver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3"/>
        <v>start /low /b %USERPROFILE%\Documents\GitHub\eaglep3\Utilities\DownloadLogsFromS3.py --loco 4010 --day 2017-04-06</v>
      </c>
      <c r="AN112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22:52:38"},{"id":29,"name":"Sharepoint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792</v>
      </c>
      <c r="B113" s="7">
        <v>4009</v>
      </c>
      <c r="C113" s="21" t="s">
        <v>216</v>
      </c>
      <c r="D113" s="21" t="s">
        <v>471</v>
      </c>
      <c r="E113" s="13">
        <v>42831.710127314815</v>
      </c>
      <c r="F113" s="13">
        <v>42831.716284722221</v>
      </c>
      <c r="G113" s="7">
        <v>1</v>
      </c>
      <c r="H113" s="21" t="s">
        <v>439</v>
      </c>
      <c r="I113" s="13">
        <v>42831.74391203704</v>
      </c>
      <c r="J113" s="7">
        <v>0</v>
      </c>
      <c r="K113" s="97" t="str">
        <f t="shared" si="30"/>
        <v>4009/4010</v>
      </c>
      <c r="L113" s="21" t="str">
        <f>VLOOKUP(A113,'Trips&amp;Operators'!$C$1:$G$99999,5,FALSE)</f>
        <v>CLARK KATHLEEN</v>
      </c>
      <c r="M113" s="6">
        <f t="shared" si="31"/>
        <v>2.7627314819255844E-2</v>
      </c>
      <c r="N113" s="7">
        <f t="shared" si="45"/>
        <v>39.783333339728415</v>
      </c>
      <c r="O113" s="7"/>
      <c r="P113" s="7"/>
      <c r="Q113" s="22"/>
      <c r="R113" s="22"/>
      <c r="S113" s="31">
        <f t="shared" si="46"/>
        <v>1</v>
      </c>
      <c r="T113" s="46" t="str">
        <f t="shared" si="32"/>
        <v>Southbound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3"/>
        <v>https://d0f6bd738d7f1b3e5a7ca70fe4ff75f0.us-east-1.aws.found.io/app/kibana#/discover/Steve-Slow-Train-Analysis-(2080s-and-2083s)?_g=(refreshInterval:(display:Off,pause:!f,section:0,value:0),time:(from:'2017-04-06T16:02:35-0600',mode:absolute,to:'2017-04-06T18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3" s="183" t="str">
        <f t="shared" si="34"/>
        <v>N</v>
      </c>
      <c r="X113" s="183">
        <f t="shared" si="48"/>
        <v>1</v>
      </c>
      <c r="Y113" s="62">
        <f t="shared" si="35"/>
        <v>23.296600000000002</v>
      </c>
      <c r="Z113" s="62">
        <f t="shared" si="47"/>
        <v>1.6E-2</v>
      </c>
      <c r="AA113" s="62">
        <f t="shared" si="36"/>
        <v>23.280600000000003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7"/>
        <v>0202-06</v>
      </c>
      <c r="AE113" s="85" t="str">
        <f t="shared" si="38"/>
        <v>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 &amp; 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</v>
      </c>
      <c r="AF113" s="82" t="str">
        <f t="shared" si="39"/>
        <v>"C:\Program Files (x86)\AstroGrep\AstroGrep.exe" /e /r /s /spath="%USERPROFILE%\AppData\Local\Temp\OnboardLogs" /stypes="app*4009*20170406*" /stext=" 23:.+((SYSTEM_STATE.+slice.+state.+changed )|(ment ac)|(multiple cpu faults)|(system.+state.+changed )|(\[timeout)|(PRM\|1\|D)|(kpr)|(kdp)|(\|lc)|(penalty))"</v>
      </c>
      <c r="AG113" s="1" t="str">
        <f t="shared" si="40"/>
        <v>EC</v>
      </c>
      <c r="AH113" s="86" t="str">
        <f t="shared" si="41"/>
        <v>"%USERPROFILE%\Documents\GitHub\eaglep3\Utilities\RefineRTDCRunTimes.py" --tripid 202-06 --locoid 4009 --swversion DE.1.0.9.0 --startMP 204:232966 --initTime 2017-04-06T17:02:35 --startdatetime 2017-04-06T17:11:27 --delay 1 --endMP 204:160 --enddatetime 2017-04-06T17:51:14 --enforcementcount 0 &gt;&gt;C:\Users\stu\Documents\GitHub\eaglep3-reporting\EC\2017-04-06-refined-times.txt</v>
      </c>
      <c r="AI113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{"issue":{"subject":"","project_id":79,"tracker_id":40,"status_id":1,"priority_id":2,"assigned_to_id":23,"start_date":"2017-04-06","description":"","custom_fields":[{"id":1,"name":"Subdivision","value":"EC"},{"id":4,"name":"Milepost","value":"0.016"},{"id":17,"name":"Train ID","value":"202-06"},{"id":16,"name":"Locomotive ID","value":"4009"},{"id":130,"name":"Impact","value":""},{"id":150,"name":"Time of Event (Mountain Time)","value":"17:51:14"},{"id":151,"name":"Denver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43"/>
        <v>start /low /b %USERPROFILE%\Documents\GitHub\eaglep3\Utilities\DownloadLogsFromS3.py --loco 4009 --day 2017-04-06</v>
      </c>
      <c r="AN113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23:51:14"},{"id":29,"name":"Sharepoint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647</v>
      </c>
      <c r="B114" s="7">
        <v>4054</v>
      </c>
      <c r="C114" s="21" t="s">
        <v>216</v>
      </c>
      <c r="D114" s="21" t="s">
        <v>206</v>
      </c>
      <c r="E114" s="13">
        <v>42831.683136574073</v>
      </c>
      <c r="F114" s="13">
        <v>42831.6877662037</v>
      </c>
      <c r="G114" s="7">
        <v>1</v>
      </c>
      <c r="H114" s="21" t="s">
        <v>572</v>
      </c>
      <c r="I114" s="13">
        <v>42831.714236111111</v>
      </c>
      <c r="J114" s="7">
        <v>0</v>
      </c>
      <c r="K114" s="97" t="str">
        <f t="shared" si="30"/>
        <v>4053/4054</v>
      </c>
      <c r="L114" s="21" t="str">
        <f>VLOOKUP(A114,'Trips&amp;Operators'!$C$1:$G$99999,5,FALSE)</f>
        <v>BRANDNER MELINDA</v>
      </c>
      <c r="M114" s="6">
        <f t="shared" si="31"/>
        <v>2.6469907410501037E-2</v>
      </c>
      <c r="N114" s="7">
        <f t="shared" ref="N114:N145" si="49">24*60*SUM($M114:$M114)</f>
        <v>38.116666671121493</v>
      </c>
      <c r="O114" s="7"/>
      <c r="P114" s="7"/>
      <c r="Q114" s="22"/>
      <c r="R114" s="22"/>
      <c r="S114" s="31">
        <f t="shared" si="46"/>
        <v>1</v>
      </c>
      <c r="T114" s="46" t="str">
        <f t="shared" si="32"/>
        <v>NorthBound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3"/>
        <v>https://d0f6bd738d7f1b3e5a7ca70fe4ff75f0.us-east-1.aws.found.io/app/kibana#/discover/Steve-Slow-Train-Analysis-(2080s-and-2083s)?_g=(refreshInterval:(display:Off,pause:!f,section:0,value:0),time:(from:'2017-04-06T15:23:43-0600',mode:absolute,to:'2017-04-06T18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4" s="183" t="str">
        <f t="shared" si="34"/>
        <v>N</v>
      </c>
      <c r="X114" s="183">
        <f t="shared" si="48"/>
        <v>1</v>
      </c>
      <c r="Y114" s="62">
        <f t="shared" si="35"/>
        <v>4.5699999999999998E-2</v>
      </c>
      <c r="Z114" s="62">
        <f t="shared" si="47"/>
        <v>23.328900000000001</v>
      </c>
      <c r="AA114" s="62">
        <f t="shared" si="36"/>
        <v>23.283200000000001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7"/>
        <v>0203-06</v>
      </c>
      <c r="AE114" s="85" t="str">
        <f t="shared" si="38"/>
        <v>aws s3 cp s3://rtdc.mdm.uploadarchive.raw/RTDC4054/ "%USERPROFILE%\AppData\Local\Temp\OnboardLogs"\RTDC4054\2017-04-06 --exclude "*" --recursive --include "*20170406*" &amp; "%USERPROFILE%\Documents\GitHub\mrs-test-scripts\Headless Mode &amp; Sideloading\WalkAndUnGZ.bat" "%USERPROFILE%\AppData\Local\Temp\OnboardLogs"\RTDC4054\2017-04-06 &amp; aws s3 cp s3://rtdc.mdm.uploadarchive.raw/RTDC4054/ "%USERPROFILE%\AppData\Local\Temp\OnboardLogs"\RTDC4054\2017-04-07 --exclude "*" --recursive --include "*20170407*" &amp; "%USERPROFILE%\Documents\GitHub\mrs-test-scripts\Headless Mode &amp; Sideloading\WalkAndUnGZ.bat" "%USERPROFILE%\AppData\Local\Temp\OnboardLogs"\RTDC4054\2017-04-07</v>
      </c>
      <c r="AF114" s="82" t="str">
        <f t="shared" si="39"/>
        <v>"C:\Program Files (x86)\AstroGrep\AstroGrep.exe" /e /r /s /spath="%USERPROFILE%\AppData\Local\Temp\OnboardLogs" /stypes="app*4054*20170406*" /stext=" 23:.+((SYSTEM_STATE.+slice.+state.+changed )|(ment ac)|(multiple cpu faults)|(system.+state.+changed )|(\[timeout)|(PRM\|1\|D)|(kpr)|(kdp)|(\|lc)|(penalty))"</v>
      </c>
      <c r="AG114" s="1" t="str">
        <f t="shared" si="40"/>
        <v>EC</v>
      </c>
      <c r="AH114" s="86" t="str">
        <f t="shared" si="41"/>
        <v>"%USERPROFILE%\Documents\GitHub\eaglep3\Utilities\RefineRTDCRunTimes.py" --tripid 203-06 --locoid 4054 --swversion DE.1.0.9.0 --startMP 204:457 --initTime 2017-04-06T16:23:43 --startdatetime 2017-04-06T16:30:23 --delay 1 --endMP 204:233289 --enddatetime 2017-04-06T17:08:30 --enforcementcount 0 &gt;&gt;C:\Users\stu\Documents\GitHub\eaglep3-reporting\EC\2017-04-06-refined-times.txt</v>
      </c>
      <c r="AI114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{"issue":{"subject":"","project_id":79,"tracker_id":40,"status_id":1,"priority_id":2,"assigned_to_id":23,"start_date":"2017-04-06","description":"","custom_fields":[{"id":1,"name":"Subdivision","value":"EC"},{"id":4,"name":"Milepost","value":"23.3289"},{"id":17,"name":"Train ID","value":"203-06"},{"id":16,"name":"Locomotive ID","value":"4054"},{"id":130,"name":"Impact","value":""},{"id":150,"name":"Time of Event (Mountain Time)","value":"17:08:30"},{"id":151,"name":"Denver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3"/>
        <v>start /low /b %USERPROFILE%\Documents\GitHub\eaglep3\Utilities\DownloadLogsFromS3.py --loco 4054 --day 2017-04-06</v>
      </c>
      <c r="AN114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23:08:30"},{"id":29,"name":"Sharepoint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650</v>
      </c>
      <c r="B115" s="7">
        <v>4053</v>
      </c>
      <c r="C115" s="21" t="s">
        <v>216</v>
      </c>
      <c r="D115" s="21" t="s">
        <v>587</v>
      </c>
      <c r="E115" s="13">
        <v>42831.721539351849</v>
      </c>
      <c r="F115" s="13">
        <v>42831.726805555554</v>
      </c>
      <c r="G115" s="7">
        <v>1</v>
      </c>
      <c r="H115" s="21" t="s">
        <v>437</v>
      </c>
      <c r="I115" s="13">
        <v>42831.753738425927</v>
      </c>
      <c r="J115" s="7">
        <v>0</v>
      </c>
      <c r="K115" s="97" t="str">
        <f t="shared" si="30"/>
        <v>4053/4054</v>
      </c>
      <c r="L115" s="21" t="str">
        <f>VLOOKUP(A115,'Trips&amp;Operators'!$C$1:$G$99999,5,FALSE)</f>
        <v>BRANDNER MELINDA</v>
      </c>
      <c r="M115" s="6">
        <f t="shared" si="31"/>
        <v>2.6932870372547768E-2</v>
      </c>
      <c r="N115" s="7">
        <f t="shared" si="49"/>
        <v>38.783333336468786</v>
      </c>
      <c r="O115" s="7"/>
      <c r="P115" s="7"/>
      <c r="Q115" s="22"/>
      <c r="R115" s="22"/>
      <c r="S115" s="31">
        <f t="shared" si="46"/>
        <v>1</v>
      </c>
      <c r="T115" s="46" t="str">
        <f t="shared" si="32"/>
        <v>Southbound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3"/>
        <v>https://d0f6bd738d7f1b3e5a7ca70fe4ff75f0.us-east-1.aws.found.io/app/kibana#/discover/Steve-Slow-Train-Analysis-(2080s-and-2083s)?_g=(refreshInterval:(display:Off,pause:!f,section:0,value:0),time:(from:'2017-04-06T16:19:01-0600',mode:absolute,to:'2017-04-06T19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5" s="183" t="str">
        <f t="shared" si="34"/>
        <v>N</v>
      </c>
      <c r="X115" s="183">
        <f t="shared" si="48"/>
        <v>1</v>
      </c>
      <c r="Y115" s="62">
        <f t="shared" si="35"/>
        <v>23.296900000000001</v>
      </c>
      <c r="Z115" s="62">
        <f t="shared" si="47"/>
        <v>1.4500000000000001E-2</v>
      </c>
      <c r="AA115" s="62">
        <f t="shared" si="36"/>
        <v>23.282399999999999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7"/>
        <v>0204-06</v>
      </c>
      <c r="AE115" s="85" t="str">
        <f t="shared" si="38"/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AF115" s="82" t="str">
        <f t="shared" si="39"/>
        <v>"C:\Program Files (x86)\AstroGrep\AstroGrep.exe" /e /r /s /spath="%USERPROFILE%\AppData\Local\Temp\OnboardLogs" /stypes="app*4053*20170407*" /stext=" 00:.+((SYSTEM_STATE.+slice.+state.+changed )|(ment ac)|(multiple cpu faults)|(system.+state.+changed )|(\[timeout)|(PRM\|1\|D)|(kpr)|(kdp)|(\|lc)|(penalty))"</v>
      </c>
      <c r="AG115" s="1" t="str">
        <f t="shared" si="40"/>
        <v>EC</v>
      </c>
      <c r="AH115" s="86" t="str">
        <f t="shared" si="41"/>
        <v>"%USERPROFILE%\Documents\GitHub\eaglep3\Utilities\RefineRTDCRunTimes.py" --tripid 204-06 --locoid 4053 --swversion DE.1.0.9.0 --startMP 204:232969 --initTime 2017-04-06T17:19:01 --startdatetime 2017-04-06T17:26:36 --delay 1 --endMP 204:145 --enddatetime 2017-04-06T18:05:23 --enforcementcount 0 &gt;&gt;C:\Users\stu\Documents\GitHub\eaglep3-reporting\EC\2017-04-06-refined-times.txt</v>
      </c>
      <c r="AI115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{"issue":{"subject":"","project_id":79,"tracker_id":40,"status_id":1,"priority_id":2,"assigned_to_id":23,"start_date":"2017-04-06","description":"","custom_fields":[{"id":1,"name":"Subdivision","value":"EC"},{"id":4,"name":"Milepost","value":"0.0145"},{"id":17,"name":"Train ID","value":"204-06"},{"id":16,"name":"Locomotive ID","value":"4053"},{"id":130,"name":"Impact","value":""},{"id":150,"name":"Time of Event (Mountain Time)","value":"18:05:23"},{"id":151,"name":"Denver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3"/>
        <v>start /low /b %USERPROFILE%\Documents\GitHub\eaglep3\Utilities\DownloadLogsFromS3.py --loco 4053 --day 2017-04-06</v>
      </c>
      <c r="AN115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00:05:23"},{"id":29,"name":"Sharepoint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788</v>
      </c>
      <c r="B116" s="7">
        <v>4042</v>
      </c>
      <c r="C116" s="21" t="s">
        <v>216</v>
      </c>
      <c r="D116" s="21" t="s">
        <v>205</v>
      </c>
      <c r="E116" s="13">
        <v>42831.693842592591</v>
      </c>
      <c r="F116" s="13">
        <v>42831.69809027778</v>
      </c>
      <c r="G116" s="7">
        <v>1</v>
      </c>
      <c r="H116" s="21" t="s">
        <v>517</v>
      </c>
      <c r="I116" s="13">
        <v>42831.723738425928</v>
      </c>
      <c r="J116" s="7">
        <v>0</v>
      </c>
      <c r="K116" s="97" t="str">
        <f t="shared" si="30"/>
        <v>4041/4042</v>
      </c>
      <c r="L116" s="21" t="str">
        <f>VLOOKUP(A116,'Trips&amp;Operators'!$C$1:$G$99999,5,FALSE)</f>
        <v>GUZMAN DANNY</v>
      </c>
      <c r="M116" s="6">
        <f t="shared" si="31"/>
        <v>2.5648148148320615E-2</v>
      </c>
      <c r="N116" s="7">
        <f t="shared" si="49"/>
        <v>36.933333333581686</v>
      </c>
      <c r="O116" s="7"/>
      <c r="P116" s="7"/>
      <c r="Q116" s="22"/>
      <c r="R116" s="22"/>
      <c r="S116" s="31">
        <f t="shared" si="46"/>
        <v>1</v>
      </c>
      <c r="T116" s="46" t="str">
        <f t="shared" si="32"/>
        <v>NorthBound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3"/>
        <v>https://d0f6bd738d7f1b3e5a7ca70fe4ff75f0.us-east-1.aws.found.io/app/kibana#/discover/Steve-Slow-Train-Analysis-(2080s-and-2083s)?_g=(refreshInterval:(display:Off,pause:!f,section:0,value:0),time:(from:'2017-04-06T15:39:08-0600',mode:absolute,to:'2017-04-06T18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6" s="183" t="str">
        <f t="shared" si="34"/>
        <v>N</v>
      </c>
      <c r="X116" s="183">
        <f t="shared" si="48"/>
        <v>1</v>
      </c>
      <c r="Y116" s="62">
        <f t="shared" si="35"/>
        <v>4.5100000000000001E-2</v>
      </c>
      <c r="Z116" s="62">
        <f t="shared" si="47"/>
        <v>23.331199999999999</v>
      </c>
      <c r="AA116" s="62">
        <f t="shared" si="36"/>
        <v>23.286099999999998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7"/>
        <v>0205-06</v>
      </c>
      <c r="AE116" s="85" t="str">
        <f t="shared" si="38"/>
        <v>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 &amp; 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</v>
      </c>
      <c r="AF116" s="82" t="str">
        <f t="shared" si="39"/>
        <v>"C:\Program Files (x86)\AstroGrep\AstroGrep.exe" /e /r /s /spath="%USERPROFILE%\AppData\Local\Temp\OnboardLogs" /stypes="app*4042*20170406*" /stext=" 23:.+((SYSTEM_STATE.+slice.+state.+changed )|(ment ac)|(multiple cpu faults)|(system.+state.+changed )|(\[timeout)|(PRM\|1\|D)|(kpr)|(kdp)|(\|lc)|(penalty))"</v>
      </c>
      <c r="AG116" s="1" t="str">
        <f t="shared" si="40"/>
        <v>EC</v>
      </c>
      <c r="AH116" s="86" t="str">
        <f t="shared" si="41"/>
        <v>"%USERPROFILE%\Documents\GitHub\eaglep3\Utilities\RefineRTDCRunTimes.py" --tripid 205-06 --locoid 4042 --swversion DE.1.0.9.0 --startMP 204:451 --initTime 2017-04-06T16:39:08 --startdatetime 2017-04-06T16:45:15 --delay 1 --endMP 204:233312 --enddatetime 2017-04-06T17:22:11 --enforcementcount 0 &gt;&gt;C:\Users\stu\Documents\GitHub\eaglep3-reporting\EC\2017-04-06-refined-times.txt</v>
      </c>
      <c r="AI116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{"issue":{"subject":"","project_id":79,"tracker_id":40,"status_id":1,"priority_id":2,"assigned_to_id":23,"start_date":"2017-04-06","description":"","custom_fields":[{"id":1,"name":"Subdivision","value":"EC"},{"id":4,"name":"Milepost","value":"23.3312"},{"id":17,"name":"Train ID","value":"205-06"},{"id":16,"name":"Locomotive ID","value":"4042"},{"id":130,"name":"Impact","value":""},{"id":150,"name":"Time of Event (Mountain Time)","value":"17:22:11"},{"id":151,"name":"Denver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3"/>
        <v>start /low /b %USERPROFILE%\Documents\GitHub\eaglep3\Utilities\DownloadLogsFromS3.py --loco 4042 --day 2017-04-06</v>
      </c>
      <c r="AN116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23:22:11"},{"id":29,"name":"Sharepoint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796</v>
      </c>
      <c r="B117" s="7">
        <v>4041</v>
      </c>
      <c r="C117" s="21" t="s">
        <v>216</v>
      </c>
      <c r="D117" s="21" t="s">
        <v>906</v>
      </c>
      <c r="E117" s="13">
        <v>42831.72556712963</v>
      </c>
      <c r="F117" s="13">
        <v>42831.736979166664</v>
      </c>
      <c r="G117" s="7">
        <v>0</v>
      </c>
      <c r="H117" s="21" t="s">
        <v>437</v>
      </c>
      <c r="I117" s="13">
        <v>42831.763749999998</v>
      </c>
      <c r="J117" s="7">
        <v>0</v>
      </c>
      <c r="K117" s="97" t="str">
        <f t="shared" si="30"/>
        <v>4041/4042</v>
      </c>
      <c r="L117" s="21" t="str">
        <f>VLOOKUP(A117,'Trips&amp;Operators'!$C$1:$G$99999,5,FALSE)</f>
        <v>GUZMAN DANNY</v>
      </c>
      <c r="M117" s="6">
        <f t="shared" si="31"/>
        <v>2.6770833334012423E-2</v>
      </c>
      <c r="N117" s="7">
        <f t="shared" si="49"/>
        <v>38.550000000977889</v>
      </c>
      <c r="O117" s="7"/>
      <c r="P117" s="7"/>
      <c r="Q117" s="22"/>
      <c r="R117" s="22"/>
      <c r="S117" s="31">
        <f t="shared" si="46"/>
        <v>1</v>
      </c>
      <c r="T117" s="46" t="str">
        <f t="shared" si="32"/>
        <v>Southbound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3"/>
        <v>https://d0f6bd738d7f1b3e5a7ca70fe4ff75f0.us-east-1.aws.found.io/app/kibana#/discover/Steve-Slow-Train-Analysis-(2080s-and-2083s)?_g=(refreshInterval:(display:Off,pause:!f,section:0,value:0),time:(from:'2017-04-06T16:24:49-0600',mode:absolute,to:'2017-04-06T19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7" s="183" t="str">
        <f t="shared" si="34"/>
        <v>N</v>
      </c>
      <c r="X117" s="183">
        <f t="shared" si="48"/>
        <v>1</v>
      </c>
      <c r="Y117" s="62">
        <f t="shared" si="35"/>
        <v>23.299600000000002</v>
      </c>
      <c r="Z117" s="62">
        <f t="shared" si="47"/>
        <v>1.4500000000000001E-2</v>
      </c>
      <c r="AA117" s="62">
        <f t="shared" si="36"/>
        <v>23.2851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7"/>
        <v>0206-06</v>
      </c>
      <c r="AE117" s="85" t="str">
        <f t="shared" si="38"/>
        <v>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 &amp; aws s3 cp s3://rtdc.mdm.uploadarchive.raw/RTDC4041/ "%USERPROFILE%\AppData\Local\Temp\OnboardLogs"\RTDC4041\2017-04-07 --exclude "*" --recursive --include "*20170407*" &amp; "%USERPROFILE%\Documents\GitHub\mrs-test-scripts\Headless Mode &amp; Sideloading\WalkAndUnGZ.bat" "%USERPROFILE%\AppData\Local\Temp\OnboardLogs"\RTDC4041\2017-04-07</v>
      </c>
      <c r="AF117" s="82" t="str">
        <f t="shared" si="39"/>
        <v>"C:\Program Files (x86)\AstroGrep\AstroGrep.exe" /e /r /s /spath="%USERPROFILE%\AppData\Local\Temp\OnboardLogs" /stypes="app*4041*20170407*" /stext=" 00:.+((SYSTEM_STATE.+slice.+state.+changed )|(ment ac)|(multiple cpu faults)|(system.+state.+changed )|(\[timeout)|(PRM\|1\|D)|(kpr)|(kdp)|(\|lc)|(penalty))"</v>
      </c>
      <c r="AG117" s="1" t="str">
        <f t="shared" si="40"/>
        <v>EC</v>
      </c>
      <c r="AH117" s="86" t="str">
        <f t="shared" si="41"/>
        <v>"%USERPROFILE%\Documents\GitHub\eaglep3\Utilities\RefineRTDCRunTimes.py" --tripid 206-06 --locoid 4041 --swversion DE.1.0.9.0 --startMP 204:232996 --initTime 2017-04-06T17:24:49 --startdatetime 2017-04-06T17:41:15 --delay 0 --endMP 204:145 --enddatetime 2017-04-06T18:19:48 --enforcementcount 0 &gt;&gt;C:\Users\stu\Documents\GitHub\eaglep3-reporting\EC\2017-04-06-refined-times.txt</v>
      </c>
      <c r="AI117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{"issue":{"subject":"","project_id":79,"tracker_id":40,"status_id":1,"priority_id":2,"assigned_to_id":23,"start_date":"2017-04-06","description":"","custom_fields":[{"id":1,"name":"Subdivision","value":"EC"},{"id":4,"name":"Milepost","value":"0.0145"},{"id":17,"name":"Train ID","value":"206-06"},{"id":16,"name":"Locomotive ID","value":"4041"},{"id":130,"name":"Impact","value":""},{"id":150,"name":"Time of Event (Mountain Time)","value":"18:19:48"},{"id":151,"name":"Denver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3"/>
        <v>start /low /b %USERPROFILE%\Documents\GitHub\eaglep3\Utilities\DownloadLogsFromS3.py --loco 4041 --day 2017-04-06</v>
      </c>
      <c r="AN117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00:19:48"},{"id":29,"name":"Sharepoint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791</v>
      </c>
      <c r="B118" s="7">
        <v>4018</v>
      </c>
      <c r="C118" s="21" t="s">
        <v>216</v>
      </c>
      <c r="D118" s="21" t="s">
        <v>445</v>
      </c>
      <c r="E118" s="13">
        <v>42831.703530092593</v>
      </c>
      <c r="F118" s="13">
        <v>42831.708495370367</v>
      </c>
      <c r="G118" s="7">
        <v>1</v>
      </c>
      <c r="H118" s="21" t="s">
        <v>873</v>
      </c>
      <c r="I118" s="13">
        <v>42831.734236111108</v>
      </c>
      <c r="J118" s="7">
        <v>0</v>
      </c>
      <c r="K118" s="97" t="str">
        <f t="shared" si="30"/>
        <v>4017/4018</v>
      </c>
      <c r="L118" s="21" t="str">
        <f>VLOOKUP(A118,'Trips&amp;Operators'!$C$1:$G$99999,5,FALSE)</f>
        <v>SMITH MICHAEL</v>
      </c>
      <c r="M118" s="6">
        <f t="shared" si="31"/>
        <v>2.5740740740729962E-2</v>
      </c>
      <c r="N118" s="7">
        <f t="shared" si="49"/>
        <v>37.066666666651145</v>
      </c>
      <c r="O118" s="7"/>
      <c r="P118" s="7"/>
      <c r="Q118" s="22"/>
      <c r="R118" s="22"/>
      <c r="S118" s="31">
        <f t="shared" si="46"/>
        <v>1</v>
      </c>
      <c r="T118" s="46" t="str">
        <f t="shared" si="32"/>
        <v>NorthBound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3"/>
        <v>https://d0f6bd738d7f1b3e5a7ca70fe4ff75f0.us-east-1.aws.found.io/app/kibana#/discover/Steve-Slow-Train-Analysis-(2080s-and-2083s)?_g=(refreshInterval:(display:Off,pause:!f,section:0,value:0),time:(from:'2017-04-06T15:53:05-0600',mode:absolute,to:'2017-04-06T18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8" s="183" t="str">
        <f t="shared" si="34"/>
        <v>N</v>
      </c>
      <c r="X118" s="183">
        <f t="shared" si="48"/>
        <v>1</v>
      </c>
      <c r="Y118" s="62">
        <f t="shared" si="35"/>
        <v>4.58E-2</v>
      </c>
      <c r="Z118" s="62">
        <f t="shared" si="47"/>
        <v>23.328800000000001</v>
      </c>
      <c r="AA118" s="62">
        <f t="shared" si="36"/>
        <v>23.283000000000001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7"/>
        <v>0207-06</v>
      </c>
      <c r="AE118" s="85" t="str">
        <f t="shared" si="38"/>
        <v>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 &amp; aws s3 cp s3://rtdc.mdm.uploadarchive.raw/RTDC4018/ "%USERPROFILE%\AppData\Local\Temp\OnboardLogs"\RTDC4018\2017-04-07 --exclude "*" --recursive --include "*20170407*" &amp; "%USERPROFILE%\Documents\GitHub\mrs-test-scripts\Headless Mode &amp; Sideloading\WalkAndUnGZ.bat" "%USERPROFILE%\AppData\Local\Temp\OnboardLogs"\RTDC4018\2017-04-07</v>
      </c>
      <c r="AF118" s="82" t="str">
        <f t="shared" si="39"/>
        <v>"C:\Program Files (x86)\AstroGrep\AstroGrep.exe" /e /r /s /spath="%USERPROFILE%\AppData\Local\Temp\OnboardLogs" /stypes="app*4018*20170406*" /stext=" 23:.+((SYSTEM_STATE.+slice.+state.+changed )|(ment ac)|(multiple cpu faults)|(system.+state.+changed )|(\[timeout)|(PRM\|1\|D)|(kpr)|(kdp)|(\|lc)|(penalty))"</v>
      </c>
      <c r="AG118" s="1" t="str">
        <f t="shared" si="40"/>
        <v>EC</v>
      </c>
      <c r="AH118" s="86" t="str">
        <f t="shared" si="41"/>
        <v>"%USERPROFILE%\Documents\GitHub\eaglep3\Utilities\RefineRTDCRunTimes.py" --tripid 207-06 --locoid 4018 --swversion DE.1.0.9.0 --startMP 204:458 --initTime 2017-04-06T16:53:05 --startdatetime 2017-04-06T17:00:14 --delay 1 --endMP 204:233288 --enddatetime 2017-04-06T17:37:18 --enforcementcount 0 &gt;&gt;C:\Users\stu\Documents\GitHub\eaglep3-reporting\EC\2017-04-06-refined-times.txt</v>
      </c>
      <c r="AI118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{"issue":{"subject":"","project_id":79,"tracker_id":40,"status_id":1,"priority_id":2,"assigned_to_id":23,"start_date":"2017-04-06","description":"","custom_fields":[{"id":1,"name":"Subdivision","value":"EC"},{"id":4,"name":"Milepost","value":"23.3288"},{"id":17,"name":"Train ID","value":"207-06"},{"id":16,"name":"Locomotive ID","value":"4018"},{"id":130,"name":"Impact","value":""},{"id":150,"name":"Time of Event (Mountain Time)","value":"17:37:18"},{"id":151,"name":"Denver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3"/>
        <v>start /low /b %USERPROFILE%\Documents\GitHub\eaglep3\Utilities\DownloadLogsFromS3.py --loco 4018 --day 2017-04-06</v>
      </c>
      <c r="AN118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23:37:18"},{"id":29,"name":"Sharepoint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799</v>
      </c>
      <c r="B119" s="7">
        <v>4017</v>
      </c>
      <c r="C119" s="21" t="s">
        <v>216</v>
      </c>
      <c r="D119" s="21" t="s">
        <v>587</v>
      </c>
      <c r="E119" s="13">
        <v>42831.736678240741</v>
      </c>
      <c r="F119" s="13">
        <v>42831.747499999998</v>
      </c>
      <c r="G119" s="7">
        <v>1</v>
      </c>
      <c r="H119" s="21" t="s">
        <v>413</v>
      </c>
      <c r="I119" s="13">
        <v>42831.774340277778</v>
      </c>
      <c r="J119" s="7">
        <v>0</v>
      </c>
      <c r="K119" s="97" t="str">
        <f t="shared" si="30"/>
        <v>4017/4018</v>
      </c>
      <c r="L119" s="21" t="str">
        <f>VLOOKUP(A119,'Trips&amp;Operators'!$C$1:$G$99999,5,FALSE)</f>
        <v>SMITH MICHAEL</v>
      </c>
      <c r="M119" s="6">
        <f t="shared" si="31"/>
        <v>2.6840277780138422E-2</v>
      </c>
      <c r="N119" s="7">
        <f t="shared" si="49"/>
        <v>38.650000003399327</v>
      </c>
      <c r="O119" s="7"/>
      <c r="P119" s="7"/>
      <c r="Q119" s="22"/>
      <c r="R119" s="22"/>
      <c r="S119" s="31">
        <f t="shared" si="46"/>
        <v>1</v>
      </c>
      <c r="T119" s="46" t="str">
        <f t="shared" si="32"/>
        <v>Southbound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3"/>
        <v>https://d0f6bd738d7f1b3e5a7ca70fe4ff75f0.us-east-1.aws.found.io/app/kibana#/discover/Steve-Slow-Train-Analysis-(2080s-and-2083s)?_g=(refreshInterval:(display:Off,pause:!f,section:0,value:0),time:(from:'2017-04-06T16:40:49-0600',mode:absolute,to:'2017-04-06T19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9" s="183" t="str">
        <f t="shared" si="34"/>
        <v>N</v>
      </c>
      <c r="X119" s="183">
        <f t="shared" si="48"/>
        <v>1</v>
      </c>
      <c r="Y119" s="62">
        <f t="shared" si="35"/>
        <v>23.296900000000001</v>
      </c>
      <c r="Z119" s="62">
        <f t="shared" si="47"/>
        <v>1.34E-2</v>
      </c>
      <c r="AA119" s="62">
        <f t="shared" si="36"/>
        <v>23.2835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7"/>
        <v>0208-06</v>
      </c>
      <c r="AE119" s="85" t="str">
        <f t="shared" si="38"/>
        <v>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 &amp; aws s3 cp s3://rtdc.mdm.uploadarchive.raw/RTDC4017/ "%USERPROFILE%\AppData\Local\Temp\OnboardLogs"\RTDC4017\2017-04-07 --exclude "*" --recursive --include "*20170407*" &amp; "%USERPROFILE%\Documents\GitHub\mrs-test-scripts\Headless Mode &amp; Sideloading\WalkAndUnGZ.bat" "%USERPROFILE%\AppData\Local\Temp\OnboardLogs"\RTDC4017\2017-04-07</v>
      </c>
      <c r="AF119" s="82" t="str">
        <f t="shared" si="39"/>
        <v>"C:\Program Files (x86)\AstroGrep\AstroGrep.exe" /e /r /s /spath="%USERPROFILE%\AppData\Local\Temp\OnboardLogs" /stypes="app*4017*20170407*" /stext=" 00:.+((SYSTEM_STATE.+slice.+state.+changed )|(ment ac)|(multiple cpu faults)|(system.+state.+changed )|(\[timeout)|(PRM\|1\|D)|(kpr)|(kdp)|(\|lc)|(penalty))"</v>
      </c>
      <c r="AG119" s="1" t="str">
        <f t="shared" si="40"/>
        <v>EC</v>
      </c>
      <c r="AH119" s="86" t="str">
        <f t="shared" si="41"/>
        <v>"%USERPROFILE%\Documents\GitHub\eaglep3\Utilities\RefineRTDCRunTimes.py" --tripid 208-06 --locoid 4017 --swversion DE.1.0.9.0 --startMP 204:232969 --initTime 2017-04-06T17:40:49 --startdatetime 2017-04-06T17:56:24 --delay 1 --endMP 204:134 --enddatetime 2017-04-06T18:35:03 --enforcementcount 0 &gt;&gt;C:\Users\stu\Documents\GitHub\eaglep3-reporting\EC\2017-04-06-refined-times.txt</v>
      </c>
      <c r="AI119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{"issue":{"subject":"","project_id":79,"tracker_id":40,"status_id":1,"priority_id":2,"assigned_to_id":23,"start_date":"2017-04-06","description":"","custom_fields":[{"id":1,"name":"Subdivision","value":"EC"},{"id":4,"name":"Milepost","value":"0.0134"},{"id":17,"name":"Train ID","value":"208-06"},{"id":16,"name":"Locomotive ID","value":"4017"},{"id":130,"name":"Impact","value":""},{"id":150,"name":"Time of Event (Mountain Time)","value":"18:35:03"},{"id":151,"name":"Denver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3"/>
        <v>start /low /b %USERPROFILE%\Documents\GitHub\eaglep3\Utilities\DownloadLogsFromS3.py --loco 4017 --day 2017-04-06</v>
      </c>
      <c r="AN119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00:35:03"},{"id":29,"name":"Sharepoint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794</v>
      </c>
      <c r="B120" s="7">
        <v>4004</v>
      </c>
      <c r="C120" s="21" t="s">
        <v>216</v>
      </c>
      <c r="D120" s="21" t="s">
        <v>869</v>
      </c>
      <c r="E120" s="13">
        <v>42831.716006944444</v>
      </c>
      <c r="F120" s="13">
        <v>42831.719004629631</v>
      </c>
      <c r="G120" s="7">
        <v>1</v>
      </c>
      <c r="H120" s="21" t="s">
        <v>595</v>
      </c>
      <c r="I120" s="13">
        <v>42831.744479166664</v>
      </c>
      <c r="J120" s="7">
        <v>0</v>
      </c>
      <c r="K120" s="97" t="str">
        <f t="shared" si="30"/>
        <v>4003/4004</v>
      </c>
      <c r="L120" s="21" t="str">
        <f>VLOOKUP(A120,'Trips&amp;Operators'!$C$1:$G$99999,5,FALSE)</f>
        <v>CHANDLER KELVIN</v>
      </c>
      <c r="M120" s="6">
        <f t="shared" si="31"/>
        <v>2.5474537033005618E-2</v>
      </c>
      <c r="N120" s="7">
        <f t="shared" si="49"/>
        <v>36.683333327528089</v>
      </c>
      <c r="O120" s="7"/>
      <c r="P120" s="7"/>
      <c r="Q120" s="22"/>
      <c r="R120" s="22"/>
      <c r="S120" s="31">
        <f t="shared" si="46"/>
        <v>1</v>
      </c>
      <c r="T120" s="46" t="str">
        <f t="shared" si="32"/>
        <v>NorthBound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3"/>
        <v>https://d0f6bd738d7f1b3e5a7ca70fe4ff75f0.us-east-1.aws.found.io/app/kibana#/discover/Steve-Slow-Train-Analysis-(2080s-and-2083s)?_g=(refreshInterval:(display:Off,pause:!f,section:0,value:0),time:(from:'2017-04-06T16:11:03-0600',mode:absolute,to:'2017-04-06T18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20" s="183" t="str">
        <f t="shared" si="34"/>
        <v>N</v>
      </c>
      <c r="X120" s="183">
        <f t="shared" si="48"/>
        <v>1</v>
      </c>
      <c r="Y120" s="62">
        <f t="shared" si="35"/>
        <v>4.4200000000000003E-2</v>
      </c>
      <c r="Z120" s="62">
        <f t="shared" si="47"/>
        <v>23.330200000000001</v>
      </c>
      <c r="AA120" s="62">
        <f t="shared" si="36"/>
        <v>23.286000000000001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7"/>
        <v>0209-06</v>
      </c>
      <c r="AE120" s="85" t="str">
        <f t="shared" si="38"/>
        <v>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 &amp; aws s3 cp s3://rtdc.mdm.uploadarchive.raw/RTDC4004/ "%USERPROFILE%\AppData\Local\Temp\OnboardLogs"\RTDC4004\2017-04-07 --exclude "*" --recursive --include "*20170407*" &amp; "%USERPROFILE%\Documents\GitHub\mrs-test-scripts\Headless Mode &amp; Sideloading\WalkAndUnGZ.bat" "%USERPROFILE%\AppData\Local\Temp\OnboardLogs"\RTDC4004\2017-04-07</v>
      </c>
      <c r="AF120" s="82" t="str">
        <f t="shared" si="39"/>
        <v>"C:\Program Files (x86)\AstroGrep\AstroGrep.exe" /e /r /s /spath="%USERPROFILE%\AppData\Local\Temp\OnboardLogs" /stypes="app*4004*20170406*" /stext=" 23:.+((SYSTEM_STATE.+slice.+state.+changed )|(ment ac)|(multiple cpu faults)|(system.+state.+changed )|(\[timeout)|(PRM\|1\|D)|(kpr)|(kdp)|(\|lc)|(penalty))"</v>
      </c>
      <c r="AG120" s="1" t="str">
        <f t="shared" si="40"/>
        <v>EC</v>
      </c>
      <c r="AH120" s="86" t="str">
        <f t="shared" si="41"/>
        <v>"%USERPROFILE%\Documents\GitHub\eaglep3\Utilities\RefineRTDCRunTimes.py" --tripid 209-06 --locoid 4004 --swversion DE.1.0.9.0 --startMP 204:442 --initTime 2017-04-06T17:11:03 --startdatetime 2017-04-06T17:15:22 --delay 1 --endMP 204:233302 --enddatetime 2017-04-06T17:52:03 --enforcementcount 0 &gt;&gt;C:\Users\stu\Documents\GitHub\eaglep3-reporting\EC\2017-04-06-refined-times.txt</v>
      </c>
      <c r="AI120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{"issue":{"subject":"","project_id":79,"tracker_id":40,"status_id":1,"priority_id":2,"assigned_to_id":23,"start_date":"2017-04-06","description":"","custom_fields":[{"id":1,"name":"Subdivision","value":"EC"},{"id":4,"name":"Milepost","value":"23.3302"},{"id":17,"name":"Train ID","value":"209-06"},{"id":16,"name":"Locomotive ID","value":"4004"},{"id":130,"name":"Impact","value":""},{"id":150,"name":"Time of Event (Mountain Time)","value":"17:52:03"},{"id":151,"name":"Denver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3"/>
        <v>start /low /b %USERPROFILE%\Documents\GitHub\eaglep3\Utilities\DownloadLogsFromS3.py --loco 4004 --day 2017-04-06</v>
      </c>
      <c r="AN120" s="159" t="str">
        <f t="shared" si="44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23:52:03"},{"id":29,"name":"Sharepoint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802</v>
      </c>
      <c r="B121" s="7">
        <v>4003</v>
      </c>
      <c r="C121" s="21" t="s">
        <v>216</v>
      </c>
      <c r="D121" s="21" t="s">
        <v>423</v>
      </c>
      <c r="E121" s="13">
        <v>42831.755648148152</v>
      </c>
      <c r="F121" s="13">
        <v>42831.758043981485</v>
      </c>
      <c r="G121" s="7">
        <v>1</v>
      </c>
      <c r="H121" s="21" t="s">
        <v>907</v>
      </c>
      <c r="I121" s="13">
        <v>42831.786249999997</v>
      </c>
      <c r="J121" s="7">
        <v>0</v>
      </c>
      <c r="K121" s="97" t="str">
        <f t="shared" si="30"/>
        <v>4003/4004</v>
      </c>
      <c r="L121" s="21" t="str">
        <f>VLOOKUP(A121,'Trips&amp;Operators'!$C$1:$G$99999,5,FALSE)</f>
        <v>CHANDLER KELVIN</v>
      </c>
      <c r="M121" s="6">
        <f t="shared" si="31"/>
        <v>2.8206018512719311E-2</v>
      </c>
      <c r="N121" s="7">
        <f t="shared" si="49"/>
        <v>40.616666658315808</v>
      </c>
      <c r="O121" s="7"/>
      <c r="P121" s="7"/>
      <c r="Q121" s="22"/>
      <c r="R121" s="22"/>
      <c r="S121" s="31">
        <f t="shared" si="46"/>
        <v>1</v>
      </c>
      <c r="T121" s="46" t="str">
        <f t="shared" si="32"/>
        <v>Southbound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3"/>
        <v>https://d0f6bd738d7f1b3e5a7ca70fe4ff75f0.us-east-1.aws.found.io/app/kibana#/discover/Steve-Slow-Train-Analysis-(2080s-and-2083s)?_g=(refreshInterval:(display:Off,pause:!f,section:0,value:0),time:(from:'2017-04-06T17:08:08-0600',mode:absolute,to:'2017-04-06T19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1" s="183" t="str">
        <f t="shared" si="34"/>
        <v>N</v>
      </c>
      <c r="X121" s="183">
        <f t="shared" si="48"/>
        <v>1</v>
      </c>
      <c r="Y121" s="62">
        <f t="shared" si="35"/>
        <v>23.2989</v>
      </c>
      <c r="Z121" s="62">
        <f t="shared" si="47"/>
        <v>1.6899999999999998E-2</v>
      </c>
      <c r="AA121" s="62">
        <f t="shared" si="36"/>
        <v>23.282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7"/>
        <v>0210-06</v>
      </c>
      <c r="AE121" s="85" t="str">
        <f t="shared" si="38"/>
        <v>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 &amp; aws s3 cp s3://rtdc.mdm.uploadarchive.raw/RTDC4003/ "%USERPROFILE%\AppData\Local\Temp\OnboardLogs"\RTDC4003\2017-04-07 --exclude "*" --recursive --include "*20170407*" &amp; "%USERPROFILE%\Documents\GitHub\mrs-test-scripts\Headless Mode &amp; Sideloading\WalkAndUnGZ.bat" "%USERPROFILE%\AppData\Local\Temp\OnboardLogs"\RTDC4003\2017-04-07</v>
      </c>
      <c r="AF121" s="82" t="str">
        <f t="shared" si="39"/>
        <v>"C:\Program Files (x86)\AstroGrep\AstroGrep.exe" /e /r /s /spath="%USERPROFILE%\AppData\Local\Temp\OnboardLogs" /stypes="app*4003*20170407*" /stext=" 00:.+((SYSTEM_STATE.+slice.+state.+changed )|(ment ac)|(multiple cpu faults)|(system.+state.+changed )|(\[timeout)|(PRM\|1\|D)|(kpr)|(kdp)|(\|lc)|(penalty))"</v>
      </c>
      <c r="AG121" s="1" t="str">
        <f t="shared" si="40"/>
        <v>EC</v>
      </c>
      <c r="AH121" s="86" t="str">
        <f t="shared" si="41"/>
        <v>"%USERPROFILE%\Documents\GitHub\eaglep3\Utilities\RefineRTDCRunTimes.py" --tripid 210-06 --locoid 4003 --swversion DE.1.0.9.0 --startMP 204:232989 --initTime 2017-04-06T18:08:08 --startdatetime 2017-04-06T18:11:35 --delay 1 --endMP 204:169 --enddatetime 2017-04-06T18:52:12 --enforcementcount 0 &gt;&gt;C:\Users\stu\Documents\GitHub\eaglep3-reporting\EC\2017-04-06-refined-times.txt</v>
      </c>
      <c r="AI121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{"issue":{"subject":"","project_id":79,"tracker_id":40,"status_id":1,"priority_id":2,"assigned_to_id":23,"start_date":"2017-04-06","description":"","custom_fields":[{"id":1,"name":"Subdivision","value":"EC"},{"id":4,"name":"Milepost","value":"0.0169"},{"id":17,"name":"Train ID","value":"210-06"},{"id":16,"name":"Locomotive ID","value":"4003"},{"id":130,"name":"Impact","value":""},{"id":150,"name":"Time of Event (Mountain Time)","value":"18:52:12"},{"id":151,"name":"Denver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3"/>
        <v>start /low /b %USERPROFILE%\Documents\GitHub\eaglep3\Utilities\DownloadLogsFromS3.py --loco 4003 --day 2017-04-06</v>
      </c>
      <c r="AN121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00:52:12"},{"id":29,"name":"Sharepoint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651</v>
      </c>
      <c r="B122" s="7">
        <v>4016</v>
      </c>
      <c r="C122" s="21" t="s">
        <v>216</v>
      </c>
      <c r="D122" s="21" t="s">
        <v>206</v>
      </c>
      <c r="E122" s="13">
        <v>42831.725185185183</v>
      </c>
      <c r="F122" s="13">
        <v>42831.729537037034</v>
      </c>
      <c r="G122" s="7">
        <v>1</v>
      </c>
      <c r="H122" s="21" t="s">
        <v>908</v>
      </c>
      <c r="I122" s="13">
        <v>42831.755046296297</v>
      </c>
      <c r="J122" s="7">
        <v>0</v>
      </c>
      <c r="K122" s="97" t="str">
        <f t="shared" si="30"/>
        <v>4015/4016</v>
      </c>
      <c r="L122" s="21" t="str">
        <f>VLOOKUP(A122,'Trips&amp;Operators'!$C$1:$G$99999,5,FALSE)</f>
        <v>DELGADO DIANAH</v>
      </c>
      <c r="M122" s="6">
        <f t="shared" si="31"/>
        <v>2.5509259263344575E-2</v>
      </c>
      <c r="N122" s="7">
        <f t="shared" si="49"/>
        <v>36.733333339216188</v>
      </c>
      <c r="O122" s="7"/>
      <c r="P122" s="7"/>
      <c r="Q122" s="22"/>
      <c r="R122" s="22"/>
      <c r="S122" s="31">
        <f t="shared" si="46"/>
        <v>1</v>
      </c>
      <c r="T122" s="46" t="str">
        <f t="shared" si="32"/>
        <v>NorthBound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3"/>
        <v>https://d0f6bd738d7f1b3e5a7ca70fe4ff75f0.us-east-1.aws.found.io/app/kibana#/discover/Steve-Slow-Train-Analysis-(2080s-and-2083s)?_g=(refreshInterval:(display:Off,pause:!f,section:0,value:0),time:(from:'2017-04-06T16:24:16-0600',mode:absolute,to:'2017-04-06T19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2" s="183" t="str">
        <f t="shared" si="34"/>
        <v>N</v>
      </c>
      <c r="X122" s="183">
        <f t="shared" si="48"/>
        <v>1</v>
      </c>
      <c r="Y122" s="62">
        <f t="shared" si="35"/>
        <v>4.5699999999999998E-2</v>
      </c>
      <c r="Z122" s="62">
        <f t="shared" si="47"/>
        <v>23.3385</v>
      </c>
      <c r="AA122" s="62">
        <f t="shared" si="36"/>
        <v>23.2928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7"/>
        <v>0211-06</v>
      </c>
      <c r="AE122" s="85" t="str">
        <f t="shared" si="38"/>
        <v>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 &amp; 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</v>
      </c>
      <c r="AF122" s="82" t="str">
        <f t="shared" si="39"/>
        <v>"C:\Program Files (x86)\AstroGrep\AstroGrep.exe" /e /r /s /spath="%USERPROFILE%\AppData\Local\Temp\OnboardLogs" /stypes="app*4016*20170407*" /stext=" 00:.+((SYSTEM_STATE.+slice.+state.+changed )|(ment ac)|(multiple cpu faults)|(system.+state.+changed )|(\[timeout)|(PRM\|1\|D)|(kpr)|(kdp)|(\|lc)|(penalty))"</v>
      </c>
      <c r="AG122" s="1" t="str">
        <f t="shared" si="40"/>
        <v>EC</v>
      </c>
      <c r="AH122" s="86" t="str">
        <f t="shared" si="41"/>
        <v>"%USERPROFILE%\Documents\GitHub\eaglep3\Utilities\RefineRTDCRunTimes.py" --tripid 211-06 --locoid 4016 --swversion DE.1.0.9.0 --startMP 204:457 --initTime 2017-04-06T17:24:16 --startdatetime 2017-04-06T17:30:32 --delay 1 --endMP 204:233385 --enddatetime 2017-04-06T18:07:16 --enforcementcount 0 &gt;&gt;C:\Users\stu\Documents\GitHub\eaglep3-reporting\EC\2017-04-06-refined-times.txt</v>
      </c>
      <c r="AI122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{"issue":{"subject":"","project_id":79,"tracker_id":40,"status_id":1,"priority_id":2,"assigned_to_id":23,"start_date":"2017-04-06","description":"","custom_fields":[{"id":1,"name":"Subdivision","value":"EC"},{"id":4,"name":"Milepost","value":"23.3385"},{"id":17,"name":"Train ID","value":"211-06"},{"id":16,"name":"Locomotive ID","value":"4016"},{"id":130,"name":"Impact","value":""},{"id":150,"name":"Time of Event (Mountain Time)","value":"18:07:16"},{"id":151,"name":"Denver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3"/>
        <v>start /low /b %USERPROFILE%\Documents\GitHub\eaglep3\Utilities\DownloadLogsFromS3.py --loco 4016 --day 2017-04-06</v>
      </c>
      <c r="AN122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00:07:16"},{"id":29,"name":"Sharepoint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806</v>
      </c>
      <c r="B123" s="7">
        <v>4015</v>
      </c>
      <c r="C123" s="21" t="s">
        <v>216</v>
      </c>
      <c r="D123" s="21" t="s">
        <v>909</v>
      </c>
      <c r="E123" s="13">
        <v>42831.759756944448</v>
      </c>
      <c r="F123" s="13">
        <v>42831.768263888887</v>
      </c>
      <c r="G123" s="7">
        <v>1</v>
      </c>
      <c r="H123" s="21" t="s">
        <v>204</v>
      </c>
      <c r="I123" s="13">
        <v>42831.795011574075</v>
      </c>
      <c r="J123" s="7">
        <v>0</v>
      </c>
      <c r="K123" s="97" t="str">
        <f t="shared" si="30"/>
        <v>4015/4016</v>
      </c>
      <c r="L123" s="21" t="str">
        <f>VLOOKUP(A123,'Trips&amp;Operators'!$C$1:$G$99999,5,FALSE)</f>
        <v>DELGADO DIANAH</v>
      </c>
      <c r="M123" s="6">
        <f t="shared" si="31"/>
        <v>2.6747685187729076E-2</v>
      </c>
      <c r="N123" s="7">
        <f t="shared" si="49"/>
        <v>38.516666670329869</v>
      </c>
      <c r="O123" s="7"/>
      <c r="P123" s="7"/>
      <c r="Q123" s="22"/>
      <c r="R123" s="22"/>
      <c r="S123" s="31">
        <f t="shared" si="46"/>
        <v>1</v>
      </c>
      <c r="T123" s="46" t="str">
        <f t="shared" si="32"/>
        <v>Southbound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3"/>
        <v>https://d0f6bd738d7f1b3e5a7ca70fe4ff75f0.us-east-1.aws.found.io/app/kibana#/discover/Steve-Slow-Train-Analysis-(2080s-and-2083s)?_g=(refreshInterval:(display:Off,pause:!f,section:0,value:0),time:(from:'2017-04-06T17:14:03-0600',mode:absolute,to:'2017-04-06T20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3" s="183" t="str">
        <f t="shared" si="34"/>
        <v>N</v>
      </c>
      <c r="X123" s="183">
        <f t="shared" si="48"/>
        <v>1</v>
      </c>
      <c r="Y123" s="62">
        <f t="shared" si="35"/>
        <v>23.306100000000001</v>
      </c>
      <c r="Z123" s="62">
        <f t="shared" si="47"/>
        <v>1.54E-2</v>
      </c>
      <c r="AA123" s="62">
        <f t="shared" si="36"/>
        <v>23.290700000000001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7"/>
        <v>0212-06</v>
      </c>
      <c r="AE123" s="85" t="str">
        <f t="shared" si="38"/>
        <v>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 &amp; 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</v>
      </c>
      <c r="AF123" s="82" t="str">
        <f t="shared" si="39"/>
        <v>"C:\Program Files (x86)\AstroGrep\AstroGrep.exe" /e /r /s /spath="%USERPROFILE%\AppData\Local\Temp\OnboardLogs" /stypes="app*4015*20170407*" /stext=" 01:.+((SYSTEM_STATE.+slice.+state.+changed )|(ment ac)|(multiple cpu faults)|(system.+state.+changed )|(\[timeout)|(PRM\|1\|D)|(kpr)|(kdp)|(\|lc)|(penalty))"</v>
      </c>
      <c r="AG123" s="1" t="str">
        <f t="shared" si="40"/>
        <v>EC</v>
      </c>
      <c r="AH123" s="86" t="str">
        <f t="shared" si="41"/>
        <v>"%USERPROFILE%\Documents\GitHub\eaglep3\Utilities\RefineRTDCRunTimes.py" --tripid 212-06 --locoid 4015 --swversion DE.1.0.9.0 --startMP 204:233061 --initTime 2017-04-06T18:14:03 --startdatetime 2017-04-06T18:26:18 --delay 1 --endMP 204:154 --enddatetime 2017-04-06T19:04:49 --enforcementcount 0 &gt;&gt;C:\Users\stu\Documents\GitHub\eaglep3-reporting\EC\2017-04-06-refined-times.txt</v>
      </c>
      <c r="AI123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{"issue":{"subject":"","project_id":79,"tracker_id":40,"status_id":1,"priority_id":2,"assigned_to_id":23,"start_date":"2017-04-06","description":"","custom_fields":[{"id":1,"name":"Subdivision","value":"EC"},{"id":4,"name":"Milepost","value":"0.0154"},{"id":17,"name":"Train ID","value":"212-06"},{"id":16,"name":"Locomotive ID","value":"4015"},{"id":130,"name":"Impact","value":""},{"id":150,"name":"Time of Event (Mountain Time)","value":"19:04:49"},{"id":151,"name":"Denver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3"/>
        <v>start /low /b %USERPROFILE%\Documents\GitHub\eaglep3\Utilities\DownloadLogsFromS3.py --loco 4015 --day 2017-04-06</v>
      </c>
      <c r="AN123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01:04:49"},{"id":29,"name":"Sharepoint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798</v>
      </c>
      <c r="B124" s="7">
        <v>4044</v>
      </c>
      <c r="C124" s="21" t="s">
        <v>216</v>
      </c>
      <c r="D124" s="21" t="s">
        <v>205</v>
      </c>
      <c r="E124" s="13">
        <v>42831.736203703702</v>
      </c>
      <c r="F124" s="13">
        <v>42831.739803240744</v>
      </c>
      <c r="G124" s="7">
        <v>1</v>
      </c>
      <c r="H124" s="21" t="s">
        <v>515</v>
      </c>
      <c r="I124" s="13">
        <v>42831.764340277776</v>
      </c>
      <c r="J124" s="7">
        <v>0</v>
      </c>
      <c r="K124" s="97" t="str">
        <f t="shared" si="30"/>
        <v>4043/4044</v>
      </c>
      <c r="L124" s="21" t="str">
        <f>VLOOKUP(A124,'Trips&amp;Operators'!$C$1:$G$99999,5,FALSE)</f>
        <v>NEWELL JAMES</v>
      </c>
      <c r="M124" s="6">
        <f t="shared" si="31"/>
        <v>2.4537037032132503E-2</v>
      </c>
      <c r="N124" s="7">
        <f t="shared" si="49"/>
        <v>35.333333326270804</v>
      </c>
      <c r="O124" s="7"/>
      <c r="P124" s="7"/>
      <c r="Q124" s="22"/>
      <c r="R124" s="22"/>
      <c r="S124" s="31">
        <f t="shared" si="46"/>
        <v>1</v>
      </c>
      <c r="T124" s="46" t="str">
        <f t="shared" si="32"/>
        <v>NorthBound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3"/>
        <v>https://d0f6bd738d7f1b3e5a7ca70fe4ff75f0.us-east-1.aws.found.io/app/kibana#/discover/Steve-Slow-Train-Analysis-(2080s-and-2083s)?_g=(refreshInterval:(display:Off,pause:!f,section:0,value:0),time:(from:'2017-04-06T16:40:08-0600',mode:absolute,to:'2017-04-06T19:20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4" s="183" t="str">
        <f t="shared" si="34"/>
        <v>N</v>
      </c>
      <c r="X124" s="183">
        <f t="shared" si="48"/>
        <v>1</v>
      </c>
      <c r="Y124" s="62">
        <f t="shared" si="35"/>
        <v>4.5100000000000001E-2</v>
      </c>
      <c r="Z124" s="62">
        <f t="shared" si="47"/>
        <v>23.332100000000001</v>
      </c>
      <c r="AA124" s="62">
        <f t="shared" si="36"/>
        <v>23.286999999999999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7"/>
        <v>0213-06</v>
      </c>
      <c r="AE124" s="85" t="str">
        <f t="shared" si="38"/>
        <v>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 &amp; 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</v>
      </c>
      <c r="AF124" s="82" t="str">
        <f t="shared" si="39"/>
        <v>"C:\Program Files (x86)\AstroGrep\AstroGrep.exe" /e /r /s /spath="%USERPROFILE%\AppData\Local\Temp\OnboardLogs" /stypes="app*4044*20170407*" /stext=" 00:.+((SYSTEM_STATE.+slice.+state.+changed )|(ment ac)|(multiple cpu faults)|(system.+state.+changed )|(\[timeout)|(PRM\|1\|D)|(kpr)|(kdp)|(\|lc)|(penalty))"</v>
      </c>
      <c r="AG124" s="1" t="str">
        <f t="shared" si="40"/>
        <v>EC</v>
      </c>
      <c r="AH124" s="86" t="str">
        <f t="shared" si="41"/>
        <v>"%USERPROFILE%\Documents\GitHub\eaglep3\Utilities\RefineRTDCRunTimes.py" --tripid 213-06 --locoid 4044 --swversion DE.1.0.9.0 --startMP 204:451 --initTime 2017-04-06T17:40:08 --startdatetime 2017-04-06T17:45:19 --delay 1 --endMP 204:233321 --enddatetime 2017-04-06T18:20:39 --enforcementcount 0 &gt;&gt;C:\Users\stu\Documents\GitHub\eaglep3-reporting\EC\2017-04-06-refined-times.txt</v>
      </c>
      <c r="AI124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{"issue":{"subject":"","project_id":79,"tracker_id":40,"status_id":1,"priority_id":2,"assigned_to_id":23,"start_date":"2017-04-06","description":"","custom_fields":[{"id":1,"name":"Subdivision","value":"EC"},{"id":4,"name":"Milepost","value":"23.3321"},{"id":17,"name":"Train ID","value":"213-06"},{"id":16,"name":"Locomotive ID","value":"4044"},{"id":130,"name":"Impact","value":""},{"id":150,"name":"Time of Event (Mountain Time)","value":"18:20:39"},{"id":151,"name":"Denver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3"/>
        <v>start /low /b %USERPROFILE%\Documents\GitHub\eaglep3\Utilities\DownloadLogsFromS3.py --loco 4044 --day 2017-04-06</v>
      </c>
      <c r="AN124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00:20:39"},{"id":29,"name":"Sharepoint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808</v>
      </c>
      <c r="B125" s="7">
        <v>4043</v>
      </c>
      <c r="C125" s="21" t="s">
        <v>216</v>
      </c>
      <c r="D125" s="21" t="s">
        <v>421</v>
      </c>
      <c r="E125" s="13">
        <v>42831.769768518519</v>
      </c>
      <c r="F125" s="13">
        <v>42831.778622685182</v>
      </c>
      <c r="G125" s="7">
        <v>1</v>
      </c>
      <c r="H125" s="21" t="s">
        <v>411</v>
      </c>
      <c r="I125" s="13">
        <v>42831.805648148147</v>
      </c>
      <c r="J125" s="7">
        <v>0</v>
      </c>
      <c r="K125" s="97" t="str">
        <f t="shared" si="30"/>
        <v>4043/4044</v>
      </c>
      <c r="L125" s="21" t="str">
        <f>VLOOKUP(A125,'Trips&amp;Operators'!$C$1:$G$99999,5,FALSE)</f>
        <v>NEWELL JAMES</v>
      </c>
      <c r="M125" s="6">
        <f t="shared" si="31"/>
        <v>2.7025462964957114E-2</v>
      </c>
      <c r="N125" s="7">
        <f t="shared" si="49"/>
        <v>38.916666669538245</v>
      </c>
      <c r="O125" s="7"/>
      <c r="P125" s="7"/>
      <c r="Q125" s="22"/>
      <c r="R125" s="22"/>
      <c r="S125" s="31">
        <f t="shared" si="46"/>
        <v>1</v>
      </c>
      <c r="T125" s="46" t="str">
        <f t="shared" si="32"/>
        <v>Southbound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3"/>
        <v>https://d0f6bd738d7f1b3e5a7ca70fe4ff75f0.us-east-1.aws.found.io/app/kibana#/discover/Steve-Slow-Train-Analysis-(2080s-and-2083s)?_g=(refreshInterval:(display:Off,pause:!f,section:0,value:0),time:(from:'2017-04-06T17:28:28-0600',mode:absolute,to:'2017-04-06T20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5" s="183" t="str">
        <f t="shared" si="34"/>
        <v>N</v>
      </c>
      <c r="X125" s="183">
        <f t="shared" si="48"/>
        <v>1</v>
      </c>
      <c r="Y125" s="62">
        <f t="shared" si="35"/>
        <v>23.299299999999999</v>
      </c>
      <c r="Z125" s="62">
        <f t="shared" si="47"/>
        <v>1.41E-2</v>
      </c>
      <c r="AA125" s="62">
        <f t="shared" si="36"/>
        <v>23.2852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7"/>
        <v>0214-06</v>
      </c>
      <c r="AE125" s="85" t="str">
        <f t="shared" si="38"/>
        <v>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 &amp; aws s3 cp s3://rtdc.mdm.uploadarchive.raw/RTDC4043/ "%USERPROFILE%\AppData\Local\Temp\OnboardLogs"\RTDC4043\2017-04-07 --exclude "*" --recursive --include "*20170407*" &amp; "%USERPROFILE%\Documents\GitHub\mrs-test-scripts\Headless Mode &amp; Sideloading\WalkAndUnGZ.bat" "%USERPROFILE%\AppData\Local\Temp\OnboardLogs"\RTDC4043\2017-04-07</v>
      </c>
      <c r="AF125" s="82" t="str">
        <f t="shared" si="39"/>
        <v>"C:\Program Files (x86)\AstroGrep\AstroGrep.exe" /e /r /s /spath="%USERPROFILE%\AppData\Local\Temp\OnboardLogs" /stypes="app*4043*20170407*" /stext=" 01:.+((SYSTEM_STATE.+slice.+state.+changed )|(ment ac)|(multiple cpu faults)|(system.+state.+changed )|(\[timeout)|(PRM\|1\|D)|(kpr)|(kdp)|(\|lc)|(penalty))"</v>
      </c>
      <c r="AG125" s="1" t="str">
        <f t="shared" si="40"/>
        <v>EC</v>
      </c>
      <c r="AH125" s="86" t="str">
        <f t="shared" si="41"/>
        <v>"%USERPROFILE%\Documents\GitHub\eaglep3\Utilities\RefineRTDCRunTimes.py" --tripid 214-06 --locoid 4043 --swversion DE.1.0.9.0 --startMP 204:232993 --initTime 2017-04-06T18:28:28 --startdatetime 2017-04-06T18:41:13 --delay 1 --endMP 204:141 --enddatetime 2017-04-06T19:20:08 --enforcementcount 0 &gt;&gt;C:\Users\stu\Documents\GitHub\eaglep3-reporting\EC\2017-04-06-refined-times.txt</v>
      </c>
      <c r="AI125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{"issue":{"subject":"","project_id":79,"tracker_id":40,"status_id":1,"priority_id":2,"assigned_to_id":23,"start_date":"2017-04-06","description":"","custom_fields":[{"id":1,"name":"Subdivision","value":"EC"},{"id":4,"name":"Milepost","value":"0.0141"},{"id":17,"name":"Train ID","value":"214-06"},{"id":16,"name":"Locomotive ID","value":"4043"},{"id":130,"name":"Impact","value":""},{"id":150,"name":"Time of Event (Mountain Time)","value":"19:20:08"},{"id":151,"name":"Denver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3"/>
        <v>start /low /b %USERPROFILE%\Documents\GitHub\eaglep3\Utilities\DownloadLogsFromS3.py --loco 4043 --day 2017-04-06</v>
      </c>
      <c r="AN125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01:20:08"},{"id":29,"name":"Sharepoint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801</v>
      </c>
      <c r="B126" s="7">
        <v>4010</v>
      </c>
      <c r="C126" s="21" t="s">
        <v>216</v>
      </c>
      <c r="D126" s="21" t="s">
        <v>434</v>
      </c>
      <c r="E126" s="13">
        <v>42831.745173611111</v>
      </c>
      <c r="F126" s="13">
        <v>42831.750532407408</v>
      </c>
      <c r="G126" s="7">
        <v>1</v>
      </c>
      <c r="H126" s="21" t="s">
        <v>910</v>
      </c>
      <c r="I126" s="13">
        <v>42831.777256944442</v>
      </c>
      <c r="J126" s="7">
        <v>0</v>
      </c>
      <c r="K126" s="97" t="str">
        <f t="shared" si="30"/>
        <v>4009/4010</v>
      </c>
      <c r="L126" s="21" t="str">
        <f>VLOOKUP(A126,'Trips&amp;Operators'!$C$1:$G$99999,5,FALSE)</f>
        <v>STRICKLAND EVAN</v>
      </c>
      <c r="M126" s="6">
        <f t="shared" si="31"/>
        <v>2.6724537034169771E-2</v>
      </c>
      <c r="N126" s="7">
        <f t="shared" si="49"/>
        <v>38.48333332920447</v>
      </c>
      <c r="O126" s="7"/>
      <c r="P126" s="7"/>
      <c r="Q126" s="22"/>
      <c r="R126" s="22"/>
      <c r="S126" s="31">
        <f t="shared" si="46"/>
        <v>1</v>
      </c>
      <c r="T126" s="46" t="str">
        <f t="shared" si="32"/>
        <v>NorthBound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3"/>
        <v>https://d0f6bd738d7f1b3e5a7ca70fe4ff75f0.us-east-1.aws.found.io/app/kibana#/discover/Steve-Slow-Train-Analysis-(2080s-and-2083s)?_g=(refreshInterval:(display:Off,pause:!f,section:0,value:0),time:(from:'2017-04-06T16:53:03-0600',mode:absolute,to:'2017-04-06T19:39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6" s="183" t="str">
        <f t="shared" si="34"/>
        <v>N</v>
      </c>
      <c r="X126" s="183">
        <f t="shared" si="48"/>
        <v>1</v>
      </c>
      <c r="Y126" s="62">
        <f t="shared" si="35"/>
        <v>4.7100000000000003E-2</v>
      </c>
      <c r="Z126" s="62">
        <f t="shared" si="47"/>
        <v>23.334499999999998</v>
      </c>
      <c r="AA126" s="62">
        <f t="shared" si="36"/>
        <v>23.287399999999998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7"/>
        <v>0215-06</v>
      </c>
      <c r="AE126" s="85" t="str">
        <f t="shared" si="38"/>
        <v>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 &amp; 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</v>
      </c>
      <c r="AF126" s="82" t="str">
        <f t="shared" si="39"/>
        <v>"C:\Program Files (x86)\AstroGrep\AstroGrep.exe" /e /r /s /spath="%USERPROFILE%\AppData\Local\Temp\OnboardLogs" /stypes="app*4010*20170407*" /stext=" 00:.+((SYSTEM_STATE.+slice.+state.+changed )|(ment ac)|(multiple cpu faults)|(system.+state.+changed )|(\[timeout)|(PRM\|1\|D)|(kpr)|(kdp)|(\|lc)|(penalty))"</v>
      </c>
      <c r="AG126" s="1" t="str">
        <f t="shared" si="40"/>
        <v>EC</v>
      </c>
      <c r="AH126" s="86" t="str">
        <f t="shared" si="41"/>
        <v>"%USERPROFILE%\Documents\GitHub\eaglep3\Utilities\RefineRTDCRunTimes.py" --tripid 215-06 --locoid 4010 --swversion DE.1.0.9.0 --startMP 204:471 --initTime 2017-04-06T17:53:03 --startdatetime 2017-04-06T18:00:46 --delay 1 --endMP 204:233345 --enddatetime 2017-04-06T18:39:15 --enforcementcount 0 &gt;&gt;C:\Users\stu\Documents\GitHub\eaglep3-reporting\EC\2017-04-06-refined-times.txt</v>
      </c>
      <c r="AI126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{"issue":{"subject":"","project_id":79,"tracker_id":40,"status_id":1,"priority_id":2,"assigned_to_id":23,"start_date":"2017-04-06","description":"","custom_fields":[{"id":1,"name":"Subdivision","value":"EC"},{"id":4,"name":"Milepost","value":"23.3345"},{"id":17,"name":"Train ID","value":"215-06"},{"id":16,"name":"Locomotive ID","value":"4010"},{"id":130,"name":"Impact","value":""},{"id":150,"name":"Time of Event (Mountain Time)","value":"18:39:15"},{"id":151,"name":"Denver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3"/>
        <v>start /low /b %USERPROFILE%\Documents\GitHub\eaglep3\Utilities\DownloadLogsFromS3.py --loco 4010 --day 2017-04-06</v>
      </c>
      <c r="AN126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00:39:15"},{"id":29,"name":"Sharepoint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652</v>
      </c>
      <c r="B127" s="7">
        <v>4009</v>
      </c>
      <c r="C127" s="21" t="s">
        <v>216</v>
      </c>
      <c r="D127" s="21" t="s">
        <v>911</v>
      </c>
      <c r="E127" s="13">
        <v>42831.781284722223</v>
      </c>
      <c r="F127" s="13">
        <v>42831.789212962962</v>
      </c>
      <c r="G127" s="7">
        <v>1</v>
      </c>
      <c r="H127" s="21" t="s">
        <v>409</v>
      </c>
      <c r="I127" s="13">
        <v>42831.817175925928</v>
      </c>
      <c r="J127" s="7">
        <v>0</v>
      </c>
      <c r="K127" s="97" t="str">
        <f t="shared" si="30"/>
        <v>4009/4010</v>
      </c>
      <c r="L127" s="21" t="str">
        <f>VLOOKUP(A127,'Trips&amp;Operators'!$C$1:$G$99999,5,FALSE)</f>
        <v>STRICKLAND EVAN</v>
      </c>
      <c r="M127" s="6">
        <f t="shared" si="31"/>
        <v>2.7962962965830229E-2</v>
      </c>
      <c r="N127" s="7">
        <f t="shared" si="49"/>
        <v>40.26666667079553</v>
      </c>
      <c r="O127" s="7"/>
      <c r="P127" s="7"/>
      <c r="Q127" s="22"/>
      <c r="R127" s="22"/>
      <c r="S127" s="31">
        <f t="shared" si="46"/>
        <v>1</v>
      </c>
      <c r="T127" s="46" t="str">
        <f t="shared" si="32"/>
        <v>Southbound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3"/>
        <v>https://d0f6bd738d7f1b3e5a7ca70fe4ff75f0.us-east-1.aws.found.io/app/kibana#/discover/Steve-Slow-Train-Analysis-(2080s-and-2083s)?_g=(refreshInterval:(display:Off,pause:!f,section:0,value:0),time:(from:'2017-04-06T17:45:03-0600',mode:absolute,to:'2017-04-06T20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27" s="183" t="str">
        <f t="shared" si="34"/>
        <v>N</v>
      </c>
      <c r="X127" s="183">
        <f t="shared" si="48"/>
        <v>1</v>
      </c>
      <c r="Y127" s="62">
        <f t="shared" si="35"/>
        <v>23.3017</v>
      </c>
      <c r="Z127" s="62">
        <f t="shared" si="47"/>
        <v>1.3899999999999999E-2</v>
      </c>
      <c r="AA127" s="62">
        <f t="shared" si="36"/>
        <v>23.287800000000001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7"/>
        <v>0216-06</v>
      </c>
      <c r="AE127" s="85" t="str">
        <f t="shared" si="38"/>
        <v>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 &amp; 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</v>
      </c>
      <c r="AF127" s="82" t="str">
        <f t="shared" si="39"/>
        <v>"C:\Program Files (x86)\AstroGrep\AstroGrep.exe" /e /r /s /spath="%USERPROFILE%\AppData\Local\Temp\OnboardLogs" /stypes="app*4009*20170407*" /stext=" 01:.+((SYSTEM_STATE.+slice.+state.+changed )|(ment ac)|(multiple cpu faults)|(system.+state.+changed )|(\[timeout)|(PRM\|1\|D)|(kpr)|(kdp)|(\|lc)|(penalty))"</v>
      </c>
      <c r="AG127" s="1" t="str">
        <f t="shared" si="40"/>
        <v>EC</v>
      </c>
      <c r="AH127" s="86" t="str">
        <f t="shared" si="41"/>
        <v>"%USERPROFILE%\Documents\GitHub\eaglep3\Utilities\RefineRTDCRunTimes.py" --tripid 216-06 --locoid 4009 --swversion DE.1.0.9.0 --startMP 204:233017 --initTime 2017-04-06T18:45:03 --startdatetime 2017-04-06T18:56:28 --delay 1 --endMP 204:139 --enddatetime 2017-04-06T19:36:44 --enforcementcount 0 &gt;&gt;C:\Users\stu\Documents\GitHub\eaglep3-reporting\EC\2017-04-06-refined-times.txt</v>
      </c>
      <c r="AI127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{"issue":{"subject":"","project_id":79,"tracker_id":40,"status_id":1,"priority_id":2,"assigned_to_id":23,"start_date":"2017-04-06","description":"","custom_fields":[{"id":1,"name":"Subdivision","value":"EC"},{"id":4,"name":"Milepost","value":"0.0139"},{"id":17,"name":"Train ID","value":"216-06"},{"id":16,"name":"Locomotive ID","value":"4009"},{"id":130,"name":"Impact","value":""},{"id":150,"name":"Time of Event (Mountain Time)","value":"19:36:44"},{"id":151,"name":"Denver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3"/>
        <v>start /low /b %USERPROFILE%\Documents\GitHub\eaglep3\Utilities\DownloadLogsFromS3.py --loco 4009 --day 2017-04-06</v>
      </c>
      <c r="AN127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01:36:44"},{"id":29,"name":"Sharepoint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804</v>
      </c>
      <c r="B128" s="7">
        <v>4054</v>
      </c>
      <c r="C128" s="21" t="s">
        <v>216</v>
      </c>
      <c r="D128" s="21" t="s">
        <v>210</v>
      </c>
      <c r="E128" s="13">
        <v>42831.756828703707</v>
      </c>
      <c r="F128" s="13">
        <v>42831.760740740741</v>
      </c>
      <c r="G128" s="7">
        <v>2</v>
      </c>
      <c r="H128" s="21" t="s">
        <v>568</v>
      </c>
      <c r="I128" s="13">
        <v>42831.787060185183</v>
      </c>
      <c r="J128" s="7">
        <v>0</v>
      </c>
      <c r="K128" s="97" t="str">
        <f t="shared" si="30"/>
        <v>4053/4054</v>
      </c>
      <c r="L128" s="21" t="str">
        <f>VLOOKUP(A128,'Trips&amp;Operators'!$C$1:$G$99999,5,FALSE)</f>
        <v>WHITED DUSTIN</v>
      </c>
      <c r="M128" s="6">
        <f t="shared" si="31"/>
        <v>2.6319444441469386E-2</v>
      </c>
      <c r="N128" s="7">
        <f t="shared" si="49"/>
        <v>37.899999995715916</v>
      </c>
      <c r="O128" s="7"/>
      <c r="P128" s="7"/>
      <c r="Q128" s="22"/>
      <c r="R128" s="22"/>
      <c r="S128" s="31">
        <f t="shared" si="46"/>
        <v>1</v>
      </c>
      <c r="T128" s="46" t="str">
        <f t="shared" si="32"/>
        <v>NorthBound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3"/>
        <v>https://d0f6bd738d7f1b3e5a7ca70fe4ff75f0.us-east-1.aws.found.io/app/kibana#/discover/Steve-Slow-Train-Analysis-(2080s-and-2083s)?_g=(refreshInterval:(display:Off,pause:!f,section:0,value:0),time:(from:'2017-04-06T17:09:50-0600',mode:absolute,to:'2017-04-06T19:53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8" s="183" t="str">
        <f t="shared" si="34"/>
        <v>N</v>
      </c>
      <c r="X128" s="183">
        <f t="shared" si="48"/>
        <v>1</v>
      </c>
      <c r="Y128" s="62">
        <f t="shared" si="35"/>
        <v>4.53E-2</v>
      </c>
      <c r="Z128" s="62">
        <f t="shared" si="47"/>
        <v>23.3353</v>
      </c>
      <c r="AA128" s="62">
        <f t="shared" si="36"/>
        <v>23.29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7"/>
        <v>0217-06</v>
      </c>
      <c r="AE128" s="85" t="str">
        <f t="shared" si="38"/>
        <v>aws s3 cp s3://rtdc.mdm.uploadarchive.raw/RTDC4054/ "%USERPROFILE%\AppData\Local\Temp\OnboardLogs"\RTDC4054\2017-04-06 --exclude "*" --recursive --include "*20170406*" &amp; "%USERPROFILE%\Documents\GitHub\mrs-test-scripts\Headless Mode &amp; Sideloading\WalkAndUnGZ.bat" "%USERPROFILE%\AppData\Local\Temp\OnboardLogs"\RTDC4054\2017-04-06 &amp; aws s3 cp s3://rtdc.mdm.uploadarchive.raw/RTDC4054/ "%USERPROFILE%\AppData\Local\Temp\OnboardLogs"\RTDC4054\2017-04-07 --exclude "*" --recursive --include "*20170407*" &amp; "%USERPROFILE%\Documents\GitHub\mrs-test-scripts\Headless Mode &amp; Sideloading\WalkAndUnGZ.bat" "%USERPROFILE%\AppData\Local\Temp\OnboardLogs"\RTDC4054\2017-04-07</v>
      </c>
      <c r="AF128" s="82" t="str">
        <f t="shared" si="39"/>
        <v>"C:\Program Files (x86)\AstroGrep\AstroGrep.exe" /e /r /s /spath="%USERPROFILE%\AppData\Local\Temp\OnboardLogs" /stypes="app*4054*20170407*" /stext=" 00:.+((SYSTEM_STATE.+slice.+state.+changed )|(ment ac)|(multiple cpu faults)|(system.+state.+changed )|(\[timeout)|(PRM\|1\|D)|(kpr)|(kdp)|(\|lc)|(penalty))"</v>
      </c>
      <c r="AG128" s="1" t="str">
        <f t="shared" si="40"/>
        <v>EC</v>
      </c>
      <c r="AH128" s="86" t="str">
        <f t="shared" si="41"/>
        <v>"%USERPROFILE%\Documents\GitHub\eaglep3\Utilities\RefineRTDCRunTimes.py" --tripid 217-06 --locoid 4054 --swversion DE.1.0.9.0 --startMP 204:453 --initTime 2017-04-06T18:09:50 --startdatetime 2017-04-06T18:15:28 --delay 2 --endMP 204:233353 --enddatetime 2017-04-06T18:53:22 --enforcementcount 0 &gt;&gt;C:\Users\stu\Documents\GitHub\eaglep3-reporting\EC\2017-04-06-refined-times.txt</v>
      </c>
      <c r="AI128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{"issue":{"subject":"","project_id":79,"tracker_id":40,"status_id":1,"priority_id":2,"assigned_to_id":23,"start_date":"2017-04-06","description":"","custom_fields":[{"id":1,"name":"Subdivision","value":"EC"},{"id":4,"name":"Milepost","value":"23.3353"},{"id":17,"name":"Train ID","value":"217-06"},{"id":16,"name":"Locomotive ID","value":"4054"},{"id":130,"name":"Impact","value":""},{"id":150,"name":"Time of Event (Mountain Time)","value":"18:53:22"},{"id":151,"name":"Denver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3"/>
        <v>start /low /b %USERPROFILE%\Documents\GitHub\eaglep3\Utilities\DownloadLogsFromS3.py --loco 4054 --day 2017-04-06</v>
      </c>
      <c r="AN128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00:53:22"},{"id":29,"name":"Sharepoint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654</v>
      </c>
      <c r="B129" s="7">
        <v>4053</v>
      </c>
      <c r="C129" s="21" t="s">
        <v>216</v>
      </c>
      <c r="D129" s="21" t="s">
        <v>520</v>
      </c>
      <c r="E129" s="13">
        <v>42831.792557870373</v>
      </c>
      <c r="F129" s="13">
        <v>42831.799583333333</v>
      </c>
      <c r="G129" s="7">
        <v>1</v>
      </c>
      <c r="H129" s="21" t="s">
        <v>412</v>
      </c>
      <c r="I129" s="13">
        <v>42831.82671296296</v>
      </c>
      <c r="J129" s="7">
        <v>0</v>
      </c>
      <c r="K129" s="97" t="str">
        <f t="shared" si="30"/>
        <v>4053/4054</v>
      </c>
      <c r="L129" s="21" t="str">
        <f>VLOOKUP(A129,'Trips&amp;Operators'!$C$1:$G$99999,5,FALSE)</f>
        <v>WHITED DUSTIN</v>
      </c>
      <c r="M129" s="6">
        <f t="shared" si="31"/>
        <v>2.7129629626870155E-2</v>
      </c>
      <c r="N129" s="7">
        <f t="shared" si="49"/>
        <v>39.066666662693024</v>
      </c>
      <c r="O129" s="7"/>
      <c r="P129" s="7"/>
      <c r="Q129" s="22"/>
      <c r="R129" s="22"/>
      <c r="S129" s="31">
        <f t="shared" si="46"/>
        <v>1</v>
      </c>
      <c r="T129" s="46" t="str">
        <f t="shared" si="32"/>
        <v>Southbound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3"/>
        <v>https://d0f6bd738d7f1b3e5a7ca70fe4ff75f0.us-east-1.aws.found.io/app/kibana#/discover/Steve-Slow-Train-Analysis-(2080s-and-2083s)?_g=(refreshInterval:(display:Off,pause:!f,section:0,value:0),time:(from:'2017-04-06T18:01:17-0600',mode:absolute,to:'2017-04-06T20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9" s="183" t="str">
        <f t="shared" si="34"/>
        <v>N</v>
      </c>
      <c r="X129" s="183">
        <f t="shared" si="48"/>
        <v>1</v>
      </c>
      <c r="Y129" s="62">
        <f t="shared" si="35"/>
        <v>23.302700000000002</v>
      </c>
      <c r="Z129" s="62">
        <f t="shared" si="47"/>
        <v>1.6299999999999999E-2</v>
      </c>
      <c r="AA129" s="62">
        <f t="shared" si="36"/>
        <v>23.2864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7"/>
        <v>0218-06</v>
      </c>
      <c r="AE129" s="85" t="str">
        <f t="shared" si="38"/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AF129" s="82" t="str">
        <f t="shared" si="39"/>
        <v>"C:\Program Files (x86)\AstroGrep\AstroGrep.exe" /e /r /s /spath="%USERPROFILE%\AppData\Local\Temp\OnboardLogs" /stypes="app*4053*20170407*" /stext=" 01:.+((SYSTEM_STATE.+slice.+state.+changed )|(ment ac)|(multiple cpu faults)|(system.+state.+changed )|(\[timeout)|(PRM\|1\|D)|(kpr)|(kdp)|(\|lc)|(penalty))"</v>
      </c>
      <c r="AG129" s="1" t="str">
        <f t="shared" si="40"/>
        <v>EC</v>
      </c>
      <c r="AH129" s="86" t="str">
        <f t="shared" si="41"/>
        <v>"%USERPROFILE%\Documents\GitHub\eaglep3\Utilities\RefineRTDCRunTimes.py" --tripid 218-06 --locoid 4053 --swversion DE.1.0.9.0 --startMP 204:233027 --initTime 2017-04-06T19:01:17 --startdatetime 2017-04-06T19:11:24 --delay 1 --endMP 204:163 --enddatetime 2017-04-06T19:50:28 --enforcementcount 0 &gt;&gt;C:\Users\stu\Documents\GitHub\eaglep3-reporting\EC\2017-04-06-refined-times.txt</v>
      </c>
      <c r="AI129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{"issue":{"subject":"","project_id":79,"tracker_id":40,"status_id":1,"priority_id":2,"assigned_to_id":23,"start_date":"2017-04-06","description":"","custom_fields":[{"id":1,"name":"Subdivision","value":"EC"},{"id":4,"name":"Milepost","value":"0.0163"},{"id":17,"name":"Train ID","value":"218-06"},{"id":16,"name":"Locomotive ID","value":"4053"},{"id":130,"name":"Impact","value":""},{"id":150,"name":"Time of Event (Mountain Time)","value":"19:50:28"},{"id":151,"name":"Denver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3"/>
        <v>start /low /b %USERPROFILE%\Documents\GitHub\eaglep3\Utilities\DownloadLogsFromS3.py --loco 4053 --day 2017-04-06</v>
      </c>
      <c r="AN129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01:50:28"},{"id":29,"name":"Sharepoint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807</v>
      </c>
      <c r="B130" s="7">
        <v>4042</v>
      </c>
      <c r="C130" s="21" t="s">
        <v>216</v>
      </c>
      <c r="D130" s="21" t="s">
        <v>438</v>
      </c>
      <c r="E130" s="13">
        <v>42831.766134259262</v>
      </c>
      <c r="F130" s="13">
        <v>42831.771261574075</v>
      </c>
      <c r="G130" s="7">
        <v>1</v>
      </c>
      <c r="H130" s="21" t="s">
        <v>912</v>
      </c>
      <c r="I130" s="13">
        <v>42831.79760416667</v>
      </c>
      <c r="J130" s="7">
        <v>0</v>
      </c>
      <c r="K130" s="97" t="str">
        <f t="shared" si="30"/>
        <v>4041/4042</v>
      </c>
      <c r="L130" s="21" t="str">
        <f>VLOOKUP(A130,'Trips&amp;Operators'!$C$1:$G$99999,5,FALSE)</f>
        <v>SWANSON BRYCE</v>
      </c>
      <c r="M130" s="6">
        <f t="shared" si="31"/>
        <v>2.6342592595028691E-2</v>
      </c>
      <c r="N130" s="7">
        <f t="shared" si="49"/>
        <v>37.933333336841315</v>
      </c>
      <c r="O130" s="7"/>
      <c r="P130" s="7"/>
      <c r="Q130" s="22"/>
      <c r="R130" s="22"/>
      <c r="S130" s="31">
        <f t="shared" si="46"/>
        <v>1</v>
      </c>
      <c r="T130" s="46" t="str">
        <f t="shared" si="32"/>
        <v>NorthBound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3"/>
        <v>https://d0f6bd738d7f1b3e5a7ca70fe4ff75f0.us-east-1.aws.found.io/app/kibana#/discover/Steve-Slow-Train-Analysis-(2080s-and-2083s)?_g=(refreshInterval:(display:Off,pause:!f,section:0,value:0),time:(from:'2017-04-06T17:23:14-0600',mode:absolute,to:'2017-04-06T20:08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0" s="183" t="str">
        <f t="shared" si="34"/>
        <v>N</v>
      </c>
      <c r="X130" s="183">
        <f t="shared" si="48"/>
        <v>1</v>
      </c>
      <c r="Y130" s="62">
        <f t="shared" si="35"/>
        <v>4.6600000000000003E-2</v>
      </c>
      <c r="Z130" s="62">
        <f t="shared" si="47"/>
        <v>23.334299999999999</v>
      </c>
      <c r="AA130" s="62">
        <f t="shared" si="36"/>
        <v>23.287699999999997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7"/>
        <v>0219-06</v>
      </c>
      <c r="AE130" s="85" t="str">
        <f t="shared" si="38"/>
        <v>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 &amp; 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</v>
      </c>
      <c r="AF130" s="82" t="str">
        <f t="shared" si="39"/>
        <v>"C:\Program Files (x86)\AstroGrep\AstroGrep.exe" /e /r /s /spath="%USERPROFILE%\AppData\Local\Temp\OnboardLogs" /stypes="app*4042*20170407*" /stext=" 01:.+((SYSTEM_STATE.+slice.+state.+changed )|(ment ac)|(multiple cpu faults)|(system.+state.+changed )|(\[timeout)|(PRM\|1\|D)|(kpr)|(kdp)|(\|lc)|(penalty))"</v>
      </c>
      <c r="AG130" s="1" t="str">
        <f t="shared" si="40"/>
        <v>EC</v>
      </c>
      <c r="AH130" s="86" t="str">
        <f t="shared" si="41"/>
        <v>"%USERPROFILE%\Documents\GitHub\eaglep3\Utilities\RefineRTDCRunTimes.py" --tripid 219-06 --locoid 4042 --swversion DE.1.0.9.0 --startMP 204:466 --initTime 2017-04-06T18:23:14 --startdatetime 2017-04-06T18:30:37 --delay 1 --endMP 204:233343 --enddatetime 2017-04-06T19:08:33 --enforcementcount 0 &gt;&gt;C:\Users\stu\Documents\GitHub\eaglep3-reporting\EC\2017-04-06-refined-times.txt</v>
      </c>
      <c r="AI130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{"issue":{"subject":"","project_id":79,"tracker_id":40,"status_id":1,"priority_id":2,"assigned_to_id":23,"start_date":"2017-04-06","description":"","custom_fields":[{"id":1,"name":"Subdivision","value":"EC"},{"id":4,"name":"Milepost","value":"23.3343"},{"id":17,"name":"Train ID","value":"219-06"},{"id":16,"name":"Locomotive ID","value":"4042"},{"id":130,"name":"Impact","value":""},{"id":150,"name":"Time of Event (Mountain Time)","value":"19:08:33"},{"id":151,"name":"Denver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3"/>
        <v>start /low /b %USERPROFILE%\Documents\GitHub\eaglep3\Utilities\DownloadLogsFromS3.py --loco 4042 --day 2017-04-06</v>
      </c>
      <c r="AN130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01:08:33"},{"id":29,"name":"Sharepoint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815</v>
      </c>
      <c r="B131" s="7">
        <v>4041</v>
      </c>
      <c r="C131" s="21" t="s">
        <v>216</v>
      </c>
      <c r="D131" s="21" t="s">
        <v>913</v>
      </c>
      <c r="E131" s="13">
        <v>42831.804456018515</v>
      </c>
      <c r="F131" s="13">
        <v>42831.809988425928</v>
      </c>
      <c r="G131" s="7">
        <v>1</v>
      </c>
      <c r="H131" s="21" t="s">
        <v>198</v>
      </c>
      <c r="I131" s="13">
        <v>42831.838773148149</v>
      </c>
      <c r="J131" s="7">
        <v>0</v>
      </c>
      <c r="K131" s="97" t="str">
        <f t="shared" si="30"/>
        <v>4041/4042</v>
      </c>
      <c r="L131" s="21" t="str">
        <f>VLOOKUP(A131,'Trips&amp;Operators'!$C$1:$G$99999,5,FALSE)</f>
        <v>SWANSON BRYCE</v>
      </c>
      <c r="M131" s="6">
        <f t="shared" si="31"/>
        <v>2.8784722220734693E-2</v>
      </c>
      <c r="N131" s="7">
        <f t="shared" si="49"/>
        <v>41.449999997857958</v>
      </c>
      <c r="O131" s="7"/>
      <c r="P131" s="7"/>
      <c r="Q131" s="22"/>
      <c r="R131" s="22"/>
      <c r="S131" s="31">
        <f t="shared" si="46"/>
        <v>1</v>
      </c>
      <c r="T131" s="46" t="str">
        <f t="shared" si="32"/>
        <v>Southbound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3"/>
        <v>https://d0f6bd738d7f1b3e5a7ca70fe4ff75f0.us-east-1.aws.found.io/app/kibana#/discover/Steve-Slow-Train-Analysis-(2080s-and-2083s)?_g=(refreshInterval:(display:Off,pause:!f,section:0,value:0),time:(from:'2017-04-06T18:18:25-0600',mode:absolute,to:'2017-04-06T21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1" s="183" t="str">
        <f t="shared" si="34"/>
        <v>N</v>
      </c>
      <c r="X131" s="183">
        <f t="shared" si="48"/>
        <v>1</v>
      </c>
      <c r="Y131" s="62">
        <f t="shared" si="35"/>
        <v>23.304400000000001</v>
      </c>
      <c r="Z131" s="62">
        <f t="shared" si="47"/>
        <v>1.52E-2</v>
      </c>
      <c r="AA131" s="62">
        <f t="shared" si="36"/>
        <v>23.289200000000001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7"/>
        <v>0220-06</v>
      </c>
      <c r="AE131" s="85" t="str">
        <f t="shared" si="38"/>
        <v>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 &amp; aws s3 cp s3://rtdc.mdm.uploadarchive.raw/RTDC4041/ "%USERPROFILE%\AppData\Local\Temp\OnboardLogs"\RTDC4041\2017-04-07 --exclude "*" --recursive --include "*20170407*" &amp; "%USERPROFILE%\Documents\GitHub\mrs-test-scripts\Headless Mode &amp; Sideloading\WalkAndUnGZ.bat" "%USERPROFILE%\AppData\Local\Temp\OnboardLogs"\RTDC4041\2017-04-07</v>
      </c>
      <c r="AF131" s="82" t="str">
        <f t="shared" si="39"/>
        <v>"C:\Program Files (x86)\AstroGrep\AstroGrep.exe" /e /r /s /spath="%USERPROFILE%\AppData\Local\Temp\OnboardLogs" /stypes="app*4041*20170407*" /stext=" 02:.+((SYSTEM_STATE.+slice.+state.+changed )|(ment ac)|(multiple cpu faults)|(system.+state.+changed )|(\[timeout)|(PRM\|1\|D)|(kpr)|(kdp)|(\|lc)|(penalty))"</v>
      </c>
      <c r="AG131" s="1" t="str">
        <f t="shared" si="40"/>
        <v>EC</v>
      </c>
      <c r="AH131" s="86" t="str">
        <f t="shared" si="41"/>
        <v>"%USERPROFILE%\Documents\GitHub\eaglep3\Utilities\RefineRTDCRunTimes.py" --tripid 220-06 --locoid 4041 --swversion DE.1.0.9.0 --startMP 204:233044 --initTime 2017-04-06T19:18:25 --startdatetime 2017-04-06T19:26:23 --delay 1 --endMP 204:152 --enddatetime 2017-04-06T20:07:50 --enforcementcount 0 &gt;&gt;C:\Users\stu\Documents\GitHub\eaglep3-reporting\EC\2017-04-06-refined-times.txt</v>
      </c>
      <c r="AI131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{"issue":{"subject":"","project_id":79,"tracker_id":40,"status_id":1,"priority_id":2,"assigned_to_id":23,"start_date":"2017-04-06","description":"","custom_fields":[{"id":1,"name":"Subdivision","value":"EC"},{"id":4,"name":"Milepost","value":"0.0152"},{"id":17,"name":"Train ID","value":"220-06"},{"id":16,"name":"Locomotive ID","value":"4041"},{"id":130,"name":"Impact","value":""},{"id":150,"name":"Time of Event (Mountain Time)","value":"20:07:50"},{"id":151,"name":"Denver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3"/>
        <v>start /low /b %USERPROFILE%\Documents\GitHub\eaglep3\Utilities\DownloadLogsFromS3.py --loco 4041 --day 2017-04-06</v>
      </c>
      <c r="AN131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02:07:50"},{"id":29,"name":"Sharepoint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653</v>
      </c>
      <c r="B132" s="7">
        <v>4004</v>
      </c>
      <c r="C132" s="21" t="s">
        <v>216</v>
      </c>
      <c r="D132" s="21" t="s">
        <v>438</v>
      </c>
      <c r="E132" s="13">
        <v>42831.790833333333</v>
      </c>
      <c r="F132" s="13">
        <v>42831.792326388888</v>
      </c>
      <c r="G132" s="7">
        <v>0</v>
      </c>
      <c r="H132" s="21" t="s">
        <v>914</v>
      </c>
      <c r="I132" s="13">
        <v>42831.818090277775</v>
      </c>
      <c r="J132" s="7">
        <v>0</v>
      </c>
      <c r="K132" s="97" t="str">
        <f t="shared" si="30"/>
        <v>4003/4004</v>
      </c>
      <c r="L132" s="21" t="str">
        <f>VLOOKUP(A132,'Trips&amp;Operators'!$C$1:$G$99999,5,FALSE)</f>
        <v>CHANDLER KELVIN</v>
      </c>
      <c r="M132" s="6">
        <f t="shared" si="31"/>
        <v>2.5763888887013309E-2</v>
      </c>
      <c r="N132" s="7">
        <f t="shared" si="49"/>
        <v>37.099999997299165</v>
      </c>
      <c r="O132" s="7"/>
      <c r="P132" s="7"/>
      <c r="Q132" s="22"/>
      <c r="R132" s="22"/>
      <c r="S132" s="31">
        <f t="shared" si="46"/>
        <v>1</v>
      </c>
      <c r="T132" s="46" t="str">
        <f t="shared" si="32"/>
        <v>NorthBound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3"/>
        <v>https://d0f6bd738d7f1b3e5a7ca70fe4ff75f0.us-east-1.aws.found.io/app/kibana#/discover/Steve-Slow-Train-Analysis-(2080s-and-2083s)?_g=(refreshInterval:(display:Off,pause:!f,section:0,value:0),time:(from:'2017-04-06T17:58:48-0600',mode:absolute,to:'2017-04-06T20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2" s="183" t="str">
        <f t="shared" si="34"/>
        <v>N</v>
      </c>
      <c r="X132" s="183">
        <f t="shared" si="48"/>
        <v>1</v>
      </c>
      <c r="Y132" s="62">
        <f t="shared" si="35"/>
        <v>4.6600000000000003E-2</v>
      </c>
      <c r="Z132" s="62">
        <f t="shared" si="47"/>
        <v>23.323</v>
      </c>
      <c r="AA132" s="62">
        <f t="shared" si="36"/>
        <v>23.276399999999999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7"/>
        <v>0221-06</v>
      </c>
      <c r="AE132" s="85" t="str">
        <f t="shared" si="38"/>
        <v>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 &amp; aws s3 cp s3://rtdc.mdm.uploadarchive.raw/RTDC4004/ "%USERPROFILE%\AppData\Local\Temp\OnboardLogs"\RTDC4004\2017-04-07 --exclude "*" --recursive --include "*20170407*" &amp; "%USERPROFILE%\Documents\GitHub\mrs-test-scripts\Headless Mode &amp; Sideloading\WalkAndUnGZ.bat" "%USERPROFILE%\AppData\Local\Temp\OnboardLogs"\RTDC4004\2017-04-07</v>
      </c>
      <c r="AF132" s="82" t="str">
        <f t="shared" si="39"/>
        <v>"C:\Program Files (x86)\AstroGrep\AstroGrep.exe" /e /r /s /spath="%USERPROFILE%\AppData\Local\Temp\OnboardLogs" /stypes="app*4004*20170407*" /stext=" 01:.+((SYSTEM_STATE.+slice.+state.+changed )|(ment ac)|(multiple cpu faults)|(system.+state.+changed )|(\[timeout)|(PRM\|1\|D)|(kpr)|(kdp)|(\|lc)|(penalty))"</v>
      </c>
      <c r="AG132" s="1" t="str">
        <f t="shared" si="40"/>
        <v>EC</v>
      </c>
      <c r="AH132" s="86" t="str">
        <f t="shared" si="41"/>
        <v>"%USERPROFILE%\Documents\GitHub\eaglep3\Utilities\RefineRTDCRunTimes.py" --tripid 221-06 --locoid 4004 --swversion DE.1.0.9.0 --startMP 204:466 --initTime 2017-04-06T18:58:48 --startdatetime 2017-04-06T19:00:57 --delay 0 --endMP 204:233230 --enddatetime 2017-04-06T19:38:03 --enforcementcount 0 &gt;&gt;C:\Users\stu\Documents\GitHub\eaglep3-reporting\EC\2017-04-06-refined-times.txt</v>
      </c>
      <c r="AI132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{"issue":{"subject":"","project_id":79,"tracker_id":40,"status_id":1,"priority_id":2,"assigned_to_id":23,"start_date":"2017-04-06","description":"","custom_fields":[{"id":1,"name":"Subdivision","value":"EC"},{"id":4,"name":"Milepost","value":"23.323"},{"id":17,"name":"Train ID","value":"221-06"},{"id":16,"name":"Locomotive ID","value":"4004"},{"id":130,"name":"Impact","value":""},{"id":150,"name":"Time of Event (Mountain Time)","value":"19:38:03"},{"id":151,"name":"Denver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3"/>
        <v>start /low /b %USERPROFILE%\Documents\GitHub\eaglep3\Utilities\DownloadLogsFromS3.py --loco 4004 --day 2017-04-06</v>
      </c>
      <c r="AN132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01:38:03"},{"id":29,"name":"Sharepoint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824</v>
      </c>
      <c r="B133" s="7">
        <v>4003</v>
      </c>
      <c r="C133" s="21" t="s">
        <v>216</v>
      </c>
      <c r="D133" s="21" t="s">
        <v>915</v>
      </c>
      <c r="E133" s="13">
        <v>42831.82980324074</v>
      </c>
      <c r="F133" s="13">
        <v>42831.830833333333</v>
      </c>
      <c r="G133" s="7">
        <v>1</v>
      </c>
      <c r="H133" s="21" t="s">
        <v>437</v>
      </c>
      <c r="I133" s="13">
        <v>42831.858460648145</v>
      </c>
      <c r="J133" s="7">
        <v>0</v>
      </c>
      <c r="K133" s="97" t="str">
        <f t="shared" si="30"/>
        <v>4003/4004</v>
      </c>
      <c r="L133" s="21" t="str">
        <f>VLOOKUP(A133,'Trips&amp;Operators'!$C$1:$G$99999,5,FALSE)</f>
        <v>CHANDLER KELVIN</v>
      </c>
      <c r="M133" s="6">
        <f t="shared" si="31"/>
        <v>2.7627314811979886E-2</v>
      </c>
      <c r="N133" s="7">
        <f t="shared" si="49"/>
        <v>39.783333329251036</v>
      </c>
      <c r="O133" s="7"/>
      <c r="P133" s="7"/>
      <c r="Q133" s="22"/>
      <c r="R133" s="22"/>
      <c r="S133" s="31">
        <f t="shared" si="46"/>
        <v>1</v>
      </c>
      <c r="T133" s="46" t="str">
        <f t="shared" si="32"/>
        <v>Southbound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3"/>
        <v>https://d0f6bd738d7f1b3e5a7ca70fe4ff75f0.us-east-1.aws.found.io/app/kibana#/discover/Steve-Slow-Train-Analysis-(2080s-and-2083s)?_g=(refreshInterval:(display:Off,pause:!f,section:0,value:0),time:(from:'2017-04-06T18:54:55-0600',mode:absolute,to:'2017-04-06T21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3" s="183" t="str">
        <f t="shared" si="34"/>
        <v>N</v>
      </c>
      <c r="X133" s="183">
        <f t="shared" si="48"/>
        <v>1</v>
      </c>
      <c r="Y133" s="62">
        <f t="shared" si="35"/>
        <v>23.294</v>
      </c>
      <c r="Z133" s="62">
        <f t="shared" si="47"/>
        <v>1.4500000000000001E-2</v>
      </c>
      <c r="AA133" s="62">
        <f t="shared" si="36"/>
        <v>23.279499999999999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7"/>
        <v>0222-06</v>
      </c>
      <c r="AE133" s="85" t="str">
        <f t="shared" si="38"/>
        <v>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 &amp; aws s3 cp s3://rtdc.mdm.uploadarchive.raw/RTDC4003/ "%USERPROFILE%\AppData\Local\Temp\OnboardLogs"\RTDC4003\2017-04-07 --exclude "*" --recursive --include "*20170407*" &amp; "%USERPROFILE%\Documents\GitHub\mrs-test-scripts\Headless Mode &amp; Sideloading\WalkAndUnGZ.bat" "%USERPROFILE%\AppData\Local\Temp\OnboardLogs"\RTDC4003\2017-04-07</v>
      </c>
      <c r="AF133" s="82" t="str">
        <f t="shared" si="39"/>
        <v>"C:\Program Files (x86)\AstroGrep\AstroGrep.exe" /e /r /s /spath="%USERPROFILE%\AppData\Local\Temp\OnboardLogs" /stypes="app*4003*20170407*" /stext=" 02:.+((SYSTEM_STATE.+slice.+state.+changed )|(ment ac)|(multiple cpu faults)|(system.+state.+changed )|(\[timeout)|(PRM\|1\|D)|(kpr)|(kdp)|(\|lc)|(penalty))"</v>
      </c>
      <c r="AG133" s="1" t="str">
        <f t="shared" si="40"/>
        <v>EC</v>
      </c>
      <c r="AH133" s="86" t="str">
        <f t="shared" si="41"/>
        <v>"%USERPROFILE%\Documents\GitHub\eaglep3\Utilities\RefineRTDCRunTimes.py" --tripid 222-06 --locoid 4003 --swversion DE.1.0.9.0 --startMP 204:232940 --initTime 2017-04-06T19:54:55 --startdatetime 2017-04-06T19:56:24 --delay 1 --endMP 204:145 --enddatetime 2017-04-06T20:36:11 --enforcementcount 0 &gt;&gt;C:\Users\stu\Documents\GitHub\eaglep3-reporting\EC\2017-04-06-refined-times.txt</v>
      </c>
      <c r="AI133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{"issue":{"subject":"","project_id":79,"tracker_id":40,"status_id":1,"priority_id":2,"assigned_to_id":23,"start_date":"2017-04-06","description":"","custom_fields":[{"id":1,"name":"Subdivision","value":"EC"},{"id":4,"name":"Milepost","value":"0.0145"},{"id":17,"name":"Train ID","value":"222-06"},{"id":16,"name":"Locomotive ID","value":"4003"},{"id":130,"name":"Impact","value":""},{"id":150,"name":"Time of Event (Mountain Time)","value":"20:36:11"},{"id":151,"name":"Denver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3"/>
        <v>start /low /b %USERPROFILE%\Documents\GitHub\eaglep3\Utilities\DownloadLogsFromS3.py --loco 4003 --day 2017-04-06</v>
      </c>
      <c r="AN133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02:36:11"},{"id":29,"name":"Sharepoint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816</v>
      </c>
      <c r="B134" s="7">
        <v>4044</v>
      </c>
      <c r="C134" s="21" t="s">
        <v>216</v>
      </c>
      <c r="D134" s="21" t="s">
        <v>422</v>
      </c>
      <c r="E134" s="13">
        <v>42831.808009259257</v>
      </c>
      <c r="F134" s="13">
        <v>42831.812650462962</v>
      </c>
      <c r="G134" s="7">
        <v>1</v>
      </c>
      <c r="H134" s="21" t="s">
        <v>517</v>
      </c>
      <c r="I134" s="13">
        <v>42831.838518518518</v>
      </c>
      <c r="J134" s="7">
        <v>0</v>
      </c>
      <c r="K134" s="97" t="str">
        <f t="shared" si="30"/>
        <v>4043/4044</v>
      </c>
      <c r="L134" s="21" t="str">
        <f>VLOOKUP(A134,'Trips&amp;Operators'!$C$1:$G$99999,5,FALSE)</f>
        <v>NEWELL JAMES</v>
      </c>
      <c r="M134" s="6">
        <f t="shared" si="31"/>
        <v>2.5868055556202307E-2</v>
      </c>
      <c r="N134" s="7">
        <f t="shared" si="49"/>
        <v>37.250000000931323</v>
      </c>
      <c r="O134" s="7"/>
      <c r="P134" s="7"/>
      <c r="Q134" s="22"/>
      <c r="R134" s="22"/>
      <c r="S134" s="31">
        <f t="shared" si="46"/>
        <v>1</v>
      </c>
      <c r="T134" s="46" t="str">
        <f t="shared" si="32"/>
        <v>NorthBound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3"/>
        <v>https://d0f6bd738d7f1b3e5a7ca70fe4ff75f0.us-east-1.aws.found.io/app/kibana#/discover/Steve-Slow-Train-Analysis-(2080s-and-2083s)?_g=(refreshInterval:(display:Off,pause:!f,section:0,value:0),time:(from:'2017-04-06T18:23:32-0600',mode:absolute,to:'2017-04-06T21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4" s="183" t="str">
        <f t="shared" si="34"/>
        <v>N</v>
      </c>
      <c r="X134" s="183">
        <f t="shared" si="48"/>
        <v>1</v>
      </c>
      <c r="Y134" s="62">
        <f t="shared" si="35"/>
        <v>4.3999999999999997E-2</v>
      </c>
      <c r="Z134" s="62">
        <f t="shared" si="47"/>
        <v>23.331199999999999</v>
      </c>
      <c r="AA134" s="62">
        <f t="shared" si="36"/>
        <v>23.287199999999999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7"/>
        <v>0223-06</v>
      </c>
      <c r="AE134" s="85" t="str">
        <f t="shared" si="38"/>
        <v>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 &amp; 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</v>
      </c>
      <c r="AF134" s="82" t="str">
        <f t="shared" si="39"/>
        <v>"C:\Program Files (x86)\AstroGrep\AstroGrep.exe" /e /r /s /spath="%USERPROFILE%\AppData\Local\Temp\OnboardLogs" /stypes="app*4044*20170407*" /stext=" 02:.+((SYSTEM_STATE.+slice.+state.+changed )|(ment ac)|(multiple cpu faults)|(system.+state.+changed )|(\[timeout)|(PRM\|1\|D)|(kpr)|(kdp)|(\|lc)|(penalty))"</v>
      </c>
      <c r="AG134" s="1" t="str">
        <f t="shared" si="40"/>
        <v>EC</v>
      </c>
      <c r="AH134" s="86" t="str">
        <f t="shared" si="41"/>
        <v>"%USERPROFILE%\Documents\GitHub\eaglep3\Utilities\RefineRTDCRunTimes.py" --tripid 223-06 --locoid 4044 --swversion DE.1.0.9.0 --startMP 204:440 --initTime 2017-04-06T19:23:32 --startdatetime 2017-04-06T19:30:13 --delay 1 --endMP 204:233312 --enddatetime 2017-04-06T20:07:28 --enforcementcount 0 &gt;&gt;C:\Users\stu\Documents\GitHub\eaglep3-reporting\EC\2017-04-06-refined-times.txt</v>
      </c>
      <c r="AI134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{"issue":{"subject":"","project_id":79,"tracker_id":40,"status_id":1,"priority_id":2,"assigned_to_id":23,"start_date":"2017-04-06","description":"","custom_fields":[{"id":1,"name":"Subdivision","value":"EC"},{"id":4,"name":"Milepost","value":"23.3312"},{"id":17,"name":"Train ID","value":"223-06"},{"id":16,"name":"Locomotive ID","value":"4044"},{"id":130,"name":"Impact","value":""},{"id":150,"name":"Time of Event (Mountain Time)","value":"20:07:28"},{"id":151,"name":"Denver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3"/>
        <v>start /low /b %USERPROFILE%\Documents\GitHub\eaglep3\Utilities\DownloadLogsFromS3.py --loco 4044 --day 2017-04-06</v>
      </c>
      <c r="AN134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02:07:28"},{"id":29,"name":"Sharepoint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825</v>
      </c>
      <c r="B135" s="7">
        <v>4043</v>
      </c>
      <c r="C135" s="21" t="s">
        <v>216</v>
      </c>
      <c r="D135" s="21" t="s">
        <v>423</v>
      </c>
      <c r="E135" s="13">
        <v>42831.840127314812</v>
      </c>
      <c r="F135" s="13">
        <v>42831.851539351854</v>
      </c>
      <c r="G135" s="7">
        <v>1</v>
      </c>
      <c r="H135" s="21" t="s">
        <v>412</v>
      </c>
      <c r="I135" s="13">
        <v>42831.878020833334</v>
      </c>
      <c r="J135" s="7">
        <v>0</v>
      </c>
      <c r="K135" s="97" t="str">
        <f t="shared" si="30"/>
        <v>4043/4044</v>
      </c>
      <c r="L135" s="21" t="str">
        <f>VLOOKUP(A135,'Trips&amp;Operators'!$C$1:$G$99999,5,FALSE)</f>
        <v>NEWELL JAMES</v>
      </c>
      <c r="M135" s="6">
        <f t="shared" si="31"/>
        <v>2.6481481480004732E-2</v>
      </c>
      <c r="N135" s="7">
        <f t="shared" si="49"/>
        <v>38.133333331206813</v>
      </c>
      <c r="O135" s="7"/>
      <c r="P135" s="7"/>
      <c r="Q135" s="22"/>
      <c r="R135" s="22"/>
      <c r="S135" s="31">
        <f t="shared" si="46"/>
        <v>1</v>
      </c>
      <c r="T135" s="46" t="str">
        <f t="shared" si="32"/>
        <v>Southbound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3"/>
        <v>https://d0f6bd738d7f1b3e5a7ca70fe4ff75f0.us-east-1.aws.found.io/app/kibana#/discover/Steve-Slow-Train-Analysis-(2080s-and-2083s)?_g=(refreshInterval:(display:Off,pause:!f,section:0,value:0),time:(from:'2017-04-06T19:09:47-0600',mode:absolute,to:'2017-04-06T22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5" s="183" t="str">
        <f t="shared" si="34"/>
        <v>N</v>
      </c>
      <c r="X135" s="183">
        <f t="shared" si="48"/>
        <v>1</v>
      </c>
      <c r="Y135" s="62">
        <f t="shared" si="35"/>
        <v>23.2989</v>
      </c>
      <c r="Z135" s="62">
        <f t="shared" si="47"/>
        <v>1.6299999999999999E-2</v>
      </c>
      <c r="AA135" s="62">
        <f t="shared" si="36"/>
        <v>23.282599999999999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7"/>
        <v>0224-06</v>
      </c>
      <c r="AE135" s="85" t="str">
        <f t="shared" si="38"/>
        <v>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 &amp; aws s3 cp s3://rtdc.mdm.uploadarchive.raw/RTDC4043/ "%USERPROFILE%\AppData\Local\Temp\OnboardLogs"\RTDC4043\2017-04-07 --exclude "*" --recursive --include "*20170407*" &amp; "%USERPROFILE%\Documents\GitHub\mrs-test-scripts\Headless Mode &amp; Sideloading\WalkAndUnGZ.bat" "%USERPROFILE%\AppData\Local\Temp\OnboardLogs"\RTDC4043\2017-04-07</v>
      </c>
      <c r="AF135" s="82" t="str">
        <f t="shared" si="39"/>
        <v>"C:\Program Files (x86)\AstroGrep\AstroGrep.exe" /e /r /s /spath="%USERPROFILE%\AppData\Local\Temp\OnboardLogs" /stypes="app*4043*20170407*" /stext=" 03:.+((SYSTEM_STATE.+slice.+state.+changed )|(ment ac)|(multiple cpu faults)|(system.+state.+changed )|(\[timeout)|(PRM\|1\|D)|(kpr)|(kdp)|(\|lc)|(penalty))"</v>
      </c>
      <c r="AG135" s="1" t="str">
        <f t="shared" si="40"/>
        <v>EC</v>
      </c>
      <c r="AH135" s="86" t="str">
        <f t="shared" si="41"/>
        <v>"%USERPROFILE%\Documents\GitHub\eaglep3\Utilities\RefineRTDCRunTimes.py" --tripid 224-06 --locoid 4043 --swversion DE.1.0.9.0 --startMP 204:232989 --initTime 2017-04-06T20:09:47 --startdatetime 2017-04-06T20:26:13 --delay 1 --endMP 204:163 --enddatetime 2017-04-06T21:04:21 --enforcementcount 0 &gt;&gt;C:\Users\stu\Documents\GitHub\eaglep3-reporting\EC\2017-04-06-refined-times.txt</v>
      </c>
      <c r="AI135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{"issue":{"subject":"","project_id":79,"tracker_id":40,"status_id":1,"priority_id":2,"assigned_to_id":23,"start_date":"2017-04-06","description":"","custom_fields":[{"id":1,"name":"Subdivision","value":"EC"},{"id":4,"name":"Milepost","value":"0.0163"},{"id":17,"name":"Train ID","value":"224-06"},{"id":16,"name":"Locomotive ID","value":"4043"},{"id":130,"name":"Impact","value":""},{"id":150,"name":"Time of Event (Mountain Time)","value":"21:04:21"},{"id":151,"name":"Denver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3"/>
        <v>start /low /b %USERPROFILE%\Documents\GitHub\eaglep3\Utilities\DownloadLogsFromS3.py --loco 4043 --day 2017-04-06</v>
      </c>
      <c r="AN135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03:04:21"},{"id":29,"name":"Sharepoint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823</v>
      </c>
      <c r="B136" s="7">
        <v>4054</v>
      </c>
      <c r="C136" s="21" t="s">
        <v>216</v>
      </c>
      <c r="D136" s="21" t="s">
        <v>206</v>
      </c>
      <c r="E136" s="13">
        <v>42831.829594907409</v>
      </c>
      <c r="F136" s="13">
        <v>42831.833587962959</v>
      </c>
      <c r="G136" s="7">
        <v>1</v>
      </c>
      <c r="H136" s="21" t="s">
        <v>916</v>
      </c>
      <c r="I136" s="13">
        <v>42831.859085648146</v>
      </c>
      <c r="J136" s="7">
        <v>0</v>
      </c>
      <c r="K136" s="97" t="str">
        <f t="shared" si="30"/>
        <v>4053/4054</v>
      </c>
      <c r="L136" s="21" t="str">
        <f>VLOOKUP(A136,'Trips&amp;Operators'!$C$1:$G$99999,5,FALSE)</f>
        <v>WHITED DUSTIN</v>
      </c>
      <c r="M136" s="6">
        <f t="shared" si="31"/>
        <v>2.5497685186564922E-2</v>
      </c>
      <c r="N136" s="7">
        <f t="shared" si="49"/>
        <v>36.716666668653488</v>
      </c>
      <c r="O136" s="7"/>
      <c r="P136" s="7"/>
      <c r="Q136" s="22"/>
      <c r="R136" s="22"/>
      <c r="S136" s="31">
        <f t="shared" si="46"/>
        <v>1</v>
      </c>
      <c r="T136" s="46" t="str">
        <f t="shared" si="32"/>
        <v>NorthBound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3"/>
        <v>https://d0f6bd738d7f1b3e5a7ca70fe4ff75f0.us-east-1.aws.found.io/app/kibana#/discover/Steve-Slow-Train-Analysis-(2080s-and-2083s)?_g=(refreshInterval:(display:Off,pause:!f,section:0,value:0),time:(from:'2017-04-06T18:54:37-0600',mode:absolute,to:'2017-04-06T21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6" s="183" t="str">
        <f t="shared" si="34"/>
        <v>N</v>
      </c>
      <c r="X136" s="183">
        <f t="shared" si="48"/>
        <v>1</v>
      </c>
      <c r="Y136" s="62">
        <f t="shared" si="35"/>
        <v>4.5699999999999998E-2</v>
      </c>
      <c r="Z136" s="62">
        <f t="shared" si="47"/>
        <v>23.332799999999999</v>
      </c>
      <c r="AA136" s="62">
        <f t="shared" si="36"/>
        <v>23.287099999999999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7"/>
        <v>0225-06</v>
      </c>
      <c r="AE136" s="85" t="str">
        <f t="shared" si="38"/>
        <v>aws s3 cp s3://rtdc.mdm.uploadarchive.raw/RTDC4054/ "%USERPROFILE%\AppData\Local\Temp\OnboardLogs"\RTDC4054\2017-04-06 --exclude "*" --recursive --include "*20170406*" &amp; "%USERPROFILE%\Documents\GitHub\mrs-test-scripts\Headless Mode &amp; Sideloading\WalkAndUnGZ.bat" "%USERPROFILE%\AppData\Local\Temp\OnboardLogs"\RTDC4054\2017-04-06 &amp; aws s3 cp s3://rtdc.mdm.uploadarchive.raw/RTDC4054/ "%USERPROFILE%\AppData\Local\Temp\OnboardLogs"\RTDC4054\2017-04-07 --exclude "*" --recursive --include "*20170407*" &amp; "%USERPROFILE%\Documents\GitHub\mrs-test-scripts\Headless Mode &amp; Sideloading\WalkAndUnGZ.bat" "%USERPROFILE%\AppData\Local\Temp\OnboardLogs"\RTDC4054\2017-04-07</v>
      </c>
      <c r="AF136" s="82" t="str">
        <f t="shared" si="39"/>
        <v>"C:\Program Files (x86)\AstroGrep\AstroGrep.exe" /e /r /s /spath="%USERPROFILE%\AppData\Local\Temp\OnboardLogs" /stypes="app*4054*20170407*" /stext=" 02:.+((SYSTEM_STATE.+slice.+state.+changed )|(ment ac)|(multiple cpu faults)|(system.+state.+changed )|(\[timeout)|(PRM\|1\|D)|(kpr)|(kdp)|(\|lc)|(penalty))"</v>
      </c>
      <c r="AG136" s="1" t="str">
        <f t="shared" si="40"/>
        <v>EC</v>
      </c>
      <c r="AH136" s="86" t="str">
        <f t="shared" si="41"/>
        <v>"%USERPROFILE%\Documents\GitHub\eaglep3\Utilities\RefineRTDCRunTimes.py" --tripid 225-06 --locoid 4054 --swversion DE.1.0.9.0 --startMP 204:457 --initTime 2017-04-06T19:54:37 --startdatetime 2017-04-06T20:00:22 --delay 1 --endMP 204:233328 --enddatetime 2017-04-06T20:37:05 --enforcementcount 0 &gt;&gt;C:\Users\stu\Documents\GitHub\eaglep3-reporting\EC\2017-04-06-refined-times.txt</v>
      </c>
      <c r="AI136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{"issue":{"subject":"","project_id":79,"tracker_id":40,"status_id":1,"priority_id":2,"assigned_to_id":23,"start_date":"2017-04-06","description":"","custom_fields":[{"id":1,"name":"Subdivision","value":"EC"},{"id":4,"name":"Milepost","value":"23.3328"},{"id":17,"name":"Train ID","value":"225-06"},{"id":16,"name":"Locomotive ID","value":"4054"},{"id":130,"name":"Impact","value":""},{"id":150,"name":"Time of Event (Mountain Time)","value":"20:37:05"},{"id":151,"name":"Denver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3"/>
        <v>start /low /b %USERPROFILE%\Documents\GitHub\eaglep3\Utilities\DownloadLogsFromS3.py --loco 4054 --day 2017-04-06</v>
      </c>
      <c r="AN136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02:37:05"},{"id":29,"name":"Sharepoint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830</v>
      </c>
      <c r="B137" s="7">
        <v>4053</v>
      </c>
      <c r="C137" s="21" t="s">
        <v>216</v>
      </c>
      <c r="D137" s="21" t="s">
        <v>571</v>
      </c>
      <c r="E137" s="13">
        <v>42831.868148148147</v>
      </c>
      <c r="F137" s="13">
        <v>42831.872453703705</v>
      </c>
      <c r="G137" s="7">
        <v>1</v>
      </c>
      <c r="H137" s="21" t="s">
        <v>411</v>
      </c>
      <c r="I137" s="13">
        <v>42831.899675925924</v>
      </c>
      <c r="J137" s="7">
        <v>0</v>
      </c>
      <c r="K137" s="97" t="str">
        <f t="shared" si="30"/>
        <v>4053/4054</v>
      </c>
      <c r="L137" s="21" t="str">
        <f>VLOOKUP(A137,'Trips&amp;Operators'!$C$1:$G$99999,5,FALSE)</f>
        <v>WHITED DUSTIN</v>
      </c>
      <c r="M137" s="6">
        <f t="shared" si="31"/>
        <v>2.7222222219279502E-2</v>
      </c>
      <c r="N137" s="7">
        <f t="shared" si="49"/>
        <v>39.199999995762482</v>
      </c>
      <c r="O137" s="7"/>
      <c r="P137" s="7"/>
      <c r="Q137" s="22"/>
      <c r="R137" s="22"/>
      <c r="S137" s="31">
        <f t="shared" si="46"/>
        <v>1</v>
      </c>
      <c r="T137" s="46" t="str">
        <f t="shared" si="32"/>
        <v>Southbound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3"/>
        <v>https://d0f6bd738d7f1b3e5a7ca70fe4ff75f0.us-east-1.aws.found.io/app/kibana#/discover/Steve-Slow-Train-Analysis-(2080s-and-2083s)?_g=(refreshInterval:(display:Off,pause:!f,section:0,value:0),time:(from:'2017-04-06T19:50:08-0600',mode:absolute,to:'2017-04-06T22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7" s="183" t="str">
        <f t="shared" si="34"/>
        <v>N</v>
      </c>
      <c r="X137" s="183">
        <f t="shared" ref="X137:X168" si="50">VALUE(LEFT(AD137,4))-VALUE(LEFT(AD136,4))</f>
        <v>1</v>
      </c>
      <c r="Y137" s="62">
        <f t="shared" si="35"/>
        <v>23.301500000000001</v>
      </c>
      <c r="Z137" s="62">
        <f t="shared" si="47"/>
        <v>1.41E-2</v>
      </c>
      <c r="AA137" s="62">
        <f t="shared" si="36"/>
        <v>23.287400000000002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7"/>
        <v>0226-06</v>
      </c>
      <c r="AE137" s="85" t="str">
        <f t="shared" si="38"/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AF137" s="82" t="str">
        <f t="shared" si="39"/>
        <v>"C:\Program Files (x86)\AstroGrep\AstroGrep.exe" /e /r /s /spath="%USERPROFILE%\AppData\Local\Temp\OnboardLogs" /stypes="app*4053*20170407*" /stext=" 03:.+((SYSTEM_STATE.+slice.+state.+changed )|(ment ac)|(multiple cpu faults)|(system.+state.+changed )|(\[timeout)|(PRM\|1\|D)|(kpr)|(kdp)|(\|lc)|(penalty))"</v>
      </c>
      <c r="AG137" s="1" t="str">
        <f t="shared" si="40"/>
        <v>EC</v>
      </c>
      <c r="AH137" s="86" t="str">
        <f t="shared" si="41"/>
        <v>"%USERPROFILE%\Documents\GitHub\eaglep3\Utilities\RefineRTDCRunTimes.py" --tripid 226-06 --locoid 4053 --swversion DE.1.0.9.0 --startMP 204:233015 --initTime 2017-04-06T20:50:08 --startdatetime 2017-04-06T20:56:20 --delay 1 --endMP 204:141 --enddatetime 2017-04-06T21:35:32 --enforcementcount 0 &gt;&gt;C:\Users\stu\Documents\GitHub\eaglep3-reporting\EC\2017-04-06-refined-times.txt</v>
      </c>
      <c r="AI137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{"issue":{"subject":"","project_id":79,"tracker_id":40,"status_id":1,"priority_id":2,"assigned_to_id":23,"start_date":"2017-04-06","description":"","custom_fields":[{"id":1,"name":"Subdivision","value":"EC"},{"id":4,"name":"Milepost","value":"0.0141"},{"id":17,"name":"Train ID","value":"226-06"},{"id":16,"name":"Locomotive ID","value":"4053"},{"id":130,"name":"Impact","value":""},{"id":150,"name":"Time of Event (Mountain Time)","value":"21:35:32"},{"id":151,"name":"Denver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3"/>
        <v>start /low /b %USERPROFILE%\Documents\GitHub\eaglep3\Utilities\DownloadLogsFromS3.py --loco 4053 --day 2017-04-06</v>
      </c>
      <c r="AN137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03:35:32"},{"id":29,"name":"Sharepoint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829</v>
      </c>
      <c r="B138" s="7">
        <v>4042</v>
      </c>
      <c r="C138" s="21" t="s">
        <v>216</v>
      </c>
      <c r="D138" s="21" t="s">
        <v>206</v>
      </c>
      <c r="E138" s="13">
        <v>42831.849618055552</v>
      </c>
      <c r="F138" s="13">
        <v>42831.854421296295</v>
      </c>
      <c r="G138" s="7">
        <v>1</v>
      </c>
      <c r="H138" s="21" t="s">
        <v>517</v>
      </c>
      <c r="I138" s="13">
        <v>42831.880208333336</v>
      </c>
      <c r="J138" s="7">
        <v>0</v>
      </c>
      <c r="K138" s="97" t="str">
        <f t="shared" si="30"/>
        <v>4041/4042</v>
      </c>
      <c r="L138" s="21" t="str">
        <f>VLOOKUP(A138,'Trips&amp;Operators'!$C$1:$G$99999,5,FALSE)</f>
        <v>SWANSON BRYCE</v>
      </c>
      <c r="M138" s="6">
        <f t="shared" si="31"/>
        <v>2.5787037040572613E-2</v>
      </c>
      <c r="N138" s="7">
        <f t="shared" si="49"/>
        <v>37.133333338424563</v>
      </c>
      <c r="O138" s="7"/>
      <c r="P138" s="7"/>
      <c r="Q138" s="22"/>
      <c r="R138" s="22"/>
      <c r="S138" s="31">
        <f t="shared" si="46"/>
        <v>1</v>
      </c>
      <c r="T138" s="46" t="str">
        <f t="shared" si="32"/>
        <v>NorthBound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3"/>
        <v>https://d0f6bd738d7f1b3e5a7ca70fe4ff75f0.us-east-1.aws.found.io/app/kibana#/discover/Steve-Slow-Train-Analysis-(2080s-and-2083s)?_g=(refreshInterval:(display:Off,pause:!f,section:0,value:0),time:(from:'2017-04-06T19:23:27-0600',mode:absolute,to:'2017-04-06T22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8" s="183" t="str">
        <f t="shared" si="34"/>
        <v>N</v>
      </c>
      <c r="X138" s="183">
        <f t="shared" si="50"/>
        <v>1</v>
      </c>
      <c r="Y138" s="62">
        <f t="shared" si="35"/>
        <v>4.5699999999999998E-2</v>
      </c>
      <c r="Z138" s="62">
        <f t="shared" si="47"/>
        <v>23.331199999999999</v>
      </c>
      <c r="AA138" s="62">
        <f t="shared" si="36"/>
        <v>23.285499999999999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7"/>
        <v>0227-06</v>
      </c>
      <c r="AE138" s="85" t="str">
        <f t="shared" si="38"/>
        <v>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 &amp; 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</v>
      </c>
      <c r="AF138" s="82" t="str">
        <f t="shared" si="39"/>
        <v>"C:\Program Files (x86)\AstroGrep\AstroGrep.exe" /e /r /s /spath="%USERPROFILE%\AppData\Local\Temp\OnboardLogs" /stypes="app*4042*20170407*" /stext=" 03:.+((SYSTEM_STATE.+slice.+state.+changed )|(ment ac)|(multiple cpu faults)|(system.+state.+changed )|(\[timeout)|(PRM\|1\|D)|(kpr)|(kdp)|(\|lc)|(penalty))"</v>
      </c>
      <c r="AG138" s="1" t="str">
        <f t="shared" si="40"/>
        <v>EC</v>
      </c>
      <c r="AH138" s="86" t="str">
        <f t="shared" si="41"/>
        <v>"%USERPROFILE%\Documents\GitHub\eaglep3\Utilities\RefineRTDCRunTimes.py" --tripid 227-06 --locoid 4042 --swversion DE.1.0.9.0 --startMP 204:457 --initTime 2017-04-06T20:23:27 --startdatetime 2017-04-06T20:30:22 --delay 1 --endMP 204:233312 --enddatetime 2017-04-06T21:07:30 --enforcementcount 0 &gt;&gt;C:\Users\stu\Documents\GitHub\eaglep3-reporting\EC\2017-04-06-refined-times.txt</v>
      </c>
      <c r="AI138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{"issue":{"subject":"","project_id":79,"tracker_id":40,"status_id":1,"priority_id":2,"assigned_to_id":23,"start_date":"2017-04-06","description":"","custom_fields":[{"id":1,"name":"Subdivision","value":"EC"},{"id":4,"name":"Milepost","value":"23.3312"},{"id":17,"name":"Train ID","value":"227-06"},{"id":16,"name":"Locomotive ID","value":"4042"},{"id":130,"name":"Impact","value":""},{"id":150,"name":"Time of Event (Mountain Time)","value":"21:07:30"},{"id":151,"name":"Denver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3"/>
        <v>start /low /b %USERPROFILE%\Documents\GitHub\eaglep3\Utilities\DownloadLogsFromS3.py --loco 4042 --day 2017-04-06</v>
      </c>
      <c r="AN138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03:07:30"},{"id":29,"name":"Sharepoint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833</v>
      </c>
      <c r="B139" s="7">
        <v>4041</v>
      </c>
      <c r="C139" s="21" t="s">
        <v>216</v>
      </c>
      <c r="D139" s="21" t="s">
        <v>871</v>
      </c>
      <c r="E139" s="13">
        <v>42831.886481481481</v>
      </c>
      <c r="F139" s="13">
        <v>42831.893287037034</v>
      </c>
      <c r="G139" s="7">
        <v>0</v>
      </c>
      <c r="H139" s="21" t="s">
        <v>212</v>
      </c>
      <c r="I139" s="13">
        <v>42831.9218287037</v>
      </c>
      <c r="J139" s="7">
        <v>0</v>
      </c>
      <c r="K139" s="97" t="str">
        <f t="shared" si="30"/>
        <v>4041/4042</v>
      </c>
      <c r="L139" s="21" t="str">
        <f>VLOOKUP(A139,'Trips&amp;Operators'!$C$1:$G$99999,5,FALSE)</f>
        <v>SWANSON BRYCE</v>
      </c>
      <c r="M139" s="6">
        <f t="shared" si="31"/>
        <v>2.8541666666569654E-2</v>
      </c>
      <c r="N139" s="7">
        <f t="shared" si="49"/>
        <v>41.099999999860302</v>
      </c>
      <c r="O139" s="7"/>
      <c r="P139" s="7"/>
      <c r="Q139" s="22"/>
      <c r="R139" s="22"/>
      <c r="S139" s="31">
        <f t="shared" si="46"/>
        <v>1</v>
      </c>
      <c r="T139" s="46" t="str">
        <f t="shared" si="32"/>
        <v>Southbound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3"/>
        <v>https://d0f6bd738d7f1b3e5a7ca70fe4ff75f0.us-east-1.aws.found.io/app/kibana#/discover/Steve-Slow-Train-Analysis-(2080s-and-2083s)?_g=(refreshInterval:(display:Off,pause:!f,section:0,value:0),time:(from:'2017-04-06T20:16:32-0600',mode:absolute,to:'2017-04-06T23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9" s="183" t="str">
        <f t="shared" si="34"/>
        <v>N</v>
      </c>
      <c r="X139" s="183">
        <f t="shared" si="50"/>
        <v>1</v>
      </c>
      <c r="Y139" s="62">
        <f t="shared" si="35"/>
        <v>23.299099999999999</v>
      </c>
      <c r="Z139" s="62">
        <f t="shared" si="47"/>
        <v>1.5599999999999999E-2</v>
      </c>
      <c r="AA139" s="62">
        <f t="shared" si="36"/>
        <v>23.2835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7"/>
        <v>0228-06</v>
      </c>
      <c r="AE139" s="85" t="str">
        <f t="shared" si="38"/>
        <v>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 &amp; aws s3 cp s3://rtdc.mdm.uploadarchive.raw/RTDC4041/ "%USERPROFILE%\AppData\Local\Temp\OnboardLogs"\RTDC4041\2017-04-07 --exclude "*" --recursive --include "*20170407*" &amp; "%USERPROFILE%\Documents\GitHub\mrs-test-scripts\Headless Mode &amp; Sideloading\WalkAndUnGZ.bat" "%USERPROFILE%\AppData\Local\Temp\OnboardLogs"\RTDC4041\2017-04-07</v>
      </c>
      <c r="AF139" s="82" t="str">
        <f t="shared" si="39"/>
        <v>"C:\Program Files (x86)\AstroGrep\AstroGrep.exe" /e /r /s /spath="%USERPROFILE%\AppData\Local\Temp\OnboardLogs" /stypes="app*4041*20170407*" /stext=" 04:.+((SYSTEM_STATE.+slice.+state.+changed )|(ment ac)|(multiple cpu faults)|(system.+state.+changed )|(\[timeout)|(PRM\|1\|D)|(kpr)|(kdp)|(\|lc)|(penalty))"</v>
      </c>
      <c r="AG139" s="1" t="str">
        <f t="shared" si="40"/>
        <v>EC</v>
      </c>
      <c r="AH139" s="86" t="str">
        <f t="shared" si="41"/>
        <v>"%USERPROFILE%\Documents\GitHub\eaglep3\Utilities\RefineRTDCRunTimes.py" --tripid 228-06 --locoid 4041 --swversion DE.1.0.9.0 --startMP 204:232991 --initTime 2017-04-06T21:16:32 --startdatetime 2017-04-06T21:26:20 --delay 0 --endMP 204:156 --enddatetime 2017-04-06T22:07:26 --enforcementcount 0 &gt;&gt;C:\Users\stu\Documents\GitHub\eaglep3-reporting\EC\2017-04-06-refined-times.txt</v>
      </c>
      <c r="AI139" s="104" t="str">
        <f t="shared" si="42"/>
        <v>echo {"issue":{"subject":"","project_id":79,"tracker_id":40,"status_id":1,"priority_id":2,"assigned_to_id":23,"start_date":"2017-04-06","description":"","custom_fields":[{"id":1,"name":"Subdivision","value":"EC"},{"id":4,"name":"Milepost","value":"0.0156"},{"id":17,"name":"Train ID","value":"228-06"},{"id":16,"name":"Locomotive ID","value":"4041"},{"id":130,"name":"Impact","value":""},{"id":150,"name":"Time of Event (Mountain Time)","value":"22:07:26"},{"id":151,"name":"Denver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3"/>
        <v>start /low /b %USERPROFILE%\Documents\GitHub\eaglep3\Utilities\DownloadLogsFromS3.py --loco 4041 --day 2017-04-06</v>
      </c>
      <c r="AN139" s="159" t="str">
        <f t="shared" si="44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04:07:26"},{"id":29,"name":"Sharepoint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831</v>
      </c>
      <c r="B140" s="7">
        <v>4004</v>
      </c>
      <c r="C140" s="21" t="s">
        <v>216</v>
      </c>
      <c r="D140" s="21" t="s">
        <v>211</v>
      </c>
      <c r="E140" s="13">
        <v>42831.872523148151</v>
      </c>
      <c r="F140" s="13">
        <v>42831.875219907408</v>
      </c>
      <c r="G140" s="7">
        <v>1</v>
      </c>
      <c r="H140" s="21" t="s">
        <v>917</v>
      </c>
      <c r="I140" s="13">
        <v>42831.900462962964</v>
      </c>
      <c r="J140" s="7">
        <v>0</v>
      </c>
      <c r="K140" s="97" t="str">
        <f t="shared" ref="K140:K203" si="51">IF(ISEVEN(B140),(B140-1)&amp;"/"&amp;B140,B140&amp;"/"&amp;(B140+1))</f>
        <v>4003/4004</v>
      </c>
      <c r="L140" s="21" t="str">
        <f>VLOOKUP(A140,'Trips&amp;Operators'!$C$1:$G$99999,5,FALSE)</f>
        <v>CHANDLER KELVIN</v>
      </c>
      <c r="M140" s="6">
        <f t="shared" ref="M140:M203" si="52">I140-F140</f>
        <v>2.5243055555620231E-2</v>
      </c>
      <c r="N140" s="7">
        <f t="shared" si="49"/>
        <v>36.350000000093132</v>
      </c>
      <c r="O140" s="7"/>
      <c r="P140" s="7"/>
      <c r="Q140" s="22"/>
      <c r="R140" s="22"/>
      <c r="S140" s="31">
        <f t="shared" si="46"/>
        <v>1</v>
      </c>
      <c r="T140" s="46" t="str">
        <f t="shared" ref="T140:T203" si="53">IF(ISEVEN(LEFT(AD140,4)),"Southbound","NorthBound")</f>
        <v>NorthBound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ref="V140:V203" si="54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-04-06T19:56:26-0600',mode:absolute,to:'2017-04-06T22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0" s="183" t="str">
        <f t="shared" ref="W140:W203" si="55">IF(AA140&lt;IF(AG140="EC",23,5.65),"Y","N")</f>
        <v>N</v>
      </c>
      <c r="X140" s="183">
        <f t="shared" si="50"/>
        <v>1</v>
      </c>
      <c r="Y140" s="62">
        <f t="shared" ref="Y140:Y203" si="56">RIGHT(D140,LEN(D140)-4)/10000</f>
        <v>4.5499999999999999E-2</v>
      </c>
      <c r="Z140" s="62">
        <f t="shared" si="47"/>
        <v>23.328299999999999</v>
      </c>
      <c r="AA140" s="62">
        <f t="shared" ref="AA140:AA203" si="57">ABS(Z140-Y140)</f>
        <v>23.282799999999998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ref="AD140:AD203" si="58">IF(LEN(A140)=6,"0"&amp;A140,A140)</f>
        <v>0229-06</v>
      </c>
      <c r="AE140" s="85" t="str">
        <f t="shared" ref="AE140:AE203" si="59"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 &amp; aws s3 cp s3://rtdc.mdm.uploadarchive.raw/RTDC4004/ "%USERPROFILE%\AppData\Local\Temp\OnboardLogs"\RTDC4004\2017-04-07 --exclude "*" --recursive --include "*20170407*" &amp; "%USERPROFILE%\Documents\GitHub\mrs-test-scripts\Headless Mode &amp; Sideloading\WalkAndUnGZ.bat" "%USERPROFILE%\AppData\Local\Temp\OnboardLogs"\RTDC4004\2017-04-07</v>
      </c>
      <c r="AF140" s="82" t="str">
        <f t="shared" ref="AF140:AF203" si="60"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/stypes="app*4004*20170407*" /stext=" 03:.+((SYSTEM_STATE.+slice.+state.+changed )|(ment ac)|(multiple cpu faults)|(system.+state.+changed )|(\[timeout)|(PRM\|1\|D)|(kpr)|(kdp)|(\|lc)|(penalty))"</v>
      </c>
      <c r="AG140" s="1" t="str">
        <f t="shared" ref="AG140:AG203" si="61">IFERROR(IF(VALUE(LEFT(AD140,2))&lt;=2,"EC",IF(OR(VALUE(LEFT(AD140,2))=8,VALUE(LEFT(AD140,2))=18),"NW","Other")),"Other")</f>
        <v>EC</v>
      </c>
      <c r="AH140" s="86" t="str">
        <f t="shared" ref="AH140:AH203" si="62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229-06 --locoid 4004 --swversion DE.1.0.9.0 --startMP 204:455 --initTime 2017-04-06T20:56:26 --startdatetime 2017-04-06T21:00:19 --delay 1 --endMP 204:233283 --enddatetime 2017-04-06T21:36:40 --enforcementcount 0 &gt;&gt;C:\Users\stu\Documents\GitHub\eaglep3-reporting\EC\2017-04-06-refined-times.txt</v>
      </c>
      <c r="AI140" s="104" t="str">
        <f t="shared" ref="AI140:AI203" si="63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{"issue":{"subject":"","project_id":79,"tracker_id":40,"status_id":1,"priority_id":2,"assigned_to_id":23,"start_date":"2017-04-06","description":"","custom_fields":[{"id":1,"name":"Subdivision","value":"EC"},{"id":4,"name":"Milepost","value":"23.3283"},{"id":17,"name":"Train ID","value":"229-06"},{"id":16,"name":"Locomotive ID","value":"4004"},{"id":130,"name":"Impact","value":""},{"id":150,"name":"Time of Event (Mountain Time)","value":"21:36:40"},{"id":151,"name":"Denver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ref="AM140:AM203" si="64">"start /low /b "&amp;dls3logs&amp;" --loco "&amp;B140&amp;" --day "&amp;TEXT(F140,"YYYY-MM-DD")</f>
        <v>start /low /b %USERPROFILE%\Documents\GitHub\eaglep3\Utilities\DownloadLogsFromS3.py --loco 4004 --day 2017-04-06</v>
      </c>
      <c r="AN140" s="159" t="str">
        <f t="shared" ref="AN140:AN203" si="65">"echo {""issue"":{""subject"":"""&amp;R140&amp;""",""project_id"":30,""tracker_id"":4,""status_id"":"&amp;redmine_status_wcr&amp;",""priority_id"":"&amp;redmine_priority_wcr&amp;",""assigned_to_id"":"&amp;redmine_assignee_wcr&amp;",""start_date"":"""&amp;TEXT(I140-utc_offset/24,"YYYY-mm-dd")&amp;""",""description"":"""&amp;AJ140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03:36:40"},{"id":29,"name":"Sharepoint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3" t="s">
        <v>837</v>
      </c>
      <c r="B141" s="7">
        <v>4003</v>
      </c>
      <c r="C141" s="21" t="s">
        <v>216</v>
      </c>
      <c r="D141" s="21" t="s">
        <v>588</v>
      </c>
      <c r="E141" s="13">
        <v>42831.909502314818</v>
      </c>
      <c r="F141" s="13">
        <v>42831.914189814815</v>
      </c>
      <c r="G141" s="7">
        <v>1</v>
      </c>
      <c r="H141" s="21" t="s">
        <v>513</v>
      </c>
      <c r="I141" s="13">
        <v>42831.942361111112</v>
      </c>
      <c r="J141" s="7">
        <v>0</v>
      </c>
      <c r="K141" s="97" t="str">
        <f t="shared" si="51"/>
        <v>4003/4004</v>
      </c>
      <c r="L141" s="21" t="str">
        <f>VLOOKUP(A141,'Trips&amp;Operators'!$C$1:$G$99999,5,FALSE)</f>
        <v>CHANDLER KELVIN</v>
      </c>
      <c r="M141" s="6">
        <f t="shared" si="52"/>
        <v>2.8171296296932269E-2</v>
      </c>
      <c r="N141" s="7">
        <f t="shared" si="49"/>
        <v>40.566666667582467</v>
      </c>
      <c r="O141" s="7"/>
      <c r="P141" s="7"/>
      <c r="Q141" s="22"/>
      <c r="R141" s="22"/>
      <c r="S141" s="31">
        <f t="shared" si="46"/>
        <v>1</v>
      </c>
      <c r="T141" s="46" t="str">
        <f t="shared" si="53"/>
        <v>Southbound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si="54"/>
        <v>https://d0f6bd738d7f1b3e5a7ca70fe4ff75f0.us-east-1.aws.found.io/app/kibana#/discover/Steve-Slow-Train-Analysis-(2080s-and-2083s)?_g=(refreshInterval:(display:Off,pause:!f,section:0,value:0),time:(from:'2017-04-06T20:49:41-0600',mode:absolute,to:'2017-04-06T23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1" s="183" t="str">
        <f t="shared" si="55"/>
        <v>N</v>
      </c>
      <c r="X141" s="183">
        <f t="shared" si="50"/>
        <v>1</v>
      </c>
      <c r="Y141" s="62">
        <f t="shared" si="56"/>
        <v>23.2959</v>
      </c>
      <c r="Z141" s="62">
        <f t="shared" si="47"/>
        <v>1.67E-2</v>
      </c>
      <c r="AA141" s="62">
        <f t="shared" si="57"/>
        <v>23.279199999999999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58"/>
        <v>0230-06</v>
      </c>
      <c r="AE141" s="85" t="str">
        <f t="shared" si="59"/>
        <v>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 &amp; aws s3 cp s3://rtdc.mdm.uploadarchive.raw/RTDC4003/ "%USERPROFILE%\AppData\Local\Temp\OnboardLogs"\RTDC4003\2017-04-07 --exclude "*" --recursive --include "*20170407*" &amp; "%USERPROFILE%\Documents\GitHub\mrs-test-scripts\Headless Mode &amp; Sideloading\WalkAndUnGZ.bat" "%USERPROFILE%\AppData\Local\Temp\OnboardLogs"\RTDC4003\2017-04-07</v>
      </c>
      <c r="AF141" s="82" t="str">
        <f t="shared" si="60"/>
        <v>"C:\Program Files (x86)\AstroGrep\AstroGrep.exe" /e /r /s /spath="%USERPROFILE%\AppData\Local\Temp\OnboardLogs" /stypes="app*4003*20170407*" /stext=" 04:.+((SYSTEM_STATE.+slice.+state.+changed )|(ment ac)|(multiple cpu faults)|(system.+state.+changed )|(\[timeout)|(PRM\|1\|D)|(kpr)|(kdp)|(\|lc)|(penalty))"</v>
      </c>
      <c r="AG141" s="1" t="str">
        <f t="shared" si="61"/>
        <v>EC</v>
      </c>
      <c r="AH141" s="86" t="str">
        <f t="shared" si="62"/>
        <v>"%USERPROFILE%\Documents\GitHub\eaglep3\Utilities\RefineRTDCRunTimes.py" --tripid 230-06 --locoid 4003 --swversion DE.1.0.9.0 --startMP 204:232959 --initTime 2017-04-06T21:49:41 --startdatetime 2017-04-06T21:56:26 --delay 1 --endMP 204:167 --enddatetime 2017-04-06T22:37:00 --enforcementcount 0 &gt;&gt;C:\Users\stu\Documents\GitHub\eaglep3-reporting\EC\2017-04-06-refined-times.txt</v>
      </c>
      <c r="AI141" s="104" t="str">
        <f t="shared" si="63"/>
        <v>echo {"issue":{"subject":"","project_id":79,"tracker_id":40,"status_id":1,"priority_id":2,"assigned_to_id":23,"start_date":"2017-04-06","description":"","custom_fields":[{"id":1,"name":"Subdivision","value":"EC"},{"id":4,"name":"Milepost","value":"0.0167"},{"id":17,"name":"Train ID","value":"230-06"},{"id":16,"name":"Locomotive ID","value":"4003"},{"id":130,"name":"Impact","value":""},{"id":150,"name":"Time of Event (Mountain Time)","value":"22:37:00"},{"id":151,"name":"Denver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20"/>
      <c r="AK141" s="48"/>
      <c r="AL141" s="48"/>
      <c r="AM141" s="150" t="str">
        <f t="shared" si="64"/>
        <v>start /low /b %USERPROFILE%\Documents\GitHub\eaglep3\Utilities\DownloadLogsFromS3.py --loco 4003 --day 2017-04-06</v>
      </c>
      <c r="AN141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04:37:00"},{"id":29,"name":"Sharepoint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2" spans="1:91" s="20" customFormat="1" x14ac:dyDescent="0.25">
      <c r="A142" s="33" t="s">
        <v>834</v>
      </c>
      <c r="B142" s="7">
        <v>4044</v>
      </c>
      <c r="C142" s="21" t="s">
        <v>216</v>
      </c>
      <c r="D142" s="21" t="s">
        <v>422</v>
      </c>
      <c r="E142" s="13">
        <v>42831.892418981479</v>
      </c>
      <c r="F142" s="13">
        <v>42831.896018518521</v>
      </c>
      <c r="G142" s="7">
        <v>1</v>
      </c>
      <c r="H142" s="21" t="s">
        <v>424</v>
      </c>
      <c r="I142" s="13">
        <v>42831.920601851853</v>
      </c>
      <c r="J142" s="7">
        <v>0</v>
      </c>
      <c r="K142" s="97" t="str">
        <f t="shared" si="51"/>
        <v>4043/4044</v>
      </c>
      <c r="L142" s="21" t="str">
        <f>VLOOKUP(A142,'Trips&amp;Operators'!$C$1:$G$99999,5,FALSE)</f>
        <v>NEWELL JAMES</v>
      </c>
      <c r="M142" s="6">
        <f t="shared" si="52"/>
        <v>2.4583333331975155E-2</v>
      </c>
      <c r="N142" s="7">
        <f t="shared" si="49"/>
        <v>35.399999998044223</v>
      </c>
      <c r="O142" s="7"/>
      <c r="P142" s="7"/>
      <c r="Q142" s="22"/>
      <c r="R142" s="22"/>
      <c r="S142" s="31">
        <f t="shared" si="46"/>
        <v>1</v>
      </c>
      <c r="T142" s="46" t="str">
        <f t="shared" si="53"/>
        <v>NorthBound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4"/>
        <v>https://d0f6bd738d7f1b3e5a7ca70fe4ff75f0.us-east-1.aws.found.io/app/kibana#/discover/Steve-Slow-Train-Analysis-(2080s-and-2083s)?_g=(refreshInterval:(display:Off,pause:!f,section:0,value:0),time:(from:'2017-04-06T20:25:05-0600',mode:absolute,to:'2017-04-06T23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2" s="183" t="str">
        <f t="shared" si="55"/>
        <v>N</v>
      </c>
      <c r="X142" s="183">
        <f t="shared" si="50"/>
        <v>1</v>
      </c>
      <c r="Y142" s="62">
        <f t="shared" si="56"/>
        <v>4.3999999999999997E-2</v>
      </c>
      <c r="Z142" s="62">
        <f t="shared" si="47"/>
        <v>23.3308</v>
      </c>
      <c r="AA142" s="62">
        <f t="shared" si="57"/>
        <v>23.286799999999999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8"/>
        <v>0231-06</v>
      </c>
      <c r="AE142" s="85" t="str">
        <f t="shared" si="59"/>
        <v>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 &amp; 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</v>
      </c>
      <c r="AF142" s="82" t="str">
        <f t="shared" si="60"/>
        <v>"C:\Program Files (x86)\AstroGrep\AstroGrep.exe" /e /r /s /spath="%USERPROFILE%\AppData\Local\Temp\OnboardLogs" /stypes="app*4044*20170407*" /stext=" 04:.+((SYSTEM_STATE.+slice.+state.+changed )|(ment ac)|(multiple cpu faults)|(system.+state.+changed )|(\[timeout)|(PRM\|1\|D)|(kpr)|(kdp)|(\|lc)|(penalty))"</v>
      </c>
      <c r="AG142" s="1" t="str">
        <f t="shared" si="61"/>
        <v>EC</v>
      </c>
      <c r="AH142" s="86" t="str">
        <f t="shared" si="62"/>
        <v>"%USERPROFILE%\Documents\GitHub\eaglep3\Utilities\RefineRTDCRunTimes.py" --tripid 231-06 --locoid 4044 --swversion DE.1.0.9.0 --startMP 204:440 --initTime 2017-04-06T21:25:05 --startdatetime 2017-04-06T21:30:16 --delay 1 --endMP 204:233308 --enddatetime 2017-04-06T22:05:40 --enforcementcount 0 &gt;&gt;C:\Users\stu\Documents\GitHub\eaglep3-reporting\EC\2017-04-06-refined-times.txt</v>
      </c>
      <c r="AI142" s="104" t="str">
        <f t="shared" si="63"/>
        <v>echo {"issue":{"subject":"","project_id":79,"tracker_id":40,"status_id":1,"priority_id":2,"assigned_to_id":23,"start_date":"2017-04-06","description":"","custom_fields":[{"id":1,"name":"Subdivision","value":"EC"},{"id":4,"name":"Milepost","value":"23.3308"},{"id":17,"name":"Train ID","value":"231-06"},{"id":16,"name":"Locomotive ID","value":"4044"},{"id":130,"name":"Impact","value":""},{"id":150,"name":"Time of Event (Mountain Time)","value":"22:05:40"},{"id":151,"name":"Denver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si="64"/>
        <v>start /low /b %USERPROFILE%\Documents\GitHub\eaglep3\Utilities\DownloadLogsFromS3.py --loco 4044 --day 2017-04-06</v>
      </c>
      <c r="AN142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04:05:40"},{"id":29,"name":"Sharepoint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840</v>
      </c>
      <c r="B143" s="7">
        <v>4043</v>
      </c>
      <c r="C143" s="21" t="s">
        <v>216</v>
      </c>
      <c r="D143" s="21" t="s">
        <v>404</v>
      </c>
      <c r="E143" s="13">
        <v>42831.931585648148</v>
      </c>
      <c r="F143" s="13">
        <v>42831.934872685182</v>
      </c>
      <c r="G143" s="7">
        <v>1</v>
      </c>
      <c r="H143" s="21" t="s">
        <v>400</v>
      </c>
      <c r="I143" s="13">
        <v>42831.961076388892</v>
      </c>
      <c r="J143" s="7">
        <v>0</v>
      </c>
      <c r="K143" s="97" t="str">
        <f t="shared" si="51"/>
        <v>4043/4044</v>
      </c>
      <c r="L143" s="21" t="str">
        <f>VLOOKUP(A143,'Trips&amp;Operators'!$C$1:$G$99999,5,FALSE)</f>
        <v>NEWELL JAMES</v>
      </c>
      <c r="M143" s="6">
        <f t="shared" si="52"/>
        <v>2.620370371005265E-2</v>
      </c>
      <c r="N143" s="7">
        <f t="shared" si="49"/>
        <v>37.733333342475817</v>
      </c>
      <c r="O143" s="7"/>
      <c r="P143" s="7"/>
      <c r="Q143" s="22"/>
      <c r="R143" s="22"/>
      <c r="S143" s="31">
        <f t="shared" si="46"/>
        <v>1</v>
      </c>
      <c r="T143" s="46" t="str">
        <f t="shared" si="53"/>
        <v>Southbound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4"/>
        <v>https://d0f6bd738d7f1b3e5a7ca70fe4ff75f0.us-east-1.aws.found.io/app/kibana#/discover/Steve-Slow-Train-Analysis-(2080s-and-2083s)?_g=(refreshInterval:(display:Off,pause:!f,section:0,value:0),time:(from:'2017-04-06T21:21:29-0600',mode:absolute,to:'2017-04-07T00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3" s="183" t="str">
        <f t="shared" si="55"/>
        <v>N</v>
      </c>
      <c r="X143" s="183">
        <f t="shared" si="50"/>
        <v>1</v>
      </c>
      <c r="Y143" s="62">
        <f t="shared" si="56"/>
        <v>23.299399999999999</v>
      </c>
      <c r="Z143" s="62">
        <f t="shared" si="47"/>
        <v>1.61E-2</v>
      </c>
      <c r="AA143" s="62">
        <f t="shared" si="57"/>
        <v>23.283299999999997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8"/>
        <v>0232-06</v>
      </c>
      <c r="AE143" s="85" t="str">
        <f t="shared" si="59"/>
        <v>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 &amp; aws s3 cp s3://rtdc.mdm.uploadarchive.raw/RTDC4043/ "%USERPROFILE%\AppData\Local\Temp\OnboardLogs"\RTDC4043\2017-04-07 --exclude "*" --recursive --include "*20170407*" &amp; "%USERPROFILE%\Documents\GitHub\mrs-test-scripts\Headless Mode &amp; Sideloading\WalkAndUnGZ.bat" "%USERPROFILE%\AppData\Local\Temp\OnboardLogs"\RTDC4043\2017-04-07</v>
      </c>
      <c r="AF143" s="82" t="str">
        <f t="shared" si="60"/>
        <v>"C:\Program Files (x86)\AstroGrep\AstroGrep.exe" /e /r /s /spath="%USERPROFILE%\AppData\Local\Temp\OnboardLogs" /stypes="app*4043*20170407*" /stext=" 05:.+((SYSTEM_STATE.+slice.+state.+changed )|(ment ac)|(multiple cpu faults)|(system.+state.+changed )|(\[timeout)|(PRM\|1\|D)|(kpr)|(kdp)|(\|lc)|(penalty))"</v>
      </c>
      <c r="AG143" s="1" t="str">
        <f t="shared" si="61"/>
        <v>EC</v>
      </c>
      <c r="AH143" s="86" t="str">
        <f t="shared" si="62"/>
        <v>"%USERPROFILE%\Documents\GitHub\eaglep3\Utilities\RefineRTDCRunTimes.py" --tripid 232-06 --locoid 4043 --swversion DE.1.0.9.0 --startMP 204:232994 --initTime 2017-04-06T22:21:29 --startdatetime 2017-04-06T22:26:13 --delay 1 --endMP 204:161 --enddatetime 2017-04-06T23:03:57 --enforcementcount 0 &gt;&gt;C:\Users\stu\Documents\GitHub\eaglep3-reporting\EC\2017-04-06-refined-times.txt</v>
      </c>
      <c r="AI143" s="104" t="str">
        <f t="shared" si="63"/>
        <v>echo {"issue":{"subject":"","project_id":79,"tracker_id":40,"status_id":1,"priority_id":2,"assigned_to_id":23,"start_date":"2017-04-06","description":"","custom_fields":[{"id":1,"name":"Subdivision","value":"EC"},{"id":4,"name":"Milepost","value":"0.0161"},{"id":17,"name":"Train ID","value":"232-06"},{"id":16,"name":"Locomotive ID","value":"4043"},{"id":130,"name":"Impact","value":""},{"id":150,"name":"Time of Event (Mountain Time)","value":"23:03:57"},{"id":151,"name":"Denver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64"/>
        <v>start /low /b %USERPROFILE%\Documents\GitHub\eaglep3\Utilities\DownloadLogsFromS3.py --loco 4043 --day 2017-04-06</v>
      </c>
      <c r="AN143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05:03:57"},{"id":29,"name":"Sharepoint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836</v>
      </c>
      <c r="B144" s="7">
        <v>4054</v>
      </c>
      <c r="C144" s="21" t="s">
        <v>216</v>
      </c>
      <c r="D144" s="21" t="s">
        <v>420</v>
      </c>
      <c r="E144" s="13">
        <v>42831.90284722222</v>
      </c>
      <c r="F144" s="13">
        <v>42831.916909722226</v>
      </c>
      <c r="G144" s="7">
        <v>1</v>
      </c>
      <c r="H144" s="21" t="s">
        <v>573</v>
      </c>
      <c r="I144" s="13">
        <v>42831.942037037035</v>
      </c>
      <c r="J144" s="7">
        <v>0</v>
      </c>
      <c r="K144" s="97" t="str">
        <f t="shared" si="51"/>
        <v>4053/4054</v>
      </c>
      <c r="L144" s="21" t="str">
        <f>VLOOKUP(A144,'Trips&amp;Operators'!$C$1:$G$99999,5,FALSE)</f>
        <v>LOPES KIMBERLY</v>
      </c>
      <c r="M144" s="6">
        <f t="shared" si="52"/>
        <v>2.512731480965158E-2</v>
      </c>
      <c r="N144" s="7">
        <f t="shared" si="49"/>
        <v>36.183333325898275</v>
      </c>
      <c r="O144" s="7"/>
      <c r="P144" s="7"/>
      <c r="Q144" s="22"/>
      <c r="R144" s="22"/>
      <c r="S144" s="31">
        <f t="shared" si="46"/>
        <v>1</v>
      </c>
      <c r="T144" s="46" t="str">
        <f t="shared" si="53"/>
        <v>NorthBound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54"/>
        <v>https://d0f6bd738d7f1b3e5a7ca70fe4ff75f0.us-east-1.aws.found.io/app/kibana#/discover/Steve-Slow-Train-Analysis-(2080s-and-2083s)?_g=(refreshInterval:(display:Off,pause:!f,section:0,value:0),time:(from:'2017-04-06T20:40:06-0600',mode:absolute,to:'2017-04-06T23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4" s="183" t="str">
        <f t="shared" si="55"/>
        <v>N</v>
      </c>
      <c r="X144" s="183">
        <f t="shared" si="50"/>
        <v>1</v>
      </c>
      <c r="Y144" s="62">
        <f t="shared" si="56"/>
        <v>4.6199999999999998E-2</v>
      </c>
      <c r="Z144" s="62">
        <f t="shared" si="47"/>
        <v>23.331</v>
      </c>
      <c r="AA144" s="62">
        <f t="shared" si="57"/>
        <v>23.284800000000001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8"/>
        <v>0233-06</v>
      </c>
      <c r="AE144" s="85" t="str">
        <f t="shared" si="59"/>
        <v>aws s3 cp s3://rtdc.mdm.uploadarchive.raw/RTDC4054/ "%USERPROFILE%\AppData\Local\Temp\OnboardLogs"\RTDC4054\2017-04-06 --exclude "*" --recursive --include "*20170406*" &amp; "%USERPROFILE%\Documents\GitHub\mrs-test-scripts\Headless Mode &amp; Sideloading\WalkAndUnGZ.bat" "%USERPROFILE%\AppData\Local\Temp\OnboardLogs"\RTDC4054\2017-04-06 &amp; aws s3 cp s3://rtdc.mdm.uploadarchive.raw/RTDC4054/ "%USERPROFILE%\AppData\Local\Temp\OnboardLogs"\RTDC4054\2017-04-07 --exclude "*" --recursive --include "*20170407*" &amp; "%USERPROFILE%\Documents\GitHub\mrs-test-scripts\Headless Mode &amp; Sideloading\WalkAndUnGZ.bat" "%USERPROFILE%\AppData\Local\Temp\OnboardLogs"\RTDC4054\2017-04-07</v>
      </c>
      <c r="AF144" s="82" t="str">
        <f t="shared" si="60"/>
        <v>"C:\Program Files (x86)\AstroGrep\AstroGrep.exe" /e /r /s /spath="%USERPROFILE%\AppData\Local\Temp\OnboardLogs" /stypes="app*4054*20170407*" /stext=" 04:.+((SYSTEM_STATE.+slice.+state.+changed )|(ment ac)|(multiple cpu faults)|(system.+state.+changed )|(\[timeout)|(PRM\|1\|D)|(kpr)|(kdp)|(\|lc)|(penalty))"</v>
      </c>
      <c r="AG144" s="1" t="str">
        <f t="shared" si="61"/>
        <v>EC</v>
      </c>
      <c r="AH144" s="86" t="str">
        <f t="shared" si="62"/>
        <v>"%USERPROFILE%\Documents\GitHub\eaglep3\Utilities\RefineRTDCRunTimes.py" --tripid 233-06 --locoid 4054 --swversion DE.1.0.9.0 --startMP 204:462 --initTime 2017-04-06T21:40:06 --startdatetime 2017-04-06T22:00:21 --delay 1 --endMP 204:233310 --enddatetime 2017-04-06T22:36:32 --enforcementcount 0 &gt;&gt;C:\Users\stu\Documents\GitHub\eaglep3-reporting\EC\2017-04-06-refined-times.txt</v>
      </c>
      <c r="AI144" s="104" t="str">
        <f t="shared" si="63"/>
        <v>echo {"issue":{"subject":"","project_id":79,"tracker_id":40,"status_id":1,"priority_id":2,"assigned_to_id":23,"start_date":"2017-04-06","description":"","custom_fields":[{"id":1,"name":"Subdivision","value":"EC"},{"id":4,"name":"Milepost","value":"23.331"},{"id":17,"name":"Train ID","value":"233-06"},{"id":16,"name":"Locomotive ID","value":"4054"},{"id":130,"name":"Impact","value":""},{"id":150,"name":"Time of Event (Mountain Time)","value":"22:36:32"},{"id":151,"name":"Denver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64"/>
        <v>start /low /b %USERPROFILE%\Documents\GitHub\eaglep3\Utilities\DownloadLogsFromS3.py --loco 4054 --day 2017-04-06</v>
      </c>
      <c r="AN144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04:36:32"},{"id":29,"name":"Sharepoint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842</v>
      </c>
      <c r="B145" s="7">
        <v>4053</v>
      </c>
      <c r="C145" s="21" t="s">
        <v>216</v>
      </c>
      <c r="D145" s="21" t="s">
        <v>421</v>
      </c>
      <c r="E145" s="13">
        <v>42831.948819444442</v>
      </c>
      <c r="F145" s="13">
        <v>42831.955740740741</v>
      </c>
      <c r="G145" s="7">
        <v>1</v>
      </c>
      <c r="H145" s="21" t="s">
        <v>408</v>
      </c>
      <c r="I145" s="13">
        <v>42831.983495370368</v>
      </c>
      <c r="J145" s="7">
        <v>0</v>
      </c>
      <c r="K145" s="97" t="str">
        <f t="shared" si="51"/>
        <v>4053/4054</v>
      </c>
      <c r="L145" s="21" t="str">
        <f>VLOOKUP(A145,'Trips&amp;Operators'!$C$1:$G$99999,5,FALSE)</f>
        <v>LOPES KIMBERLY</v>
      </c>
      <c r="M145" s="6">
        <f t="shared" si="52"/>
        <v>2.7754629627452232E-2</v>
      </c>
      <c r="N145" s="7">
        <f t="shared" si="49"/>
        <v>39.966666663531214</v>
      </c>
      <c r="O145" s="7"/>
      <c r="P145" s="7"/>
      <c r="Q145" s="22"/>
      <c r="R145" s="22"/>
      <c r="S145" s="31">
        <f t="shared" si="46"/>
        <v>1</v>
      </c>
      <c r="T145" s="46" t="str">
        <f t="shared" si="53"/>
        <v>Southbound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4"/>
        <v>https://d0f6bd738d7f1b3e5a7ca70fe4ff75f0.us-east-1.aws.found.io/app/kibana#/discover/Steve-Slow-Train-Analysis-(2080s-and-2083s)?_g=(refreshInterval:(display:Off,pause:!f,section:0,value:0),time:(from:'2017-04-06T21:46:18-0600',mode:absolute,to:'2017-04-07T00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5" s="183" t="str">
        <f t="shared" si="55"/>
        <v>N</v>
      </c>
      <c r="X145" s="183">
        <f t="shared" si="50"/>
        <v>1</v>
      </c>
      <c r="Y145" s="62">
        <f t="shared" si="56"/>
        <v>23.299299999999999</v>
      </c>
      <c r="Z145" s="62">
        <f t="shared" si="47"/>
        <v>1.38E-2</v>
      </c>
      <c r="AA145" s="62">
        <f t="shared" si="57"/>
        <v>23.285499999999999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8"/>
        <v>0234-06</v>
      </c>
      <c r="AE145" s="85" t="str">
        <f t="shared" si="59"/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AF145" s="82" t="str">
        <f t="shared" si="60"/>
        <v>"C:\Program Files (x86)\AstroGrep\AstroGrep.exe" /e /r /s /spath="%USERPROFILE%\AppData\Local\Temp\OnboardLogs" /stypes="app*4053*20170407*" /stext=" 05:.+((SYSTEM_STATE.+slice.+state.+changed )|(ment ac)|(multiple cpu faults)|(system.+state.+changed )|(\[timeout)|(PRM\|1\|D)|(kpr)|(kdp)|(\|lc)|(penalty))"</v>
      </c>
      <c r="AG145" s="1" t="str">
        <f t="shared" si="61"/>
        <v>EC</v>
      </c>
      <c r="AH145" s="86" t="str">
        <f t="shared" si="62"/>
        <v>"%USERPROFILE%\Documents\GitHub\eaglep3\Utilities\RefineRTDCRunTimes.py" --tripid 234-06 --locoid 4053 --swversion DE.1.0.9.0 --startMP 204:232993 --initTime 2017-04-06T22:46:18 --startdatetime 2017-04-06T22:56:16 --delay 1 --endMP 204:138 --enddatetime 2017-04-06T23:36:14 --enforcementcount 0 &gt;&gt;C:\Users\stu\Documents\GitHub\eaglep3-reporting\EC\2017-04-06-refined-times.txt</v>
      </c>
      <c r="AI145" s="104" t="str">
        <f t="shared" si="63"/>
        <v>echo {"issue":{"subject":"","project_id":79,"tracker_id":40,"status_id":1,"priority_id":2,"assigned_to_id":23,"start_date":"2017-04-06","description":"","custom_fields":[{"id":1,"name":"Subdivision","value":"EC"},{"id":4,"name":"Milepost","value":"0.0138"},{"id":17,"name":"Train ID","value":"234-06"},{"id":16,"name":"Locomotive ID","value":"4053"},{"id":130,"name":"Impact","value":""},{"id":150,"name":"Time of Event (Mountain Time)","value":"23:36:14"},{"id":151,"name":"Denver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64"/>
        <v>start /low /b %USERPROFILE%\Documents\GitHub\eaglep3\Utilities\DownloadLogsFromS3.py --loco 4053 --day 2017-04-06</v>
      </c>
      <c r="AN145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05:36:14"},{"id":29,"name":"Sharepoint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839</v>
      </c>
      <c r="B146" s="7">
        <v>4042</v>
      </c>
      <c r="C146" s="21" t="s">
        <v>216</v>
      </c>
      <c r="D146" s="21" t="s">
        <v>434</v>
      </c>
      <c r="E146" s="13">
        <v>42831.924085648148</v>
      </c>
      <c r="F146" s="13">
        <v>42831.938194444447</v>
      </c>
      <c r="G146" s="7">
        <v>1</v>
      </c>
      <c r="H146" s="21" t="s">
        <v>407</v>
      </c>
      <c r="I146" s="13">
        <v>42831.963553240741</v>
      </c>
      <c r="J146" s="7">
        <v>0</v>
      </c>
      <c r="K146" s="97" t="str">
        <f t="shared" si="51"/>
        <v>4041/4042</v>
      </c>
      <c r="L146" s="21" t="str">
        <f>VLOOKUP(A146,'Trips&amp;Operators'!$C$1:$G$99999,5,FALSE)</f>
        <v>SWANSON BRYCE</v>
      </c>
      <c r="M146" s="6">
        <f t="shared" si="52"/>
        <v>2.5358796294312924E-2</v>
      </c>
      <c r="N146" s="7">
        <f t="shared" ref="N146:N177" si="66">24*60*SUM($M146:$M146)</f>
        <v>36.516666663810611</v>
      </c>
      <c r="O146" s="7"/>
      <c r="P146" s="7"/>
      <c r="Q146" s="22"/>
      <c r="R146" s="22"/>
      <c r="S146" s="31">
        <f t="shared" si="46"/>
        <v>1</v>
      </c>
      <c r="T146" s="46" t="str">
        <f t="shared" si="53"/>
        <v>NorthBound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54"/>
        <v>https://d0f6bd738d7f1b3e5a7ca70fe4ff75f0.us-east-1.aws.found.io/app/kibana#/discover/Steve-Slow-Train-Analysis-(2080s-and-2083s)?_g=(refreshInterval:(display:Off,pause:!f,section:0,value:0),time:(from:'2017-04-06T21:10:41-0600',mode:absolute,to:'2017-04-07T00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6" s="183" t="str">
        <f t="shared" si="55"/>
        <v>N</v>
      </c>
      <c r="X146" s="183">
        <f t="shared" si="50"/>
        <v>1</v>
      </c>
      <c r="Y146" s="62">
        <f t="shared" si="56"/>
        <v>4.7100000000000003E-2</v>
      </c>
      <c r="Z146" s="62">
        <f t="shared" si="47"/>
        <v>23.329499999999999</v>
      </c>
      <c r="AA146" s="62">
        <f t="shared" si="57"/>
        <v>23.282399999999999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8"/>
        <v>0235-06</v>
      </c>
      <c r="AE146" s="85" t="str">
        <f t="shared" si="59"/>
        <v>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 &amp; 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</v>
      </c>
      <c r="AF146" s="82" t="str">
        <f t="shared" si="60"/>
        <v>"C:\Program Files (x86)\AstroGrep\AstroGrep.exe" /e /r /s /spath="%USERPROFILE%\AppData\Local\Temp\OnboardLogs" /stypes="app*4042*20170407*" /stext=" 05:.+((SYSTEM_STATE.+slice.+state.+changed )|(ment ac)|(multiple cpu faults)|(system.+state.+changed )|(\[timeout)|(PRM\|1\|D)|(kpr)|(kdp)|(\|lc)|(penalty))"</v>
      </c>
      <c r="AG146" s="1" t="str">
        <f t="shared" si="61"/>
        <v>EC</v>
      </c>
      <c r="AH146" s="86" t="str">
        <f t="shared" si="62"/>
        <v>"%USERPROFILE%\Documents\GitHub\eaglep3\Utilities\RefineRTDCRunTimes.py" --tripid 235-06 --locoid 4042 --swversion DE.1.0.9.0 --startMP 204:471 --initTime 2017-04-06T22:10:41 --startdatetime 2017-04-06T22:31:00 --delay 1 --endMP 204:233295 --enddatetime 2017-04-06T23:07:31 --enforcementcount 0 &gt;&gt;C:\Users\stu\Documents\GitHub\eaglep3-reporting\EC\2017-04-06-refined-times.txt</v>
      </c>
      <c r="AI146" s="104" t="str">
        <f t="shared" si="63"/>
        <v>echo {"issue":{"subject":"","project_id":79,"tracker_id":40,"status_id":1,"priority_id":2,"assigned_to_id":23,"start_date":"2017-04-06","description":"","custom_fields":[{"id":1,"name":"Subdivision","value":"EC"},{"id":4,"name":"Milepost","value":"23.3295"},{"id":17,"name":"Train ID","value":"235-06"},{"id":16,"name":"Locomotive ID","value":"4042"},{"id":130,"name":"Impact","value":""},{"id":150,"name":"Time of Event (Mountain Time)","value":"23:07:31"},{"id":151,"name":"Denver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64"/>
        <v>start /low /b %USERPROFILE%\Documents\GitHub\eaglep3\Utilities\DownloadLogsFromS3.py --loco 4042 --day 2017-04-06</v>
      </c>
      <c r="AN146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05:07:31"},{"id":29,"name":"Sharepoint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3" t="s">
        <v>844</v>
      </c>
      <c r="B147" s="7">
        <v>4041</v>
      </c>
      <c r="C147" s="21" t="s">
        <v>216</v>
      </c>
      <c r="D147" s="21" t="s">
        <v>906</v>
      </c>
      <c r="E147" s="13">
        <v>42831.967523148145</v>
      </c>
      <c r="F147" s="13">
        <v>42831.976631944446</v>
      </c>
      <c r="G147" s="7">
        <v>1</v>
      </c>
      <c r="H147" s="21" t="s">
        <v>513</v>
      </c>
      <c r="I147" s="13">
        <v>42832.004687499997</v>
      </c>
      <c r="J147" s="7">
        <v>0</v>
      </c>
      <c r="K147" s="97" t="str">
        <f t="shared" si="51"/>
        <v>4041/4042</v>
      </c>
      <c r="L147" s="21" t="str">
        <f>VLOOKUP(A147,'Trips&amp;Operators'!$C$1:$G$99999,5,FALSE)</f>
        <v>SWANSON BRYCE</v>
      </c>
      <c r="M147" s="6">
        <f t="shared" si="52"/>
        <v>2.8055555550963618E-2</v>
      </c>
      <c r="N147" s="7">
        <f t="shared" si="66"/>
        <v>40.39999999338761</v>
      </c>
      <c r="O147" s="7"/>
      <c r="P147" s="7"/>
      <c r="Q147" s="22"/>
      <c r="R147" s="22"/>
      <c r="S147" s="31">
        <f t="shared" si="46"/>
        <v>1</v>
      </c>
      <c r="T147" s="46" t="str">
        <f t="shared" si="53"/>
        <v>Southbound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54"/>
        <v>https://d0f6bd738d7f1b3e5a7ca70fe4ff75f0.us-east-1.aws.found.io/app/kibana#/discover/Steve-Slow-Train-Analysis-(2080s-and-2083s)?_g=(refreshInterval:(display:Off,pause:!f,section:0,value:0),time:(from:'2017-04-06T22:13:14-0600',mode:absolute,to:'2017-04-07T01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7" s="183" t="str">
        <f t="shared" si="55"/>
        <v>N</v>
      </c>
      <c r="X147" s="183">
        <f t="shared" si="50"/>
        <v>1</v>
      </c>
      <c r="Y147" s="62">
        <f t="shared" si="56"/>
        <v>23.299600000000002</v>
      </c>
      <c r="Z147" s="62">
        <f t="shared" si="47"/>
        <v>1.67E-2</v>
      </c>
      <c r="AA147" s="62">
        <f t="shared" si="57"/>
        <v>23.282900000000001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8"/>
        <v>0236-06</v>
      </c>
      <c r="AE147" s="85" t="str">
        <f t="shared" si="59"/>
        <v>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 &amp; aws s3 cp s3://rtdc.mdm.uploadarchive.raw/RTDC4041/ "%USERPROFILE%\AppData\Local\Temp\OnboardLogs"\RTDC4041\2017-04-07 --exclude "*" --recursive --include "*20170407*" &amp; "%USERPROFILE%\Documents\GitHub\mrs-test-scripts\Headless Mode &amp; Sideloading\WalkAndUnGZ.bat" "%USERPROFILE%\AppData\Local\Temp\OnboardLogs"\RTDC4041\2017-04-07</v>
      </c>
      <c r="AF147" s="82" t="str">
        <f t="shared" si="60"/>
        <v>"C:\Program Files (x86)\AstroGrep\AstroGrep.exe" /e /r /s /spath="%USERPROFILE%\AppData\Local\Temp\OnboardLogs" /stypes="app*4041*20170407*" /stext=" 06:.+((SYSTEM_STATE.+slice.+state.+changed )|(ment ac)|(multiple cpu faults)|(system.+state.+changed )|(\[timeout)|(PRM\|1\|D)|(kpr)|(kdp)|(\|lc)|(penalty))"</v>
      </c>
      <c r="AG147" s="1" t="str">
        <f t="shared" si="61"/>
        <v>EC</v>
      </c>
      <c r="AH147" s="86" t="str">
        <f t="shared" si="62"/>
        <v>"%USERPROFILE%\Documents\GitHub\eaglep3\Utilities\RefineRTDCRunTimes.py" --tripid 236-06 --locoid 4041 --swversion DE.1.0.9.0 --startMP 204:232996 --initTime 2017-04-06T23:13:14 --startdatetime 2017-04-06T23:26:21 --delay 1 --endMP 204:167 --enddatetime 2017-04-07T00:06:45 --enforcementcount 0 &gt;&gt;C:\Users\stu\Documents\GitHub\eaglep3-reporting\EC\2017-04-06-refined-times.txt</v>
      </c>
      <c r="AI147" s="104" t="str">
        <f t="shared" si="63"/>
        <v>echo {"issue":{"subject":"","project_id":79,"tracker_id":40,"status_id":1,"priority_id":2,"assigned_to_id":23,"start_date":"2017-04-07","description":"","custom_fields":[{"id":1,"name":"Subdivision","value":"EC"},{"id":4,"name":"Milepost","value":"0.0167"},{"id":17,"name":"Train ID","value":"236-06"},{"id":16,"name":"Locomotive ID","value":"4041"},{"id":130,"name":"Impact","value":""},{"id":150,"name":"Time of Event (Mountain Time)","value":"00:06:45"},{"id":151,"name":"Denver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20"/>
      <c r="AK147" s="48"/>
      <c r="AL147" s="48"/>
      <c r="AM147" s="150" t="str">
        <f t="shared" si="64"/>
        <v>start /low /b %USERPROFILE%\Documents\GitHub\eaglep3\Utilities\DownloadLogsFromS3.py --loco 4041 --day 2017-04-06</v>
      </c>
      <c r="AN147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06:06:45"},{"id":29,"name":"Sharepoint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8" spans="1:91" s="20" customFormat="1" x14ac:dyDescent="0.25">
      <c r="A148" s="33" t="s">
        <v>843</v>
      </c>
      <c r="B148" s="7">
        <v>4004</v>
      </c>
      <c r="C148" s="21" t="s">
        <v>216</v>
      </c>
      <c r="D148" s="21" t="s">
        <v>434</v>
      </c>
      <c r="E148" s="13">
        <v>42831.954571759263</v>
      </c>
      <c r="F148" s="13">
        <v>42831.958865740744</v>
      </c>
      <c r="G148" s="7">
        <v>1</v>
      </c>
      <c r="H148" s="21" t="s">
        <v>589</v>
      </c>
      <c r="I148" s="13">
        <v>42831.983946759261</v>
      </c>
      <c r="J148" s="7">
        <v>0</v>
      </c>
      <c r="K148" s="97" t="str">
        <f t="shared" si="51"/>
        <v>4003/4004</v>
      </c>
      <c r="L148" s="21" t="str">
        <f>VLOOKUP(A148,'Trips&amp;Operators'!$C$1:$G$99999,5,FALSE)</f>
        <v>CHANDLER KELVIN</v>
      </c>
      <c r="M148" s="6">
        <f t="shared" si="52"/>
        <v>2.5081018517084885E-2</v>
      </c>
      <c r="N148" s="7">
        <f t="shared" si="66"/>
        <v>36.116666664602235</v>
      </c>
      <c r="O148" s="7"/>
      <c r="P148" s="7"/>
      <c r="Q148" s="22"/>
      <c r="R148" s="22"/>
      <c r="S148" s="31">
        <f t="shared" si="46"/>
        <v>1</v>
      </c>
      <c r="T148" s="46" t="str">
        <f t="shared" si="53"/>
        <v>NorthBound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4"/>
        <v>https://d0f6bd738d7f1b3e5a7ca70fe4ff75f0.us-east-1.aws.found.io/app/kibana#/discover/Steve-Slow-Train-Analysis-(2080s-and-2083s)?_g=(refreshInterval:(display:Off,pause:!f,section:0,value:0),time:(from:'2017-04-06T21:54:35-0600',mode:absolute,to:'2017-04-07T00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8" s="183" t="str">
        <f t="shared" si="55"/>
        <v>N</v>
      </c>
      <c r="X148" s="183">
        <f t="shared" si="50"/>
        <v>1</v>
      </c>
      <c r="Y148" s="62">
        <f t="shared" si="56"/>
        <v>4.7100000000000003E-2</v>
      </c>
      <c r="Z148" s="62">
        <f t="shared" si="47"/>
        <v>23.327400000000001</v>
      </c>
      <c r="AA148" s="62">
        <f t="shared" si="57"/>
        <v>23.2803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8"/>
        <v>0237-06</v>
      </c>
      <c r="AE148" s="85" t="str">
        <f t="shared" si="59"/>
        <v>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 &amp; aws s3 cp s3://rtdc.mdm.uploadarchive.raw/RTDC4004/ "%USERPROFILE%\AppData\Local\Temp\OnboardLogs"\RTDC4004\2017-04-07 --exclude "*" --recursive --include "*20170407*" &amp; "%USERPROFILE%\Documents\GitHub\mrs-test-scripts\Headless Mode &amp; Sideloading\WalkAndUnGZ.bat" "%USERPROFILE%\AppData\Local\Temp\OnboardLogs"\RTDC4004\2017-04-07</v>
      </c>
      <c r="AF148" s="82" t="str">
        <f t="shared" si="60"/>
        <v>"C:\Program Files (x86)\AstroGrep\AstroGrep.exe" /e /r /s /spath="%USERPROFILE%\AppData\Local\Temp\OnboardLogs" /stypes="app*4004*20170407*" /stext=" 05:.+((SYSTEM_STATE.+slice.+state.+changed )|(ment ac)|(multiple cpu faults)|(system.+state.+changed )|(\[timeout)|(PRM\|1\|D)|(kpr)|(kdp)|(\|lc)|(penalty))"</v>
      </c>
      <c r="AG148" s="1" t="str">
        <f t="shared" si="61"/>
        <v>EC</v>
      </c>
      <c r="AH148" s="86" t="str">
        <f t="shared" si="62"/>
        <v>"%USERPROFILE%\Documents\GitHub\eaglep3\Utilities\RefineRTDCRunTimes.py" --tripid 237-06 --locoid 4004 --swversion DE.1.0.9.0 --startMP 204:471 --initTime 2017-04-06T22:54:35 --startdatetime 2017-04-06T23:00:46 --delay 1 --endMP 204:233274 --enddatetime 2017-04-06T23:36:53 --enforcementcount 0 &gt;&gt;C:\Users\stu\Documents\GitHub\eaglep3-reporting\EC\2017-04-06-refined-times.txt</v>
      </c>
      <c r="AI148" s="104" t="str">
        <f t="shared" si="63"/>
        <v>echo {"issue":{"subject":"","project_id":79,"tracker_id":40,"status_id":1,"priority_id":2,"assigned_to_id":23,"start_date":"2017-04-06","description":"","custom_fields":[{"id":1,"name":"Subdivision","value":"EC"},{"id":4,"name":"Milepost","value":"23.3274"},{"id":17,"name":"Train ID","value":"237-06"},{"id":16,"name":"Locomotive ID","value":"4004"},{"id":130,"name":"Impact","value":""},{"id":150,"name":"Time of Event (Mountain Time)","value":"23:36:53"},{"id":151,"name":"Denver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64"/>
        <v>start /low /b %USERPROFILE%\Documents\GitHub\eaglep3\Utilities\DownloadLogsFromS3.py --loco 4004 --day 2017-04-06</v>
      </c>
      <c r="AN148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05:36:53"},{"id":29,"name":"Sharepoint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847</v>
      </c>
      <c r="B149" s="7">
        <v>4003</v>
      </c>
      <c r="C149" s="21" t="s">
        <v>216</v>
      </c>
      <c r="D149" s="21" t="s">
        <v>471</v>
      </c>
      <c r="E149" s="13">
        <v>42831.993344907409</v>
      </c>
      <c r="F149" s="13">
        <v>42831.997627314813</v>
      </c>
      <c r="G149" s="7">
        <v>1</v>
      </c>
      <c r="H149" s="21" t="s">
        <v>412</v>
      </c>
      <c r="I149" s="13">
        <v>42832.025254629632</v>
      </c>
      <c r="J149" s="7">
        <v>0</v>
      </c>
      <c r="K149" s="97" t="str">
        <f t="shared" si="51"/>
        <v>4003/4004</v>
      </c>
      <c r="L149" s="21" t="str">
        <f>VLOOKUP(A149,'Trips&amp;Operators'!$C$1:$G$99999,5,FALSE)</f>
        <v>CHANDLER KELVIN</v>
      </c>
      <c r="M149" s="6">
        <f t="shared" si="52"/>
        <v>2.7627314819255844E-2</v>
      </c>
      <c r="N149" s="7">
        <f t="shared" si="66"/>
        <v>39.783333339728415</v>
      </c>
      <c r="O149" s="7"/>
      <c r="P149" s="7"/>
      <c r="Q149" s="22"/>
      <c r="R149" s="22"/>
      <c r="S149" s="31">
        <f t="shared" si="46"/>
        <v>1</v>
      </c>
      <c r="T149" s="46" t="str">
        <f t="shared" si="53"/>
        <v>Southbound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4"/>
        <v>https://d0f6bd738d7f1b3e5a7ca70fe4ff75f0.us-east-1.aws.found.io/app/kibana#/discover/Steve-Slow-Train-Analysis-(2080s-and-2083s)?_g=(refreshInterval:(display:Off,pause:!f,section:0,value:0),time:(from:'2017-04-06T22:50:25-0600',mode:absolute,to:'2017-04-07T01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9" s="183" t="str">
        <f t="shared" si="55"/>
        <v>N</v>
      </c>
      <c r="X149" s="183">
        <f t="shared" si="50"/>
        <v>1</v>
      </c>
      <c r="Y149" s="62">
        <f t="shared" si="56"/>
        <v>23.296600000000002</v>
      </c>
      <c r="Z149" s="62">
        <f t="shared" si="47"/>
        <v>1.6299999999999999E-2</v>
      </c>
      <c r="AA149" s="62">
        <f t="shared" si="57"/>
        <v>23.2803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8"/>
        <v>0238-06</v>
      </c>
      <c r="AE149" s="85" t="str">
        <f t="shared" si="59"/>
        <v>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 &amp; aws s3 cp s3://rtdc.mdm.uploadarchive.raw/RTDC4003/ "%USERPROFILE%\AppData\Local\Temp\OnboardLogs"\RTDC4003\2017-04-07 --exclude "*" --recursive --include "*20170407*" &amp; "%USERPROFILE%\Documents\GitHub\mrs-test-scripts\Headless Mode &amp; Sideloading\WalkAndUnGZ.bat" "%USERPROFILE%\AppData\Local\Temp\OnboardLogs"\RTDC4003\2017-04-07</v>
      </c>
      <c r="AF149" s="82" t="str">
        <f t="shared" si="60"/>
        <v>"C:\Program Files (x86)\AstroGrep\AstroGrep.exe" /e /r /s /spath="%USERPROFILE%\AppData\Local\Temp\OnboardLogs" /stypes="app*4003*20170407*" /stext=" 06:.+((SYSTEM_STATE.+slice.+state.+changed )|(ment ac)|(multiple cpu faults)|(system.+state.+changed )|(\[timeout)|(PRM\|1\|D)|(kpr)|(kdp)|(\|lc)|(penalty))"</v>
      </c>
      <c r="AG149" s="1" t="str">
        <f t="shared" si="61"/>
        <v>EC</v>
      </c>
      <c r="AH149" s="86" t="str">
        <f t="shared" si="62"/>
        <v>"%USERPROFILE%\Documents\GitHub\eaglep3\Utilities\RefineRTDCRunTimes.py" --tripid 238-06 --locoid 4003 --swversion DE.1.0.9.0 --startMP 204:232966 --initTime 2017-04-06T23:50:25 --startdatetime 2017-04-06T23:56:35 --delay 1 --endMP 204:163 --enddatetime 2017-04-07T00:36:22 --enforcementcount 0 &gt;&gt;C:\Users\stu\Documents\GitHub\eaglep3-reporting\EC\2017-04-06-refined-times.txt</v>
      </c>
      <c r="AI149" s="104" t="str">
        <f t="shared" si="63"/>
        <v>echo {"issue":{"subject":"","project_id":79,"tracker_id":40,"status_id":1,"priority_id":2,"assigned_to_id":23,"start_date":"2017-04-07","description":"","custom_fields":[{"id":1,"name":"Subdivision","value":"EC"},{"id":4,"name":"Milepost","value":"0.0163"},{"id":17,"name":"Train ID","value":"238-06"},{"id":16,"name":"Locomotive ID","value":"4003"},{"id":130,"name":"Impact","value":""},{"id":150,"name":"Time of Event (Mountain Time)","value":"00:36:22"},{"id":151,"name":"Denver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8"/>
      <c r="AL149" s="48"/>
      <c r="AM149" s="150" t="str">
        <f t="shared" si="64"/>
        <v>start /low /b %USERPROFILE%\Documents\GitHub\eaglep3\Utilities\DownloadLogsFromS3.py --loco 4003 --day 2017-04-06</v>
      </c>
      <c r="AN149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06:36:22"},{"id":29,"name":"Sharepoint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845</v>
      </c>
      <c r="B150" s="7">
        <v>4044</v>
      </c>
      <c r="C150" s="21" t="s">
        <v>216</v>
      </c>
      <c r="D150" s="21" t="s">
        <v>420</v>
      </c>
      <c r="E150" s="13">
        <v>42831.975613425922</v>
      </c>
      <c r="F150" s="13">
        <v>42831.979363425926</v>
      </c>
      <c r="G150" s="7">
        <v>1</v>
      </c>
      <c r="H150" s="21" t="s">
        <v>429</v>
      </c>
      <c r="I150" s="13">
        <v>42832.003807870373</v>
      </c>
      <c r="J150" s="7">
        <v>0</v>
      </c>
      <c r="K150" s="97" t="str">
        <f t="shared" si="51"/>
        <v>4043/4044</v>
      </c>
      <c r="L150" s="21" t="str">
        <f>VLOOKUP(A150,'Trips&amp;Operators'!$C$1:$G$99999,5,FALSE)</f>
        <v>NEWELL JAMES</v>
      </c>
      <c r="M150" s="6">
        <f t="shared" si="52"/>
        <v>2.4444444446999114E-2</v>
      </c>
      <c r="N150" s="7">
        <f t="shared" si="66"/>
        <v>35.200000003678724</v>
      </c>
      <c r="O150" s="7"/>
      <c r="P150" s="7"/>
      <c r="Q150" s="22"/>
      <c r="R150" s="22"/>
      <c r="S150" s="31">
        <f t="shared" si="46"/>
        <v>1</v>
      </c>
      <c r="T150" s="46" t="str">
        <f t="shared" si="53"/>
        <v>NorthBound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4"/>
        <v>https://d0f6bd738d7f1b3e5a7ca70fe4ff75f0.us-east-1.aws.found.io/app/kibana#/discover/Steve-Slow-Train-Analysis-(2080s-and-2083s)?_g=(refreshInterval:(display:Off,pause:!f,section:0,value:0),time:(from:'2017-04-06T22:24:53-0600',mode:absolute,to:'2017-04-07T01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0" s="183" t="str">
        <f t="shared" si="55"/>
        <v>N</v>
      </c>
      <c r="X150" s="183">
        <f t="shared" si="50"/>
        <v>1</v>
      </c>
      <c r="Y150" s="62">
        <f t="shared" si="56"/>
        <v>4.6199999999999998E-2</v>
      </c>
      <c r="Z150" s="62">
        <f t="shared" si="47"/>
        <v>23.331499999999998</v>
      </c>
      <c r="AA150" s="62">
        <f t="shared" si="57"/>
        <v>23.285299999999999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8"/>
        <v>0239-06</v>
      </c>
      <c r="AE150" s="85" t="str">
        <f t="shared" si="59"/>
        <v>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 &amp; 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</v>
      </c>
      <c r="AF150" s="82" t="str">
        <f t="shared" si="60"/>
        <v>"C:\Program Files (x86)\AstroGrep\AstroGrep.exe" /e /r /s /spath="%USERPROFILE%\AppData\Local\Temp\OnboardLogs" /stypes="app*4044*20170407*" /stext=" 06:.+((SYSTEM_STATE.+slice.+state.+changed )|(ment ac)|(multiple cpu faults)|(system.+state.+changed )|(\[timeout)|(PRM\|1\|D)|(kpr)|(kdp)|(\|lc)|(penalty))"</v>
      </c>
      <c r="AG150" s="1" t="str">
        <f t="shared" si="61"/>
        <v>EC</v>
      </c>
      <c r="AH150" s="86" t="str">
        <f t="shared" si="62"/>
        <v>"%USERPROFILE%\Documents\GitHub\eaglep3\Utilities\RefineRTDCRunTimes.py" --tripid 239-06 --locoid 4044 --swversion DE.1.0.9.0 --startMP 204:462 --initTime 2017-04-06T23:24:53 --startdatetime 2017-04-06T23:30:17 --delay 1 --endMP 204:233315 --enddatetime 2017-04-07T00:05:29 --enforcementcount 0 &gt;&gt;C:\Users\stu\Documents\GitHub\eaglep3-reporting\EC\2017-04-06-refined-times.txt</v>
      </c>
      <c r="AI150" s="104" t="str">
        <f t="shared" si="63"/>
        <v>echo {"issue":{"subject":"","project_id":79,"tracker_id":40,"status_id":1,"priority_id":2,"assigned_to_id":23,"start_date":"2017-04-07","description":"","custom_fields":[{"id":1,"name":"Subdivision","value":"EC"},{"id":4,"name":"Milepost","value":"23.3315"},{"id":17,"name":"Train ID","value":"239-06"},{"id":16,"name":"Locomotive ID","value":"4044"},{"id":130,"name":"Impact","value":""},{"id":150,"name":"Time of Event (Mountain Time)","value":"00:05:29"},{"id":151,"name":"Denver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64"/>
        <v>start /low /b %USERPROFILE%\Documents\GitHub\eaglep3\Utilities\DownloadLogsFromS3.py --loco 4044 --day 2017-04-06</v>
      </c>
      <c r="AN150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06:05:29"},{"id":29,"name":"Sharepoint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849</v>
      </c>
      <c r="B151" s="7">
        <v>4043</v>
      </c>
      <c r="C151" s="21" t="s">
        <v>216</v>
      </c>
      <c r="D151" s="21" t="s">
        <v>440</v>
      </c>
      <c r="E151" s="13">
        <v>42832.014837962961</v>
      </c>
      <c r="F151" s="13">
        <v>42832.018206018518</v>
      </c>
      <c r="G151" s="7">
        <v>1</v>
      </c>
      <c r="H151" s="21" t="s">
        <v>198</v>
      </c>
      <c r="I151" s="13">
        <v>42832.044606481482</v>
      </c>
      <c r="J151" s="7">
        <v>0</v>
      </c>
      <c r="K151" s="97" t="str">
        <f t="shared" si="51"/>
        <v>4043/4044</v>
      </c>
      <c r="L151" s="21" t="str">
        <f>VLOOKUP(A151,'Trips&amp;Operators'!$C$1:$G$99999,5,FALSE)</f>
        <v>NEWELL JAMES</v>
      </c>
      <c r="M151" s="6">
        <f t="shared" si="52"/>
        <v>2.6400462964375038E-2</v>
      </c>
      <c r="N151" s="7">
        <f t="shared" si="66"/>
        <v>38.016666668700054</v>
      </c>
      <c r="O151" s="7"/>
      <c r="P151" s="7"/>
      <c r="Q151" s="22"/>
      <c r="R151" s="22"/>
      <c r="S151" s="31">
        <f t="shared" si="46"/>
        <v>1</v>
      </c>
      <c r="T151" s="46" t="str">
        <f t="shared" si="53"/>
        <v>Southbound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4"/>
        <v>https://d0f6bd738d7f1b3e5a7ca70fe4ff75f0.us-east-1.aws.found.io/app/kibana#/discover/Steve-Slow-Train-Analysis-(2080s-and-2083s)?_g=(refreshInterval:(display:Off,pause:!f,section:0,value:0),time:(from:'2017-04-06T23:21:22-0600',mode:absolute,to:'2017-04-07T02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1" s="183" t="str">
        <f t="shared" si="55"/>
        <v>N</v>
      </c>
      <c r="X151" s="183">
        <f t="shared" si="50"/>
        <v>1</v>
      </c>
      <c r="Y151" s="62">
        <f t="shared" si="56"/>
        <v>23.299800000000001</v>
      </c>
      <c r="Z151" s="62">
        <f t="shared" si="47"/>
        <v>1.52E-2</v>
      </c>
      <c r="AA151" s="62">
        <f t="shared" si="57"/>
        <v>23.284600000000001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8"/>
        <v>0240-06</v>
      </c>
      <c r="AE151" s="85" t="str">
        <f t="shared" si="59"/>
        <v>aws s3 cp s3://rtdc.mdm.uploadarchive.raw/RTDC4043/ "%USERPROFILE%\AppData\Local\Temp\OnboardLogs"\RTDC4043\2017-04-07 --exclude "*" --recursive --include "*20170407*" &amp; "%USERPROFILE%\Documents\GitHub\mrs-test-scripts\Headless Mode &amp; Sideloading\WalkAndUnGZ.bat" "%USERPROFILE%\AppData\Local\Temp\OnboardLogs"\RTDC4043\2017-04-07 &amp; aws s3 cp s3://rtdc.mdm.uploadarchive.raw/RTDC4043/ "%USERPROFILE%\AppData\Local\Temp\OnboardLogs"\RTDC4043\2017-04-08 --exclude "*" --recursive --include "*20170408*" &amp; "%USERPROFILE%\Documents\GitHub\mrs-test-scripts\Headless Mode &amp; Sideloading\WalkAndUnGZ.bat" "%USERPROFILE%\AppData\Local\Temp\OnboardLogs"\RTDC4043\2017-04-08</v>
      </c>
      <c r="AF151" s="82" t="str">
        <f t="shared" si="60"/>
        <v>"C:\Program Files (x86)\AstroGrep\AstroGrep.exe" /e /r /s /spath="%USERPROFILE%\AppData\Local\Temp\OnboardLogs" /stypes="app*4043*20170407*" /stext=" 07:.+((SYSTEM_STATE.+slice.+state.+changed )|(ment ac)|(multiple cpu faults)|(system.+state.+changed )|(\[timeout)|(PRM\|1\|D)|(kpr)|(kdp)|(\|lc)|(penalty))"</v>
      </c>
      <c r="AG151" s="1" t="str">
        <f t="shared" si="61"/>
        <v>EC</v>
      </c>
      <c r="AH151" s="86" t="str">
        <f t="shared" si="62"/>
        <v>"%USERPROFILE%\Documents\GitHub\eaglep3\Utilities\RefineRTDCRunTimes.py" --tripid 240-06 --locoid 4043 --swversion DE.1.0.9.0 --startMP 204:232998 --initTime 2017-04-07T00:21:22 --startdatetime 2017-04-07T00:26:13 --delay 1 --endMP 204:152 --enddatetime 2017-04-07T01:04:14 --enforcementcount 0 &gt;&gt;C:\Users\stu\Documents\GitHub\eaglep3-reporting\EC\2017-04-06-refined-times.txt</v>
      </c>
      <c r="AI151" s="104" t="str">
        <f t="shared" si="63"/>
        <v>echo {"issue":{"subject":"","project_id":79,"tracker_id":40,"status_id":1,"priority_id":2,"assigned_to_id":23,"start_date":"2017-04-07","description":"","custom_fields":[{"id":1,"name":"Subdivision","value":"EC"},{"id":4,"name":"Milepost","value":"0.0152"},{"id":17,"name":"Train ID","value":"240-06"},{"id":16,"name":"Locomotive ID","value":"4043"},{"id":130,"name":"Impact","value":""},{"id":150,"name":"Time of Event (Mountain Time)","value":"01:04:14"},{"id":151,"name":"Denver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64"/>
        <v>start /low /b %USERPROFILE%\Documents\GitHub\eaglep3\Utilities\DownloadLogsFromS3.py --loco 4043 --day 2017-04-07</v>
      </c>
      <c r="AN151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07:04:14"},{"id":29,"name":"Sharepoint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x14ac:dyDescent="0.25">
      <c r="A152" s="33" t="s">
        <v>846</v>
      </c>
      <c r="B152" s="7">
        <v>4054</v>
      </c>
      <c r="C152" s="21" t="s">
        <v>216</v>
      </c>
      <c r="D152" s="21" t="s">
        <v>210</v>
      </c>
      <c r="E152" s="13">
        <v>42831.993043981478</v>
      </c>
      <c r="F152" s="13">
        <v>42832.0002662037</v>
      </c>
      <c r="G152" s="7">
        <v>1</v>
      </c>
      <c r="H152" s="21" t="s">
        <v>918</v>
      </c>
      <c r="I152" s="13">
        <v>42832.025243055556</v>
      </c>
      <c r="J152" s="7">
        <v>0</v>
      </c>
      <c r="K152" s="97" t="str">
        <f t="shared" si="51"/>
        <v>4053/4054</v>
      </c>
      <c r="L152" s="21" t="str">
        <f>VLOOKUP(A152,'Trips&amp;Operators'!$C$1:$G$99999,5,FALSE)</f>
        <v>WHITED DUSTIN</v>
      </c>
      <c r="M152" s="6">
        <f t="shared" si="52"/>
        <v>2.4976851855171844E-2</v>
      </c>
      <c r="N152" s="7">
        <f t="shared" si="66"/>
        <v>35.966666671447456</v>
      </c>
      <c r="O152" s="7"/>
      <c r="P152" s="7"/>
      <c r="Q152" s="22"/>
      <c r="R152" s="22"/>
      <c r="S152" s="31">
        <f t="shared" si="46"/>
        <v>1</v>
      </c>
      <c r="T152" s="46" t="str">
        <f t="shared" si="53"/>
        <v>NorthBound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4"/>
        <v>https://d0f6bd738d7f1b3e5a7ca70fe4ff75f0.us-east-1.aws.found.io/app/kibana#/discover/Steve-Slow-Train-Analysis-(2080s-and-2083s)?_g=(refreshInterval:(display:Off,pause:!f,section:0,value:0),time:(from:'2017-04-06T22:49:59-0600',mode:absolute,to:'2017-04-07T01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2" s="183" t="str">
        <f t="shared" si="55"/>
        <v>N</v>
      </c>
      <c r="X152" s="183">
        <f t="shared" si="50"/>
        <v>1</v>
      </c>
      <c r="Y152" s="62">
        <f t="shared" si="56"/>
        <v>4.53E-2</v>
      </c>
      <c r="Z152" s="62">
        <f t="shared" si="47"/>
        <v>23.332699999999999</v>
      </c>
      <c r="AA152" s="62">
        <f t="shared" si="57"/>
        <v>23.287399999999998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8"/>
        <v>0241-06</v>
      </c>
      <c r="AE152" s="85" t="str">
        <f t="shared" si="59"/>
        <v>aws s3 cp s3://rtdc.mdm.uploadarchive.raw/RTDC4054/ "%USERPROFILE%\AppData\Local\Temp\OnboardLogs"\RTDC4054\2017-04-07 --exclude "*" --recursive --include "*20170407*" &amp; "%USERPROFILE%\Documents\GitHub\mrs-test-scripts\Headless Mode &amp; Sideloading\WalkAndUnGZ.bat" "%USERPROFILE%\AppData\Local\Temp\OnboardLogs"\RTDC4054\2017-04-07 &amp; aws s3 cp s3://rtdc.mdm.uploadarchive.raw/RTDC4054/ "%USERPROFILE%\AppData\Local\Temp\OnboardLogs"\RTDC4054\2017-04-08 --exclude "*" --recursive --include "*20170408*" &amp; "%USERPROFILE%\Documents\GitHub\mrs-test-scripts\Headless Mode &amp; Sideloading\WalkAndUnGZ.bat" "%USERPROFILE%\AppData\Local\Temp\OnboardLogs"\RTDC4054\2017-04-08</v>
      </c>
      <c r="AF152" s="82" t="str">
        <f t="shared" si="60"/>
        <v>"C:\Program Files (x86)\AstroGrep\AstroGrep.exe" /e /r /s /spath="%USERPROFILE%\AppData\Local\Temp\OnboardLogs" /stypes="app*4054*20170407*" /stext=" 06:.+((SYSTEM_STATE.+slice.+state.+changed )|(ment ac)|(multiple cpu faults)|(system.+state.+changed )|(\[timeout)|(PRM\|1\|D)|(kpr)|(kdp)|(\|lc)|(penalty))"</v>
      </c>
      <c r="AG152" s="1" t="str">
        <f t="shared" si="61"/>
        <v>EC</v>
      </c>
      <c r="AH152" s="86" t="str">
        <f t="shared" si="62"/>
        <v>"%USERPROFILE%\Documents\GitHub\eaglep3\Utilities\RefineRTDCRunTimes.py" --tripid 241-06 --locoid 4054 --swversion DE.1.0.9.0 --startMP 204:453 --initTime 2017-04-06T23:49:59 --startdatetime 2017-04-07T00:00:23 --delay 1 --endMP 204:233327 --enddatetime 2017-04-07T00:36:21 --enforcementcount 0 &gt;&gt;C:\Users\stu\Documents\GitHub\eaglep3-reporting\EC\2017-04-06-refined-times.txt</v>
      </c>
      <c r="AI152" s="104" t="str">
        <f t="shared" si="63"/>
        <v>echo {"issue":{"subject":"","project_id":79,"tracker_id":40,"status_id":1,"priority_id":2,"assigned_to_id":23,"start_date":"2017-04-07","description":"","custom_fields":[{"id":1,"name":"Subdivision","value":"EC"},{"id":4,"name":"Milepost","value":"23.3327"},{"id":17,"name":"Train ID","value":"241-06"},{"id":16,"name":"Locomotive ID","value":"4054"},{"id":130,"name":"Impact","value":""},{"id":150,"name":"Time of Event (Mountain Time)","value":"00:36:21"},{"id":151,"name":"Denver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20"/>
      <c r="AK152" s="48"/>
      <c r="AL152" s="48"/>
      <c r="AM152" s="150" t="str">
        <f t="shared" si="64"/>
        <v>start /low /b %USERPROFILE%\Documents\GitHub\eaglep3\Utilities\DownloadLogsFromS3.py --loco 4054 --day 2017-04-07</v>
      </c>
      <c r="AN152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06:36:21"},{"id":29,"name":"Sharepoint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3" spans="1:91" x14ac:dyDescent="0.25">
      <c r="A153" s="33" t="s">
        <v>851</v>
      </c>
      <c r="B153" s="7">
        <v>4053</v>
      </c>
      <c r="C153" s="21" t="s">
        <v>216</v>
      </c>
      <c r="D153" s="21" t="s">
        <v>911</v>
      </c>
      <c r="E153" s="13">
        <v>42832.035520833335</v>
      </c>
      <c r="F153" s="13">
        <v>42832.039120370369</v>
      </c>
      <c r="G153" s="7">
        <v>1</v>
      </c>
      <c r="H153" s="21" t="s">
        <v>184</v>
      </c>
      <c r="I153" s="13">
        <v>42832.065706018519</v>
      </c>
      <c r="J153" s="7">
        <v>0</v>
      </c>
      <c r="K153" s="97" t="str">
        <f t="shared" si="51"/>
        <v>4053/4054</v>
      </c>
      <c r="L153" s="21" t="str">
        <f>VLOOKUP(A153,'Trips&amp;Operators'!$C$1:$G$99999,5,FALSE)</f>
        <v>WHITED DUSTIN</v>
      </c>
      <c r="M153" s="6">
        <f t="shared" si="52"/>
        <v>2.658564814919373E-2</v>
      </c>
      <c r="N153" s="7">
        <f t="shared" si="66"/>
        <v>38.283333334838971</v>
      </c>
      <c r="O153" s="7"/>
      <c r="P153" s="7"/>
      <c r="Q153" s="22"/>
      <c r="R153" s="22"/>
      <c r="S153" s="31">
        <f t="shared" si="46"/>
        <v>1</v>
      </c>
      <c r="T153" s="46" t="str">
        <f t="shared" si="53"/>
        <v>Southbound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4"/>
        <v>https://d0f6bd738d7f1b3e5a7ca70fe4ff75f0.us-east-1.aws.found.io/app/kibana#/discover/Steve-Slow-Train-Analysis-(2080s-and-2083s)?_g=(refreshInterval:(display:Off,pause:!f,section:0,value:0),time:(from:'2017-04-06T23:51:09-0600',mode:absolute,to:'2017-04-07T02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3" s="183" t="str">
        <f t="shared" si="55"/>
        <v>N</v>
      </c>
      <c r="X153" s="183">
        <f t="shared" si="50"/>
        <v>1</v>
      </c>
      <c r="Y153" s="62">
        <f t="shared" si="56"/>
        <v>23.3017</v>
      </c>
      <c r="Z153" s="62">
        <f t="shared" si="47"/>
        <v>1.49E-2</v>
      </c>
      <c r="AA153" s="62">
        <f t="shared" si="57"/>
        <v>23.286799999999999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8"/>
        <v>0242-06</v>
      </c>
      <c r="AE153" s="85" t="str">
        <f t="shared" si="59"/>
        <v>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 &amp; aws s3 cp s3://rtdc.mdm.uploadarchive.raw/RTDC4053/ "%USERPROFILE%\AppData\Local\Temp\OnboardLogs"\RTDC4053\2017-04-08 --exclude "*" --recursive --include "*20170408*" &amp; "%USERPROFILE%\Documents\GitHub\mrs-test-scripts\Headless Mode &amp; Sideloading\WalkAndUnGZ.bat" "%USERPROFILE%\AppData\Local\Temp\OnboardLogs"\RTDC4053\2017-04-08</v>
      </c>
      <c r="AF153" s="82" t="str">
        <f t="shared" si="60"/>
        <v>"C:\Program Files (x86)\AstroGrep\AstroGrep.exe" /e /r /s /spath="%USERPROFILE%\AppData\Local\Temp\OnboardLogs" /stypes="app*4053*20170407*" /stext=" 07:.+((SYSTEM_STATE.+slice.+state.+changed )|(ment ac)|(multiple cpu faults)|(system.+state.+changed )|(\[timeout)|(PRM\|1\|D)|(kpr)|(kdp)|(\|lc)|(penalty))"</v>
      </c>
      <c r="AG153" s="1" t="str">
        <f t="shared" si="61"/>
        <v>EC</v>
      </c>
      <c r="AH153" s="86" t="str">
        <f t="shared" si="62"/>
        <v>"%USERPROFILE%\Documents\GitHub\eaglep3\Utilities\RefineRTDCRunTimes.py" --tripid 242-06 --locoid 4053 --swversion DE.1.0.9.0 --startMP 204:233017 --initTime 2017-04-07T00:51:09 --startdatetime 2017-04-07T00:56:20 --delay 1 --endMP 204:149 --enddatetime 2017-04-07T01:34:37 --enforcementcount 0 &gt;&gt;C:\Users\stu\Documents\GitHub\eaglep3-reporting\EC\2017-04-06-refined-times.txt</v>
      </c>
      <c r="AI153" s="104" t="str">
        <f t="shared" si="63"/>
        <v>echo {"issue":{"subject":"","project_id":79,"tracker_id":40,"status_id":1,"priority_id":2,"assigned_to_id":23,"start_date":"2017-04-07","description":"","custom_fields":[{"id":1,"name":"Subdivision","value":"EC"},{"id":4,"name":"Milepost","value":"0.0149"},{"id":17,"name":"Train ID","value":"242-06"},{"id":16,"name":"Locomotive ID","value":"4053"},{"id":130,"name":"Impact","value":""},{"id":150,"name":"Time of Event (Mountain Time)","value":"01:34:37"},{"id":151,"name":"Denver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64"/>
        <v>start /low /b %USERPROFILE%\Documents\GitHub\eaglep3\Utilities\DownloadLogsFromS3.py --loco 4053 --day 2017-04-07</v>
      </c>
      <c r="AN153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07:34:37"},{"id":29,"name":"Sharepoint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848</v>
      </c>
      <c r="B154" s="7">
        <v>4042</v>
      </c>
      <c r="C154" s="21" t="s">
        <v>216</v>
      </c>
      <c r="D154" s="21" t="s">
        <v>206</v>
      </c>
      <c r="E154" s="13">
        <v>42832.008819444447</v>
      </c>
      <c r="F154" s="13">
        <v>42832.021168981482</v>
      </c>
      <c r="G154" s="7">
        <v>2</v>
      </c>
      <c r="H154" s="21" t="s">
        <v>596</v>
      </c>
      <c r="I154" s="13">
        <v>42832.046782407408</v>
      </c>
      <c r="J154" s="7">
        <v>0</v>
      </c>
      <c r="K154" s="97" t="str">
        <f t="shared" si="51"/>
        <v>4041/4042</v>
      </c>
      <c r="L154" s="21" t="str">
        <f>VLOOKUP(A154,'Trips&amp;Operators'!$C$1:$G$99999,5,FALSE)</f>
        <v>SWANSON BRYCE</v>
      </c>
      <c r="M154" s="6">
        <f t="shared" si="52"/>
        <v>2.5613425925257616E-2</v>
      </c>
      <c r="N154" s="7">
        <f t="shared" si="66"/>
        <v>36.883333332370967</v>
      </c>
      <c r="O154" s="7"/>
      <c r="P154" s="7"/>
      <c r="Q154" s="22"/>
      <c r="R154" s="22"/>
      <c r="S154" s="31">
        <f t="shared" si="46"/>
        <v>1</v>
      </c>
      <c r="T154" s="46" t="str">
        <f t="shared" si="53"/>
        <v>NorthBound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4"/>
        <v>https://d0f6bd738d7f1b3e5a7ca70fe4ff75f0.us-east-1.aws.found.io/app/kibana#/discover/Steve-Slow-Train-Analysis-(2080s-and-2083s)?_g=(refreshInterval:(display:Off,pause:!f,section:0,value:0),time:(from:'2017-04-06T23:12:42-0600',mode:absolute,to:'2017-04-07T02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4" s="183" t="str">
        <f t="shared" si="55"/>
        <v>N</v>
      </c>
      <c r="X154" s="183">
        <f t="shared" si="50"/>
        <v>1</v>
      </c>
      <c r="Y154" s="62">
        <f t="shared" si="56"/>
        <v>4.5699999999999998E-2</v>
      </c>
      <c r="Z154" s="62">
        <f t="shared" si="47"/>
        <v>23.337199999999999</v>
      </c>
      <c r="AA154" s="62">
        <f t="shared" si="57"/>
        <v>23.291499999999999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8"/>
        <v>0243-06</v>
      </c>
      <c r="AE154" s="85" t="str">
        <f t="shared" si="59"/>
        <v>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 &amp; aws s3 cp s3://rtdc.mdm.uploadarchive.raw/RTDC4042/ "%USERPROFILE%\AppData\Local\Temp\OnboardLogs"\RTDC4042\2017-04-08 --exclude "*" --recursive --include "*20170408*" &amp; "%USERPROFILE%\Documents\GitHub\mrs-test-scripts\Headless Mode &amp; Sideloading\WalkAndUnGZ.bat" "%USERPROFILE%\AppData\Local\Temp\OnboardLogs"\RTDC4042\2017-04-08</v>
      </c>
      <c r="AF154" s="82" t="str">
        <f t="shared" si="60"/>
        <v>"C:\Program Files (x86)\AstroGrep\AstroGrep.exe" /e /r /s /spath="%USERPROFILE%\AppData\Local\Temp\OnboardLogs" /stypes="app*4042*20170407*" /stext=" 07:.+((SYSTEM_STATE.+slice.+state.+changed )|(ment ac)|(multiple cpu faults)|(system.+state.+changed )|(\[timeout)|(PRM\|1\|D)|(kpr)|(kdp)|(\|lc)|(penalty))"</v>
      </c>
      <c r="AG154" s="1" t="str">
        <f t="shared" si="61"/>
        <v>EC</v>
      </c>
      <c r="AH154" s="86" t="str">
        <f t="shared" si="62"/>
        <v>"%USERPROFILE%\Documents\GitHub\eaglep3\Utilities\RefineRTDCRunTimes.py" --tripid 243-06 --locoid 4042 --swversion DE.1.0.9.0 --startMP 204:457 --initTime 2017-04-07T00:12:42 --startdatetime 2017-04-07T00:30:29 --delay 2 --endMP 204:233372 --enddatetime 2017-04-07T01:07:22 --enforcementcount 0 &gt;&gt;C:\Users\stu\Documents\GitHub\eaglep3-reporting\EC\2017-04-06-refined-times.txt</v>
      </c>
      <c r="AI154" s="104" t="str">
        <f t="shared" si="63"/>
        <v>echo {"issue":{"subject":"","project_id":79,"tracker_id":40,"status_id":1,"priority_id":2,"assigned_to_id":23,"start_date":"2017-04-07","description":"","custom_fields":[{"id":1,"name":"Subdivision","value":"EC"},{"id":4,"name":"Milepost","value":"23.3372"},{"id":17,"name":"Train ID","value":"243-06"},{"id":16,"name":"Locomotive ID","value":"4042"},{"id":130,"name":"Impact","value":""},{"id":150,"name":"Time of Event (Mountain Time)","value":"01:07:22"},{"id":151,"name":"Denver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64"/>
        <v>start /low /b %USERPROFILE%\Documents\GitHub\eaglep3\Utilities\DownloadLogsFromS3.py --loco 4042 --day 2017-04-07</v>
      </c>
      <c r="AN154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07:07:22"},{"id":29,"name":"Sharepoint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853</v>
      </c>
      <c r="B155" s="7">
        <v>4041</v>
      </c>
      <c r="C155" s="21" t="s">
        <v>216</v>
      </c>
      <c r="D155" s="21" t="s">
        <v>919</v>
      </c>
      <c r="E155" s="13">
        <v>42832.057604166665</v>
      </c>
      <c r="F155" s="13">
        <v>42832.060011574074</v>
      </c>
      <c r="G155" s="7">
        <v>1</v>
      </c>
      <c r="H155" s="21" t="s">
        <v>400</v>
      </c>
      <c r="I155" s="13">
        <v>42832.087881944448</v>
      </c>
      <c r="J155" s="7">
        <v>0</v>
      </c>
      <c r="K155" s="97" t="str">
        <f t="shared" si="51"/>
        <v>4041/4042</v>
      </c>
      <c r="L155" s="21" t="str">
        <f>VLOOKUP(A155,'Trips&amp;Operators'!$C$1:$G$99999,5,FALSE)</f>
        <v>SWANSON BRYCE</v>
      </c>
      <c r="M155" s="6">
        <f t="shared" si="52"/>
        <v>2.7870370373420883E-2</v>
      </c>
      <c r="N155" s="7">
        <f t="shared" si="66"/>
        <v>40.133333337726071</v>
      </c>
      <c r="O155" s="7"/>
      <c r="P155" s="7"/>
      <c r="Q155" s="22"/>
      <c r="R155" s="22"/>
      <c r="S155" s="31">
        <f t="shared" ref="S155:S218" si="67">SUM(U155:U155)/IF(AG155="EC",12,1)</f>
        <v>1</v>
      </c>
      <c r="T155" s="46" t="str">
        <f t="shared" si="53"/>
        <v>Southbound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4"/>
        <v>https://d0f6bd738d7f1b3e5a7ca70fe4ff75f0.us-east-1.aws.found.io/app/kibana#/discover/Steve-Slow-Train-Analysis-(2080s-and-2083s)?_g=(refreshInterval:(display:Off,pause:!f,section:0,value:0),time:(from:'2017-04-07T00:22:57-0600',mode:absolute,to:'2017-04-07T03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5" s="183" t="str">
        <f t="shared" si="55"/>
        <v>N</v>
      </c>
      <c r="X155" s="183">
        <f t="shared" si="50"/>
        <v>1</v>
      </c>
      <c r="Y155" s="62">
        <f t="shared" si="56"/>
        <v>23.3062</v>
      </c>
      <c r="Z155" s="62">
        <f t="shared" ref="Z155:Z218" si="68">RIGHT(H155,LEN(H155)-4)/10000</f>
        <v>1.61E-2</v>
      </c>
      <c r="AA155" s="62">
        <f t="shared" si="57"/>
        <v>23.290099999999999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8"/>
        <v>0244-06</v>
      </c>
      <c r="AE155" s="85" t="str">
        <f t="shared" si="59"/>
        <v>aws s3 cp s3://rtdc.mdm.uploadarchive.raw/RTDC4041/ "%USERPROFILE%\AppData\Local\Temp\OnboardLogs"\RTDC4041\2017-04-07 --exclude "*" --recursive --include "*20170407*" &amp; "%USERPROFILE%\Documents\GitHub\mrs-test-scripts\Headless Mode &amp; Sideloading\WalkAndUnGZ.bat" "%USERPROFILE%\AppData\Local\Temp\OnboardLogs"\RTDC4041\2017-04-07 &amp; aws s3 cp s3://rtdc.mdm.uploadarchive.raw/RTDC4041/ "%USERPROFILE%\AppData\Local\Temp\OnboardLogs"\RTDC4041\2017-04-08 --exclude "*" --recursive --include "*20170408*" &amp; "%USERPROFILE%\Documents\GitHub\mrs-test-scripts\Headless Mode &amp; Sideloading\WalkAndUnGZ.bat" "%USERPROFILE%\AppData\Local\Temp\OnboardLogs"\RTDC4041\2017-04-08</v>
      </c>
      <c r="AF155" s="82" t="str">
        <f t="shared" si="60"/>
        <v>"C:\Program Files (x86)\AstroGrep\AstroGrep.exe" /e /r /s /spath="%USERPROFILE%\AppData\Local\Temp\OnboardLogs" /stypes="app*4041*20170407*" /stext=" 08:.+((SYSTEM_STATE.+slice.+state.+changed )|(ment ac)|(multiple cpu faults)|(system.+state.+changed )|(\[timeout)|(PRM\|1\|D)|(kpr)|(kdp)|(\|lc)|(penalty))"</v>
      </c>
      <c r="AG155" s="1" t="str">
        <f t="shared" si="61"/>
        <v>EC</v>
      </c>
      <c r="AH155" s="86" t="str">
        <f t="shared" si="62"/>
        <v>"%USERPROFILE%\Documents\GitHub\eaglep3\Utilities\RefineRTDCRunTimes.py" --tripid 244-06 --locoid 4041 --swversion DE.1.0.9.0 --startMP 204:233062 --initTime 2017-04-07T01:22:57 --startdatetime 2017-04-07T01:26:25 --delay 1 --endMP 204:161 --enddatetime 2017-04-07T02:06:33 --enforcementcount 0 &gt;&gt;C:\Users\stu\Documents\GitHub\eaglep3-reporting\EC\2017-04-06-refined-times.txt</v>
      </c>
      <c r="AI155" s="104" t="str">
        <f t="shared" si="63"/>
        <v>echo {"issue":{"subject":"","project_id":79,"tracker_id":40,"status_id":1,"priority_id":2,"assigned_to_id":23,"start_date":"2017-04-07","description":"","custom_fields":[{"id":1,"name":"Subdivision","value":"EC"},{"id":4,"name":"Milepost","value":"0.0161"},{"id":17,"name":"Train ID","value":"244-06"},{"id":16,"name":"Locomotive ID","value":"4041"},{"id":130,"name":"Impact","value":""},{"id":150,"name":"Time of Event (Mountain Time)","value":"02:06:33"},{"id":151,"name":"Denver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64"/>
        <v>start /low /b %USERPROFILE%\Documents\GitHub\eaglep3\Utilities\DownloadLogsFromS3.py --loco 4041 --day 2017-04-07</v>
      </c>
      <c r="AN155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08:06:33"},{"id":29,"name":"Sharepoint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673</v>
      </c>
      <c r="B156" s="7">
        <v>4019</v>
      </c>
      <c r="C156" s="21" t="s">
        <v>216</v>
      </c>
      <c r="D156" s="21" t="s">
        <v>616</v>
      </c>
      <c r="E156" s="13">
        <v>42831.214548611111</v>
      </c>
      <c r="F156" s="13">
        <v>42831.216527777775</v>
      </c>
      <c r="G156" s="7">
        <v>1</v>
      </c>
      <c r="H156" s="21" t="s">
        <v>957</v>
      </c>
      <c r="I156" s="13">
        <v>42831.225925925923</v>
      </c>
      <c r="J156" s="7">
        <v>0</v>
      </c>
      <c r="K156" s="97" t="str">
        <f t="shared" si="51"/>
        <v>4019/4020</v>
      </c>
      <c r="L156" s="21" t="str">
        <f>VLOOKUP(A156,'Trips&amp;Operators'!$C$1:$G$99999,5,FALSE)</f>
        <v>SHOOK JOHN</v>
      </c>
      <c r="M156" s="6">
        <f t="shared" si="52"/>
        <v>9.3981481477385387E-3</v>
      </c>
      <c r="N156" s="7">
        <f t="shared" si="66"/>
        <v>13.533333332743496</v>
      </c>
      <c r="O156" s="7"/>
      <c r="P156" s="7"/>
      <c r="Q156" s="22"/>
      <c r="R156" s="22"/>
      <c r="S156" s="31">
        <f t="shared" si="67"/>
        <v>1</v>
      </c>
      <c r="T156" s="46" t="str">
        <f t="shared" si="53"/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182" t="str">
        <f t="shared" si="54"/>
        <v>https://d0f6bd738d7f1b3e5a7ca70fe4ff75f0.us-east-1.aws.found.io/app/kibana#/discover/Steve-Slow-Train-Analysis-(2080s-and-2083s)?_g=(refreshInterval:(display:Off,pause:!f,section:0,value:0),time:(from:'2017-04-06T04:08:57-0600',mode:absolute,to:'2017-04-06T06:25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6" s="183" t="str">
        <f t="shared" si="55"/>
        <v>N</v>
      </c>
      <c r="X156" s="183">
        <f t="shared" si="50"/>
        <v>556</v>
      </c>
      <c r="Y156" s="62">
        <f t="shared" si="56"/>
        <v>5.867</v>
      </c>
      <c r="Z156" s="62">
        <f t="shared" si="68"/>
        <v>7.3099999999999998E-2</v>
      </c>
      <c r="AA156" s="62">
        <f t="shared" si="57"/>
        <v>5.7938999999999998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8"/>
        <v>0800-06</v>
      </c>
      <c r="AE156" s="85" t="str">
        <f t="shared" si="59"/>
        <v>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 &amp; 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</v>
      </c>
      <c r="AF156" s="82" t="str">
        <f t="shared" si="60"/>
        <v>"C:\Program Files (x86)\AstroGrep\AstroGrep.exe" /e /r /s /spath="%USERPROFILE%\AppData\Local\Temp\OnboardLogs" /stypes="app*4019*20170406*" /stext=" 11:.+((SYSTEM_STATE.+slice.+state.+changed )|(ment ac)|(multiple cpu faults)|(system.+state.+changed )|(\[timeout)|(PRM\|1\|D)|(kpr)|(kdp)|(\|lc)|(penalty))"</v>
      </c>
      <c r="AG156" s="1" t="str">
        <f t="shared" si="61"/>
        <v>NW</v>
      </c>
      <c r="AH156" s="86" t="str">
        <f t="shared" si="62"/>
        <v>"%USERPROFILE%\Documents\GitHub\eaglep3\Utilities\RefineRTDCRunTimes.py" --tripid 800-06 --locoid 4019 --swversion DE.1.0.9.0 --startMP 300:58670 --initTime 2017-04-06T05:08:57 --startdatetime 2017-04-06T05:11:48 --delay 1 --endMP 204:731 --enddatetime 2017-04-06T05:25:20 --enforcementcount 0 &gt;&gt;C:\Users\stu\Documents\GitHub\eaglep3-reporting\EC\2017-04-06-refined-times.txt</v>
      </c>
      <c r="AI156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{"issue":{"subject":"","project_id":79,"tracker_id":40,"status_id":1,"priority_id":2,"assigned_to_id":23,"start_date":"2017-04-06","description":"","custom_fields":[{"id":1,"name":"Subdivision","value":"NW"},{"id":4,"name":"Milepost","value":"0.0731"},{"id":17,"name":"Train ID","value":"800-06"},{"id":16,"name":"Locomotive ID","value":"4019"},{"id":130,"name":"Impact","value":""},{"id":150,"name":"Time of Event (Mountain Time)","value":"05:25:20"},{"id":151,"name":"Denver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64"/>
        <v>start /low /b %USERPROFILE%\Documents\GitHub\eaglep3\Utilities\DownloadLogsFromS3.py --loco 4019 --day 2017-04-06</v>
      </c>
      <c r="AN156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11:25:20"},{"id":29,"name":"Sharepoint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676</v>
      </c>
      <c r="B157" s="7">
        <v>4020</v>
      </c>
      <c r="C157" s="21" t="s">
        <v>216</v>
      </c>
      <c r="D157" s="21" t="s">
        <v>958</v>
      </c>
      <c r="E157" s="13">
        <v>42831.228217592594</v>
      </c>
      <c r="F157" s="13">
        <v>42831.243923611109</v>
      </c>
      <c r="G157" s="7">
        <v>1</v>
      </c>
      <c r="H157" s="21" t="s">
        <v>959</v>
      </c>
      <c r="I157" s="13">
        <v>42831.253425925926</v>
      </c>
      <c r="J157" s="7">
        <v>0</v>
      </c>
      <c r="K157" s="97" t="str">
        <f t="shared" si="51"/>
        <v>4019/4020</v>
      </c>
      <c r="L157" s="21" t="str">
        <f>VLOOKUP(A157,'Trips&amp;Operators'!$C$1:$G$99999,5,FALSE)</f>
        <v>SHOOK JOHN</v>
      </c>
      <c r="M157" s="6">
        <f t="shared" si="52"/>
        <v>9.5023148169275373E-3</v>
      </c>
      <c r="N157" s="7">
        <f t="shared" si="66"/>
        <v>13.683333336375654</v>
      </c>
      <c r="O157" s="7"/>
      <c r="P157" s="7"/>
      <c r="Q157" s="22"/>
      <c r="R157" s="22"/>
      <c r="S157" s="31">
        <f t="shared" si="67"/>
        <v>1</v>
      </c>
      <c r="T157" s="46" t="str">
        <f t="shared" si="53"/>
        <v>NorthBound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2" t="str">
        <f t="shared" si="54"/>
        <v>https://d0f6bd738d7f1b3e5a7ca70fe4ff75f0.us-east-1.aws.found.io/app/kibana#/discover/Steve-Slow-Train-Analysis-(2080s-and-2083s)?_g=(refreshInterval:(display:Off,pause:!f,section:0,value:0),time:(from:'2017-04-06T04:28:38-0600',mode:absolute,to:'2017-04-06T07:04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57" s="183" t="str">
        <f t="shared" si="55"/>
        <v>N</v>
      </c>
      <c r="X157" s="183">
        <f t="shared" si="50"/>
        <v>1</v>
      </c>
      <c r="Y157" s="62">
        <f t="shared" si="56"/>
        <v>0.1018</v>
      </c>
      <c r="Z157" s="62">
        <f t="shared" si="68"/>
        <v>5.899</v>
      </c>
      <c r="AA157" s="62">
        <f t="shared" si="57"/>
        <v>5.7972000000000001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8"/>
        <v>0801-06</v>
      </c>
      <c r="AE157" s="85" t="str">
        <f t="shared" si="59"/>
        <v>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 &amp; 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</v>
      </c>
      <c r="AF157" s="82" t="str">
        <f t="shared" si="60"/>
        <v>"C:\Program Files (x86)\AstroGrep\AstroGrep.exe" /e /r /s /spath="%USERPROFILE%\AppData\Local\Temp\OnboardLogs" /stypes="app*4020*20170406*" /stext=" 12:.+((SYSTEM_STATE.+slice.+state.+changed )|(ment ac)|(multiple cpu faults)|(system.+state.+changed )|(\[timeout)|(PRM\|1\|D)|(kpr)|(kdp)|(\|lc)|(penalty))"</v>
      </c>
      <c r="AG157" s="1" t="str">
        <f t="shared" si="61"/>
        <v>NW</v>
      </c>
      <c r="AH157" s="86" t="str">
        <f t="shared" si="62"/>
        <v>"%USERPROFILE%\Documents\GitHub\eaglep3\Utilities\RefineRTDCRunTimes.py" --tripid 801-06 --locoid 4020 --swversion DE.1.0.9.0 --startMP 204:1018 --initTime 2017-04-06T05:28:38 --startdatetime 2017-04-06T05:51:15 --delay 1 --endMP 300:58990 --enddatetime 2017-04-06T06:04:56 --enforcementcount 0 &gt;&gt;C:\Users\stu\Documents\GitHub\eaglep3-reporting\EC\2017-04-06-refined-times.txt</v>
      </c>
      <c r="AI157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{"issue":{"subject":"","project_id":79,"tracker_id":40,"status_id":1,"priority_id":2,"assigned_to_id":23,"start_date":"2017-04-06","description":"","custom_fields":[{"id":1,"name":"Subdivision","value":"NW"},{"id":4,"name":"Milepost","value":"5.899"},{"id":17,"name":"Train ID","value":"801-06"},{"id":16,"name":"Locomotive ID","value":"4020"},{"id":130,"name":"Impact","value":""},{"id":150,"name":"Time of Event (Mountain Time)","value":"06:04:56"},{"id":151,"name":"Denver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64"/>
        <v>start /low /b %USERPROFILE%\Documents\GitHub\eaglep3\Utilities\DownloadLogsFromS3.py --loco 4020 --day 2017-04-06</v>
      </c>
      <c r="AN157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12:04:56"},{"id":29,"name":"Sharepoint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684</v>
      </c>
      <c r="B158" s="7">
        <v>4019</v>
      </c>
      <c r="C158" s="21" t="s">
        <v>216</v>
      </c>
      <c r="D158" s="21" t="s">
        <v>960</v>
      </c>
      <c r="E158" s="13">
        <v>42831.255150462966</v>
      </c>
      <c r="F158" s="13">
        <v>42831.257476851853</v>
      </c>
      <c r="G158" s="7">
        <v>1</v>
      </c>
      <c r="H158" s="21" t="s">
        <v>961</v>
      </c>
      <c r="I158" s="13">
        <v>42831.26766203704</v>
      </c>
      <c r="J158" s="7">
        <v>0</v>
      </c>
      <c r="K158" s="97" t="str">
        <f t="shared" si="51"/>
        <v>4019/4020</v>
      </c>
      <c r="L158" s="21" t="str">
        <f>VLOOKUP(A158,'Trips&amp;Operators'!$C$1:$G$99999,5,FALSE)</f>
        <v>SHOOK JOHN</v>
      </c>
      <c r="M158" s="6">
        <f t="shared" si="52"/>
        <v>1.0185185186855961E-2</v>
      </c>
      <c r="N158" s="7">
        <f t="shared" si="66"/>
        <v>14.666666669072583</v>
      </c>
      <c r="O158" s="7"/>
      <c r="P158" s="7"/>
      <c r="Q158" s="22"/>
      <c r="R158" s="22"/>
      <c r="S158" s="31">
        <f t="shared" si="67"/>
        <v>1</v>
      </c>
      <c r="T158" s="46" t="str">
        <f t="shared" si="53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2" t="str">
        <f t="shared" si="54"/>
        <v>https://d0f6bd738d7f1b3e5a7ca70fe4ff75f0.us-east-1.aws.found.io/app/kibana#/discover/Steve-Slow-Train-Analysis-(2080s-and-2083s)?_g=(refreshInterval:(display:Off,pause:!f,section:0,value:0),time:(from:'2017-04-06T05:07:25-0600',mode:absolute,to:'2017-04-06T07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58" s="183" t="str">
        <f t="shared" si="55"/>
        <v>N</v>
      </c>
      <c r="X158" s="183">
        <f t="shared" si="50"/>
        <v>1</v>
      </c>
      <c r="Y158" s="62">
        <f t="shared" si="56"/>
        <v>5.8672000000000004</v>
      </c>
      <c r="Z158" s="62">
        <f t="shared" si="68"/>
        <v>7.1999999999999995E-2</v>
      </c>
      <c r="AA158" s="62">
        <f t="shared" si="57"/>
        <v>5.7952000000000004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8"/>
        <v>0802-06</v>
      </c>
      <c r="AE158" s="85" t="str">
        <f t="shared" si="59"/>
        <v>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 &amp; 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</v>
      </c>
      <c r="AF158" s="82" t="str">
        <f t="shared" si="60"/>
        <v>"C:\Program Files (x86)\AstroGrep\AstroGrep.exe" /e /r /s /spath="%USERPROFILE%\AppData\Local\Temp\OnboardLogs" /stypes="app*4019*20170406*" /stext=" 12:.+((SYSTEM_STATE.+slice.+state.+changed )|(ment ac)|(multiple cpu faults)|(system.+state.+changed )|(\[timeout)|(PRM\|1\|D)|(kpr)|(kdp)|(\|lc)|(penalty))"</v>
      </c>
      <c r="AG158" s="1" t="str">
        <f t="shared" si="61"/>
        <v>NW</v>
      </c>
      <c r="AH158" s="86" t="str">
        <f t="shared" si="62"/>
        <v>"%USERPROFILE%\Documents\GitHub\eaglep3\Utilities\RefineRTDCRunTimes.py" --tripid 802-06 --locoid 4019 --swversion DE.1.0.9.0 --startMP 300:58672 --initTime 2017-04-06T06:07:25 --startdatetime 2017-04-06T06:10:46 --delay 1 --endMP 204:720 --enddatetime 2017-04-06T06:25:26 --enforcementcount 0 &gt;&gt;C:\Users\stu\Documents\GitHub\eaglep3-reporting\EC\2017-04-06-refined-times.txt</v>
      </c>
      <c r="AI158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{"issue":{"subject":"","project_id":79,"tracker_id":40,"status_id":1,"priority_id":2,"assigned_to_id":23,"start_date":"2017-04-06","description":"","custom_fields":[{"id":1,"name":"Subdivision","value":"NW"},{"id":4,"name":"Milepost","value":"0.072"},{"id":17,"name":"Train ID","value":"802-06"},{"id":16,"name":"Locomotive ID","value":"4019"},{"id":130,"name":"Impact","value":""},{"id":150,"name":"Time of Event (Mountain Time)","value":"06:25:26"},{"id":151,"name":"Denver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64"/>
        <v>start /low /b %USERPROFILE%\Documents\GitHub\eaglep3\Utilities\DownloadLogsFromS3.py --loco 4019 --day 2017-04-06</v>
      </c>
      <c r="AN158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12:25:26"},{"id":29,"name":"Sharepoint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3" t="s">
        <v>685</v>
      </c>
      <c r="B159" s="7">
        <v>4002</v>
      </c>
      <c r="C159" s="21" t="s">
        <v>216</v>
      </c>
      <c r="D159" s="21" t="s">
        <v>962</v>
      </c>
      <c r="E159" s="13">
        <v>42831.25886574074</v>
      </c>
      <c r="F159" s="13">
        <v>42831.264861111114</v>
      </c>
      <c r="G159" s="7">
        <v>2</v>
      </c>
      <c r="H159" s="21" t="s">
        <v>963</v>
      </c>
      <c r="I159" s="13">
        <v>42831.274050925924</v>
      </c>
      <c r="J159" s="7">
        <v>0</v>
      </c>
      <c r="K159" s="97" t="str">
        <f t="shared" si="51"/>
        <v>4001/4002</v>
      </c>
      <c r="L159" s="21" t="str">
        <f>VLOOKUP(A159,'Trips&amp;Operators'!$C$1:$G$99999,5,FALSE)</f>
        <v>LOZA FIDEL</v>
      </c>
      <c r="M159" s="6">
        <f t="shared" si="52"/>
        <v>9.1898148093605414E-3</v>
      </c>
      <c r="N159" s="7">
        <f t="shared" si="66"/>
        <v>13.23333332547918</v>
      </c>
      <c r="O159" s="7"/>
      <c r="P159" s="7"/>
      <c r="Q159" s="22"/>
      <c r="R159" s="22"/>
      <c r="S159" s="31">
        <f t="shared" si="67"/>
        <v>1</v>
      </c>
      <c r="T159" s="46" t="str">
        <f t="shared" si="53"/>
        <v>NorthBound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54"/>
        <v>https://d0f6bd738d7f1b3e5a7ca70fe4ff75f0.us-east-1.aws.found.io/app/kibana#/discover/Steve-Slow-Train-Analysis-(2080s-and-2083s)?_g=(refreshInterval:(display:Off,pause:!f,section:0,value:0),time:(from:'2017-04-06T05:12:46-0600',mode:absolute,to:'2017-04-06T07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9" s="183" t="str">
        <f t="shared" si="55"/>
        <v>N</v>
      </c>
      <c r="X159" s="183">
        <f t="shared" si="50"/>
        <v>1</v>
      </c>
      <c r="Y159" s="62">
        <f t="shared" si="56"/>
        <v>9.64E-2</v>
      </c>
      <c r="Z159" s="62">
        <f t="shared" si="68"/>
        <v>5.8958000000000004</v>
      </c>
      <c r="AA159" s="62">
        <f t="shared" si="57"/>
        <v>5.7994000000000003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8"/>
        <v>0803-06</v>
      </c>
      <c r="AE159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159" s="82" t="str">
        <f t="shared" si="60"/>
        <v>"C:\Program Files (x86)\AstroGrep\AstroGrep.exe" /e /r /s /spath="%USERPROFILE%\AppData\Local\Temp\OnboardLogs" /stypes="app*4002*20170406*" /stext=" 12:.+((SYSTEM_STATE.+slice.+state.+changed )|(ment ac)|(multiple cpu faults)|(system.+state.+changed )|(\[timeout)|(PRM\|1\|D)|(kpr)|(kdp)|(\|lc)|(penalty))"</v>
      </c>
      <c r="AG159" s="1" t="str">
        <f t="shared" si="61"/>
        <v>NW</v>
      </c>
      <c r="AH159" s="86" t="str">
        <f t="shared" si="62"/>
        <v>"%USERPROFILE%\Documents\GitHub\eaglep3\Utilities\RefineRTDCRunTimes.py" --tripid 803-06 --locoid 4002 --swversion DE.1.0.9.0 --startMP 204:964 --initTime 2017-04-06T06:12:46 --startdatetime 2017-04-06T06:21:24 --delay 2 --endMP 300:58958 --enddatetime 2017-04-06T06:34:38 --enforcementcount 0 &gt;&gt;C:\Users\stu\Documents\GitHub\eaglep3-reporting\EC\2017-04-06-refined-times.txt</v>
      </c>
      <c r="AI159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{"issue":{"subject":"","project_id":79,"tracker_id":40,"status_id":1,"priority_id":2,"assigned_to_id":23,"start_date":"2017-04-06","description":"","custom_fields":[{"id":1,"name":"Subdivision","value":"NW"},{"id":4,"name":"Milepost","value":"5.8958"},{"id":17,"name":"Train ID","value":"803-06"},{"id":16,"name":"Locomotive ID","value":"4002"},{"id":130,"name":"Impact","value":""},{"id":150,"name":"Time of Event (Mountain Time)","value":"06:34:38"},{"id":151,"name":"Denver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8"/>
      <c r="AL159" s="48"/>
      <c r="AM159" s="150" t="str">
        <f t="shared" si="64"/>
        <v>start /low /b %USERPROFILE%\Documents\GitHub\eaglep3\Utilities\DownloadLogsFromS3.py --loco 4002 --day 2017-04-06</v>
      </c>
      <c r="AN159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12:34:38"},{"id":29,"name":"Sharepoint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3" t="s">
        <v>691</v>
      </c>
      <c r="B160" s="7">
        <v>4001</v>
      </c>
      <c r="C160" s="21" t="s">
        <v>216</v>
      </c>
      <c r="D160" s="21" t="s">
        <v>964</v>
      </c>
      <c r="E160" s="13">
        <v>42831.274988425925</v>
      </c>
      <c r="F160" s="13">
        <v>42831.276643518519</v>
      </c>
      <c r="G160" s="7">
        <v>1</v>
      </c>
      <c r="H160" s="21" t="s">
        <v>609</v>
      </c>
      <c r="I160" s="13">
        <v>42831.289027777777</v>
      </c>
      <c r="J160" s="7">
        <v>0</v>
      </c>
      <c r="K160" s="97" t="str">
        <f t="shared" si="51"/>
        <v>4001/4002</v>
      </c>
      <c r="L160" s="21" t="str">
        <f>VLOOKUP(A160,'Trips&amp;Operators'!$C$1:$G$99999,5,FALSE)</f>
        <v>LOZA FIDEL</v>
      </c>
      <c r="M160" s="6">
        <f t="shared" si="52"/>
        <v>1.2384259258396924E-2</v>
      </c>
      <c r="N160" s="7">
        <f t="shared" si="66"/>
        <v>17.83333333209157</v>
      </c>
      <c r="O160" s="7"/>
      <c r="P160" s="7"/>
      <c r="Q160" s="22"/>
      <c r="R160" s="22"/>
      <c r="S160" s="31">
        <f t="shared" si="67"/>
        <v>1</v>
      </c>
      <c r="T160" s="46" t="str">
        <f t="shared" si="53"/>
        <v>Southbound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54"/>
        <v>https://d0f6bd738d7f1b3e5a7ca70fe4ff75f0.us-east-1.aws.found.io/app/kibana#/discover/Steve-Slow-Train-Analysis-(2080s-and-2083s)?_g=(refreshInterval:(display:Off,pause:!f,section:0,value:0),time:(from:'2017-04-06T05:35:59-0600',mode:absolute,to:'2017-04-06T07:56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0" s="183" t="str">
        <f t="shared" si="55"/>
        <v>N</v>
      </c>
      <c r="X160" s="183">
        <f t="shared" si="50"/>
        <v>1</v>
      </c>
      <c r="Y160" s="62">
        <f t="shared" si="56"/>
        <v>5.8643000000000001</v>
      </c>
      <c r="Z160" s="62">
        <f t="shared" si="68"/>
        <v>6.9099999999999995E-2</v>
      </c>
      <c r="AA160" s="62">
        <f t="shared" si="57"/>
        <v>5.7952000000000004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8"/>
        <v>0804-06</v>
      </c>
      <c r="AE160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160" s="82" t="str">
        <f t="shared" si="60"/>
        <v>"C:\Program Files (x86)\AstroGrep\AstroGrep.exe" /e /r /s /spath="%USERPROFILE%\AppData\Local\Temp\OnboardLogs" /stypes="app*4001*20170406*" /stext=" 12:.+((SYSTEM_STATE.+slice.+state.+changed )|(ment ac)|(multiple cpu faults)|(system.+state.+changed )|(\[timeout)|(PRM\|1\|D)|(kpr)|(kdp)|(\|lc)|(penalty))"</v>
      </c>
      <c r="AG160" s="1" t="str">
        <f t="shared" si="61"/>
        <v>NW</v>
      </c>
      <c r="AH160" s="86" t="str">
        <f t="shared" si="62"/>
        <v>"%USERPROFILE%\Documents\GitHub\eaglep3\Utilities\RefineRTDCRunTimes.py" --tripid 804-06 --locoid 4001 --swversion DE.1.0.9.0 --startMP 300:58643 --initTime 2017-04-06T06:35:59 --startdatetime 2017-04-06T06:38:22 --delay 1 --endMP 204:691 --enddatetime 2017-04-06T06:56:12 --enforcementcount 0 &gt;&gt;C:\Users\stu\Documents\GitHub\eaglep3-reporting\EC\2017-04-06-refined-times.txt</v>
      </c>
      <c r="AI160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{"issue":{"subject":"","project_id":79,"tracker_id":40,"status_id":1,"priority_id":2,"assigned_to_id":23,"start_date":"2017-04-06","description":"","custom_fields":[{"id":1,"name":"Subdivision","value":"NW"},{"id":4,"name":"Milepost","value":"0.0691"},{"id":17,"name":"Train ID","value":"804-06"},{"id":16,"name":"Locomotive ID","value":"4001"},{"id":130,"name":"Impact","value":""},{"id":150,"name":"Time of Event (Mountain Time)","value":"06:56:12"},{"id":151,"name":"Denver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64"/>
        <v>start /low /b %USERPROFILE%\Documents\GitHub\eaglep3\Utilities\DownloadLogsFromS3.py --loco 4001 --day 2017-04-06</v>
      </c>
      <c r="AN160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12:56:12"},{"id":29,"name":"Sharepoint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s="20" customFormat="1" x14ac:dyDescent="0.25">
      <c r="A161" s="33" t="s">
        <v>690</v>
      </c>
      <c r="B161" s="7">
        <v>4020</v>
      </c>
      <c r="C161" s="21" t="s">
        <v>216</v>
      </c>
      <c r="D161" s="21" t="s">
        <v>965</v>
      </c>
      <c r="E161" s="13">
        <v>42831.269687499997</v>
      </c>
      <c r="F161" s="13">
        <v>42831.285601851851</v>
      </c>
      <c r="G161" s="7">
        <v>1</v>
      </c>
      <c r="H161" s="21" t="s">
        <v>615</v>
      </c>
      <c r="I161" s="13">
        <v>42831.294872685183</v>
      </c>
      <c r="J161" s="7">
        <v>0</v>
      </c>
      <c r="K161" s="97" t="str">
        <f t="shared" si="51"/>
        <v>4019/4020</v>
      </c>
      <c r="L161" s="21" t="str">
        <f>VLOOKUP(A161,'Trips&amp;Operators'!$C$1:$G$99999,5,FALSE)</f>
        <v>SHOOK JOHN</v>
      </c>
      <c r="M161" s="6">
        <f t="shared" si="52"/>
        <v>9.2708333322661929E-3</v>
      </c>
      <c r="N161" s="7">
        <f t="shared" si="66"/>
        <v>13.349999998463318</v>
      </c>
      <c r="O161" s="7"/>
      <c r="P161" s="7"/>
      <c r="Q161" s="22"/>
      <c r="R161" s="22"/>
      <c r="S161" s="31">
        <f t="shared" si="67"/>
        <v>1</v>
      </c>
      <c r="T161" s="46" t="str">
        <f t="shared" si="53"/>
        <v>NorthBound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54"/>
        <v>https://d0f6bd738d7f1b3e5a7ca70fe4ff75f0.us-east-1.aws.found.io/app/kibana#/discover/Steve-Slow-Train-Analysis-(2080s-and-2083s)?_g=(refreshInterval:(display:Off,pause:!f,section:0,value:0),time:(from:'2017-04-06T05:28:21-0600',mode:absolute,to:'2017-04-06T08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1" s="183" t="str">
        <f t="shared" si="55"/>
        <v>N</v>
      </c>
      <c r="X161" s="183">
        <f t="shared" si="50"/>
        <v>1</v>
      </c>
      <c r="Y161" s="62">
        <f t="shared" si="56"/>
        <v>0.10349999999999999</v>
      </c>
      <c r="Z161" s="62">
        <f t="shared" si="68"/>
        <v>5.8994999999999997</v>
      </c>
      <c r="AA161" s="62">
        <f t="shared" si="57"/>
        <v>5.7959999999999994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8"/>
        <v>0805-06</v>
      </c>
      <c r="AE161" s="85" t="str">
        <f t="shared" si="59"/>
        <v>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 &amp; 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</v>
      </c>
      <c r="AF161" s="82" t="str">
        <f t="shared" si="60"/>
        <v>"C:\Program Files (x86)\AstroGrep\AstroGrep.exe" /e /r /s /spath="%USERPROFILE%\AppData\Local\Temp\OnboardLogs" /stypes="app*4020*20170406*" /stext=" 13:.+((SYSTEM_STATE.+slice.+state.+changed )|(ment ac)|(multiple cpu faults)|(system.+state.+changed )|(\[timeout)|(PRM\|1\|D)|(kpr)|(kdp)|(\|lc)|(penalty))"</v>
      </c>
      <c r="AG161" s="1" t="str">
        <f t="shared" si="61"/>
        <v>NW</v>
      </c>
      <c r="AH161" s="86" t="str">
        <f t="shared" si="62"/>
        <v>"%USERPROFILE%\Documents\GitHub\eaglep3\Utilities\RefineRTDCRunTimes.py" --tripid 805-06 --locoid 4020 --swversion DE.1.0.9.0 --startMP 204:1035 --initTime 2017-04-06T06:28:21 --startdatetime 2017-04-06T06:51:16 --delay 1 --endMP 300:58995 --enddatetime 2017-04-06T07:04:37 --enforcementcount 0 &gt;&gt;C:\Users\stu\Documents\GitHub\eaglep3-reporting\EC\2017-04-06-refined-times.txt</v>
      </c>
      <c r="AI161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{"issue":{"subject":"","project_id":79,"tracker_id":40,"status_id":1,"priority_id":2,"assigned_to_id":23,"start_date":"2017-04-06","description":"","custom_fields":[{"id":1,"name":"Subdivision","value":"NW"},{"id":4,"name":"Milepost","value":"5.8995"},{"id":17,"name":"Train ID","value":"805-06"},{"id":16,"name":"Locomotive ID","value":"4020"},{"id":130,"name":"Impact","value":""},{"id":150,"name":"Time of Event (Mountain Time)","value":"07:04:37"},{"id":151,"name":"Denver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1" s="48"/>
      <c r="AL161" s="48"/>
      <c r="AM161" s="150" t="str">
        <f t="shared" si="64"/>
        <v>start /low /b %USERPROFILE%\Documents\GitHub\eaglep3\Utilities\DownloadLogsFromS3.py --loco 4020 --day 2017-04-06</v>
      </c>
      <c r="AN161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13:04:37"},{"id":29,"name":"Sharepoint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3" t="s">
        <v>697</v>
      </c>
      <c r="B162" s="7">
        <v>4019</v>
      </c>
      <c r="C162" s="21" t="s">
        <v>216</v>
      </c>
      <c r="D162" s="21" t="s">
        <v>966</v>
      </c>
      <c r="E162" s="13">
        <v>42831.296655092592</v>
      </c>
      <c r="F162" s="13">
        <v>42831.299120370371</v>
      </c>
      <c r="G162" s="7">
        <v>1</v>
      </c>
      <c r="H162" s="21" t="s">
        <v>967</v>
      </c>
      <c r="I162" s="13">
        <v>42831.309224537035</v>
      </c>
      <c r="J162" s="7">
        <v>0</v>
      </c>
      <c r="K162" s="97" t="str">
        <f t="shared" si="51"/>
        <v>4019/4020</v>
      </c>
      <c r="L162" s="21" t="str">
        <f>VLOOKUP(A162,'Trips&amp;Operators'!$C$1:$G$99999,5,FALSE)</f>
        <v>SHOOK JOHN</v>
      </c>
      <c r="M162" s="6">
        <f t="shared" si="52"/>
        <v>1.0104166663950309E-2</v>
      </c>
      <c r="N162" s="7">
        <f t="shared" si="66"/>
        <v>14.549999996088445</v>
      </c>
      <c r="O162" s="7"/>
      <c r="P162" s="7"/>
      <c r="Q162" s="22"/>
      <c r="R162" s="22"/>
      <c r="S162" s="31">
        <f t="shared" si="67"/>
        <v>1</v>
      </c>
      <c r="T162" s="46" t="str">
        <f t="shared" si="53"/>
        <v>Southbound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54"/>
        <v>https://d0f6bd738d7f1b3e5a7ca70fe4ff75f0.us-east-1.aws.found.io/app/kibana#/discover/Steve-Slow-Train-Analysis-(2080s-and-2083s)?_g=(refreshInterval:(display:Off,pause:!f,section:0,value:0),time:(from:'2017-04-06T06:07:11-0600',mode:absolute,to:'2017-04-06T08:25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2" s="183" t="str">
        <f t="shared" si="55"/>
        <v>N</v>
      </c>
      <c r="X162" s="183">
        <f t="shared" si="50"/>
        <v>1</v>
      </c>
      <c r="Y162" s="62">
        <f t="shared" si="56"/>
        <v>5.8674999999999997</v>
      </c>
      <c r="Z162" s="62">
        <f t="shared" si="68"/>
        <v>7.2400000000000006E-2</v>
      </c>
      <c r="AA162" s="62">
        <f t="shared" si="57"/>
        <v>5.7950999999999997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8"/>
        <v>0806-06</v>
      </c>
      <c r="AE162" s="85" t="str">
        <f t="shared" si="59"/>
        <v>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 &amp; 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</v>
      </c>
      <c r="AF162" s="82" t="str">
        <f t="shared" si="60"/>
        <v>"C:\Program Files (x86)\AstroGrep\AstroGrep.exe" /e /r /s /spath="%USERPROFILE%\AppData\Local\Temp\OnboardLogs" /stypes="app*4019*20170406*" /stext=" 13:.+((SYSTEM_STATE.+slice.+state.+changed )|(ment ac)|(multiple cpu faults)|(system.+state.+changed )|(\[timeout)|(PRM\|1\|D)|(kpr)|(kdp)|(\|lc)|(penalty))"</v>
      </c>
      <c r="AG162" s="1" t="str">
        <f t="shared" si="61"/>
        <v>NW</v>
      </c>
      <c r="AH162" s="86" t="str">
        <f t="shared" si="62"/>
        <v>"%USERPROFILE%\Documents\GitHub\eaglep3\Utilities\RefineRTDCRunTimes.py" --tripid 806-06 --locoid 4019 --swversion DE.1.0.9.0 --startMP 300:58675 --initTime 2017-04-06T07:07:11 --startdatetime 2017-04-06T07:10:44 --delay 1 --endMP 204:724 --enddatetime 2017-04-06T07:25:17 --enforcementcount 0 &gt;&gt;C:\Users\stu\Documents\GitHub\eaglep3-reporting\EC\2017-04-06-refined-times.txt</v>
      </c>
      <c r="AI162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{"issue":{"subject":"","project_id":79,"tracker_id":40,"status_id":1,"priority_id":2,"assigned_to_id":23,"start_date":"2017-04-06","description":"","custom_fields":[{"id":1,"name":"Subdivision","value":"NW"},{"id":4,"name":"Milepost","value":"0.0724"},{"id":17,"name":"Train ID","value":"806-06"},{"id":16,"name":"Locomotive ID","value":"4019"},{"id":130,"name":"Impact","value":""},{"id":150,"name":"Time of Event (Mountain Time)","value":"07:25:17"},{"id":151,"name":"Denver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8"/>
      <c r="AL162" s="48"/>
      <c r="AM162" s="150" t="str">
        <f t="shared" si="64"/>
        <v>start /low /b %USERPROFILE%\Documents\GitHub\eaglep3\Utilities\DownloadLogsFromS3.py --loco 4019 --day 2017-04-06</v>
      </c>
      <c r="AN162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13:25:17"},{"id":29,"name":"Sharepoint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3" t="s">
        <v>695</v>
      </c>
      <c r="B163" s="7">
        <v>4002</v>
      </c>
      <c r="C163" s="21" t="s">
        <v>216</v>
      </c>
      <c r="D163" s="21" t="s">
        <v>968</v>
      </c>
      <c r="E163" s="13">
        <v>42831.291273148148</v>
      </c>
      <c r="F163" s="13">
        <v>42831.306423611109</v>
      </c>
      <c r="G163" s="7">
        <v>1</v>
      </c>
      <c r="H163" s="21" t="s">
        <v>969</v>
      </c>
      <c r="I163" s="13">
        <v>42831.315208333333</v>
      </c>
      <c r="J163" s="7">
        <v>0</v>
      </c>
      <c r="K163" s="97" t="str">
        <f t="shared" si="51"/>
        <v>4001/4002</v>
      </c>
      <c r="L163" s="21" t="str">
        <f>VLOOKUP(A163,'Trips&amp;Operators'!$C$1:$G$99999,5,FALSE)</f>
        <v>LOZA FIDEL</v>
      </c>
      <c r="M163" s="6">
        <f t="shared" si="52"/>
        <v>8.7847222239361145E-3</v>
      </c>
      <c r="N163" s="7">
        <f t="shared" si="66"/>
        <v>12.650000002468005</v>
      </c>
      <c r="O163" s="7"/>
      <c r="P163" s="7"/>
      <c r="Q163" s="22"/>
      <c r="R163" s="22"/>
      <c r="S163" s="31">
        <f t="shared" si="67"/>
        <v>1</v>
      </c>
      <c r="T163" s="46" t="str">
        <f t="shared" si="53"/>
        <v>NorthBound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54"/>
        <v>https://d0f6bd738d7f1b3e5a7ca70fe4ff75f0.us-east-1.aws.found.io/app/kibana#/discover/Steve-Slow-Train-Analysis-(2080s-and-2083s)?_g=(refreshInterval:(display:Off,pause:!f,section:0,value:0),time:(from:'2017-04-06T05:59:26-0600',mode:absolute,to:'2017-04-06T08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3" s="183" t="str">
        <f t="shared" si="55"/>
        <v>N</v>
      </c>
      <c r="X163" s="183">
        <f t="shared" si="50"/>
        <v>1</v>
      </c>
      <c r="Y163" s="62">
        <f t="shared" si="56"/>
        <v>9.7100000000000006E-2</v>
      </c>
      <c r="Z163" s="62">
        <f t="shared" si="68"/>
        <v>5.8959999999999999</v>
      </c>
      <c r="AA163" s="62">
        <f t="shared" si="57"/>
        <v>5.7988999999999997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8"/>
        <v>0807-06</v>
      </c>
      <c r="AE163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163" s="82" t="str">
        <f t="shared" si="60"/>
        <v>"C:\Program Files (x86)\AstroGrep\AstroGrep.exe" /e /r /s /spath="%USERPROFILE%\AppData\Local\Temp\OnboardLogs" /stypes="app*4002*20170406*" /stext=" 13:.+((SYSTEM_STATE.+slice.+state.+changed )|(ment ac)|(multiple cpu faults)|(system.+state.+changed )|(\[timeout)|(PRM\|1\|D)|(kpr)|(kdp)|(\|lc)|(penalty))"</v>
      </c>
      <c r="AG163" s="1" t="str">
        <f t="shared" si="61"/>
        <v>NW</v>
      </c>
      <c r="AH163" s="86" t="str">
        <f t="shared" si="62"/>
        <v>"%USERPROFILE%\Documents\GitHub\eaglep3\Utilities\RefineRTDCRunTimes.py" --tripid 807-06 --locoid 4002 --swversion DE.1.0.9.0 --startMP 204:971 --initTime 2017-04-06T06:59:26 --startdatetime 2017-04-06T07:21:15 --delay 1 --endMP 300:58960 --enddatetime 2017-04-06T07:33:54 --enforcementcount 0 &gt;&gt;C:\Users\stu\Documents\GitHub\eaglep3-reporting\EC\2017-04-06-refined-times.txt</v>
      </c>
      <c r="AI163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{"issue":{"subject":"","project_id":79,"tracker_id":40,"status_id":1,"priority_id":2,"assigned_to_id":23,"start_date":"2017-04-06","description":"","custom_fields":[{"id":1,"name":"Subdivision","value":"NW"},{"id":4,"name":"Milepost","value":"5.896"},{"id":17,"name":"Train ID","value":"807-06"},{"id":16,"name":"Locomotive ID","value":"4002"},{"id":130,"name":"Impact","value":""},{"id":150,"name":"Time of Event (Mountain Time)","value":"07:33:54"},{"id":151,"name":"Denver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64"/>
        <v>start /low /b %USERPROFILE%\Documents\GitHub\eaglep3\Utilities\DownloadLogsFromS3.py --loco 4002 --day 2017-04-06</v>
      </c>
      <c r="AN163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13:33:54"},{"id":29,"name":"Sharepoint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625</v>
      </c>
      <c r="B164" s="7">
        <v>4001</v>
      </c>
      <c r="C164" s="21" t="s">
        <v>216</v>
      </c>
      <c r="D164" s="21" t="s">
        <v>603</v>
      </c>
      <c r="E164" s="13">
        <v>42831.315995370373</v>
      </c>
      <c r="F164" s="13">
        <v>42831.317407407405</v>
      </c>
      <c r="G164" s="7">
        <v>1</v>
      </c>
      <c r="H164" s="21" t="s">
        <v>970</v>
      </c>
      <c r="I164" s="13">
        <v>42831.330254629633</v>
      </c>
      <c r="J164" s="7">
        <v>0</v>
      </c>
      <c r="K164" s="97" t="str">
        <f t="shared" si="51"/>
        <v>4001/4002</v>
      </c>
      <c r="L164" s="21" t="str">
        <f>VLOOKUP(A164,'Trips&amp;Operators'!$C$1:$G$99999,5,FALSE)</f>
        <v>LOZA FIDEL</v>
      </c>
      <c r="M164" s="6">
        <f t="shared" si="52"/>
        <v>1.2847222227719612E-2</v>
      </c>
      <c r="N164" s="7">
        <f t="shared" si="66"/>
        <v>18.500000007916242</v>
      </c>
      <c r="O164" s="7"/>
      <c r="P164" s="7"/>
      <c r="Q164" s="22"/>
      <c r="R164" s="22"/>
      <c r="S164" s="31">
        <f t="shared" si="67"/>
        <v>1</v>
      </c>
      <c r="T164" s="46" t="str">
        <f t="shared" si="53"/>
        <v>Southbound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54"/>
        <v>https://d0f6bd738d7f1b3e5a7ca70fe4ff75f0.us-east-1.aws.found.io/app/kibana#/discover/Steve-Slow-Train-Analysis-(2080s-and-2083s)?_g=(refreshInterval:(display:Off,pause:!f,section:0,value:0),time:(from:'2017-04-06T06:35:02-0600',mode:absolute,to:'2017-04-06T08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4" s="183" t="str">
        <f t="shared" si="55"/>
        <v>N</v>
      </c>
      <c r="X164" s="183">
        <f t="shared" si="50"/>
        <v>1</v>
      </c>
      <c r="Y164" s="62">
        <f t="shared" si="56"/>
        <v>5.8653000000000004</v>
      </c>
      <c r="Z164" s="62">
        <f t="shared" si="68"/>
        <v>6.8199999999999997E-2</v>
      </c>
      <c r="AA164" s="62">
        <f t="shared" si="57"/>
        <v>5.7971000000000004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8"/>
        <v>0808-06</v>
      </c>
      <c r="AE164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164" s="82" t="str">
        <f t="shared" si="60"/>
        <v>"C:\Program Files (x86)\AstroGrep\AstroGrep.exe" /e /r /s /spath="%USERPROFILE%\AppData\Local\Temp\OnboardLogs" /stypes="app*4001*20170406*" /stext=" 13:.+((SYSTEM_STATE.+slice.+state.+changed )|(ment ac)|(multiple cpu faults)|(system.+state.+changed )|(\[timeout)|(PRM\|1\|D)|(kpr)|(kdp)|(\|lc)|(penalty))"</v>
      </c>
      <c r="AG164" s="1" t="str">
        <f t="shared" si="61"/>
        <v>NW</v>
      </c>
      <c r="AH164" s="86" t="str">
        <f t="shared" si="62"/>
        <v>"%USERPROFILE%\Documents\GitHub\eaglep3\Utilities\RefineRTDCRunTimes.py" --tripid 808-06 --locoid 4001 --swversion DE.1.0.9.0 --startMP 300:58653 --initTime 2017-04-06T07:35:02 --startdatetime 2017-04-06T07:37:04 --delay 1 --endMP 204:682 --enddatetime 2017-04-06T07:55:34 --enforcementcount 0 &gt;&gt;C:\Users\stu\Documents\GitHub\eaglep3-reporting\EC\2017-04-06-refined-times.txt</v>
      </c>
      <c r="AI164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{"issue":{"subject":"","project_id":79,"tracker_id":40,"status_id":1,"priority_id":2,"assigned_to_id":23,"start_date":"2017-04-06","description":"","custom_fields":[{"id":1,"name":"Subdivision","value":"NW"},{"id":4,"name":"Milepost","value":"0.0682"},{"id":17,"name":"Train ID","value":"808-06"},{"id":16,"name":"Locomotive ID","value":"4001"},{"id":130,"name":"Impact","value":""},{"id":150,"name":"Time of Event (Mountain Time)","value":"07:55:34"},{"id":151,"name":"Denver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64"/>
        <v>start /low /b %USERPROFILE%\Documents\GitHub\eaglep3\Utilities\DownloadLogsFromS3.py --loco 4001 --day 2017-04-06</v>
      </c>
      <c r="AN164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13:55:34"},{"id":29,"name":"Sharepoint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3" t="s">
        <v>704</v>
      </c>
      <c r="B165" s="7">
        <v>4020</v>
      </c>
      <c r="C165" s="21" t="s">
        <v>216</v>
      </c>
      <c r="D165" s="21" t="s">
        <v>971</v>
      </c>
      <c r="E165" s="13">
        <v>42831.311307870368</v>
      </c>
      <c r="F165" s="13">
        <v>42831.327256944445</v>
      </c>
      <c r="G165" s="7">
        <v>0</v>
      </c>
      <c r="H165" s="21" t="s">
        <v>615</v>
      </c>
      <c r="I165" s="13">
        <v>42831.336481481485</v>
      </c>
      <c r="J165" s="7">
        <v>0</v>
      </c>
      <c r="K165" s="97" t="str">
        <f t="shared" si="51"/>
        <v>4019/4020</v>
      </c>
      <c r="L165" s="21" t="str">
        <f>VLOOKUP(A165,'Trips&amp;Operators'!$C$1:$G$99999,5,FALSE)</f>
        <v>SHOOK JOHN</v>
      </c>
      <c r="M165" s="6">
        <f t="shared" si="52"/>
        <v>9.2245370396994986E-3</v>
      </c>
      <c r="N165" s="7">
        <f t="shared" si="66"/>
        <v>13.283333337167278</v>
      </c>
      <c r="O165" s="7"/>
      <c r="P165" s="7"/>
      <c r="Q165" s="22"/>
      <c r="R165" s="22"/>
      <c r="S165" s="31">
        <f t="shared" si="67"/>
        <v>1</v>
      </c>
      <c r="T165" s="46" t="str">
        <f t="shared" si="53"/>
        <v>NorthBound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4"/>
        <v>https://d0f6bd738d7f1b3e5a7ca70fe4ff75f0.us-east-1.aws.found.io/app/kibana#/discover/Steve-Slow-Train-Analysis-(2080s-and-2083s)?_g=(refreshInterval:(display:Off,pause:!f,section:0,value:0),time:(from:'2017-04-06T06:28:17-0600',mode:absolute,to:'2017-04-06T09:04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5" s="183" t="str">
        <f t="shared" si="55"/>
        <v>N</v>
      </c>
      <c r="X165" s="183">
        <f t="shared" si="50"/>
        <v>1</v>
      </c>
      <c r="Y165" s="62">
        <f t="shared" si="56"/>
        <v>0.1011</v>
      </c>
      <c r="Z165" s="62">
        <f t="shared" si="68"/>
        <v>5.8994999999999997</v>
      </c>
      <c r="AA165" s="62">
        <f t="shared" si="57"/>
        <v>5.7984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8"/>
        <v>0809-06</v>
      </c>
      <c r="AE165" s="85" t="str">
        <f t="shared" si="59"/>
        <v>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 &amp; 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</v>
      </c>
      <c r="AF165" s="82" t="str">
        <f t="shared" si="60"/>
        <v>"C:\Program Files (x86)\AstroGrep\AstroGrep.exe" /e /r /s /spath="%USERPROFILE%\AppData\Local\Temp\OnboardLogs" /stypes="app*4020*20170406*" /stext=" 14:.+((SYSTEM_STATE.+slice.+state.+changed )|(ment ac)|(multiple cpu faults)|(system.+state.+changed )|(\[timeout)|(PRM\|1\|D)|(kpr)|(kdp)|(\|lc)|(penalty))"</v>
      </c>
      <c r="AG165" s="1" t="str">
        <f t="shared" si="61"/>
        <v>NW</v>
      </c>
      <c r="AH165" s="86" t="str">
        <f t="shared" si="62"/>
        <v>"%USERPROFILE%\Documents\GitHub\eaglep3\Utilities\RefineRTDCRunTimes.py" --tripid 809-06 --locoid 4020 --swversion DE.1.0.9.0 --startMP 204:1011 --initTime 2017-04-06T07:28:17 --startdatetime 2017-04-06T07:51:15 --delay 0 --endMP 300:58995 --enddatetime 2017-04-06T08:04:32 --enforcementcount 0 &gt;&gt;C:\Users\stu\Documents\GitHub\eaglep3-reporting\EC\2017-04-06-refined-times.txt</v>
      </c>
      <c r="AI165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{"issue":{"subject":"","project_id":79,"tracker_id":40,"status_id":1,"priority_id":2,"assigned_to_id":23,"start_date":"2017-04-06","description":"","custom_fields":[{"id":1,"name":"Subdivision","value":"NW"},{"id":4,"name":"Milepost","value":"5.8995"},{"id":17,"name":"Train ID","value":"809-06"},{"id":16,"name":"Locomotive ID","value":"4020"},{"id":130,"name":"Impact","value":""},{"id":150,"name":"Time of Event (Mountain Time)","value":"08:04:32"},{"id":151,"name":"Denver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64"/>
        <v>start /low /b %USERPROFILE%\Documents\GitHub\eaglep3\Utilities\DownloadLogsFromS3.py --loco 4020 --day 2017-04-06</v>
      </c>
      <c r="AN165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14:04:32"},{"id":29,"name":"Sharepoint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627</v>
      </c>
      <c r="B166" s="7">
        <v>4019</v>
      </c>
      <c r="C166" s="21" t="s">
        <v>216</v>
      </c>
      <c r="D166" s="21" t="s">
        <v>974</v>
      </c>
      <c r="E166" s="13">
        <v>42831.338043981479</v>
      </c>
      <c r="F166" s="13">
        <v>42831.340798611112</v>
      </c>
      <c r="G166" s="7">
        <v>0</v>
      </c>
      <c r="H166" s="21" t="s">
        <v>975</v>
      </c>
      <c r="I166" s="13">
        <v>42831.351712962962</v>
      </c>
      <c r="J166" s="7">
        <v>0</v>
      </c>
      <c r="K166" s="97" t="str">
        <f t="shared" si="51"/>
        <v>4019/4020</v>
      </c>
      <c r="L166" s="21" t="str">
        <f>VLOOKUP(A166,'Trips&amp;Operators'!$C$1:$G$99999,5,FALSE)</f>
        <v>SHOOK JOHN</v>
      </c>
      <c r="M166" s="6">
        <f t="shared" si="52"/>
        <v>1.0914351849351078E-2</v>
      </c>
      <c r="N166" s="7">
        <f t="shared" si="66"/>
        <v>15.716666663065553</v>
      </c>
      <c r="O166" s="7"/>
      <c r="P166" s="7"/>
      <c r="Q166" s="22"/>
      <c r="R166" s="22"/>
      <c r="S166" s="31">
        <f t="shared" si="67"/>
        <v>1</v>
      </c>
      <c r="T166" s="46" t="str">
        <f t="shared" si="53"/>
        <v>Southbound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4"/>
        <v>https://d0f6bd738d7f1b3e5a7ca70fe4ff75f0.us-east-1.aws.found.io/app/kibana#/discover/Steve-Slow-Train-Analysis-(2080s-and-2083s)?_g=(refreshInterval:(display:Off,pause:!f,section:0,value:0),time:(from:'2017-04-06T07:06:47-0600',mode:absolute,to:'2017-04-06T09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6" s="183" t="str">
        <f t="shared" si="55"/>
        <v>N</v>
      </c>
      <c r="X166" s="183">
        <f t="shared" si="50"/>
        <v>1</v>
      </c>
      <c r="Y166" s="62">
        <f t="shared" si="56"/>
        <v>5.8677000000000001</v>
      </c>
      <c r="Z166" s="62">
        <f t="shared" si="68"/>
        <v>7.3300000000000004E-2</v>
      </c>
      <c r="AA166" s="62">
        <f t="shared" si="57"/>
        <v>5.7944000000000004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8"/>
        <v>0810-06</v>
      </c>
      <c r="AE166" s="85" t="str">
        <f t="shared" si="59"/>
        <v>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 &amp; 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</v>
      </c>
      <c r="AF166" s="82" t="str">
        <f t="shared" si="60"/>
        <v>"C:\Program Files (x86)\AstroGrep\AstroGrep.exe" /e /r /s /spath="%USERPROFILE%\AppData\Local\Temp\OnboardLogs" /stypes="app*4019*20170406*" /stext=" 14:.+((SYSTEM_STATE.+slice.+state.+changed )|(ment ac)|(multiple cpu faults)|(system.+state.+changed )|(\[timeout)|(PRM\|1\|D)|(kpr)|(kdp)|(\|lc)|(penalty))"</v>
      </c>
      <c r="AG166" s="1" t="str">
        <f t="shared" si="61"/>
        <v>NW</v>
      </c>
      <c r="AH166" s="86" t="str">
        <f t="shared" si="62"/>
        <v>"%USERPROFILE%\Documents\GitHub\eaglep3\Utilities\RefineRTDCRunTimes.py" --tripid 810-06 --locoid 4019 --swversion DE.1.0.9.0 --startMP 300:58677 --initTime 2017-04-06T08:06:47 --startdatetime 2017-04-06T08:10:45 --delay 0 --endMP 204:733 --enddatetime 2017-04-06T08:26:28 --enforcementcount 0 &gt;&gt;C:\Users\stu\Documents\GitHub\eaglep3-reporting\EC\2017-04-06-refined-times.txt</v>
      </c>
      <c r="AI166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{"issue":{"subject":"","project_id":79,"tracker_id":40,"status_id":1,"priority_id":2,"assigned_to_id":23,"start_date":"2017-04-06","description":"","custom_fields":[{"id":1,"name":"Subdivision","value":"NW"},{"id":4,"name":"Milepost","value":"0.0733"},{"id":17,"name":"Train ID","value":"810-06"},{"id":16,"name":"Locomotive ID","value":"4019"},{"id":130,"name":"Impact","value":""},{"id":150,"name":"Time of Event (Mountain Time)","value":"08:26:28"},{"id":151,"name":"Denver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64"/>
        <v>start /low /b %USERPROFILE%\Documents\GitHub\eaglep3\Utilities\DownloadLogsFromS3.py --loco 4019 --day 2017-04-06</v>
      </c>
      <c r="AN166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14:26:28"},{"id":29,"name":"Sharepoint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709</v>
      </c>
      <c r="B167" s="7">
        <v>4002</v>
      </c>
      <c r="C167" s="21" t="s">
        <v>216</v>
      </c>
      <c r="D167" s="21" t="s">
        <v>976</v>
      </c>
      <c r="E167" s="13">
        <v>42831.342719907407</v>
      </c>
      <c r="F167" s="13">
        <v>42831.34820601852</v>
      </c>
      <c r="G167" s="7">
        <v>1</v>
      </c>
      <c r="H167" s="21" t="s">
        <v>527</v>
      </c>
      <c r="I167" s="13">
        <v>42831.357164351852</v>
      </c>
      <c r="J167" s="7">
        <v>0</v>
      </c>
      <c r="K167" s="97" t="str">
        <f t="shared" si="51"/>
        <v>4001/4002</v>
      </c>
      <c r="L167" s="21" t="str">
        <f>VLOOKUP(A167,'Trips&amp;Operators'!$C$1:$G$99999,5,FALSE)</f>
        <v>LOZA FIDEL</v>
      </c>
      <c r="M167" s="6">
        <f t="shared" si="52"/>
        <v>8.9583333319751546E-3</v>
      </c>
      <c r="N167" s="7">
        <f t="shared" si="66"/>
        <v>12.899999998044223</v>
      </c>
      <c r="O167" s="7"/>
      <c r="P167" s="7"/>
      <c r="Q167" s="22"/>
      <c r="R167" s="22"/>
      <c r="S167" s="31">
        <f t="shared" si="67"/>
        <v>1</v>
      </c>
      <c r="T167" s="46" t="str">
        <f t="shared" si="53"/>
        <v>NorthBound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4"/>
        <v>https://d0f6bd738d7f1b3e5a7ca70fe4ff75f0.us-east-1.aws.found.io/app/kibana#/discover/Steve-Slow-Train-Analysis-(2080s-and-2083s)?_g=(refreshInterval:(display:Off,pause:!f,section:0,value:0),time:(from:'2017-04-06T07:13:31-0600',mode:absolute,to:'2017-04-06T09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7" s="183" t="str">
        <f t="shared" si="55"/>
        <v>N</v>
      </c>
      <c r="X167" s="183">
        <f t="shared" si="50"/>
        <v>1</v>
      </c>
      <c r="Y167" s="62">
        <f t="shared" si="56"/>
        <v>9.7199999999999995E-2</v>
      </c>
      <c r="Z167" s="62">
        <f t="shared" si="68"/>
        <v>5.8956</v>
      </c>
      <c r="AA167" s="62">
        <f t="shared" si="57"/>
        <v>5.7984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8"/>
        <v>0811-06</v>
      </c>
      <c r="AE167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167" s="82" t="str">
        <f t="shared" si="60"/>
        <v>"C:\Program Files (x86)\AstroGrep\AstroGrep.exe" /e /r /s /spath="%USERPROFILE%\AppData\Local\Temp\OnboardLogs" /stypes="app*4002*20170406*" /stext=" 14:.+((SYSTEM_STATE.+slice.+state.+changed )|(ment ac)|(multiple cpu faults)|(system.+state.+changed )|(\[timeout)|(PRM\|1\|D)|(kpr)|(kdp)|(\|lc)|(penalty))"</v>
      </c>
      <c r="AG167" s="1" t="str">
        <f t="shared" si="61"/>
        <v>NW</v>
      </c>
      <c r="AH167" s="86" t="str">
        <f t="shared" si="62"/>
        <v>"%USERPROFILE%\Documents\GitHub\eaglep3\Utilities\RefineRTDCRunTimes.py" --tripid 811-06 --locoid 4002 --swversion DE.1.0.9.0 --startMP 204:972 --initTime 2017-04-06T08:13:31 --startdatetime 2017-04-06T08:21:25 --delay 1 --endMP 300:58956 --enddatetime 2017-04-06T08:34:19 --enforcementcount 0 &gt;&gt;C:\Users\stu\Documents\GitHub\eaglep3-reporting\EC\2017-04-06-refined-times.txt</v>
      </c>
      <c r="AI167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{"issue":{"subject":"","project_id":79,"tracker_id":40,"status_id":1,"priority_id":2,"assigned_to_id":23,"start_date":"2017-04-06","description":"","custom_fields":[{"id":1,"name":"Subdivision","value":"NW"},{"id":4,"name":"Milepost","value":"5.8956"},{"id":17,"name":"Train ID","value":"811-06"},{"id":16,"name":"Locomotive ID","value":"4002"},{"id":130,"name":"Impact","value":""},{"id":150,"name":"Time of Event (Mountain Time)","value":"08:34:19"},{"id":151,"name":"Denver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64"/>
        <v>start /low /b %USERPROFILE%\Documents\GitHub\eaglep3\Utilities\DownloadLogsFromS3.py --loco 4002 --day 2017-04-06</v>
      </c>
      <c r="AN167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14:34:19"},{"id":29,"name":"Sharepoint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629</v>
      </c>
      <c r="B168" s="7">
        <v>4001</v>
      </c>
      <c r="C168" s="21" t="s">
        <v>216</v>
      </c>
      <c r="D168" s="21" t="s">
        <v>977</v>
      </c>
      <c r="E168" s="13">
        <v>42831.358252314814</v>
      </c>
      <c r="F168" s="13">
        <v>42831.359780092593</v>
      </c>
      <c r="G168" s="7">
        <v>1</v>
      </c>
      <c r="H168" s="21" t="s">
        <v>978</v>
      </c>
      <c r="I168" s="13">
        <v>42831.372627314813</v>
      </c>
      <c r="J168" s="7">
        <v>0</v>
      </c>
      <c r="K168" s="97" t="str">
        <f t="shared" si="51"/>
        <v>4001/4002</v>
      </c>
      <c r="L168" s="21" t="str">
        <f>VLOOKUP(A168,'Trips&amp;Operators'!$C$1:$G$99999,5,FALSE)</f>
        <v>LOZA FIDEL</v>
      </c>
      <c r="M168" s="6">
        <f t="shared" si="52"/>
        <v>1.2847222220443655E-2</v>
      </c>
      <c r="N168" s="7">
        <f t="shared" si="66"/>
        <v>18.499999997438863</v>
      </c>
      <c r="O168" s="7"/>
      <c r="P168" s="7"/>
      <c r="Q168" s="22"/>
      <c r="R168" s="22"/>
      <c r="S168" s="31">
        <f t="shared" si="67"/>
        <v>1</v>
      </c>
      <c r="T168" s="46" t="str">
        <f t="shared" si="53"/>
        <v>Southbound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4"/>
        <v>https://d0f6bd738d7f1b3e5a7ca70fe4ff75f0.us-east-1.aws.found.io/app/kibana#/discover/Steve-Slow-Train-Analysis-(2080s-and-2083s)?_g=(refreshInterval:(display:Off,pause:!f,section:0,value:0),time:(from:'2017-04-06T07:35:53-0600',mode:absolute,to:'2017-04-06T09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8" s="183" t="str">
        <f t="shared" si="55"/>
        <v>N</v>
      </c>
      <c r="X168" s="183">
        <f t="shared" si="50"/>
        <v>1</v>
      </c>
      <c r="Y168" s="62">
        <f t="shared" si="56"/>
        <v>5.8635999999999999</v>
      </c>
      <c r="Z168" s="62">
        <f t="shared" si="68"/>
        <v>6.8699999999999997E-2</v>
      </c>
      <c r="AA168" s="62">
        <f t="shared" si="57"/>
        <v>5.7949000000000002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8"/>
        <v>0812-06</v>
      </c>
      <c r="AE168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168" s="82" t="str">
        <f t="shared" si="60"/>
        <v>"C:\Program Files (x86)\AstroGrep\AstroGrep.exe" /e /r /s /spath="%USERPROFILE%\AppData\Local\Temp\OnboardLogs" /stypes="app*4001*20170406*" /stext=" 14:.+((SYSTEM_STATE.+slice.+state.+changed )|(ment ac)|(multiple cpu faults)|(system.+state.+changed )|(\[timeout)|(PRM\|1\|D)|(kpr)|(kdp)|(\|lc)|(penalty))"</v>
      </c>
      <c r="AG168" s="1" t="str">
        <f t="shared" si="61"/>
        <v>NW</v>
      </c>
      <c r="AH168" s="86" t="str">
        <f t="shared" si="62"/>
        <v>"%USERPROFILE%\Documents\GitHub\eaglep3\Utilities\RefineRTDCRunTimes.py" --tripid 812-06 --locoid 4001 --swversion DE.1.0.9.0 --startMP 300:58636 --initTime 2017-04-06T08:35:53 --startdatetime 2017-04-06T08:38:05 --delay 1 --endMP 204:687 --enddatetime 2017-04-06T08:56:35 --enforcementcount 0 &gt;&gt;C:\Users\stu\Documents\GitHub\eaglep3-reporting\EC\2017-04-06-refined-times.txt</v>
      </c>
      <c r="AI168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{"issue":{"subject":"","project_id":79,"tracker_id":40,"status_id":1,"priority_id":2,"assigned_to_id":23,"start_date":"2017-04-06","description":"","custom_fields":[{"id":1,"name":"Subdivision","value":"NW"},{"id":4,"name":"Milepost","value":"0.0687"},{"id":17,"name":"Train ID","value":"812-06"},{"id":16,"name":"Locomotive ID","value":"4001"},{"id":130,"name":"Impact","value":""},{"id":150,"name":"Time of Event (Mountain Time)","value":"08:56:35"},{"id":151,"name":"Denver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 t="shared" si="64"/>
        <v>start /low /b %USERPROFILE%\Documents\GitHub\eaglep3\Utilities\DownloadLogsFromS3.py --loco 4001 --day 2017-04-06</v>
      </c>
      <c r="AN168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14:56:35"},{"id":29,"name":"Sharepoint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631</v>
      </c>
      <c r="B169" s="7">
        <v>4002</v>
      </c>
      <c r="C169" s="21" t="s">
        <v>216</v>
      </c>
      <c r="D169" s="21" t="s">
        <v>525</v>
      </c>
      <c r="E169" s="13">
        <v>42831.374247685184</v>
      </c>
      <c r="F169" s="13">
        <v>42831.389768518522</v>
      </c>
      <c r="G169" s="7">
        <v>0</v>
      </c>
      <c r="H169" s="21" t="s">
        <v>979</v>
      </c>
      <c r="I169" s="13">
        <v>42831.399398148147</v>
      </c>
      <c r="J169" s="7">
        <v>0</v>
      </c>
      <c r="K169" s="97" t="str">
        <f t="shared" si="51"/>
        <v>4001/4002</v>
      </c>
      <c r="L169" s="21" t="str">
        <f>VLOOKUP(A169,'Trips&amp;Operators'!$C$1:$G$99999,5,FALSE)</f>
        <v>LOZA FIDEL</v>
      </c>
      <c r="M169" s="6">
        <f t="shared" si="52"/>
        <v>9.6296296251239255E-3</v>
      </c>
      <c r="N169" s="7">
        <f t="shared" si="66"/>
        <v>13.866666660178453</v>
      </c>
      <c r="O169" s="7"/>
      <c r="P169" s="7"/>
      <c r="Q169" s="22"/>
      <c r="R169" s="22"/>
      <c r="S169" s="31">
        <f t="shared" si="67"/>
        <v>1</v>
      </c>
      <c r="T169" s="46" t="str">
        <f t="shared" si="53"/>
        <v>NorthBound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54"/>
        <v>https://d0f6bd738d7f1b3e5a7ca70fe4ff75f0.us-east-1.aws.found.io/app/kibana#/discover/Steve-Slow-Train-Analysis-(2080s-and-2083s)?_g=(refreshInterval:(display:Off,pause:!f,section:0,value:0),time:(from:'2017-04-06T07:58:55-0600',mode:absolute,to:'2017-04-06T10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69" s="183" t="str">
        <f t="shared" si="55"/>
        <v>N</v>
      </c>
      <c r="X169" s="183">
        <f t="shared" ref="X169:X200" si="69">VALUE(LEFT(AD169,4))-VALUE(LEFT(AD168,4))</f>
        <v>1</v>
      </c>
      <c r="Y169" s="62">
        <f t="shared" si="56"/>
        <v>9.9000000000000005E-2</v>
      </c>
      <c r="Z169" s="62">
        <f t="shared" si="68"/>
        <v>5.8968999999999996</v>
      </c>
      <c r="AA169" s="62">
        <f t="shared" si="57"/>
        <v>5.7978999999999994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8"/>
        <v>0813-06</v>
      </c>
      <c r="AE169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169" s="82" t="str">
        <f t="shared" si="60"/>
        <v>"C:\Program Files (x86)\AstroGrep\AstroGrep.exe" /e /r /s /spath="%USERPROFILE%\AppData\Local\Temp\OnboardLogs" /stypes="app*4002*20170406*" /stext=" 15:.+((SYSTEM_STATE.+slice.+state.+changed )|(ment ac)|(multiple cpu faults)|(system.+state.+changed )|(\[timeout)|(PRM\|1\|D)|(kpr)|(kdp)|(\|lc)|(penalty))"</v>
      </c>
      <c r="AG169" s="1" t="str">
        <f t="shared" si="61"/>
        <v>NW</v>
      </c>
      <c r="AH169" s="86" t="str">
        <f t="shared" si="62"/>
        <v>"%USERPROFILE%\Documents\GitHub\eaglep3\Utilities\RefineRTDCRunTimes.py" --tripid 813-06 --locoid 4002 --swversion DE.1.0.9.0 --startMP 204:990 --initTime 2017-04-06T08:58:55 --startdatetime 2017-04-06T09:21:16 --delay 0 --endMP 300:58969 --enddatetime 2017-04-06T09:35:08 --enforcementcount 0 &gt;&gt;C:\Users\stu\Documents\GitHub\eaglep3-reporting\EC\2017-04-06-refined-times.txt</v>
      </c>
      <c r="AI169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{"issue":{"subject":"","project_id":79,"tracker_id":40,"status_id":1,"priority_id":2,"assigned_to_id":23,"start_date":"2017-04-06","description":"","custom_fields":[{"id":1,"name":"Subdivision","value":"NW"},{"id":4,"name":"Milepost","value":"5.8969"},{"id":17,"name":"Train ID","value":"813-06"},{"id":16,"name":"Locomotive ID","value":"4002"},{"id":130,"name":"Impact","value":""},{"id":150,"name":"Time of Event (Mountain Time)","value":"09:35:08"},{"id":151,"name":"Denver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64"/>
        <v>start /low /b %USERPROFILE%\Documents\GitHub\eaglep3\Utilities\DownloadLogsFromS3.py --loco 4002 --day 2017-04-06</v>
      </c>
      <c r="AN169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15:35:08"},{"id":29,"name":"Sharepoint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3" t="s">
        <v>719</v>
      </c>
      <c r="B170" s="7">
        <v>4001</v>
      </c>
      <c r="C170" s="21" t="s">
        <v>216</v>
      </c>
      <c r="D170" s="21" t="s">
        <v>980</v>
      </c>
      <c r="E170" s="13">
        <v>42831.400393518517</v>
      </c>
      <c r="F170" s="13">
        <v>42831.40221064815</v>
      </c>
      <c r="G170" s="7">
        <v>1</v>
      </c>
      <c r="H170" s="21" t="s">
        <v>981</v>
      </c>
      <c r="I170" s="13">
        <v>42831.412835648145</v>
      </c>
      <c r="J170" s="7">
        <v>0</v>
      </c>
      <c r="K170" s="97" t="str">
        <f t="shared" si="51"/>
        <v>4001/4002</v>
      </c>
      <c r="L170" s="21" t="str">
        <f>VLOOKUP(A170,'Trips&amp;Operators'!$C$1:$G$99999,5,FALSE)</f>
        <v>LOZA FIDEL</v>
      </c>
      <c r="M170" s="6">
        <f t="shared" si="52"/>
        <v>1.0624999995343387E-2</v>
      </c>
      <c r="N170" s="7">
        <f t="shared" si="66"/>
        <v>15.299999993294477</v>
      </c>
      <c r="O170" s="7"/>
      <c r="P170" s="7"/>
      <c r="Q170" s="22"/>
      <c r="R170" s="22"/>
      <c r="S170" s="31">
        <f t="shared" si="67"/>
        <v>1</v>
      </c>
      <c r="T170" s="46" t="str">
        <f t="shared" si="53"/>
        <v>Southbound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54"/>
        <v>https://d0f6bd738d7f1b3e5a7ca70fe4ff75f0.us-east-1.aws.found.io/app/kibana#/discover/Steve-Slow-Train-Analysis-(2080s-and-2083s)?_g=(refreshInterval:(display:Off,pause:!f,section:0,value:0),time:(from:'2017-04-06T08:36:34-0600',mode:absolute,to:'2017-04-06T10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0" s="183" t="str">
        <f t="shared" si="55"/>
        <v>N</v>
      </c>
      <c r="X170" s="183">
        <f t="shared" si="69"/>
        <v>1</v>
      </c>
      <c r="Y170" s="62">
        <f t="shared" si="56"/>
        <v>5.8651</v>
      </c>
      <c r="Z170" s="62">
        <f t="shared" si="68"/>
        <v>6.8500000000000005E-2</v>
      </c>
      <c r="AA170" s="62">
        <f t="shared" si="57"/>
        <v>5.7965999999999998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8"/>
        <v>0814-06</v>
      </c>
      <c r="AE170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170" s="82" t="str">
        <f t="shared" si="60"/>
        <v>"C:\Program Files (x86)\AstroGrep\AstroGrep.exe" /e /r /s /spath="%USERPROFILE%\AppData\Local\Temp\OnboardLogs" /stypes="app*4001*20170406*" /stext=" 15:.+((SYSTEM_STATE.+slice.+state.+changed )|(ment ac)|(multiple cpu faults)|(system.+state.+changed )|(\[timeout)|(PRM\|1\|D)|(kpr)|(kdp)|(\|lc)|(penalty))"</v>
      </c>
      <c r="AG170" s="1" t="str">
        <f t="shared" si="61"/>
        <v>NW</v>
      </c>
      <c r="AH170" s="86" t="str">
        <f t="shared" si="62"/>
        <v>"%USERPROFILE%\Documents\GitHub\eaglep3\Utilities\RefineRTDCRunTimes.py" --tripid 814-06 --locoid 4001 --swversion DE.1.0.9.0 --startMP 300:58651 --initTime 2017-04-06T09:36:34 --startdatetime 2017-04-06T09:39:11 --delay 1 --endMP 204:685 --enddatetime 2017-04-06T09:54:29 --enforcementcount 0 &gt;&gt;C:\Users\stu\Documents\GitHub\eaglep3-reporting\EC\2017-04-06-refined-times.txt</v>
      </c>
      <c r="AI170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{"issue":{"subject":"","project_id":79,"tracker_id":40,"status_id":1,"priority_id":2,"assigned_to_id":23,"start_date":"2017-04-06","description":"","custom_fields":[{"id":1,"name":"Subdivision","value":"NW"},{"id":4,"name":"Milepost","value":"0.0685"},{"id":17,"name":"Train ID","value":"814-06"},{"id":16,"name":"Locomotive ID","value":"4001"},{"id":130,"name":"Impact","value":""},{"id":150,"name":"Time of Event (Mountain Time)","value":"09:54:29"},{"id":151,"name":"Denver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8"/>
      <c r="AL170" s="48"/>
      <c r="AM170" s="150" t="str">
        <f t="shared" si="64"/>
        <v>start /low /b %USERPROFILE%\Documents\GitHub\eaglep3\Utilities\DownloadLogsFromS3.py --loco 4001 --day 2017-04-06</v>
      </c>
      <c r="AN170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15:54:29"},{"id":29,"name":"Sharepoint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s="20" customFormat="1" x14ac:dyDescent="0.25">
      <c r="A171" s="33" t="s">
        <v>722</v>
      </c>
      <c r="B171" s="7">
        <v>4002</v>
      </c>
      <c r="C171" s="21" t="s">
        <v>216</v>
      </c>
      <c r="D171" s="21" t="s">
        <v>614</v>
      </c>
      <c r="E171" s="13">
        <v>42831.416539351849</v>
      </c>
      <c r="F171" s="13">
        <v>42831.431539351855</v>
      </c>
      <c r="G171" s="7">
        <v>1</v>
      </c>
      <c r="H171" s="21" t="s">
        <v>524</v>
      </c>
      <c r="I171" s="13">
        <v>42831.441874999997</v>
      </c>
      <c r="J171" s="7">
        <v>0</v>
      </c>
      <c r="K171" s="97" t="str">
        <f t="shared" si="51"/>
        <v>4001/4002</v>
      </c>
      <c r="L171" s="21" t="str">
        <f>VLOOKUP(A171,'Trips&amp;Operators'!$C$1:$G$99999,5,FALSE)</f>
        <v>LOZA FIDEL</v>
      </c>
      <c r="M171" s="6">
        <f t="shared" si="52"/>
        <v>1.0335648141335696E-2</v>
      </c>
      <c r="N171" s="7">
        <f t="shared" si="66"/>
        <v>14.883333323523402</v>
      </c>
      <c r="O171" s="7"/>
      <c r="P171" s="7"/>
      <c r="Q171" s="22"/>
      <c r="R171" s="22"/>
      <c r="S171" s="31">
        <f t="shared" si="67"/>
        <v>1</v>
      </c>
      <c r="T171" s="46" t="str">
        <f t="shared" si="53"/>
        <v>NorthBound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54"/>
        <v>https://d0f6bd738d7f1b3e5a7ca70fe4ff75f0.us-east-1.aws.found.io/app/kibana#/discover/Steve-Slow-Train-Analysis-(2080s-and-2083s)?_g=(refreshInterval:(display:Off,pause:!f,section:0,value:0),time:(from:'2017-04-06T08:59:49-0600',mode:absolute,to:'2017-04-06T11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1" s="183" t="str">
        <f t="shared" si="55"/>
        <v>N</v>
      </c>
      <c r="X171" s="183">
        <f t="shared" si="69"/>
        <v>1</v>
      </c>
      <c r="Y171" s="62">
        <f t="shared" si="56"/>
        <v>9.7900000000000001E-2</v>
      </c>
      <c r="Z171" s="62">
        <f t="shared" si="68"/>
        <v>5.8944000000000001</v>
      </c>
      <c r="AA171" s="62">
        <f t="shared" si="57"/>
        <v>5.7965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8"/>
        <v>0815-06</v>
      </c>
      <c r="AE171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171" s="82" t="str">
        <f t="shared" si="60"/>
        <v>"C:\Program Files (x86)\AstroGrep\AstroGrep.exe" /e /r /s /spath="%USERPROFILE%\AppData\Local\Temp\OnboardLogs" /stypes="app*4002*20170406*" /stext=" 16:.+((SYSTEM_STATE.+slice.+state.+changed )|(ment ac)|(multiple cpu faults)|(system.+state.+changed )|(\[timeout)|(PRM\|1\|D)|(kpr)|(kdp)|(\|lc)|(penalty))"</v>
      </c>
      <c r="AG171" s="1" t="str">
        <f t="shared" si="61"/>
        <v>NW</v>
      </c>
      <c r="AH171" s="86" t="str">
        <f t="shared" si="62"/>
        <v>"%USERPROFILE%\Documents\GitHub\eaglep3\Utilities\RefineRTDCRunTimes.py" --tripid 815-06 --locoid 4002 --swversion DE.1.0.9.0 --startMP 204:979 --initTime 2017-04-06T09:59:49 --startdatetime 2017-04-06T10:21:25 --delay 1 --endMP 300:58944 --enddatetime 2017-04-06T10:36:18 --enforcementcount 0 &gt;&gt;C:\Users\stu\Documents\GitHub\eaglep3-reporting\EC\2017-04-06-refined-times.txt</v>
      </c>
      <c r="AI171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{"issue":{"subject":"","project_id":79,"tracker_id":40,"status_id":1,"priority_id":2,"assigned_to_id":23,"start_date":"2017-04-06","description":"","custom_fields":[{"id":1,"name":"Subdivision","value":"NW"},{"id":4,"name":"Milepost","value":"5.8944"},{"id":17,"name":"Train ID","value":"815-06"},{"id":16,"name":"Locomotive ID","value":"4002"},{"id":130,"name":"Impact","value":""},{"id":150,"name":"Time of Event (Mountain Time)","value":"10:36:18"},{"id":151,"name":"Denver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8"/>
      <c r="AL171" s="48"/>
      <c r="AM171" s="150" t="str">
        <f t="shared" si="64"/>
        <v>start /low /b %USERPROFILE%\Documents\GitHub\eaglep3\Utilities\DownloadLogsFromS3.py --loco 4002 --day 2017-04-06</v>
      </c>
      <c r="AN171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16:36:18"},{"id":29,"name":"Sharepoint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3" t="s">
        <v>727</v>
      </c>
      <c r="B172" s="7">
        <v>4001</v>
      </c>
      <c r="C172" s="21" t="s">
        <v>216</v>
      </c>
      <c r="D172" s="21" t="s">
        <v>982</v>
      </c>
      <c r="E172" s="13">
        <v>42831.443009259259</v>
      </c>
      <c r="F172" s="13">
        <v>42831.444467592592</v>
      </c>
      <c r="G172" s="7">
        <v>1</v>
      </c>
      <c r="H172" s="21" t="s">
        <v>610</v>
      </c>
      <c r="I172" s="13">
        <v>42831.454733796294</v>
      </c>
      <c r="J172" s="7">
        <v>0</v>
      </c>
      <c r="K172" s="97" t="str">
        <f t="shared" si="51"/>
        <v>4001/4002</v>
      </c>
      <c r="L172" s="21" t="str">
        <f>VLOOKUP(A172,'Trips&amp;Operators'!$C$1:$G$99999,5,FALSE)</f>
        <v>LOZA FIDEL</v>
      </c>
      <c r="M172" s="6">
        <f t="shared" si="52"/>
        <v>1.0266203702485655E-2</v>
      </c>
      <c r="N172" s="7">
        <f t="shared" si="66"/>
        <v>14.783333331579342</v>
      </c>
      <c r="O172" s="7"/>
      <c r="P172" s="7"/>
      <c r="Q172" s="22"/>
      <c r="R172" s="22"/>
      <c r="S172" s="31">
        <f t="shared" si="67"/>
        <v>1</v>
      </c>
      <c r="T172" s="46" t="str">
        <f t="shared" si="53"/>
        <v>Southbound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4"/>
        <v>https://d0f6bd738d7f1b3e5a7ca70fe4ff75f0.us-east-1.aws.found.io/app/kibana#/discover/Steve-Slow-Train-Analysis-(2080s-and-2083s)?_g=(refreshInterval:(display:Off,pause:!f,section:0,value:0),time:(from:'2017-04-06T09:37:56-0600',mode:absolute,to:'2017-04-06T11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2" s="183" t="str">
        <f t="shared" si="55"/>
        <v>N</v>
      </c>
      <c r="X172" s="183">
        <f t="shared" si="69"/>
        <v>1</v>
      </c>
      <c r="Y172" s="62">
        <f t="shared" si="56"/>
        <v>5.8632</v>
      </c>
      <c r="Z172" s="62">
        <f t="shared" si="68"/>
        <v>6.7500000000000004E-2</v>
      </c>
      <c r="AA172" s="62">
        <f t="shared" si="57"/>
        <v>5.7957000000000001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8"/>
        <v>0816-06</v>
      </c>
      <c r="AE172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172" s="82" t="str">
        <f t="shared" si="60"/>
        <v>"C:\Program Files (x86)\AstroGrep\AstroGrep.exe" /e /r /s /spath="%USERPROFILE%\AppData\Local\Temp\OnboardLogs" /stypes="app*4001*20170406*" /stext=" 16:.+((SYSTEM_STATE.+slice.+state.+changed )|(ment ac)|(multiple cpu faults)|(system.+state.+changed )|(\[timeout)|(PRM\|1\|D)|(kpr)|(kdp)|(\|lc)|(penalty))"</v>
      </c>
      <c r="AG172" s="1" t="str">
        <f t="shared" si="61"/>
        <v>NW</v>
      </c>
      <c r="AH172" s="86" t="str">
        <f t="shared" si="62"/>
        <v>"%USERPROFILE%\Documents\GitHub\eaglep3\Utilities\RefineRTDCRunTimes.py" --tripid 816-06 --locoid 4001 --swversion DE.1.0.9.0 --startMP 300:58632 --initTime 2017-04-06T10:37:56 --startdatetime 2017-04-06T10:40:02 --delay 1 --endMP 204:675 --enddatetime 2017-04-06T10:54:49 --enforcementcount 0 &gt;&gt;C:\Users\stu\Documents\GitHub\eaglep3-reporting\EC\2017-04-06-refined-times.txt</v>
      </c>
      <c r="AI172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{"issue":{"subject":"","project_id":79,"tracker_id":40,"status_id":1,"priority_id":2,"assigned_to_id":23,"start_date":"2017-04-06","description":"","custom_fields":[{"id":1,"name":"Subdivision","value":"NW"},{"id":4,"name":"Milepost","value":"0.0675"},{"id":17,"name":"Train ID","value":"816-06"},{"id":16,"name":"Locomotive ID","value":"4001"},{"id":130,"name":"Impact","value":""},{"id":150,"name":"Time of Event (Mountain Time)","value":"10:54:49"},{"id":151,"name":"Denver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64"/>
        <v>start /low /b %USERPROFILE%\Documents\GitHub\eaglep3\Utilities\DownloadLogsFromS3.py --loco 4001 --day 2017-04-06</v>
      </c>
      <c r="AN172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16:54:49"},{"id":29,"name":"Sharepoint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736</v>
      </c>
      <c r="B173" s="7">
        <v>4002</v>
      </c>
      <c r="C173" s="21" t="s">
        <v>216</v>
      </c>
      <c r="D173" s="21" t="s">
        <v>611</v>
      </c>
      <c r="E173" s="13">
        <v>42831.467210648145</v>
      </c>
      <c r="F173" s="13">
        <v>42831.473101851851</v>
      </c>
      <c r="G173" s="7">
        <v>1</v>
      </c>
      <c r="H173" s="21" t="s">
        <v>983</v>
      </c>
      <c r="I173" s="13">
        <v>42831.482071759259</v>
      </c>
      <c r="J173" s="7">
        <v>0</v>
      </c>
      <c r="K173" s="97" t="str">
        <f t="shared" si="51"/>
        <v>4001/4002</v>
      </c>
      <c r="L173" s="21" t="str">
        <f>VLOOKUP(A173,'Trips&amp;Operators'!$C$1:$G$99999,5,FALSE)</f>
        <v>LOZA FIDEL</v>
      </c>
      <c r="M173" s="6">
        <f t="shared" si="52"/>
        <v>8.969907408754807E-3</v>
      </c>
      <c r="N173" s="7">
        <f t="shared" si="66"/>
        <v>12.916666668606922</v>
      </c>
      <c r="O173" s="7"/>
      <c r="P173" s="7"/>
      <c r="Q173" s="22"/>
      <c r="R173" s="22"/>
      <c r="S173" s="31">
        <f t="shared" si="67"/>
        <v>1</v>
      </c>
      <c r="T173" s="46" t="str">
        <f t="shared" si="53"/>
        <v>NorthBound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4"/>
        <v>https://d0f6bd738d7f1b3e5a7ca70fe4ff75f0.us-east-1.aws.found.io/app/kibana#/discover/Steve-Slow-Train-Analysis-(2080s-and-2083s)?_g=(refreshInterval:(display:Off,pause:!f,section:0,value:0),time:(from:'2017-04-06T10:12:47-0600',mode:absolute,to:'2017-04-06T12:34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3" s="183" t="str">
        <f t="shared" si="55"/>
        <v>N</v>
      </c>
      <c r="X173" s="183">
        <f t="shared" si="69"/>
        <v>1</v>
      </c>
      <c r="Y173" s="62">
        <f t="shared" si="56"/>
        <v>9.8500000000000004E-2</v>
      </c>
      <c r="Z173" s="62">
        <f t="shared" si="68"/>
        <v>5.8952</v>
      </c>
      <c r="AA173" s="62">
        <f t="shared" si="57"/>
        <v>5.7967000000000004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8"/>
        <v>0817-06</v>
      </c>
      <c r="AE173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173" s="82" t="str">
        <f t="shared" si="60"/>
        <v>"C:\Program Files (x86)\AstroGrep\AstroGrep.exe" /e /r /s /spath="%USERPROFILE%\AppData\Local\Temp\OnboardLogs" /stypes="app*4002*20170406*" /stext=" 17:.+((SYSTEM_STATE.+slice.+state.+changed )|(ment ac)|(multiple cpu faults)|(system.+state.+changed )|(\[timeout)|(PRM\|1\|D)|(kpr)|(kdp)|(\|lc)|(penalty))"</v>
      </c>
      <c r="AG173" s="1" t="str">
        <f t="shared" si="61"/>
        <v>NW</v>
      </c>
      <c r="AH173" s="86" t="str">
        <f t="shared" si="62"/>
        <v>"%USERPROFILE%\Documents\GitHub\eaglep3\Utilities\RefineRTDCRunTimes.py" --tripid 817-06 --locoid 4002 --swversion DE.1.0.9.0 --startMP 204:985 --initTime 2017-04-06T11:12:47 --startdatetime 2017-04-06T11:21:16 --delay 1 --endMP 300:58952 --enddatetime 2017-04-06T11:34:11 --enforcementcount 0 &gt;&gt;C:\Users\stu\Documents\GitHub\eaglep3-reporting\EC\2017-04-06-refined-times.txt</v>
      </c>
      <c r="AI173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{"issue":{"subject":"","project_id":79,"tracker_id":40,"status_id":1,"priority_id":2,"assigned_to_id":23,"start_date":"2017-04-06","description":"","custom_fields":[{"id":1,"name":"Subdivision","value":"NW"},{"id":4,"name":"Milepost","value":"5.8952"},{"id":17,"name":"Train ID","value":"817-06"},{"id":16,"name":"Locomotive ID","value":"4002"},{"id":130,"name":"Impact","value":""},{"id":150,"name":"Time of Event (Mountain Time)","value":"11:34:11"},{"id":151,"name":"Denver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64"/>
        <v>start /low /b %USERPROFILE%\Documents\GitHub\eaglep3\Utilities\DownloadLogsFromS3.py --loco 4002 --day 2017-04-06</v>
      </c>
      <c r="AN173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17:34:11"},{"id":29,"name":"Sharepoint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738</v>
      </c>
      <c r="B174" s="7">
        <v>4001</v>
      </c>
      <c r="C174" s="21" t="s">
        <v>216</v>
      </c>
      <c r="D174" s="21" t="s">
        <v>984</v>
      </c>
      <c r="E174" s="13">
        <v>42831.482893518521</v>
      </c>
      <c r="F174" s="13">
        <v>42831.484733796293</v>
      </c>
      <c r="G174" s="7">
        <v>1</v>
      </c>
      <c r="H174" s="21" t="s">
        <v>610</v>
      </c>
      <c r="I174" s="13">
        <v>42831.496134259258</v>
      </c>
      <c r="J174" s="7">
        <v>0</v>
      </c>
      <c r="K174" s="97" t="str">
        <f t="shared" si="51"/>
        <v>4001/4002</v>
      </c>
      <c r="L174" s="21" t="str">
        <f>VLOOKUP(A174,'Trips&amp;Operators'!$C$1:$G$99999,5,FALSE)</f>
        <v>LOZA FIDEL</v>
      </c>
      <c r="M174" s="6">
        <f t="shared" si="52"/>
        <v>1.1400462964957114E-2</v>
      </c>
      <c r="N174" s="7">
        <f t="shared" si="66"/>
        <v>16.416666669538245</v>
      </c>
      <c r="O174" s="7"/>
      <c r="P174" s="7"/>
      <c r="Q174" s="22"/>
      <c r="R174" s="22"/>
      <c r="S174" s="31">
        <f t="shared" si="67"/>
        <v>1</v>
      </c>
      <c r="T174" s="46" t="str">
        <f t="shared" si="53"/>
        <v>Southbound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4"/>
        <v>https://d0f6bd738d7f1b3e5a7ca70fe4ff75f0.us-east-1.aws.found.io/app/kibana#/discover/Steve-Slow-Train-Analysis-(2080s-and-2083s)?_g=(refreshInterval:(display:Off,pause:!f,section:0,value:0),time:(from:'2017-04-06T10:35:22-0600',mode:absolute,to:'2017-04-06T12:54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4" s="183" t="str">
        <f t="shared" si="55"/>
        <v>N</v>
      </c>
      <c r="X174" s="183">
        <f t="shared" si="69"/>
        <v>1</v>
      </c>
      <c r="Y174" s="62">
        <f t="shared" si="56"/>
        <v>5.8648999999999996</v>
      </c>
      <c r="Z174" s="62">
        <f t="shared" si="68"/>
        <v>6.7500000000000004E-2</v>
      </c>
      <c r="AA174" s="62">
        <f t="shared" si="57"/>
        <v>5.7973999999999997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8"/>
        <v>0818-06</v>
      </c>
      <c r="AE174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174" s="82" t="str">
        <f t="shared" si="60"/>
        <v>"C:\Program Files (x86)\AstroGrep\AstroGrep.exe" /e /r /s /spath="%USERPROFILE%\AppData\Local\Temp\OnboardLogs" /stypes="app*4001*20170406*" /stext=" 17:.+((SYSTEM_STATE.+slice.+state.+changed )|(ment ac)|(multiple cpu faults)|(system.+state.+changed )|(\[timeout)|(PRM\|1\|D)|(kpr)|(kdp)|(\|lc)|(penalty))"</v>
      </c>
      <c r="AG174" s="1" t="str">
        <f t="shared" si="61"/>
        <v>NW</v>
      </c>
      <c r="AH174" s="86" t="str">
        <f t="shared" si="62"/>
        <v>"%USERPROFILE%\Documents\GitHub\eaglep3\Utilities\RefineRTDCRunTimes.py" --tripid 818-06 --locoid 4001 --swversion DE.1.0.9.0 --startMP 300:58649 --initTime 2017-04-06T11:35:22 --startdatetime 2017-04-06T11:38:01 --delay 1 --endMP 204:675 --enddatetime 2017-04-06T11:54:26 --enforcementcount 0 &gt;&gt;C:\Users\stu\Documents\GitHub\eaglep3-reporting\EC\2017-04-06-refined-times.txt</v>
      </c>
      <c r="AI174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{"issue":{"subject":"","project_id":79,"tracker_id":40,"status_id":1,"priority_id":2,"assigned_to_id":23,"start_date":"2017-04-06","description":"","custom_fields":[{"id":1,"name":"Subdivision","value":"NW"},{"id":4,"name":"Milepost","value":"0.0675"},{"id":17,"name":"Train ID","value":"818-06"},{"id":16,"name":"Locomotive ID","value":"4001"},{"id":130,"name":"Impact","value":""},{"id":150,"name":"Time of Event (Mountain Time)","value":"11:54:26"},{"id":151,"name":"Denver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64"/>
        <v>start /low /b %USERPROFILE%\Documents\GitHub\eaglep3\Utilities\DownloadLogsFromS3.py --loco 4001 --day 2017-04-06</v>
      </c>
      <c r="AN174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17:54:26"},{"id":29,"name":"Sharepoint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3" t="s">
        <v>637</v>
      </c>
      <c r="B175" s="7">
        <v>4002</v>
      </c>
      <c r="C175" s="21" t="s">
        <v>216</v>
      </c>
      <c r="D175" s="21" t="s">
        <v>608</v>
      </c>
      <c r="E175" s="13">
        <v>42831.506064814814</v>
      </c>
      <c r="F175" s="13">
        <v>42831.514826388891</v>
      </c>
      <c r="G175" s="7">
        <v>1</v>
      </c>
      <c r="H175" s="21" t="s">
        <v>985</v>
      </c>
      <c r="I175" s="13">
        <v>42831.524351851855</v>
      </c>
      <c r="J175" s="7">
        <v>0</v>
      </c>
      <c r="K175" s="97" t="str">
        <f t="shared" si="51"/>
        <v>4001/4002</v>
      </c>
      <c r="L175" s="21" t="str">
        <f>VLOOKUP(A175,'Trips&amp;Operators'!$C$1:$G$99999,5,FALSE)</f>
        <v>LOZA FIDEL</v>
      </c>
      <c r="M175" s="6">
        <f t="shared" si="52"/>
        <v>9.5254629632108845E-3</v>
      </c>
      <c r="N175" s="7">
        <f t="shared" si="66"/>
        <v>13.716666667023674</v>
      </c>
      <c r="O175" s="7"/>
      <c r="P175" s="7"/>
      <c r="Q175" s="22"/>
      <c r="R175" s="22"/>
      <c r="S175" s="31">
        <f t="shared" si="67"/>
        <v>1</v>
      </c>
      <c r="T175" s="46" t="str">
        <f t="shared" si="53"/>
        <v>NorthBound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4"/>
        <v>https://d0f6bd738d7f1b3e5a7ca70fe4ff75f0.us-east-1.aws.found.io/app/kibana#/discover/Steve-Slow-Train-Analysis-(2080s-and-2083s)?_g=(refreshInterval:(display:Off,pause:!f,section:0,value:0),time:(from:'2017-04-06T11:08:44-0600',mode:absolute,to:'2017-04-06T13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5" s="183" t="str">
        <f t="shared" si="55"/>
        <v>N</v>
      </c>
      <c r="X175" s="183">
        <f t="shared" si="69"/>
        <v>1</v>
      </c>
      <c r="Y175" s="62">
        <f t="shared" si="56"/>
        <v>9.7799999999999998E-2</v>
      </c>
      <c r="Z175" s="62">
        <f t="shared" si="68"/>
        <v>5.8954000000000004</v>
      </c>
      <c r="AA175" s="62">
        <f t="shared" si="57"/>
        <v>5.7976000000000001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8"/>
        <v>0819-06</v>
      </c>
      <c r="AE175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175" s="82" t="str">
        <f t="shared" si="60"/>
        <v>"C:\Program Files (x86)\AstroGrep\AstroGrep.exe" /e /r /s /spath="%USERPROFILE%\AppData\Local\Temp\OnboardLogs" /stypes="app*4002*20170406*" /stext=" 18:.+((SYSTEM_STATE.+slice.+state.+changed )|(ment ac)|(multiple cpu faults)|(system.+state.+changed )|(\[timeout)|(PRM\|1\|D)|(kpr)|(kdp)|(\|lc)|(penalty))"</v>
      </c>
      <c r="AG175" s="1" t="str">
        <f t="shared" si="61"/>
        <v>NW</v>
      </c>
      <c r="AH175" s="86" t="str">
        <f t="shared" si="62"/>
        <v>"%USERPROFILE%\Documents\GitHub\eaglep3\Utilities\RefineRTDCRunTimes.py" --tripid 819-06 --locoid 4002 --swversion DE.1.0.9.0 --startMP 204:978 --initTime 2017-04-06T12:08:44 --startdatetime 2017-04-06T12:21:21 --delay 1 --endMP 300:58954 --enddatetime 2017-04-06T12:35:04 --enforcementcount 0 &gt;&gt;C:\Users\stu\Documents\GitHub\eaglep3-reporting\EC\2017-04-06-refined-times.txt</v>
      </c>
      <c r="AI175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{"issue":{"subject":"","project_id":79,"tracker_id":40,"status_id":1,"priority_id":2,"assigned_to_id":23,"start_date":"2017-04-06","description":"","custom_fields":[{"id":1,"name":"Subdivision","value":"NW"},{"id":4,"name":"Milepost","value":"5.8954"},{"id":17,"name":"Train ID","value":"819-06"},{"id":16,"name":"Locomotive ID","value":"4002"},{"id":130,"name":"Impact","value":""},{"id":150,"name":"Time of Event (Mountain Time)","value":"12:35:04"},{"id":151,"name":"Denver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64"/>
        <v>start /low /b %USERPROFILE%\Documents\GitHub\eaglep3\Utilities\DownloadLogsFromS3.py --loco 4002 --day 2017-04-06</v>
      </c>
      <c r="AN175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18:35:04"},{"id":29,"name":"Sharepoint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s="20" customFormat="1" x14ac:dyDescent="0.25">
      <c r="A176" s="33" t="s">
        <v>749</v>
      </c>
      <c r="B176" s="7">
        <v>4001</v>
      </c>
      <c r="C176" s="21" t="s">
        <v>216</v>
      </c>
      <c r="D176" s="21" t="s">
        <v>988</v>
      </c>
      <c r="E176" s="13">
        <v>42831.525648148148</v>
      </c>
      <c r="F176" s="13">
        <v>42831.527372685188</v>
      </c>
      <c r="G176" s="7">
        <v>1</v>
      </c>
      <c r="H176" s="21" t="s">
        <v>609</v>
      </c>
      <c r="I176" s="13">
        <v>42831.540590277778</v>
      </c>
      <c r="J176" s="7">
        <v>0</v>
      </c>
      <c r="K176" s="97" t="str">
        <f t="shared" si="51"/>
        <v>4001/4002</v>
      </c>
      <c r="L176" s="21" t="str">
        <f>VLOOKUP(A176,'Trips&amp;Operators'!$C$1:$G$99999,5,FALSE)</f>
        <v>LOZA FIDEL</v>
      </c>
      <c r="M176" s="6">
        <f t="shared" si="52"/>
        <v>1.321759259008104E-2</v>
      </c>
      <c r="N176" s="7">
        <f t="shared" si="66"/>
        <v>19.033333329716697</v>
      </c>
      <c r="O176" s="7"/>
      <c r="P176" s="7"/>
      <c r="Q176" s="22"/>
      <c r="R176" s="22"/>
      <c r="S176" s="31">
        <f t="shared" si="67"/>
        <v>1</v>
      </c>
      <c r="T176" s="46" t="str">
        <f t="shared" si="53"/>
        <v>Southbound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4"/>
        <v>https://d0f6bd738d7f1b3e5a7ca70fe4ff75f0.us-east-1.aws.found.io/app/kibana#/discover/Steve-Slow-Train-Analysis-(2080s-and-2083s)?_g=(refreshInterval:(display:Off,pause:!f,section:0,value:0),time:(from:'2017-04-06T11:36:56-0600',mode:absolute,to:'2017-04-06T13:58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6" s="183" t="str">
        <f t="shared" si="55"/>
        <v>N</v>
      </c>
      <c r="X176" s="183">
        <f t="shared" si="69"/>
        <v>1</v>
      </c>
      <c r="Y176" s="62">
        <f t="shared" si="56"/>
        <v>5.8630000000000004</v>
      </c>
      <c r="Z176" s="62">
        <f t="shared" si="68"/>
        <v>6.9099999999999995E-2</v>
      </c>
      <c r="AA176" s="62">
        <f t="shared" si="57"/>
        <v>5.7939000000000007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8"/>
        <v>0820-06</v>
      </c>
      <c r="AE176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176" s="82" t="str">
        <f t="shared" si="60"/>
        <v>"C:\Program Files (x86)\AstroGrep\AstroGrep.exe" /e /r /s /spath="%USERPROFILE%\AppData\Local\Temp\OnboardLogs" /stypes="app*4001*20170406*" /stext=" 18:.+((SYSTEM_STATE.+slice.+state.+changed )|(ment ac)|(multiple cpu faults)|(system.+state.+changed )|(\[timeout)|(PRM\|1\|D)|(kpr)|(kdp)|(\|lc)|(penalty))"</v>
      </c>
      <c r="AG176" s="1" t="str">
        <f t="shared" si="61"/>
        <v>NW</v>
      </c>
      <c r="AH176" s="86" t="str">
        <f t="shared" si="62"/>
        <v>"%USERPROFILE%\Documents\GitHub\eaglep3\Utilities\RefineRTDCRunTimes.py" --tripid 820-06 --locoid 4001 --swversion DE.1.0.9.0 --startMP 300:58630 --initTime 2017-04-06T12:36:56 --startdatetime 2017-04-06T12:39:25 --delay 1 --endMP 204:691 --enddatetime 2017-04-06T12:58:27 --enforcementcount 0 &gt;&gt;C:\Users\stu\Documents\GitHub\eaglep3-reporting\EC\2017-04-06-refined-times.txt</v>
      </c>
      <c r="AI176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{"issue":{"subject":"","project_id":79,"tracker_id":40,"status_id":1,"priority_id":2,"assigned_to_id":23,"start_date":"2017-04-06","description":"","custom_fields":[{"id":1,"name":"Subdivision","value":"NW"},{"id":4,"name":"Milepost","value":"0.0691"},{"id":17,"name":"Train ID","value":"820-06"},{"id":16,"name":"Locomotive ID","value":"4001"},{"id":130,"name":"Impact","value":""},{"id":150,"name":"Time of Event (Mountain Time)","value":"12:58:27"},{"id":151,"name":"Denver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8"/>
      <c r="AL176" s="48"/>
      <c r="AM176" s="150" t="str">
        <f t="shared" si="64"/>
        <v>start /low /b %USERPROFILE%\Documents\GitHub\eaglep3\Utilities\DownloadLogsFromS3.py --loco 4001 --day 2017-04-06</v>
      </c>
      <c r="AN176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18:58:27"},{"id":29,"name":"Sharepoint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752</v>
      </c>
      <c r="B177" s="7">
        <v>4002</v>
      </c>
      <c r="C177" s="21" t="s">
        <v>216</v>
      </c>
      <c r="D177" s="21" t="s">
        <v>613</v>
      </c>
      <c r="E177" s="13">
        <v>42831.544571759259</v>
      </c>
      <c r="F177" s="13">
        <v>42831.556435185186</v>
      </c>
      <c r="G177" s="7">
        <v>1</v>
      </c>
      <c r="H177" s="21" t="s">
        <v>607</v>
      </c>
      <c r="I177" s="13">
        <v>42831.566412037035</v>
      </c>
      <c r="J177" s="7">
        <v>0</v>
      </c>
      <c r="K177" s="97" t="str">
        <f t="shared" si="51"/>
        <v>4001/4002</v>
      </c>
      <c r="L177" s="21" t="str">
        <f>VLOOKUP(A177,'Trips&amp;Operators'!$C$1:$G$99999,5,FALSE)</f>
        <v>SULLIVAN BRANDON</v>
      </c>
      <c r="M177" s="6">
        <f t="shared" si="52"/>
        <v>9.9768518484779634E-3</v>
      </c>
      <c r="N177" s="7">
        <f t="shared" si="66"/>
        <v>14.366666661808267</v>
      </c>
      <c r="O177" s="7"/>
      <c r="P177" s="7"/>
      <c r="Q177" s="22"/>
      <c r="R177" s="22"/>
      <c r="S177" s="31">
        <f t="shared" si="67"/>
        <v>1</v>
      </c>
      <c r="T177" s="46" t="str">
        <f t="shared" si="53"/>
        <v>NorthBound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4"/>
        <v>https://d0f6bd738d7f1b3e5a7ca70fe4ff75f0.us-east-1.aws.found.io/app/kibana#/discover/Steve-Slow-Train-Analysis-(2080s-and-2083s)?_g=(refreshInterval:(display:Off,pause:!f,section:0,value:0),time:(from:'2017-04-06T12:04:11-0600',mode:absolute,to:'2017-04-06T14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7" s="183" t="str">
        <f t="shared" si="55"/>
        <v>N</v>
      </c>
      <c r="X177" s="183">
        <f t="shared" si="69"/>
        <v>1</v>
      </c>
      <c r="Y177" s="62">
        <f t="shared" si="56"/>
        <v>9.8799999999999999E-2</v>
      </c>
      <c r="Z177" s="62">
        <f t="shared" si="68"/>
        <v>5.8948</v>
      </c>
      <c r="AA177" s="62">
        <f t="shared" si="57"/>
        <v>5.7960000000000003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8"/>
        <v>0821-06</v>
      </c>
      <c r="AE177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177" s="82" t="str">
        <f t="shared" si="60"/>
        <v>"C:\Program Files (x86)\AstroGrep\AstroGrep.exe" /e /r /s /spath="%USERPROFILE%\AppData\Local\Temp\OnboardLogs" /stypes="app*4002*20170406*" /stext=" 19:.+((SYSTEM_STATE.+slice.+state.+changed )|(ment ac)|(multiple cpu faults)|(system.+state.+changed )|(\[timeout)|(PRM\|1\|D)|(kpr)|(kdp)|(\|lc)|(penalty))"</v>
      </c>
      <c r="AG177" s="1" t="str">
        <f t="shared" si="61"/>
        <v>NW</v>
      </c>
      <c r="AH177" s="86" t="str">
        <f t="shared" si="62"/>
        <v>"%USERPROFILE%\Documents\GitHub\eaglep3\Utilities\RefineRTDCRunTimes.py" --tripid 821-06 --locoid 4002 --swversion DE.1.0.9.0 --startMP 204:988 --initTime 2017-04-06T13:04:11 --startdatetime 2017-04-06T13:21:16 --delay 1 --endMP 300:58948 --enddatetime 2017-04-06T13:35:38 --enforcementcount 0 &gt;&gt;C:\Users\stu\Documents\GitHub\eaglep3-reporting\EC\2017-04-06-refined-times.txt</v>
      </c>
      <c r="AI177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{"issue":{"subject":"","project_id":79,"tracker_id":40,"status_id":1,"priority_id":2,"assigned_to_id":23,"start_date":"2017-04-06","description":"","custom_fields":[{"id":1,"name":"Subdivision","value":"NW"},{"id":4,"name":"Milepost","value":"5.8948"},{"id":17,"name":"Train ID","value":"821-06"},{"id":16,"name":"Locomotive ID","value":"4002"},{"id":130,"name":"Impact","value":""},{"id":150,"name":"Time of Event (Mountain Time)","value":"13:35:38"},{"id":151,"name":"Denver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64"/>
        <v>start /low /b %USERPROFILE%\Documents\GitHub\eaglep3\Utilities\DownloadLogsFromS3.py --loco 4002 --day 2017-04-06</v>
      </c>
      <c r="AN177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19:35:38"},{"id":29,"name":"Sharepoint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758</v>
      </c>
      <c r="B178" s="7">
        <v>4001</v>
      </c>
      <c r="C178" s="21" t="s">
        <v>216</v>
      </c>
      <c r="D178" s="21" t="s">
        <v>523</v>
      </c>
      <c r="E178" s="13">
        <v>42831.567152777781</v>
      </c>
      <c r="F178" s="13">
        <v>42831.569050925929</v>
      </c>
      <c r="G178" s="7">
        <v>1</v>
      </c>
      <c r="H178" s="21" t="s">
        <v>989</v>
      </c>
      <c r="I178" s="13">
        <v>42831.580509259256</v>
      </c>
      <c r="J178" s="7">
        <v>0</v>
      </c>
      <c r="K178" s="97" t="str">
        <f t="shared" si="51"/>
        <v>4001/4002</v>
      </c>
      <c r="L178" s="21" t="str">
        <f>VLOOKUP(A178,'Trips&amp;Operators'!$C$1:$G$99999,5,FALSE)</f>
        <v>SULLIVAN BRANDON</v>
      </c>
      <c r="M178" s="6">
        <f t="shared" si="52"/>
        <v>1.1458333327027503E-2</v>
      </c>
      <c r="N178" s="7">
        <f t="shared" ref="N178:N209" si="70">24*60*SUM($M178:$M178)</f>
        <v>16.499999990919605</v>
      </c>
      <c r="O178" s="7"/>
      <c r="P178" s="7"/>
      <c r="Q178" s="22"/>
      <c r="R178" s="22"/>
      <c r="S178" s="31">
        <f t="shared" si="67"/>
        <v>1</v>
      </c>
      <c r="T178" s="46" t="str">
        <f t="shared" si="53"/>
        <v>Southbound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4"/>
        <v>https://d0f6bd738d7f1b3e5a7ca70fe4ff75f0.us-east-1.aws.found.io/app/kibana#/discover/Steve-Slow-Train-Analysis-(2080s-and-2083s)?_g=(refreshInterval:(display:Off,pause:!f,section:0,value:0),time:(from:'2017-04-06T12:36:42-0600',mode:absolute,to:'2017-04-06T14:55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78" s="183" t="str">
        <f t="shared" si="55"/>
        <v>N</v>
      </c>
      <c r="X178" s="183">
        <f t="shared" si="69"/>
        <v>1</v>
      </c>
      <c r="Y178" s="62">
        <f t="shared" si="56"/>
        <v>5.8638000000000003</v>
      </c>
      <c r="Z178" s="62">
        <f t="shared" si="68"/>
        <v>7.0599999999999996E-2</v>
      </c>
      <c r="AA178" s="62">
        <f t="shared" si="57"/>
        <v>5.7932000000000006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8"/>
        <v>0822-06</v>
      </c>
      <c r="AE178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178" s="82" t="str">
        <f t="shared" si="60"/>
        <v>"C:\Program Files (x86)\AstroGrep\AstroGrep.exe" /e /r /s /spath="%USERPROFILE%\AppData\Local\Temp\OnboardLogs" /stypes="app*4001*20170406*" /stext=" 19:.+((SYSTEM_STATE.+slice.+state.+changed )|(ment ac)|(multiple cpu faults)|(system.+state.+changed )|(\[timeout)|(PRM\|1\|D)|(kpr)|(kdp)|(\|lc)|(penalty))"</v>
      </c>
      <c r="AG178" s="1" t="str">
        <f t="shared" si="61"/>
        <v>NW</v>
      </c>
      <c r="AH178" s="86" t="str">
        <f t="shared" si="62"/>
        <v>"%USERPROFILE%\Documents\GitHub\eaglep3\Utilities\RefineRTDCRunTimes.py" --tripid 822-06 --locoid 4001 --swversion DE.1.0.9.0 --startMP 300:58638 --initTime 2017-04-06T13:36:42 --startdatetime 2017-04-06T13:39:26 --delay 1 --endMP 204:706 --enddatetime 2017-04-06T13:55:56 --enforcementcount 0 &gt;&gt;C:\Users\stu\Documents\GitHub\eaglep3-reporting\EC\2017-04-06-refined-times.txt</v>
      </c>
      <c r="AI178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{"issue":{"subject":"","project_id":79,"tracker_id":40,"status_id":1,"priority_id":2,"assigned_to_id":23,"start_date":"2017-04-06","description":"","custom_fields":[{"id":1,"name":"Subdivision","value":"NW"},{"id":4,"name":"Milepost","value":"0.0706"},{"id":17,"name":"Train ID","value":"822-06"},{"id":16,"name":"Locomotive ID","value":"4001"},{"id":130,"name":"Impact","value":""},{"id":150,"name":"Time of Event (Mountain Time)","value":"13:55:56"},{"id":151,"name":"Denver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64"/>
        <v>start /low /b %USERPROFILE%\Documents\GitHub\eaglep3\Utilities\DownloadLogsFromS3.py --loco 4001 --day 2017-04-06</v>
      </c>
      <c r="AN178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19:55:56"},{"id":29,"name":"Sharepoint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764</v>
      </c>
      <c r="B179" s="7">
        <v>4002</v>
      </c>
      <c r="C179" s="21" t="s">
        <v>216</v>
      </c>
      <c r="D179" s="21" t="s">
        <v>990</v>
      </c>
      <c r="E179" s="13">
        <v>42831.59170138889</v>
      </c>
      <c r="F179" s="13">
        <v>42831.598101851851</v>
      </c>
      <c r="G179" s="7">
        <v>1</v>
      </c>
      <c r="H179" s="21" t="s">
        <v>606</v>
      </c>
      <c r="I179" s="13">
        <v>42831.608564814815</v>
      </c>
      <c r="J179" s="7">
        <v>0</v>
      </c>
      <c r="K179" s="97" t="str">
        <f t="shared" si="51"/>
        <v>4001/4002</v>
      </c>
      <c r="L179" s="21" t="str">
        <f>VLOOKUP(A179,'Trips&amp;Operators'!$C$1:$G$99999,5,FALSE)</f>
        <v>SULLIVAN BRANDON</v>
      </c>
      <c r="M179" s="6">
        <f t="shared" si="52"/>
        <v>1.0462962964083999E-2</v>
      </c>
      <c r="N179" s="7">
        <f t="shared" si="70"/>
        <v>15.066666668280959</v>
      </c>
      <c r="O179" s="7"/>
      <c r="P179" s="7"/>
      <c r="Q179" s="22"/>
      <c r="R179" s="22"/>
      <c r="S179" s="31">
        <f t="shared" si="67"/>
        <v>1</v>
      </c>
      <c r="T179" s="46" t="str">
        <f t="shared" si="53"/>
        <v>NorthBound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4"/>
        <v>https://d0f6bd738d7f1b3e5a7ca70fe4ff75f0.us-east-1.aws.found.io/app/kibana#/discover/Steve-Slow-Train-Analysis-(2080s-and-2083s)?_g=(refreshInterval:(display:Off,pause:!f,section:0,value:0),time:(from:'2017-04-06T13:12:03-0600',mode:absolute,to:'2017-04-06T15:36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79" s="183" t="str">
        <f t="shared" si="55"/>
        <v>N</v>
      </c>
      <c r="X179" s="183">
        <f t="shared" si="69"/>
        <v>1</v>
      </c>
      <c r="Y179" s="62">
        <f t="shared" si="56"/>
        <v>9.6000000000000002E-2</v>
      </c>
      <c r="Z179" s="62">
        <f t="shared" si="68"/>
        <v>5.8967000000000001</v>
      </c>
      <c r="AA179" s="62">
        <f t="shared" si="57"/>
        <v>5.8007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8"/>
        <v>0823-06</v>
      </c>
      <c r="AE179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179" s="82" t="str">
        <f t="shared" si="60"/>
        <v>"C:\Program Files (x86)\AstroGrep\AstroGrep.exe" /e /r /s /spath="%USERPROFILE%\AppData\Local\Temp\OnboardLogs" /stypes="app*4002*20170406*" /stext=" 20:.+((SYSTEM_STATE.+slice.+state.+changed )|(ment ac)|(multiple cpu faults)|(system.+state.+changed )|(\[timeout)|(PRM\|1\|D)|(kpr)|(kdp)|(\|lc)|(penalty))"</v>
      </c>
      <c r="AG179" s="1" t="str">
        <f t="shared" si="61"/>
        <v>NW</v>
      </c>
      <c r="AH179" s="86" t="str">
        <f t="shared" si="62"/>
        <v>"%USERPROFILE%\Documents\GitHub\eaglep3\Utilities\RefineRTDCRunTimes.py" --tripid 823-06 --locoid 4002 --swversion DE.1.0.9.0 --startMP 204:960 --initTime 2017-04-06T14:12:03 --startdatetime 2017-04-06T14:21:16 --delay 1 --endMP 300:58967 --enddatetime 2017-04-06T14:36:20 --enforcementcount 0 &gt;&gt;C:\Users\stu\Documents\GitHub\eaglep3-reporting\EC\2017-04-06-refined-times.txt</v>
      </c>
      <c r="AI179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{"issue":{"subject":"","project_id":79,"tracker_id":40,"status_id":1,"priority_id":2,"assigned_to_id":23,"start_date":"2017-04-06","description":"","custom_fields":[{"id":1,"name":"Subdivision","value":"NW"},{"id":4,"name":"Milepost","value":"5.8967"},{"id":17,"name":"Train ID","value":"823-06"},{"id":16,"name":"Locomotive ID","value":"4002"},{"id":130,"name":"Impact","value":""},{"id":150,"name":"Time of Event (Mountain Time)","value":"14:36:20"},{"id":151,"name":"Denver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64"/>
        <v>start /low /b %USERPROFILE%\Documents\GitHub\eaglep3\Utilities\DownloadLogsFromS3.py --loco 4002 --day 2017-04-06</v>
      </c>
      <c r="AN179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20:36:20"},{"id":29,"name":"Sharepoint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768</v>
      </c>
      <c r="B180" s="7">
        <v>4001</v>
      </c>
      <c r="C180" s="21" t="s">
        <v>216</v>
      </c>
      <c r="D180" s="21" t="s">
        <v>980</v>
      </c>
      <c r="E180" s="13">
        <v>42831.609398148146</v>
      </c>
      <c r="F180" s="13">
        <v>42831.611122685186</v>
      </c>
      <c r="G180" s="7">
        <v>1</v>
      </c>
      <c r="H180" s="21" t="s">
        <v>991</v>
      </c>
      <c r="I180" s="13">
        <v>42831.621782407405</v>
      </c>
      <c r="J180" s="7">
        <v>0</v>
      </c>
      <c r="K180" s="97" t="str">
        <f t="shared" si="51"/>
        <v>4001/4002</v>
      </c>
      <c r="L180" s="21" t="str">
        <f>VLOOKUP(A180,'Trips&amp;Operators'!$C$1:$G$99999,5,FALSE)</f>
        <v>SULLIVAN BRANDON</v>
      </c>
      <c r="M180" s="6">
        <f t="shared" si="52"/>
        <v>1.0659722218406387E-2</v>
      </c>
      <c r="N180" s="7">
        <f t="shared" si="70"/>
        <v>15.349999994505197</v>
      </c>
      <c r="O180" s="7"/>
      <c r="P180" s="7"/>
      <c r="Q180" s="22"/>
      <c r="R180" s="22"/>
      <c r="S180" s="31">
        <f t="shared" si="67"/>
        <v>1</v>
      </c>
      <c r="T180" s="46" t="str">
        <f t="shared" si="53"/>
        <v>Southbound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4"/>
        <v>https://d0f6bd738d7f1b3e5a7ca70fe4ff75f0.us-east-1.aws.found.io/app/kibana#/discover/Steve-Slow-Train-Analysis-(2080s-and-2083s)?_g=(refreshInterval:(display:Off,pause:!f,section:0,value:0),time:(from:'2017-04-06T13:37:32-0600',mode:absolute,to:'2017-04-06T15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0" s="183" t="str">
        <f t="shared" si="55"/>
        <v>N</v>
      </c>
      <c r="X180" s="183">
        <f t="shared" si="69"/>
        <v>1</v>
      </c>
      <c r="Y180" s="62">
        <f t="shared" si="56"/>
        <v>5.8651</v>
      </c>
      <c r="Z180" s="62">
        <f t="shared" si="68"/>
        <v>6.9599999999999995E-2</v>
      </c>
      <c r="AA180" s="62">
        <f t="shared" si="57"/>
        <v>5.7954999999999997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8"/>
        <v>0824-06</v>
      </c>
      <c r="AE180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180" s="82" t="str">
        <f t="shared" si="60"/>
        <v>"C:\Program Files (x86)\AstroGrep\AstroGrep.exe" /e /r /s /spath="%USERPROFILE%\AppData\Local\Temp\OnboardLogs" /stypes="app*4001*20170406*" /stext=" 20:.+((SYSTEM_STATE.+slice.+state.+changed )|(ment ac)|(multiple cpu faults)|(system.+state.+changed )|(\[timeout)|(PRM\|1\|D)|(kpr)|(kdp)|(\|lc)|(penalty))"</v>
      </c>
      <c r="AG180" s="1" t="str">
        <f t="shared" si="61"/>
        <v>NW</v>
      </c>
      <c r="AH180" s="86" t="str">
        <f t="shared" si="62"/>
        <v>"%USERPROFILE%\Documents\GitHub\eaglep3\Utilities\RefineRTDCRunTimes.py" --tripid 824-06 --locoid 4001 --swversion DE.1.0.9.0 --startMP 300:58651 --initTime 2017-04-06T14:37:32 --startdatetime 2017-04-06T14:40:01 --delay 1 --endMP 204:696 --enddatetime 2017-04-06T14:55:22 --enforcementcount 0 &gt;&gt;C:\Users\stu\Documents\GitHub\eaglep3-reporting\EC\2017-04-06-refined-times.txt</v>
      </c>
      <c r="AI180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{"issue":{"subject":"","project_id":79,"tracker_id":40,"status_id":1,"priority_id":2,"assigned_to_id":23,"start_date":"2017-04-06","description":"","custom_fields":[{"id":1,"name":"Subdivision","value":"NW"},{"id":4,"name":"Milepost","value":"0.0696"},{"id":17,"name":"Train ID","value":"824-06"},{"id":16,"name":"Locomotive ID","value":"4001"},{"id":130,"name":"Impact","value":""},{"id":150,"name":"Time of Event (Mountain Time)","value":"14:55:22"},{"id":151,"name":"Denver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64"/>
        <v>start /low /b %USERPROFILE%\Documents\GitHub\eaglep3\Utilities\DownloadLogsFromS3.py --loco 4001 --day 2017-04-06</v>
      </c>
      <c r="AN180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20:55:22"},{"id":29,"name":"Sharepoint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642</v>
      </c>
      <c r="B181" s="7">
        <v>4002</v>
      </c>
      <c r="C181" s="21" t="s">
        <v>216</v>
      </c>
      <c r="D181" s="21" t="s">
        <v>992</v>
      </c>
      <c r="E181" s="13">
        <v>42831.632847222223</v>
      </c>
      <c r="F181" s="13">
        <v>42831.639768518522</v>
      </c>
      <c r="G181" s="7">
        <v>1</v>
      </c>
      <c r="H181" s="21" t="s">
        <v>993</v>
      </c>
      <c r="I181" s="13">
        <v>42831.649664351855</v>
      </c>
      <c r="J181" s="7">
        <v>0</v>
      </c>
      <c r="K181" s="97" t="str">
        <f t="shared" si="51"/>
        <v>4001/4002</v>
      </c>
      <c r="L181" s="21" t="str">
        <f>VLOOKUP(A181,'Trips&amp;Operators'!$C$1:$G$99999,5,FALSE)</f>
        <v>SULLIVAN BRANDON</v>
      </c>
      <c r="M181" s="6">
        <f t="shared" si="52"/>
        <v>9.8958333328482695E-3</v>
      </c>
      <c r="N181" s="7">
        <f t="shared" si="70"/>
        <v>14.249999999301508</v>
      </c>
      <c r="O181" s="7"/>
      <c r="P181" s="7"/>
      <c r="Q181" s="22"/>
      <c r="R181" s="22"/>
      <c r="S181" s="31">
        <f t="shared" si="67"/>
        <v>1</v>
      </c>
      <c r="T181" s="46" t="str">
        <f t="shared" si="53"/>
        <v>NorthBound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4"/>
        <v>https://d0f6bd738d7f1b3e5a7ca70fe4ff75f0.us-east-1.aws.found.io/app/kibana#/discover/Steve-Slow-Train-Analysis-(2080s-and-2083s)?_g=(refreshInterval:(display:Off,pause:!f,section:0,value:0),time:(from:'2017-04-06T14:11:18-0600',mode:absolute,to:'2017-04-06T16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1" s="183" t="str">
        <f t="shared" si="55"/>
        <v>N</v>
      </c>
      <c r="X181" s="183">
        <f t="shared" si="69"/>
        <v>1</v>
      </c>
      <c r="Y181" s="62">
        <f t="shared" si="56"/>
        <v>9.8599999999999993E-2</v>
      </c>
      <c r="Z181" s="62">
        <f t="shared" si="68"/>
        <v>5.8945999999999996</v>
      </c>
      <c r="AA181" s="62">
        <f t="shared" si="57"/>
        <v>5.7959999999999994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8"/>
        <v>0825-06</v>
      </c>
      <c r="AE181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181" s="82" t="str">
        <f t="shared" si="60"/>
        <v>"C:\Program Files (x86)\AstroGrep\AstroGrep.exe" /e /r /s /spath="%USERPROFILE%\AppData\Local\Temp\OnboardLogs" /stypes="app*4002*20170406*" /stext=" 21:.+((SYSTEM_STATE.+slice.+state.+changed )|(ment ac)|(multiple cpu faults)|(system.+state.+changed )|(\[timeout)|(PRM\|1\|D)|(kpr)|(kdp)|(\|lc)|(penalty))"</v>
      </c>
      <c r="AG181" s="1" t="str">
        <f t="shared" si="61"/>
        <v>NW</v>
      </c>
      <c r="AH181" s="86" t="str">
        <f t="shared" si="62"/>
        <v>"%USERPROFILE%\Documents\GitHub\eaglep3\Utilities\RefineRTDCRunTimes.py" --tripid 825-06 --locoid 4002 --swversion DE.1.0.9.0 --startMP 204:986 --initTime 2017-04-06T15:11:18 --startdatetime 2017-04-06T15:21:16 --delay 1 --endMP 300:58946 --enddatetime 2017-04-06T15:35:31 --enforcementcount 0 &gt;&gt;C:\Users\stu\Documents\GitHub\eaglep3-reporting\EC\2017-04-06-refined-times.txt</v>
      </c>
      <c r="AI181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{"issue":{"subject":"","project_id":79,"tracker_id":40,"status_id":1,"priority_id":2,"assigned_to_id":23,"start_date":"2017-04-06","description":"","custom_fields":[{"id":1,"name":"Subdivision","value":"NW"},{"id":4,"name":"Milepost","value":"5.8946"},{"id":17,"name":"Train ID","value":"825-06"},{"id":16,"name":"Locomotive ID","value":"4002"},{"id":130,"name":"Impact","value":""},{"id":150,"name":"Time of Event (Mountain Time)","value":"15:35:31"},{"id":151,"name":"Denver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64"/>
        <v>start /low /b %USERPROFILE%\Documents\GitHub\eaglep3\Utilities\DownloadLogsFromS3.py --loco 4002 --day 2017-04-06</v>
      </c>
      <c r="AN181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21:35:31"},{"id":29,"name":"Sharepoint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778</v>
      </c>
      <c r="B182" s="7">
        <v>4001</v>
      </c>
      <c r="C182" s="21" t="s">
        <v>216</v>
      </c>
      <c r="D182" s="21" t="s">
        <v>994</v>
      </c>
      <c r="E182" s="13">
        <v>42831.650381944448</v>
      </c>
      <c r="F182" s="13">
        <v>42831.651828703703</v>
      </c>
      <c r="G182" s="7">
        <v>1</v>
      </c>
      <c r="H182" s="21" t="s">
        <v>528</v>
      </c>
      <c r="I182" s="13">
        <v>42831.663946759261</v>
      </c>
      <c r="J182" s="7">
        <v>0</v>
      </c>
      <c r="K182" s="97" t="str">
        <f t="shared" si="51"/>
        <v>4001/4002</v>
      </c>
      <c r="L182" s="21" t="str">
        <f>VLOOKUP(A182,'Trips&amp;Operators'!$C$1:$G$99999,5,FALSE)</f>
        <v>SULLIVAN BRANDON</v>
      </c>
      <c r="M182" s="6">
        <f t="shared" si="52"/>
        <v>1.2118055557948537E-2</v>
      </c>
      <c r="N182" s="7">
        <f t="shared" si="70"/>
        <v>17.450000003445894</v>
      </c>
      <c r="O182" s="7"/>
      <c r="P182" s="7"/>
      <c r="Q182" s="22"/>
      <c r="R182" s="22"/>
      <c r="S182" s="31">
        <f t="shared" si="67"/>
        <v>1</v>
      </c>
      <c r="T182" s="46" t="str">
        <f t="shared" si="53"/>
        <v>Southbound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4"/>
        <v>https://d0f6bd738d7f1b3e5a7ca70fe4ff75f0.us-east-1.aws.found.io/app/kibana#/discover/Steve-Slow-Train-Analysis-(2080s-and-2083s)?_g=(refreshInterval:(display:Off,pause:!f,section:0,value:0),time:(from:'2017-04-06T14:36:33-0600',mode:absolute,to:'2017-04-06T16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2" s="183" t="str">
        <f t="shared" si="55"/>
        <v>N</v>
      </c>
      <c r="X182" s="183">
        <f t="shared" si="69"/>
        <v>1</v>
      </c>
      <c r="Y182" s="62">
        <f t="shared" si="56"/>
        <v>5.8624999999999998</v>
      </c>
      <c r="Z182" s="62">
        <f t="shared" si="68"/>
        <v>6.7100000000000007E-2</v>
      </c>
      <c r="AA182" s="62">
        <f t="shared" si="57"/>
        <v>5.7953999999999999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8"/>
        <v>0826-06</v>
      </c>
      <c r="AE182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182" s="82" t="str">
        <f t="shared" si="60"/>
        <v>"C:\Program Files (x86)\AstroGrep\AstroGrep.exe" /e /r /s /spath="%USERPROFILE%\AppData\Local\Temp\OnboardLogs" /stypes="app*4001*20170406*" /stext=" 21:.+((SYSTEM_STATE.+slice.+state.+changed )|(ment ac)|(multiple cpu faults)|(system.+state.+changed )|(\[timeout)|(PRM\|1\|D)|(kpr)|(kdp)|(\|lc)|(penalty))"</v>
      </c>
      <c r="AG182" s="1" t="str">
        <f t="shared" si="61"/>
        <v>NW</v>
      </c>
      <c r="AH182" s="86" t="str">
        <f t="shared" si="62"/>
        <v>"%USERPROFILE%\Documents\GitHub\eaglep3\Utilities\RefineRTDCRunTimes.py" --tripid 826-06 --locoid 4001 --swversion DE.1.0.9.0 --startMP 300:58625 --initTime 2017-04-06T15:36:33 --startdatetime 2017-04-06T15:38:38 --delay 1 --endMP 204:671 --enddatetime 2017-04-06T15:56:05 --enforcementcount 0 &gt;&gt;C:\Users\stu\Documents\GitHub\eaglep3-reporting\EC\2017-04-06-refined-times.txt</v>
      </c>
      <c r="AI182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{"issue":{"subject":"","project_id":79,"tracker_id":40,"status_id":1,"priority_id":2,"assigned_to_id":23,"start_date":"2017-04-06","description":"","custom_fields":[{"id":1,"name":"Subdivision","value":"NW"},{"id":4,"name":"Milepost","value":"0.0671"},{"id":17,"name":"Train ID","value":"826-06"},{"id":16,"name":"Locomotive ID","value":"4001"},{"id":130,"name":"Impact","value":""},{"id":150,"name":"Time of Event (Mountain Time)","value":"15:56:05"},{"id":151,"name":"Denver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64"/>
        <v>start /low /b %USERPROFILE%\Documents\GitHub\eaglep3\Utilities\DownloadLogsFromS3.py --loco 4001 --day 2017-04-06</v>
      </c>
      <c r="AN182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21:56:05"},{"id":29,"name":"Sharepoint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644</v>
      </c>
      <c r="B183" s="7">
        <v>4020</v>
      </c>
      <c r="C183" s="21" t="s">
        <v>216</v>
      </c>
      <c r="D183" s="21" t="s">
        <v>995</v>
      </c>
      <c r="E183" s="13">
        <v>42831.652638888889</v>
      </c>
      <c r="F183" s="13">
        <v>42831.660775462966</v>
      </c>
      <c r="G183" s="7">
        <v>2</v>
      </c>
      <c r="H183" s="21" t="s">
        <v>996</v>
      </c>
      <c r="I183" s="13">
        <v>42831.671041666668</v>
      </c>
      <c r="J183" s="7">
        <v>0</v>
      </c>
      <c r="K183" s="97" t="str">
        <f t="shared" si="51"/>
        <v>4019/4020</v>
      </c>
      <c r="L183" s="21" t="str">
        <f>VLOOKUP(A183,'Trips&amp;Operators'!$C$1:$G$99999,5,FALSE)</f>
        <v>STORY SAMANTHA</v>
      </c>
      <c r="M183" s="6">
        <f t="shared" si="52"/>
        <v>1.0266203702485655E-2</v>
      </c>
      <c r="N183" s="7">
        <f t="shared" si="70"/>
        <v>14.783333331579342</v>
      </c>
      <c r="O183" s="7"/>
      <c r="P183" s="7"/>
      <c r="Q183" s="22"/>
      <c r="R183" s="22"/>
      <c r="S183" s="31">
        <f t="shared" si="67"/>
        <v>1</v>
      </c>
      <c r="T183" s="46" t="str">
        <f t="shared" si="53"/>
        <v>NorthBound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4"/>
        <v>https://d0f6bd738d7f1b3e5a7ca70fe4ff75f0.us-east-1.aws.found.io/app/kibana#/discover/Steve-Slow-Train-Analysis-(2080s-and-2083s)?_g=(refreshInterval:(display:Off,pause:!f,section:0,value:0),time:(from:'2017-04-06T14:39:48-0600',mode:absolute,to:'2017-04-06T17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3" s="183" t="str">
        <f t="shared" si="55"/>
        <v>N</v>
      </c>
      <c r="X183" s="183">
        <f t="shared" si="69"/>
        <v>1</v>
      </c>
      <c r="Y183" s="62">
        <f t="shared" si="56"/>
        <v>9.6500000000000002E-2</v>
      </c>
      <c r="Z183" s="62">
        <f t="shared" si="68"/>
        <v>5.8992000000000004</v>
      </c>
      <c r="AA183" s="62">
        <f t="shared" si="57"/>
        <v>5.8027000000000006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8"/>
        <v>0827-06</v>
      </c>
      <c r="AE183" s="85" t="str">
        <f t="shared" si="59"/>
        <v>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 &amp; 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</v>
      </c>
      <c r="AF183" s="82" t="str">
        <f t="shared" si="60"/>
        <v>"C:\Program Files (x86)\AstroGrep\AstroGrep.exe" /e /r /s /spath="%USERPROFILE%\AppData\Local\Temp\OnboardLogs" /stypes="app*4020*20170406*" /stext=" 22:.+((SYSTEM_STATE.+slice.+state.+changed )|(ment ac)|(multiple cpu faults)|(system.+state.+changed )|(\[timeout)|(PRM\|1\|D)|(kpr)|(kdp)|(\|lc)|(penalty))"</v>
      </c>
      <c r="AG183" s="1" t="str">
        <f t="shared" si="61"/>
        <v>NW</v>
      </c>
      <c r="AH183" s="86" t="str">
        <f t="shared" si="62"/>
        <v>"%USERPROFILE%\Documents\GitHub\eaglep3\Utilities\RefineRTDCRunTimes.py" --tripid 827-06 --locoid 4020 --swversion DE.1.0.9.0 --startMP 204:965 --initTime 2017-04-06T15:39:48 --startdatetime 2017-04-06T15:51:31 --delay 2 --endMP 300:58992 --enddatetime 2017-04-06T16:06:18 --enforcementcount 0 &gt;&gt;C:\Users\stu\Documents\GitHub\eaglep3-reporting\EC\2017-04-06-refined-times.txt</v>
      </c>
      <c r="AI183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{"issue":{"subject":"","project_id":79,"tracker_id":40,"status_id":1,"priority_id":2,"assigned_to_id":23,"start_date":"2017-04-06","description":"","custom_fields":[{"id":1,"name":"Subdivision","value":"NW"},{"id":4,"name":"Milepost","value":"5.8992"},{"id":17,"name":"Train ID","value":"827-06"},{"id":16,"name":"Locomotive ID","value":"4020"},{"id":130,"name":"Impact","value":""},{"id":150,"name":"Time of Event (Mountain Time)","value":"16:06:18"},{"id":151,"name":"Denver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64"/>
        <v>start /low /b %USERPROFILE%\Documents\GitHub\eaglep3\Utilities\DownloadLogsFromS3.py --loco 4020 --day 2017-04-06</v>
      </c>
      <c r="AN183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22:06:18"},{"id":29,"name":"Sharepoint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645</v>
      </c>
      <c r="B184" s="7">
        <v>4019</v>
      </c>
      <c r="C184" s="21" t="s">
        <v>216</v>
      </c>
      <c r="D184" s="21" t="s">
        <v>997</v>
      </c>
      <c r="E184" s="13">
        <v>42831.671886574077</v>
      </c>
      <c r="F184" s="13">
        <v>42831.673101851855</v>
      </c>
      <c r="G184" s="7">
        <v>0</v>
      </c>
      <c r="H184" s="21" t="s">
        <v>998</v>
      </c>
      <c r="I184" s="13">
        <v>42831.684618055559</v>
      </c>
      <c r="J184" s="7">
        <v>0</v>
      </c>
      <c r="K184" s="97" t="str">
        <f t="shared" si="51"/>
        <v>4019/4020</v>
      </c>
      <c r="L184" s="21" t="str">
        <f>VLOOKUP(A184,'Trips&amp;Operators'!$C$1:$G$99999,5,FALSE)</f>
        <v>STORY SAMANTHA</v>
      </c>
      <c r="M184" s="6">
        <f t="shared" si="52"/>
        <v>1.1516203703649808E-2</v>
      </c>
      <c r="N184" s="7">
        <f t="shared" si="70"/>
        <v>16.583333333255723</v>
      </c>
      <c r="O184" s="7"/>
      <c r="P184" s="7"/>
      <c r="Q184" s="22"/>
      <c r="R184" s="22"/>
      <c r="S184" s="31">
        <f t="shared" si="67"/>
        <v>1</v>
      </c>
      <c r="T184" s="46" t="str">
        <f t="shared" si="53"/>
        <v>Southbound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4"/>
        <v>https://d0f6bd738d7f1b3e5a7ca70fe4ff75f0.us-east-1.aws.found.io/app/kibana#/discover/Steve-Slow-Train-Analysis-(2080s-and-2083s)?_g=(refreshInterval:(display:Off,pause:!f,section:0,value:0),time:(from:'2017-04-06T15:07:31-0600',mode:absolute,to:'2017-04-06T17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4" s="183" t="str">
        <f t="shared" si="55"/>
        <v>N</v>
      </c>
      <c r="X184" s="183">
        <f t="shared" si="69"/>
        <v>1</v>
      </c>
      <c r="Y184" s="62">
        <f t="shared" si="56"/>
        <v>5.8661000000000003</v>
      </c>
      <c r="Z184" s="62">
        <f t="shared" si="68"/>
        <v>6.4199999999999993E-2</v>
      </c>
      <c r="AA184" s="62">
        <f t="shared" si="57"/>
        <v>5.8019000000000007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8"/>
        <v>0828-06</v>
      </c>
      <c r="AE184" s="85" t="str">
        <f t="shared" si="59"/>
        <v>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 &amp; 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</v>
      </c>
      <c r="AF184" s="82" t="str">
        <f t="shared" si="60"/>
        <v>"C:\Program Files (x86)\AstroGrep\AstroGrep.exe" /e /r /s /spath="%USERPROFILE%\AppData\Local\Temp\OnboardLogs" /stypes="app*4019*20170406*" /stext=" 22:.+((SYSTEM_STATE.+slice.+state.+changed )|(ment ac)|(multiple cpu faults)|(system.+state.+changed )|(\[timeout)|(PRM\|1\|D)|(kpr)|(kdp)|(\|lc)|(penalty))"</v>
      </c>
      <c r="AG184" s="1" t="str">
        <f t="shared" si="61"/>
        <v>NW</v>
      </c>
      <c r="AH184" s="86" t="str">
        <f t="shared" si="62"/>
        <v>"%USERPROFILE%\Documents\GitHub\eaglep3\Utilities\RefineRTDCRunTimes.py" --tripid 828-06 --locoid 4019 --swversion DE.1.0.9.0 --startMP 300:58661 --initTime 2017-04-06T16:07:31 --startdatetime 2017-04-06T16:09:16 --delay 0 --endMP 204:642 --enddatetime 2017-04-06T16:25:51 --enforcementcount 0 &gt;&gt;C:\Users\stu\Documents\GitHub\eaglep3-reporting\EC\2017-04-06-refined-times.txt</v>
      </c>
      <c r="AI184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{"issue":{"subject":"","project_id":79,"tracker_id":40,"status_id":1,"priority_id":2,"assigned_to_id":23,"start_date":"2017-04-06","description":"","custom_fields":[{"id":1,"name":"Subdivision","value":"NW"},{"id":4,"name":"Milepost","value":"0.0642"},{"id":17,"name":"Train ID","value":"828-06"},{"id":16,"name":"Locomotive ID","value":"4019"},{"id":130,"name":"Impact","value":""},{"id":150,"name":"Time of Event (Mountain Time)","value":"16:25:51"},{"id":151,"name":"Denver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64"/>
        <v>start /low /b %USERPROFILE%\Documents\GitHub\eaglep3\Utilities\DownloadLogsFromS3.py --loco 4019 --day 2017-04-06</v>
      </c>
      <c r="AN184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22:25:51"},{"id":29,"name":"Sharepoint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784</v>
      </c>
      <c r="B185" s="7">
        <v>4002</v>
      </c>
      <c r="C185" s="21" t="s">
        <v>216</v>
      </c>
      <c r="D185" s="21" t="s">
        <v>612</v>
      </c>
      <c r="E185" s="13">
        <v>42831.67386574074</v>
      </c>
      <c r="F185" s="13">
        <v>42831.681458333333</v>
      </c>
      <c r="G185" s="7">
        <v>1</v>
      </c>
      <c r="H185" s="21" t="s">
        <v>527</v>
      </c>
      <c r="I185" s="13">
        <v>42831.691157407404</v>
      </c>
      <c r="J185" s="7">
        <v>0</v>
      </c>
      <c r="K185" s="97" t="str">
        <f t="shared" si="51"/>
        <v>4001/4002</v>
      </c>
      <c r="L185" s="21" t="str">
        <f>VLOOKUP(A185,'Trips&amp;Operators'!$C$1:$G$99999,5,FALSE)</f>
        <v>SULLIVAN BRANDON</v>
      </c>
      <c r="M185" s="6">
        <f t="shared" si="52"/>
        <v>9.6990740712499246E-3</v>
      </c>
      <c r="N185" s="7">
        <f t="shared" si="70"/>
        <v>13.966666662599891</v>
      </c>
      <c r="O185" s="7"/>
      <c r="P185" s="7"/>
      <c r="Q185" s="22"/>
      <c r="R185" s="22"/>
      <c r="S185" s="31">
        <f t="shared" si="67"/>
        <v>1</v>
      </c>
      <c r="T185" s="46" t="str">
        <f t="shared" si="53"/>
        <v>NorthBound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4"/>
        <v>https://d0f6bd738d7f1b3e5a7ca70fe4ff75f0.us-east-1.aws.found.io/app/kibana#/discover/Steve-Slow-Train-Analysis-(2080s-and-2083s)?_g=(refreshInterval:(display:Off,pause:!f,section:0,value:0),time:(from:'2017-04-06T15:10:22-0600',mode:absolute,to:'2017-04-06T17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5" s="183" t="str">
        <f t="shared" si="55"/>
        <v>N</v>
      </c>
      <c r="X185" s="183">
        <f t="shared" si="69"/>
        <v>1</v>
      </c>
      <c r="Y185" s="62">
        <f t="shared" si="56"/>
        <v>9.6699999999999994E-2</v>
      </c>
      <c r="Z185" s="62">
        <f t="shared" si="68"/>
        <v>5.8956</v>
      </c>
      <c r="AA185" s="62">
        <f t="shared" si="57"/>
        <v>5.7988999999999997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8"/>
        <v>0829-06</v>
      </c>
      <c r="AE185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185" s="82" t="str">
        <f t="shared" si="60"/>
        <v>"C:\Program Files (x86)\AstroGrep\AstroGrep.exe" /e /r /s /spath="%USERPROFILE%\AppData\Local\Temp\OnboardLogs" /stypes="app*4002*20170406*" /stext=" 22:.+((SYSTEM_STATE.+slice.+state.+changed )|(ment ac)|(multiple cpu faults)|(system.+state.+changed )|(\[timeout)|(PRM\|1\|D)|(kpr)|(kdp)|(\|lc)|(penalty))"</v>
      </c>
      <c r="AG185" s="1" t="str">
        <f t="shared" si="61"/>
        <v>NW</v>
      </c>
      <c r="AH185" s="86" t="str">
        <f t="shared" si="62"/>
        <v>"%USERPROFILE%\Documents\GitHub\eaglep3\Utilities\RefineRTDCRunTimes.py" --tripid 829-06 --locoid 4002 --swversion DE.1.0.9.0 --startMP 204:967 --initTime 2017-04-06T16:10:22 --startdatetime 2017-04-06T16:21:18 --delay 1 --endMP 300:58956 --enddatetime 2017-04-06T16:35:16 --enforcementcount 0 &gt;&gt;C:\Users\stu\Documents\GitHub\eaglep3-reporting\EC\2017-04-06-refined-times.txt</v>
      </c>
      <c r="AI185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{"issue":{"subject":"","project_id":79,"tracker_id":40,"status_id":1,"priority_id":2,"assigned_to_id":23,"start_date":"2017-04-06","description":"","custom_fields":[{"id":1,"name":"Subdivision","value":"NW"},{"id":4,"name":"Milepost","value":"5.8956"},{"id":17,"name":"Train ID","value":"829-06"},{"id":16,"name":"Locomotive ID","value":"4002"},{"id":130,"name":"Impact","value":""},{"id":150,"name":"Time of Event (Mountain Time)","value":"16:35:16"},{"id":151,"name":"Denver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64"/>
        <v>start /low /b %USERPROFILE%\Documents\GitHub\eaglep3\Utilities\DownloadLogsFromS3.py --loco 4002 --day 2017-04-06</v>
      </c>
      <c r="AN185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22:35:16"},{"id":29,"name":"Sharepoint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s="20" customFormat="1" x14ac:dyDescent="0.25">
      <c r="A186" s="33" t="s">
        <v>787</v>
      </c>
      <c r="B186" s="7">
        <v>4001</v>
      </c>
      <c r="C186" s="21" t="s">
        <v>216</v>
      </c>
      <c r="D186" s="21" t="s">
        <v>977</v>
      </c>
      <c r="E186" s="13">
        <v>42831.692199074074</v>
      </c>
      <c r="F186" s="13">
        <v>42831.693611111114</v>
      </c>
      <c r="G186" s="7">
        <v>1</v>
      </c>
      <c r="H186" s="21" t="s">
        <v>999</v>
      </c>
      <c r="I186" s="13">
        <v>42831.705462962964</v>
      </c>
      <c r="J186" s="7">
        <v>0</v>
      </c>
      <c r="K186" s="97" t="str">
        <f t="shared" si="51"/>
        <v>4001/4002</v>
      </c>
      <c r="L186" s="21" t="str">
        <f>VLOOKUP(A186,'Trips&amp;Operators'!$C$1:$G$99999,5,FALSE)</f>
        <v>SULLIVAN BRANDON</v>
      </c>
      <c r="M186" s="6">
        <f t="shared" si="52"/>
        <v>1.1851851850224193E-2</v>
      </c>
      <c r="N186" s="7">
        <f t="shared" si="70"/>
        <v>17.066666664322838</v>
      </c>
      <c r="O186" s="7"/>
      <c r="P186" s="7"/>
      <c r="Q186" s="22"/>
      <c r="R186" s="22"/>
      <c r="S186" s="31">
        <f t="shared" si="67"/>
        <v>1</v>
      </c>
      <c r="T186" s="46" t="str">
        <f t="shared" si="53"/>
        <v>Southbound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4"/>
        <v>https://d0f6bd738d7f1b3e5a7ca70fe4ff75f0.us-east-1.aws.found.io/app/kibana#/discover/Steve-Slow-Train-Analysis-(2080s-and-2083s)?_g=(refreshInterval:(display:Off,pause:!f,section:0,value:0),time:(from:'2017-04-06T15:36:46-0600',mode:absolute,to:'2017-04-06T17:55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6" s="183" t="str">
        <f t="shared" si="55"/>
        <v>N</v>
      </c>
      <c r="X186" s="183">
        <f t="shared" si="69"/>
        <v>1</v>
      </c>
      <c r="Y186" s="62">
        <f t="shared" si="56"/>
        <v>5.8635999999999999</v>
      </c>
      <c r="Z186" s="62">
        <f t="shared" si="68"/>
        <v>7.0300000000000001E-2</v>
      </c>
      <c r="AA186" s="62">
        <f t="shared" si="57"/>
        <v>5.7933000000000003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8"/>
        <v>0830-06</v>
      </c>
      <c r="AE186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186" s="82" t="str">
        <f t="shared" si="60"/>
        <v>"C:\Program Files (x86)\AstroGrep\AstroGrep.exe" /e /r /s /spath="%USERPROFILE%\AppData\Local\Temp\OnboardLogs" /stypes="app*4001*20170406*" /stext=" 22:.+((SYSTEM_STATE.+slice.+state.+changed )|(ment ac)|(multiple cpu faults)|(system.+state.+changed )|(\[timeout)|(PRM\|1\|D)|(kpr)|(kdp)|(\|lc)|(penalty))"</v>
      </c>
      <c r="AG186" s="1" t="str">
        <f t="shared" si="61"/>
        <v>NW</v>
      </c>
      <c r="AH186" s="86" t="str">
        <f t="shared" si="62"/>
        <v>"%USERPROFILE%\Documents\GitHub\eaglep3\Utilities\RefineRTDCRunTimes.py" --tripid 830-06 --locoid 4001 --swversion DE.1.0.9.0 --startMP 300:58636 --initTime 2017-04-06T16:36:46 --startdatetime 2017-04-06T16:38:48 --delay 1 --endMP 204:703 --enddatetime 2017-04-06T16:55:52 --enforcementcount 0 &gt;&gt;C:\Users\stu\Documents\GitHub\eaglep3-reporting\EC\2017-04-06-refined-times.txt</v>
      </c>
      <c r="AI186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{"issue":{"subject":"","project_id":79,"tracker_id":40,"status_id":1,"priority_id":2,"assigned_to_id":23,"start_date":"2017-04-06","description":"","custom_fields":[{"id":1,"name":"Subdivision","value":"NW"},{"id":4,"name":"Milepost","value":"0.0703"},{"id":17,"name":"Train ID","value":"830-06"},{"id":16,"name":"Locomotive ID","value":"4001"},{"id":130,"name":"Impact","value":""},{"id":150,"name":"Time of Event (Mountain Time)","value":"16:55:52"},{"id":151,"name":"Denver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8"/>
      <c r="AL186" s="48"/>
      <c r="AM186" s="150" t="str">
        <f t="shared" si="64"/>
        <v>start /low /b %USERPROFILE%\Documents\GitHub\eaglep3\Utilities\DownloadLogsFromS3.py --loco 4001 --day 2017-04-06</v>
      </c>
      <c r="AN186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22:55:52"},{"id":29,"name":"Sharepoint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3" t="s">
        <v>789</v>
      </c>
      <c r="B187" s="7">
        <v>4020</v>
      </c>
      <c r="C187" s="21" t="s">
        <v>216</v>
      </c>
      <c r="D187" s="21" t="s">
        <v>1000</v>
      </c>
      <c r="E187" s="13">
        <v>42831.694525462961</v>
      </c>
      <c r="F187" s="13">
        <v>42831.702361111114</v>
      </c>
      <c r="G187" s="7">
        <v>1</v>
      </c>
      <c r="H187" s="21" t="s">
        <v>476</v>
      </c>
      <c r="I187" s="13">
        <v>42831.712511574071</v>
      </c>
      <c r="J187" s="7">
        <v>0</v>
      </c>
      <c r="K187" s="97" t="str">
        <f t="shared" si="51"/>
        <v>4019/4020</v>
      </c>
      <c r="L187" s="21" t="str">
        <f>VLOOKUP(A187,'Trips&amp;Operators'!$C$1:$G$99999,5,FALSE)</f>
        <v>STORY SAMANTHA</v>
      </c>
      <c r="M187" s="6">
        <f t="shared" si="52"/>
        <v>1.0150462956517003E-2</v>
      </c>
      <c r="N187" s="7">
        <f t="shared" si="70"/>
        <v>14.616666657384485</v>
      </c>
      <c r="O187" s="7"/>
      <c r="P187" s="7"/>
      <c r="Q187" s="22"/>
      <c r="R187" s="22"/>
      <c r="S187" s="31">
        <f t="shared" si="67"/>
        <v>1</v>
      </c>
      <c r="T187" s="46" t="str">
        <f t="shared" si="53"/>
        <v>NorthBound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4"/>
        <v>https://d0f6bd738d7f1b3e5a7ca70fe4ff75f0.us-east-1.aws.found.io/app/kibana#/discover/Steve-Slow-Train-Analysis-(2080s-and-2083s)?_g=(refreshInterval:(display:Off,pause:!f,section:0,value:0),time:(from:'2017-04-06T15:40:07-0600',mode:absolute,to:'2017-04-06T18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7" s="183" t="str">
        <f t="shared" si="55"/>
        <v>N</v>
      </c>
      <c r="X187" s="183">
        <f t="shared" si="69"/>
        <v>1</v>
      </c>
      <c r="Y187" s="62">
        <f t="shared" si="56"/>
        <v>9.4100000000000003E-2</v>
      </c>
      <c r="Z187" s="62">
        <f t="shared" si="68"/>
        <v>5.8930999999999996</v>
      </c>
      <c r="AA187" s="62">
        <f t="shared" si="57"/>
        <v>5.7989999999999995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8"/>
        <v>0831-06</v>
      </c>
      <c r="AE187" s="85" t="str">
        <f t="shared" si="59"/>
        <v>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 &amp; 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</v>
      </c>
      <c r="AF187" s="82" t="str">
        <f t="shared" si="60"/>
        <v>"C:\Program Files (x86)\AstroGrep\AstroGrep.exe" /e /r /s /spath="%USERPROFILE%\AppData\Local\Temp\OnboardLogs" /stypes="app*4020*20170406*" /stext=" 23:.+((SYSTEM_STATE.+slice.+state.+changed )|(ment ac)|(multiple cpu faults)|(system.+state.+changed )|(\[timeout)|(PRM\|1\|D)|(kpr)|(kdp)|(\|lc)|(penalty))"</v>
      </c>
      <c r="AG187" s="1" t="str">
        <f t="shared" si="61"/>
        <v>NW</v>
      </c>
      <c r="AH187" s="86" t="str">
        <f t="shared" si="62"/>
        <v>"%USERPROFILE%\Documents\GitHub\eaglep3\Utilities\RefineRTDCRunTimes.py" --tripid 831-06 --locoid 4020 --swversion DE.1.0.9.0 --startMP 204:941 --initTime 2017-04-06T16:40:07 --startdatetime 2017-04-06T16:51:24 --delay 1 --endMP 300:58931 --enddatetime 2017-04-06T17:06:01 --enforcementcount 0 &gt;&gt;C:\Users\stu\Documents\GitHub\eaglep3-reporting\EC\2017-04-06-refined-times.txt</v>
      </c>
      <c r="AI187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{"issue":{"subject":"","project_id":79,"tracker_id":40,"status_id":1,"priority_id":2,"assigned_to_id":23,"start_date":"2017-04-06","description":"","custom_fields":[{"id":1,"name":"Subdivision","value":"NW"},{"id":4,"name":"Milepost","value":"5.8931"},{"id":17,"name":"Train ID","value":"831-06"},{"id":16,"name":"Locomotive ID","value":"4020"},{"id":130,"name":"Impact","value":""},{"id":150,"name":"Time of Event (Mountain Time)","value":"17:06:01"},{"id":151,"name":"Denver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8"/>
      <c r="AL187" s="48"/>
      <c r="AM187" s="150" t="str">
        <f t="shared" si="64"/>
        <v>start /low /b %USERPROFILE%\Documents\GitHub\eaglep3\Utilities\DownloadLogsFromS3.py --loco 4020 --day 2017-04-06</v>
      </c>
      <c r="AN187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23:06:01"},{"id":29,"name":"Sharepoint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3" t="s">
        <v>793</v>
      </c>
      <c r="B188" s="7">
        <v>4019</v>
      </c>
      <c r="C188" s="21" t="s">
        <v>216</v>
      </c>
      <c r="D188" s="21" t="s">
        <v>447</v>
      </c>
      <c r="E188" s="13">
        <v>42831.713391203702</v>
      </c>
      <c r="F188" s="13">
        <v>42831.714733796296</v>
      </c>
      <c r="G188" s="7">
        <v>1</v>
      </c>
      <c r="H188" s="21" t="s">
        <v>522</v>
      </c>
      <c r="I188" s="13">
        <v>42831.726064814815</v>
      </c>
      <c r="J188" s="7">
        <v>0</v>
      </c>
      <c r="K188" s="97" t="str">
        <f t="shared" si="51"/>
        <v>4019/4020</v>
      </c>
      <c r="L188" s="21" t="str">
        <f>VLOOKUP(A188,'Trips&amp;Operators'!$C$1:$G$99999,5,FALSE)</f>
        <v>STORY SAMANTHA</v>
      </c>
      <c r="M188" s="6">
        <f t="shared" si="52"/>
        <v>1.1331018518831115E-2</v>
      </c>
      <c r="N188" s="7">
        <f t="shared" si="70"/>
        <v>16.316666667116806</v>
      </c>
      <c r="O188" s="7"/>
      <c r="P188" s="7"/>
      <c r="Q188" s="22"/>
      <c r="R188" s="22"/>
      <c r="S188" s="31">
        <f t="shared" si="67"/>
        <v>1</v>
      </c>
      <c r="T188" s="46" t="str">
        <f t="shared" si="53"/>
        <v>Southbound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4"/>
        <v>https://d0f6bd738d7f1b3e5a7ca70fe4ff75f0.us-east-1.aws.found.io/app/kibana#/discover/Steve-Slow-Train-Analysis-(2080s-and-2083s)?_g=(refreshInterval:(display:Off,pause:!f,section:0,value:0),time:(from:'2017-04-06T16:07:17-0600',mode:absolute,to:'2017-04-06T18:25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8" s="183" t="str">
        <f t="shared" si="55"/>
        <v>N</v>
      </c>
      <c r="X188" s="183">
        <f t="shared" si="69"/>
        <v>1</v>
      </c>
      <c r="Y188" s="62">
        <f t="shared" si="56"/>
        <v>5.8616999999999999</v>
      </c>
      <c r="Z188" s="62">
        <f t="shared" si="68"/>
        <v>7.5700000000000003E-2</v>
      </c>
      <c r="AA188" s="62">
        <f t="shared" si="57"/>
        <v>5.7859999999999996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8"/>
        <v>0832-06</v>
      </c>
      <c r="AE188" s="85" t="str">
        <f t="shared" si="59"/>
        <v>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 &amp; 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</v>
      </c>
      <c r="AF188" s="82" t="str">
        <f t="shared" si="60"/>
        <v>"C:\Program Files (x86)\AstroGrep\AstroGrep.exe" /e /r /s /spath="%USERPROFILE%\AppData\Local\Temp\OnboardLogs" /stypes="app*4019*20170406*" /stext=" 23:.+((SYSTEM_STATE.+slice.+state.+changed )|(ment ac)|(multiple cpu faults)|(system.+state.+changed )|(\[timeout)|(PRM\|1\|D)|(kpr)|(kdp)|(\|lc)|(penalty))"</v>
      </c>
      <c r="AG188" s="1" t="str">
        <f t="shared" si="61"/>
        <v>NW</v>
      </c>
      <c r="AH188" s="86" t="str">
        <f t="shared" si="62"/>
        <v>"%USERPROFILE%\Documents\GitHub\eaglep3\Utilities\RefineRTDCRunTimes.py" --tripid 832-06 --locoid 4019 --swversion DE.1.0.9.0 --startMP 300:58617 --initTime 2017-04-06T17:07:17 --startdatetime 2017-04-06T17:09:13 --delay 1 --endMP 204:757 --enddatetime 2017-04-06T17:25:32 --enforcementcount 0 &gt;&gt;C:\Users\stu\Documents\GitHub\eaglep3-reporting\EC\2017-04-06-refined-times.txt</v>
      </c>
      <c r="AI188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{"issue":{"subject":"","project_id":79,"tracker_id":40,"status_id":1,"priority_id":2,"assigned_to_id":23,"start_date":"2017-04-06","description":"","custom_fields":[{"id":1,"name":"Subdivision","value":"NW"},{"id":4,"name":"Milepost","value":"0.0757"},{"id":17,"name":"Train ID","value":"832-06"},{"id":16,"name":"Locomotive ID","value":"4019"},{"id":130,"name":"Impact","value":""},{"id":150,"name":"Time of Event (Mountain Time)","value":"17:25:32"},{"id":151,"name":"Denver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8"/>
      <c r="AL188" s="48"/>
      <c r="AM188" s="150" t="str">
        <f t="shared" si="64"/>
        <v>start /low /b %USERPROFILE%\Documents\GitHub\eaglep3\Utilities\DownloadLogsFromS3.py --loco 4019 --day 2017-04-06</v>
      </c>
      <c r="AN188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23:25:32"},{"id":29,"name":"Sharepoint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795</v>
      </c>
      <c r="B189" s="7">
        <v>4002</v>
      </c>
      <c r="C189" s="21" t="s">
        <v>216</v>
      </c>
      <c r="D189" s="21" t="s">
        <v>602</v>
      </c>
      <c r="E189" s="13">
        <v>42831.718287037038</v>
      </c>
      <c r="F189" s="13">
        <v>42831.72315972222</v>
      </c>
      <c r="G189" s="7">
        <v>1</v>
      </c>
      <c r="H189" s="21" t="s">
        <v>983</v>
      </c>
      <c r="I189" s="13">
        <v>42831.733171296299</v>
      </c>
      <c r="J189" s="7">
        <v>0</v>
      </c>
      <c r="K189" s="97" t="str">
        <f t="shared" si="51"/>
        <v>4001/4002</v>
      </c>
      <c r="L189" s="21" t="str">
        <f>VLOOKUP(A189,'Trips&amp;Operators'!$C$1:$G$99999,5,FALSE)</f>
        <v>SULLIVAN BRANDON</v>
      </c>
      <c r="M189" s="6">
        <f t="shared" si="52"/>
        <v>1.0011574078816921E-2</v>
      </c>
      <c r="N189" s="7">
        <f t="shared" si="70"/>
        <v>14.416666673496366</v>
      </c>
      <c r="O189" s="7"/>
      <c r="P189" s="7"/>
      <c r="Q189" s="22"/>
      <c r="R189" s="22"/>
      <c r="S189" s="31">
        <f t="shared" si="67"/>
        <v>1</v>
      </c>
      <c r="T189" s="46" t="str">
        <f t="shared" si="53"/>
        <v>NorthBound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4"/>
        <v>https://d0f6bd738d7f1b3e5a7ca70fe4ff75f0.us-east-1.aws.found.io/app/kibana#/discover/Steve-Slow-Train-Analysis-(2080s-and-2083s)?_g=(refreshInterval:(display:Off,pause:!f,section:0,value:0),time:(from:'2017-04-06T16:14:20-0600',mode:absolute,to:'2017-04-06T18:35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89" s="183" t="str">
        <f t="shared" si="55"/>
        <v>N</v>
      </c>
      <c r="X189" s="183">
        <f t="shared" si="69"/>
        <v>1</v>
      </c>
      <c r="Y189" s="62">
        <f t="shared" si="56"/>
        <v>9.7600000000000006E-2</v>
      </c>
      <c r="Z189" s="62">
        <f t="shared" si="68"/>
        <v>5.8952</v>
      </c>
      <c r="AA189" s="62">
        <f t="shared" si="57"/>
        <v>5.7976000000000001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8"/>
        <v>0833-06</v>
      </c>
      <c r="AE189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189" s="82" t="str">
        <f t="shared" si="60"/>
        <v>"C:\Program Files (x86)\AstroGrep\AstroGrep.exe" /e /r /s /spath="%USERPROFILE%\AppData\Local\Temp\OnboardLogs" /stypes="app*4002*20170406*" /stext=" 23:.+((SYSTEM_STATE.+slice.+state.+changed )|(ment ac)|(multiple cpu faults)|(system.+state.+changed )|(\[timeout)|(PRM\|1\|D)|(kpr)|(kdp)|(\|lc)|(penalty))"</v>
      </c>
      <c r="AG189" s="1" t="str">
        <f t="shared" si="61"/>
        <v>NW</v>
      </c>
      <c r="AH189" s="86" t="str">
        <f t="shared" si="62"/>
        <v>"%USERPROFILE%\Documents\GitHub\eaglep3\Utilities\RefineRTDCRunTimes.py" --tripid 833-06 --locoid 4002 --swversion DE.1.0.9.0 --startMP 204:976 --initTime 2017-04-06T17:14:20 --startdatetime 2017-04-06T17:21:21 --delay 1 --endMP 300:58952 --enddatetime 2017-04-06T17:35:46 --enforcementcount 0 &gt;&gt;C:\Users\stu\Documents\GitHub\eaglep3-reporting\EC\2017-04-06-refined-times.txt</v>
      </c>
      <c r="AI189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{"issue":{"subject":"","project_id":79,"tracker_id":40,"status_id":1,"priority_id":2,"assigned_to_id":23,"start_date":"2017-04-06","description":"","custom_fields":[{"id":1,"name":"Subdivision","value":"NW"},{"id":4,"name":"Milepost","value":"5.8952"},{"id":17,"name":"Train ID","value":"833-06"},{"id":16,"name":"Locomotive ID","value":"4002"},{"id":130,"name":"Impact","value":""},{"id":150,"name":"Time of Event (Mountain Time)","value":"17:35:46"},{"id":151,"name":"Denver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64"/>
        <v>start /low /b %USERPROFILE%\Documents\GitHub\eaglep3\Utilities\DownloadLogsFromS3.py --loco 4002 --day 2017-04-06</v>
      </c>
      <c r="AN189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23:35:46"},{"id":29,"name":"Sharepoint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648</v>
      </c>
      <c r="B190" s="7">
        <v>4001</v>
      </c>
      <c r="C190" s="21" t="s">
        <v>216</v>
      </c>
      <c r="D190" s="21" t="s">
        <v>605</v>
      </c>
      <c r="E190" s="13">
        <v>42831.733969907407</v>
      </c>
      <c r="F190" s="13">
        <v>42831.73541666667</v>
      </c>
      <c r="G190" s="7">
        <v>1</v>
      </c>
      <c r="H190" s="21" t="s">
        <v>1001</v>
      </c>
      <c r="I190" s="13">
        <v>42831.747152777774</v>
      </c>
      <c r="J190" s="7">
        <v>0</v>
      </c>
      <c r="K190" s="97" t="str">
        <f t="shared" si="51"/>
        <v>4001/4002</v>
      </c>
      <c r="L190" s="21" t="str">
        <f>VLOOKUP(A190,'Trips&amp;Operators'!$C$1:$G$99999,5,FALSE)</f>
        <v>SULLIVAN BRANDON</v>
      </c>
      <c r="M190" s="6">
        <f t="shared" si="52"/>
        <v>1.1736111104255542E-2</v>
      </c>
      <c r="N190" s="7">
        <f t="shared" si="70"/>
        <v>16.899999990127981</v>
      </c>
      <c r="O190" s="7"/>
      <c r="P190" s="7"/>
      <c r="Q190" s="22"/>
      <c r="R190" s="22"/>
      <c r="S190" s="31">
        <f t="shared" si="67"/>
        <v>1</v>
      </c>
      <c r="T190" s="46" t="str">
        <f t="shared" si="53"/>
        <v>Southbound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4"/>
        <v>https://d0f6bd738d7f1b3e5a7ca70fe4ff75f0.us-east-1.aws.found.io/app/kibana#/discover/Steve-Slow-Train-Analysis-(2080s-and-2083s)?_g=(refreshInterval:(display:Off,pause:!f,section:0,value:0),time:(from:'2017-04-06T16:36:55-0600',mode:absolute,to:'2017-04-06T18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0" s="183" t="str">
        <f t="shared" si="55"/>
        <v>N</v>
      </c>
      <c r="X190" s="183">
        <f t="shared" si="69"/>
        <v>1</v>
      </c>
      <c r="Y190" s="62">
        <f t="shared" si="56"/>
        <v>5.8634000000000004</v>
      </c>
      <c r="Z190" s="62">
        <f t="shared" si="68"/>
        <v>6.6400000000000001E-2</v>
      </c>
      <c r="AA190" s="62">
        <f t="shared" si="57"/>
        <v>5.7970000000000006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8"/>
        <v>0834-06</v>
      </c>
      <c r="AE190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190" s="82" t="str">
        <f t="shared" si="60"/>
        <v>"C:\Program Files (x86)\AstroGrep\AstroGrep.exe" /e /r /s /spath="%USERPROFILE%\AppData\Local\Temp\OnboardLogs" /stypes="app*4001*20170406*" /stext=" 23:.+((SYSTEM_STATE.+slice.+state.+changed )|(ment ac)|(multiple cpu faults)|(system.+state.+changed )|(\[timeout)|(PRM\|1\|D)|(kpr)|(kdp)|(\|lc)|(penalty))"</v>
      </c>
      <c r="AG190" s="1" t="str">
        <f t="shared" si="61"/>
        <v>NW</v>
      </c>
      <c r="AH190" s="86" t="str">
        <f t="shared" si="62"/>
        <v>"%USERPROFILE%\Documents\GitHub\eaglep3\Utilities\RefineRTDCRunTimes.py" --tripid 834-06 --locoid 4001 --swversion DE.1.0.9.0 --startMP 300:58634 --initTime 2017-04-06T17:36:55 --startdatetime 2017-04-06T17:39:00 --delay 1 --endMP 204:664 --enddatetime 2017-04-06T17:55:54 --enforcementcount 0 &gt;&gt;C:\Users\stu\Documents\GitHub\eaglep3-reporting\EC\2017-04-06-refined-times.txt</v>
      </c>
      <c r="AI190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{"issue":{"subject":"","project_id":79,"tracker_id":40,"status_id":1,"priority_id":2,"assigned_to_id":23,"start_date":"2017-04-06","description":"","custom_fields":[{"id":1,"name":"Subdivision","value":"NW"},{"id":4,"name":"Milepost","value":"0.0664"},{"id":17,"name":"Train ID","value":"834-06"},{"id":16,"name":"Locomotive ID","value":"4001"},{"id":130,"name":"Impact","value":""},{"id":150,"name":"Time of Event (Mountain Time)","value":"17:55:54"},{"id":151,"name":"Denver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64"/>
        <v>start /low /b %USERPROFILE%\Documents\GitHub\eaglep3\Utilities\DownloadLogsFromS3.py --loco 4001 --day 2017-04-06</v>
      </c>
      <c r="AN190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23:55:54"},{"id":29,"name":"Sharepoint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800</v>
      </c>
      <c r="B191" s="7">
        <v>4020</v>
      </c>
      <c r="C191" s="21" t="s">
        <v>216</v>
      </c>
      <c r="D191" s="21" t="s">
        <v>1002</v>
      </c>
      <c r="E191" s="13">
        <v>42831.741099537037</v>
      </c>
      <c r="F191" s="13">
        <v>42831.744004629632</v>
      </c>
      <c r="G191" s="7">
        <v>1</v>
      </c>
      <c r="H191" s="21" t="s">
        <v>985</v>
      </c>
      <c r="I191" s="13">
        <v>42831.754814814813</v>
      </c>
      <c r="J191" s="7">
        <v>0</v>
      </c>
      <c r="K191" s="97" t="str">
        <f t="shared" si="51"/>
        <v>4019/4020</v>
      </c>
      <c r="L191" s="21" t="str">
        <f>VLOOKUP(A191,'Trips&amp;Operators'!$C$1:$G$99999,5,FALSE)</f>
        <v>STORY SAMANTHA</v>
      </c>
      <c r="M191" s="6">
        <f t="shared" si="52"/>
        <v>1.081018518016208E-2</v>
      </c>
      <c r="N191" s="7">
        <f t="shared" si="70"/>
        <v>15.566666659433395</v>
      </c>
      <c r="O191" s="7"/>
      <c r="P191" s="7"/>
      <c r="Q191" s="22"/>
      <c r="R191" s="22"/>
      <c r="S191" s="31">
        <f t="shared" si="67"/>
        <v>1</v>
      </c>
      <c r="T191" s="46" t="str">
        <f t="shared" si="53"/>
        <v>NorthBound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4"/>
        <v>https://d0f6bd738d7f1b3e5a7ca70fe4ff75f0.us-east-1.aws.found.io/app/kibana#/discover/Steve-Slow-Train-Analysis-(2080s-and-2083s)?_g=(refreshInterval:(display:Off,pause:!f,section:0,value:0),time:(from:'2017-04-06T16:47:11-0600',mode:absolute,to:'2017-04-06T19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1" s="183" t="str">
        <f t="shared" si="55"/>
        <v>N</v>
      </c>
      <c r="X191" s="183">
        <f t="shared" si="69"/>
        <v>1</v>
      </c>
      <c r="Y191" s="62">
        <f t="shared" si="56"/>
        <v>0.1046</v>
      </c>
      <c r="Z191" s="62">
        <f t="shared" si="68"/>
        <v>5.8954000000000004</v>
      </c>
      <c r="AA191" s="62">
        <f t="shared" si="57"/>
        <v>5.7908000000000008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8"/>
        <v>0835-06</v>
      </c>
      <c r="AE191" s="85" t="str">
        <f t="shared" si="59"/>
        <v>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 &amp; 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</v>
      </c>
      <c r="AF191" s="82" t="str">
        <f t="shared" si="60"/>
        <v>"C:\Program Files (x86)\AstroGrep\AstroGrep.exe" /e /r /s /spath="%USERPROFILE%\AppData\Local\Temp\OnboardLogs" /stypes="app*4020*20170407*" /stext=" 00:.+((SYSTEM_STATE.+slice.+state.+changed )|(ment ac)|(multiple cpu faults)|(system.+state.+changed )|(\[timeout)|(PRM\|1\|D)|(kpr)|(kdp)|(\|lc)|(penalty))"</v>
      </c>
      <c r="AG191" s="1" t="str">
        <f t="shared" si="61"/>
        <v>NW</v>
      </c>
      <c r="AH191" s="86" t="str">
        <f t="shared" si="62"/>
        <v>"%USERPROFILE%\Documents\GitHub\eaglep3\Utilities\RefineRTDCRunTimes.py" --tripid 835-06 --locoid 4020 --swversion DE.1.0.9.0 --startMP 204:1046 --initTime 2017-04-06T17:47:11 --startdatetime 2017-04-06T17:51:22 --delay 1 --endMP 300:58954 --enddatetime 2017-04-06T18:06:56 --enforcementcount 0 &gt;&gt;C:\Users\stu\Documents\GitHub\eaglep3-reporting\EC\2017-04-06-refined-times.txt</v>
      </c>
      <c r="AI191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{"issue":{"subject":"","project_id":79,"tracker_id":40,"status_id":1,"priority_id":2,"assigned_to_id":23,"start_date":"2017-04-06","description":"","custom_fields":[{"id":1,"name":"Subdivision","value":"NW"},{"id":4,"name":"Milepost","value":"5.8954"},{"id":17,"name":"Train ID","value":"835-06"},{"id":16,"name":"Locomotive ID","value":"4020"},{"id":130,"name":"Impact","value":""},{"id":150,"name":"Time of Event (Mountain Time)","value":"18:06:56"},{"id":151,"name":"Denver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64"/>
        <v>start /low /b %USERPROFILE%\Documents\GitHub\eaglep3\Utilities\DownloadLogsFromS3.py --loco 4020 --day 2017-04-06</v>
      </c>
      <c r="AN191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00:06:56"},{"id":29,"name":"Sharepoint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803</v>
      </c>
      <c r="B192" s="7">
        <v>4019</v>
      </c>
      <c r="C192" s="21" t="s">
        <v>216</v>
      </c>
      <c r="D192" s="21" t="s">
        <v>605</v>
      </c>
      <c r="E192" s="13">
        <v>42831.755879629629</v>
      </c>
      <c r="F192" s="13">
        <v>42831.757245370369</v>
      </c>
      <c r="G192" s="7">
        <v>1</v>
      </c>
      <c r="H192" s="21" t="s">
        <v>967</v>
      </c>
      <c r="I192" s="13">
        <v>42831.76766203704</v>
      </c>
      <c r="J192" s="7">
        <v>0</v>
      </c>
      <c r="K192" s="97" t="str">
        <f t="shared" si="51"/>
        <v>4019/4020</v>
      </c>
      <c r="L192" s="21" t="str">
        <f>VLOOKUP(A192,'Trips&amp;Operators'!$C$1:$G$99999,5,FALSE)</f>
        <v>STORY SAMANTHA</v>
      </c>
      <c r="M192" s="6">
        <f t="shared" si="52"/>
        <v>1.0416666671517305E-2</v>
      </c>
      <c r="N192" s="7">
        <f t="shared" si="70"/>
        <v>15.000000006984919</v>
      </c>
      <c r="O192" s="7"/>
      <c r="P192" s="7"/>
      <c r="Q192" s="22"/>
      <c r="R192" s="22"/>
      <c r="S192" s="31">
        <f t="shared" si="67"/>
        <v>1</v>
      </c>
      <c r="T192" s="46" t="str">
        <f t="shared" si="53"/>
        <v>Southbound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4"/>
        <v>https://d0f6bd738d7f1b3e5a7ca70fe4ff75f0.us-east-1.aws.found.io/app/kibana#/discover/Steve-Slow-Train-Analysis-(2080s-and-2083s)?_g=(refreshInterval:(display:Off,pause:!f,section:0,value:0),time:(from:'2017-04-06T17:08:28-0600',mode:absolute,to:'2017-04-06T19:25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2" s="183" t="str">
        <f t="shared" si="55"/>
        <v>N</v>
      </c>
      <c r="X192" s="183">
        <f t="shared" si="69"/>
        <v>1</v>
      </c>
      <c r="Y192" s="62">
        <f t="shared" si="56"/>
        <v>5.8634000000000004</v>
      </c>
      <c r="Z192" s="62">
        <f t="shared" si="68"/>
        <v>7.2400000000000006E-2</v>
      </c>
      <c r="AA192" s="62">
        <f t="shared" si="57"/>
        <v>5.7910000000000004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8"/>
        <v>0836-06</v>
      </c>
      <c r="AE192" s="85" t="str">
        <f t="shared" si="59"/>
        <v>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 &amp; 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</v>
      </c>
      <c r="AF192" s="82" t="str">
        <f t="shared" si="60"/>
        <v>"C:\Program Files (x86)\AstroGrep\AstroGrep.exe" /e /r /s /spath="%USERPROFILE%\AppData\Local\Temp\OnboardLogs" /stypes="app*4019*20170407*" /stext=" 00:.+((SYSTEM_STATE.+slice.+state.+changed )|(ment ac)|(multiple cpu faults)|(system.+state.+changed )|(\[timeout)|(PRM\|1\|D)|(kpr)|(kdp)|(\|lc)|(penalty))"</v>
      </c>
      <c r="AG192" s="1" t="str">
        <f t="shared" si="61"/>
        <v>NW</v>
      </c>
      <c r="AH192" s="86" t="str">
        <f t="shared" si="62"/>
        <v>"%USERPROFILE%\Documents\GitHub\eaglep3\Utilities\RefineRTDCRunTimes.py" --tripid 836-06 --locoid 4019 --swversion DE.1.0.9.0 --startMP 300:58634 --initTime 2017-04-06T18:08:28 --startdatetime 2017-04-06T18:10:26 --delay 1 --endMP 204:724 --enddatetime 2017-04-06T18:25:26 --enforcementcount 0 &gt;&gt;C:\Users\stu\Documents\GitHub\eaglep3-reporting\EC\2017-04-06-refined-times.txt</v>
      </c>
      <c r="AI192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{"issue":{"subject":"","project_id":79,"tracker_id":40,"status_id":1,"priority_id":2,"assigned_to_id":23,"start_date":"2017-04-06","description":"","custom_fields":[{"id":1,"name":"Subdivision","value":"NW"},{"id":4,"name":"Milepost","value":"0.0724"},{"id":17,"name":"Train ID","value":"836-06"},{"id":16,"name":"Locomotive ID","value":"4019"},{"id":130,"name":"Impact","value":""},{"id":150,"name":"Time of Event (Mountain Time)","value":"18:25:26"},{"id":151,"name":"Denver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64"/>
        <v>start /low /b %USERPROFILE%\Documents\GitHub\eaglep3\Utilities\DownloadLogsFromS3.py --loco 4019 --day 2017-04-06</v>
      </c>
      <c r="AN192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00:25:26"},{"id":29,"name":"Sharepoint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805</v>
      </c>
      <c r="B193" s="7">
        <v>4002</v>
      </c>
      <c r="C193" s="21" t="s">
        <v>216</v>
      </c>
      <c r="D193" s="21" t="s">
        <v>526</v>
      </c>
      <c r="E193" s="13">
        <v>42831.757256944446</v>
      </c>
      <c r="F193" s="13">
        <v>42831.764756944445</v>
      </c>
      <c r="G193" s="7">
        <v>1</v>
      </c>
      <c r="H193" s="21" t="s">
        <v>963</v>
      </c>
      <c r="I193" s="13">
        <v>42831.774328703701</v>
      </c>
      <c r="J193" s="7">
        <v>0</v>
      </c>
      <c r="K193" s="97" t="str">
        <f t="shared" si="51"/>
        <v>4001/4002</v>
      </c>
      <c r="L193" s="21" t="str">
        <f>VLOOKUP(A193,'Trips&amp;Operators'!$C$1:$G$99999,5,FALSE)</f>
        <v>SULLIVAN BRANDON</v>
      </c>
      <c r="M193" s="6">
        <f t="shared" si="52"/>
        <v>9.5717592557775788E-3</v>
      </c>
      <c r="N193" s="7">
        <f t="shared" si="70"/>
        <v>13.783333328319713</v>
      </c>
      <c r="O193" s="7"/>
      <c r="P193" s="7"/>
      <c r="Q193" s="22"/>
      <c r="R193" s="22"/>
      <c r="S193" s="31">
        <f t="shared" si="67"/>
        <v>1</v>
      </c>
      <c r="T193" s="46" t="str">
        <f t="shared" si="53"/>
        <v>NorthBound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4"/>
        <v>https://d0f6bd738d7f1b3e5a7ca70fe4ff75f0.us-east-1.aws.found.io/app/kibana#/discover/Steve-Slow-Train-Analysis-(2080s-and-2083s)?_g=(refreshInterval:(display:Off,pause:!f,section:0,value:0),time:(from:'2017-04-06T17:10:27-0600',mode:absolute,to:'2017-04-06T19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3" s="183" t="str">
        <f t="shared" si="55"/>
        <v>N</v>
      </c>
      <c r="X193" s="183">
        <f t="shared" si="69"/>
        <v>1</v>
      </c>
      <c r="Y193" s="62">
        <f t="shared" si="56"/>
        <v>9.6199999999999994E-2</v>
      </c>
      <c r="Z193" s="62">
        <f t="shared" si="68"/>
        <v>5.8958000000000004</v>
      </c>
      <c r="AA193" s="62">
        <f t="shared" si="57"/>
        <v>5.7996000000000008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8"/>
        <v>0837-06</v>
      </c>
      <c r="AE193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193" s="82" t="str">
        <f t="shared" si="60"/>
        <v>"C:\Program Files (x86)\AstroGrep\AstroGrep.exe" /e /r /s /spath="%USERPROFILE%\AppData\Local\Temp\OnboardLogs" /stypes="app*4002*20170407*" /stext=" 00:.+((SYSTEM_STATE.+slice.+state.+changed )|(ment ac)|(multiple cpu faults)|(system.+state.+changed )|(\[timeout)|(PRM\|1\|D)|(kpr)|(kdp)|(\|lc)|(penalty))"</v>
      </c>
      <c r="AG193" s="1" t="str">
        <f t="shared" si="61"/>
        <v>NW</v>
      </c>
      <c r="AH193" s="86" t="str">
        <f t="shared" si="62"/>
        <v>"%USERPROFILE%\Documents\GitHub\eaglep3\Utilities\RefineRTDCRunTimes.py" --tripid 837-06 --locoid 4002 --swversion DE.1.0.9.0 --startMP 204:962 --initTime 2017-04-06T18:10:27 --startdatetime 2017-04-06T18:21:15 --delay 1 --endMP 300:58958 --enddatetime 2017-04-06T18:35:02 --enforcementcount 0 &gt;&gt;C:\Users\stu\Documents\GitHub\eaglep3-reporting\EC\2017-04-06-refined-times.txt</v>
      </c>
      <c r="AI193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{"issue":{"subject":"","project_id":79,"tracker_id":40,"status_id":1,"priority_id":2,"assigned_to_id":23,"start_date":"2017-04-06","description":"","custom_fields":[{"id":1,"name":"Subdivision","value":"NW"},{"id":4,"name":"Milepost","value":"5.8958"},{"id":17,"name":"Train ID","value":"837-06"},{"id":16,"name":"Locomotive ID","value":"4002"},{"id":130,"name":"Impact","value":""},{"id":150,"name":"Time of Event (Mountain Time)","value":"18:35:02"},{"id":151,"name":"Denver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64"/>
        <v>start /low /b %USERPROFILE%\Documents\GitHub\eaglep3\Utilities\DownloadLogsFromS3.py --loco 4002 --day 2017-04-06</v>
      </c>
      <c r="AN193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00:35:02"},{"id":29,"name":"Sharepoint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809</v>
      </c>
      <c r="B194" s="7">
        <v>4001</v>
      </c>
      <c r="C194" s="21" t="s">
        <v>216</v>
      </c>
      <c r="D194" s="21" t="s">
        <v>977</v>
      </c>
      <c r="E194" s="13">
        <v>42831.775439814817</v>
      </c>
      <c r="F194" s="13">
        <v>42831.776828703703</v>
      </c>
      <c r="G194" s="7">
        <v>1</v>
      </c>
      <c r="H194" s="21" t="s">
        <v>609</v>
      </c>
      <c r="I194" s="13">
        <v>42831.790289351855</v>
      </c>
      <c r="J194" s="7">
        <v>0</v>
      </c>
      <c r="K194" s="97" t="str">
        <f t="shared" si="51"/>
        <v>4001/4002</v>
      </c>
      <c r="L194" s="21" t="str">
        <f>VLOOKUP(A194,'Trips&amp;Operators'!$C$1:$G$99999,5,FALSE)</f>
        <v>SULLIVAN BRANDON</v>
      </c>
      <c r="M194" s="6">
        <f t="shared" si="52"/>
        <v>1.3460648151522037E-2</v>
      </c>
      <c r="N194" s="7">
        <f t="shared" si="70"/>
        <v>19.383333338191733</v>
      </c>
      <c r="O194" s="7"/>
      <c r="P194" s="7"/>
      <c r="Q194" s="22"/>
      <c r="R194" s="22"/>
      <c r="S194" s="31">
        <f t="shared" si="67"/>
        <v>1</v>
      </c>
      <c r="T194" s="46" t="str">
        <f t="shared" si="53"/>
        <v>Southbound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4"/>
        <v>https://d0f6bd738d7f1b3e5a7ca70fe4ff75f0.us-east-1.aws.found.io/app/kibana#/discover/Steve-Slow-Train-Analysis-(2080s-and-2083s)?_g=(refreshInterval:(display:Off,pause:!f,section:0,value:0),time:(from:'2017-04-06T17:36:38-0600',mode:absolute,to:'2017-04-06T19:58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4" s="183" t="str">
        <f t="shared" si="55"/>
        <v>N</v>
      </c>
      <c r="X194" s="183">
        <f t="shared" si="69"/>
        <v>1</v>
      </c>
      <c r="Y194" s="62">
        <f t="shared" si="56"/>
        <v>5.8635999999999999</v>
      </c>
      <c r="Z194" s="62">
        <f t="shared" si="68"/>
        <v>6.9099999999999995E-2</v>
      </c>
      <c r="AA194" s="62">
        <f t="shared" si="57"/>
        <v>5.7945000000000002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8"/>
        <v>0838-06</v>
      </c>
      <c r="AE194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194" s="82" t="str">
        <f t="shared" si="60"/>
        <v>"C:\Program Files (x86)\AstroGrep\AstroGrep.exe" /e /r /s /spath="%USERPROFILE%\AppData\Local\Temp\OnboardLogs" /stypes="app*4001*20170407*" /stext=" 00:.+((SYSTEM_STATE.+slice.+state.+changed )|(ment ac)|(multiple cpu faults)|(system.+state.+changed )|(\[timeout)|(PRM\|1\|D)|(kpr)|(kdp)|(\|lc)|(penalty))"</v>
      </c>
      <c r="AG194" s="1" t="str">
        <f t="shared" si="61"/>
        <v>NW</v>
      </c>
      <c r="AH194" s="86" t="str">
        <f t="shared" si="62"/>
        <v>"%USERPROFILE%\Documents\GitHub\eaglep3\Utilities\RefineRTDCRunTimes.py" --tripid 838-06 --locoid 4001 --swversion DE.1.0.9.0 --startMP 300:58636 --initTime 2017-04-06T18:36:38 --startdatetime 2017-04-06T18:38:38 --delay 1 --endMP 204:691 --enddatetime 2017-04-06T18:58:01 --enforcementcount 0 &gt;&gt;C:\Users\stu\Documents\GitHub\eaglep3-reporting\EC\2017-04-06-refined-times.txt</v>
      </c>
      <c r="AI194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{"issue":{"subject":"","project_id":79,"tracker_id":40,"status_id":1,"priority_id":2,"assigned_to_id":23,"start_date":"2017-04-06","description":"","custom_fields":[{"id":1,"name":"Subdivision","value":"NW"},{"id":4,"name":"Milepost","value":"0.0691"},{"id":17,"name":"Train ID","value":"838-06"},{"id":16,"name":"Locomotive ID","value":"4001"},{"id":130,"name":"Impact","value":""},{"id":150,"name":"Time of Event (Mountain Time)","value":"18:58:01"},{"id":151,"name":"Denver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64"/>
        <v>start /low /b %USERPROFILE%\Documents\GitHub\eaglep3\Utilities\DownloadLogsFromS3.py --loco 4001 --day 2017-04-06</v>
      </c>
      <c r="AN194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00:58:01"},{"id":29,"name":"Sharepoint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810</v>
      </c>
      <c r="B195" s="7">
        <v>4020</v>
      </c>
      <c r="C195" s="21" t="s">
        <v>216</v>
      </c>
      <c r="D195" s="21" t="s">
        <v>1003</v>
      </c>
      <c r="E195" s="13">
        <v>42831.777581018519</v>
      </c>
      <c r="F195" s="13">
        <v>42831.785763888889</v>
      </c>
      <c r="G195" s="7">
        <v>2</v>
      </c>
      <c r="H195" s="21" t="s">
        <v>600</v>
      </c>
      <c r="I195" s="13">
        <v>42831.796076388891</v>
      </c>
      <c r="J195" s="7">
        <v>0</v>
      </c>
      <c r="K195" s="97" t="str">
        <f t="shared" si="51"/>
        <v>4019/4020</v>
      </c>
      <c r="L195" s="21" t="str">
        <f>VLOOKUP(A195,'Trips&amp;Operators'!$C$1:$G$99999,5,FALSE)</f>
        <v>STORY SAMANTHA</v>
      </c>
      <c r="M195" s="6">
        <f t="shared" si="52"/>
        <v>1.0312500002328306E-2</v>
      </c>
      <c r="N195" s="7">
        <f t="shared" si="70"/>
        <v>14.850000003352761</v>
      </c>
      <c r="O195" s="7"/>
      <c r="P195" s="7"/>
      <c r="Q195" s="22"/>
      <c r="R195" s="22"/>
      <c r="S195" s="31">
        <f t="shared" si="67"/>
        <v>1</v>
      </c>
      <c r="T195" s="46" t="str">
        <f t="shared" si="53"/>
        <v>NorthBound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4"/>
        <v>https://d0f6bd738d7f1b3e5a7ca70fe4ff75f0.us-east-1.aws.found.io/app/kibana#/discover/Steve-Slow-Train-Analysis-(2080s-and-2083s)?_g=(refreshInterval:(display:Off,pause:!f,section:0,value:0),time:(from:'2017-04-06T17:39:43-0600',mode:absolute,to:'2017-04-06T20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5" s="183" t="str">
        <f t="shared" si="55"/>
        <v>N</v>
      </c>
      <c r="X195" s="183">
        <f t="shared" si="69"/>
        <v>1</v>
      </c>
      <c r="Y195" s="62">
        <f t="shared" si="56"/>
        <v>0.1009</v>
      </c>
      <c r="Z195" s="62">
        <f t="shared" si="68"/>
        <v>5.8940999999999999</v>
      </c>
      <c r="AA195" s="62">
        <f t="shared" si="57"/>
        <v>5.7931999999999997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8"/>
        <v>0839-06</v>
      </c>
      <c r="AE195" s="85" t="str">
        <f t="shared" si="59"/>
        <v>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 &amp; 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</v>
      </c>
      <c r="AF195" s="82" t="str">
        <f t="shared" si="60"/>
        <v>"C:\Program Files (x86)\AstroGrep\AstroGrep.exe" /e /r /s /spath="%USERPROFILE%\AppData\Local\Temp\OnboardLogs" /stypes="app*4020*20170407*" /stext=" 01:.+((SYSTEM_STATE.+slice.+state.+changed )|(ment ac)|(multiple cpu faults)|(system.+state.+changed )|(\[timeout)|(PRM\|1\|D)|(kpr)|(kdp)|(\|lc)|(penalty))"</v>
      </c>
      <c r="AG195" s="1" t="str">
        <f t="shared" si="61"/>
        <v>NW</v>
      </c>
      <c r="AH195" s="86" t="str">
        <f t="shared" si="62"/>
        <v>"%USERPROFILE%\Documents\GitHub\eaglep3\Utilities\RefineRTDCRunTimes.py" --tripid 839-06 --locoid 4020 --swversion DE.1.0.9.0 --startMP 204:1009 --initTime 2017-04-06T18:39:43 --startdatetime 2017-04-06T18:51:30 --delay 2 --endMP 300:58941 --enddatetime 2017-04-06T19:06:21 --enforcementcount 0 &gt;&gt;C:\Users\stu\Documents\GitHub\eaglep3-reporting\EC\2017-04-06-refined-times.txt</v>
      </c>
      <c r="AI195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{"issue":{"subject":"","project_id":79,"tracker_id":40,"status_id":1,"priority_id":2,"assigned_to_id":23,"start_date":"2017-04-06","description":"","custom_fields":[{"id":1,"name":"Subdivision","value":"NW"},{"id":4,"name":"Milepost","value":"5.8941"},{"id":17,"name":"Train ID","value":"839-06"},{"id":16,"name":"Locomotive ID","value":"4020"},{"id":130,"name":"Impact","value":""},{"id":150,"name":"Time of Event (Mountain Time)","value":"19:06:21"},{"id":151,"name":"Denver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64"/>
        <v>start /low /b %USERPROFILE%\Documents\GitHub\eaglep3\Utilities\DownloadLogsFromS3.py --loco 4020 --day 2017-04-06</v>
      </c>
      <c r="AN195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01:06:21"},{"id":29,"name":"Sharepoint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821</v>
      </c>
      <c r="B196" s="7">
        <v>4001</v>
      </c>
      <c r="C196" s="21" t="s">
        <v>216</v>
      </c>
      <c r="D196" s="21" t="s">
        <v>994</v>
      </c>
      <c r="E196" s="13">
        <v>42831.817002314812</v>
      </c>
      <c r="F196" s="13">
        <v>42831.81827546296</v>
      </c>
      <c r="G196" s="7">
        <v>1</v>
      </c>
      <c r="H196" s="21" t="s">
        <v>1004</v>
      </c>
      <c r="I196" s="13">
        <v>42831.831932870373</v>
      </c>
      <c r="J196" s="7">
        <v>0</v>
      </c>
      <c r="K196" s="97" t="str">
        <f t="shared" si="51"/>
        <v>4001/4002</v>
      </c>
      <c r="L196" s="21" t="str">
        <f>VLOOKUP(A196,'Trips&amp;Operators'!$C$1:$G$99999,5,FALSE)</f>
        <v>SULLIVAN BRANDON</v>
      </c>
      <c r="M196" s="6">
        <f t="shared" si="52"/>
        <v>1.3657407413120382E-2</v>
      </c>
      <c r="N196" s="7">
        <f t="shared" si="70"/>
        <v>19.666666674893349</v>
      </c>
      <c r="O196" s="7"/>
      <c r="P196" s="7"/>
      <c r="Q196" s="22"/>
      <c r="R196" s="22"/>
      <c r="S196" s="31">
        <f t="shared" si="67"/>
        <v>1</v>
      </c>
      <c r="T196" s="46" t="str">
        <f t="shared" si="53"/>
        <v>Southbound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4"/>
        <v>https://d0f6bd738d7f1b3e5a7ca70fe4ff75f0.us-east-1.aws.found.io/app/kibana#/discover/Steve-Slow-Train-Analysis-(2080s-and-2083s)?_g=(refreshInterval:(display:Off,pause:!f,section:0,value:0),time:(from:'2017-04-06T18:36:29-0600',mode:absolute,to:'2017-04-06T20:57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6" s="183" t="str">
        <f t="shared" si="55"/>
        <v>N</v>
      </c>
      <c r="X196" s="183">
        <f t="shared" si="69"/>
        <v>1</v>
      </c>
      <c r="Y196" s="62">
        <f t="shared" si="56"/>
        <v>5.8624999999999998</v>
      </c>
      <c r="Z196" s="62">
        <f t="shared" si="68"/>
        <v>6.8400000000000002E-2</v>
      </c>
      <c r="AA196" s="62">
        <f t="shared" si="57"/>
        <v>5.7941000000000003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8"/>
        <v>0840-06</v>
      </c>
      <c r="AE196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196" s="82" t="str">
        <f t="shared" si="60"/>
        <v>"C:\Program Files (x86)\AstroGrep\AstroGrep.exe" /e /r /s /spath="%USERPROFILE%\AppData\Local\Temp\OnboardLogs" /stypes="app*4001*20170407*" /stext=" 01:.+((SYSTEM_STATE.+slice.+state.+changed )|(ment ac)|(multiple cpu faults)|(system.+state.+changed )|(\[timeout)|(PRM\|1\|D)|(kpr)|(kdp)|(\|lc)|(penalty))"</v>
      </c>
      <c r="AG196" s="1" t="str">
        <f t="shared" si="61"/>
        <v>NW</v>
      </c>
      <c r="AH196" s="86" t="str">
        <f t="shared" si="62"/>
        <v>"%USERPROFILE%\Documents\GitHub\eaglep3\Utilities\RefineRTDCRunTimes.py" --tripid 840-06 --locoid 4001 --swversion DE.1.0.9.0 --startMP 300:58625 --initTime 2017-04-06T19:36:29 --startdatetime 2017-04-06T19:38:19 --delay 1 --endMP 204:684 --enddatetime 2017-04-06T19:57:59 --enforcementcount 0 &gt;&gt;C:\Users\stu\Documents\GitHub\eaglep3-reporting\EC\2017-04-06-refined-times.txt</v>
      </c>
      <c r="AI196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{"issue":{"subject":"","project_id":79,"tracker_id":40,"status_id":1,"priority_id":2,"assigned_to_id":23,"start_date":"2017-04-06","description":"","custom_fields":[{"id":1,"name":"Subdivision","value":"NW"},{"id":4,"name":"Milepost","value":"0.0684"},{"id":17,"name":"Train ID","value":"840-06"},{"id":16,"name":"Locomotive ID","value":"4001"},{"id":130,"name":"Impact","value":""},{"id":150,"name":"Time of Event (Mountain Time)","value":"19:57:59"},{"id":151,"name":"Denver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64"/>
        <v>start /low /b %USERPROFILE%\Documents\GitHub\eaglep3\Utilities\DownloadLogsFromS3.py --loco 4001 --day 2017-04-06</v>
      </c>
      <c r="AN196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01:57:59"},{"id":29,"name":"Sharepoint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812</v>
      </c>
      <c r="B197" s="7">
        <v>4002</v>
      </c>
      <c r="C197" s="21" t="s">
        <v>216</v>
      </c>
      <c r="D197" s="21" t="s">
        <v>604</v>
      </c>
      <c r="E197" s="13">
        <v>42831.797013888892</v>
      </c>
      <c r="F197" s="13">
        <v>42831.806504629632</v>
      </c>
      <c r="G197" s="7">
        <v>1</v>
      </c>
      <c r="H197" s="21" t="s">
        <v>993</v>
      </c>
      <c r="I197" s="13">
        <v>42831.816250000003</v>
      </c>
      <c r="J197" s="7">
        <v>0</v>
      </c>
      <c r="K197" s="97" t="str">
        <f t="shared" si="51"/>
        <v>4001/4002</v>
      </c>
      <c r="L197" s="21" t="str">
        <f>VLOOKUP(A197,'Trips&amp;Operators'!$C$1:$G$99999,5,FALSE)</f>
        <v>SULLIVAN BRANDON</v>
      </c>
      <c r="M197" s="6">
        <f t="shared" si="52"/>
        <v>9.7453703710925765E-3</v>
      </c>
      <c r="N197" s="7">
        <f t="shared" si="70"/>
        <v>14.03333333437331</v>
      </c>
      <c r="O197" s="7"/>
      <c r="P197" s="7"/>
      <c r="Q197" s="22"/>
      <c r="R197" s="22"/>
      <c r="S197" s="31">
        <f t="shared" si="67"/>
        <v>1</v>
      </c>
      <c r="T197" s="46" t="str">
        <f t="shared" si="53"/>
        <v>NorthBound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54"/>
        <v>https://d0f6bd738d7f1b3e5a7ca70fe4ff75f0.us-east-1.aws.found.io/app/kibana#/discover/Steve-Slow-Train-Analysis-(2080s-and-2083s)?_g=(refreshInterval:(display:Off,pause:!f,section:0,value:0),time:(from:'2017-04-06T18:07:42-0600',mode:absolute,to:'2017-04-06T20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7" s="183" t="str">
        <f t="shared" si="55"/>
        <v>N</v>
      </c>
      <c r="X197" s="183">
        <f t="shared" si="69"/>
        <v>1</v>
      </c>
      <c r="Y197" s="62">
        <f t="shared" si="56"/>
        <v>9.69E-2</v>
      </c>
      <c r="Z197" s="62">
        <f t="shared" si="68"/>
        <v>5.8945999999999996</v>
      </c>
      <c r="AA197" s="62">
        <f t="shared" si="57"/>
        <v>5.7976999999999999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8"/>
        <v>0841-06</v>
      </c>
      <c r="AE197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197" s="82" t="str">
        <f t="shared" si="60"/>
        <v>"C:\Program Files (x86)\AstroGrep\AstroGrep.exe" /e /r /s /spath="%USERPROFILE%\AppData\Local\Temp\OnboardLogs" /stypes="app*4002*20170407*" /stext=" 01:.+((SYSTEM_STATE.+slice.+state.+changed )|(ment ac)|(multiple cpu faults)|(system.+state.+changed )|(\[timeout)|(PRM\|1\|D)|(kpr)|(kdp)|(\|lc)|(penalty))"</v>
      </c>
      <c r="AG197" s="1" t="str">
        <f t="shared" si="61"/>
        <v>NW</v>
      </c>
      <c r="AH197" s="86" t="str">
        <f t="shared" si="62"/>
        <v>"%USERPROFILE%\Documents\GitHub\eaglep3\Utilities\RefineRTDCRunTimes.py" --tripid 841-06 --locoid 4002 --swversion DE.1.0.9.0 --startMP 204:969 --initTime 2017-04-06T19:07:42 --startdatetime 2017-04-06T19:21:22 --delay 1 --endMP 300:58946 --enddatetime 2017-04-06T19:35:24 --enforcementcount 0 &gt;&gt;C:\Users\stu\Documents\GitHub\eaglep3-reporting\EC\2017-04-06-refined-times.txt</v>
      </c>
      <c r="AI197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{"issue":{"subject":"","project_id":79,"tracker_id":40,"status_id":1,"priority_id":2,"assigned_to_id":23,"start_date":"2017-04-06","description":"","custom_fields":[{"id":1,"name":"Subdivision","value":"NW"},{"id":4,"name":"Milepost","value":"5.8946"},{"id":17,"name":"Train ID","value":"841-06"},{"id":16,"name":"Locomotive ID","value":"4002"},{"id":130,"name":"Impact","value":""},{"id":150,"name":"Time of Event (Mountain Time)","value":"19:35:24"},{"id":151,"name":"Denver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64"/>
        <v>start /low /b %USERPROFILE%\Documents\GitHub\eaglep3\Utilities\DownloadLogsFromS3.py --loco 4002 --day 2017-04-06</v>
      </c>
      <c r="AN197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01:35:24"},{"id":29,"name":"Sharepoint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655</v>
      </c>
      <c r="B198" s="7">
        <v>4001</v>
      </c>
      <c r="C198" s="21" t="s">
        <v>216</v>
      </c>
      <c r="D198" s="21" t="s">
        <v>529</v>
      </c>
      <c r="E198" s="13">
        <v>42831.859409722223</v>
      </c>
      <c r="F198" s="13">
        <v>42831.860601851855</v>
      </c>
      <c r="G198" s="7">
        <v>1</v>
      </c>
      <c r="H198" s="21" t="s">
        <v>989</v>
      </c>
      <c r="I198" s="13">
        <v>42831.872187499997</v>
      </c>
      <c r="J198" s="7">
        <v>0</v>
      </c>
      <c r="K198" s="97" t="str">
        <f t="shared" si="51"/>
        <v>4001/4002</v>
      </c>
      <c r="L198" s="21" t="str">
        <f>VLOOKUP(A198,'Trips&amp;Operators'!$C$1:$G$99999,5,FALSE)</f>
        <v>SULLIVAN BRANDON</v>
      </c>
      <c r="M198" s="6">
        <f t="shared" si="52"/>
        <v>1.1585648142499849E-2</v>
      </c>
      <c r="N198" s="7">
        <f t="shared" si="70"/>
        <v>16.683333325199783</v>
      </c>
      <c r="O198" s="7"/>
      <c r="P198" s="7"/>
      <c r="Q198" s="22"/>
      <c r="R198" s="22"/>
      <c r="S198" s="31">
        <f t="shared" si="67"/>
        <v>1</v>
      </c>
      <c r="T198" s="46" t="str">
        <f t="shared" si="53"/>
        <v>Southbound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54"/>
        <v>https://d0f6bd738d7f1b3e5a7ca70fe4ff75f0.us-east-1.aws.found.io/app/kibana#/discover/Steve-Slow-Train-Analysis-(2080s-and-2083s)?_g=(refreshInterval:(display:Off,pause:!f,section:0,value:0),time:(from:'2017-04-06T19:37:33-0600',mode:absolute,to:'2017-04-06T21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98" s="183" t="str">
        <f t="shared" si="55"/>
        <v>N</v>
      </c>
      <c r="X198" s="183">
        <f t="shared" si="69"/>
        <v>1</v>
      </c>
      <c r="Y198" s="62">
        <f t="shared" si="56"/>
        <v>5.8620999999999999</v>
      </c>
      <c r="Z198" s="62">
        <f t="shared" si="68"/>
        <v>7.0599999999999996E-2</v>
      </c>
      <c r="AA198" s="62">
        <f t="shared" si="57"/>
        <v>5.7915000000000001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8"/>
        <v>0842-06</v>
      </c>
      <c r="AE198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198" s="82" t="str">
        <f t="shared" si="60"/>
        <v>"C:\Program Files (x86)\AstroGrep\AstroGrep.exe" /e /r /s /spath="%USERPROFILE%\AppData\Local\Temp\OnboardLogs" /stypes="app*4001*20170407*" /stext=" 02:.+((SYSTEM_STATE.+slice.+state.+changed )|(ment ac)|(multiple cpu faults)|(system.+state.+changed )|(\[timeout)|(PRM\|1\|D)|(kpr)|(kdp)|(\|lc)|(penalty))"</v>
      </c>
      <c r="AG198" s="1" t="str">
        <f t="shared" si="61"/>
        <v>NW</v>
      </c>
      <c r="AH198" s="86" t="str">
        <f t="shared" si="62"/>
        <v>"%USERPROFILE%\Documents\GitHub\eaglep3\Utilities\RefineRTDCRunTimes.py" --tripid 842-06 --locoid 4001 --swversion DE.1.0.9.0 --startMP 300:58621 --initTime 2017-04-06T20:37:33 --startdatetime 2017-04-06T20:39:16 --delay 1 --endMP 204:706 --enddatetime 2017-04-06T20:55:57 --enforcementcount 0 &gt;&gt;C:\Users\stu\Documents\GitHub\eaglep3-reporting\EC\2017-04-06-refined-times.txt</v>
      </c>
      <c r="AI198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{"issue":{"subject":"","project_id":79,"tracker_id":40,"status_id":1,"priority_id":2,"assigned_to_id":23,"start_date":"2017-04-06","description":"","custom_fields":[{"id":1,"name":"Subdivision","value":"NW"},{"id":4,"name":"Milepost","value":"0.0706"},{"id":17,"name":"Train ID","value":"842-06"},{"id":16,"name":"Locomotive ID","value":"4001"},{"id":130,"name":"Impact","value":""},{"id":150,"name":"Time of Event (Mountain Time)","value":"20:55:57"},{"id":151,"name":"Denver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64"/>
        <v>start /low /b %USERPROFILE%\Documents\GitHub\eaglep3\Utilities\DownloadLogsFromS3.py --loco 4001 --day 2017-04-06</v>
      </c>
      <c r="AN198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02:55:57"},{"id":29,"name":"Sharepoint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s="20" customFormat="1" x14ac:dyDescent="0.25">
      <c r="A199" s="33" t="s">
        <v>826</v>
      </c>
      <c r="B199" s="7">
        <v>4002</v>
      </c>
      <c r="C199" s="21" t="s">
        <v>216</v>
      </c>
      <c r="D199" s="21" t="s">
        <v>475</v>
      </c>
      <c r="E199" s="13">
        <v>42831.84233796296</v>
      </c>
      <c r="F199" s="13">
        <v>42831.848113425927</v>
      </c>
      <c r="G199" s="7">
        <v>1</v>
      </c>
      <c r="H199" s="21" t="s">
        <v>1005</v>
      </c>
      <c r="I199" s="13">
        <v>42831.858703703707</v>
      </c>
      <c r="J199" s="7">
        <v>0</v>
      </c>
      <c r="K199" s="97" t="str">
        <f t="shared" si="51"/>
        <v>4001/4002</v>
      </c>
      <c r="L199" s="21" t="str">
        <f>VLOOKUP(A199,'Trips&amp;Operators'!$C$1:$G$99999,5,FALSE)</f>
        <v>SULLIVAN BRANDON</v>
      </c>
      <c r="M199" s="6">
        <f t="shared" si="52"/>
        <v>1.0590277779556345E-2</v>
      </c>
      <c r="N199" s="7">
        <f t="shared" si="70"/>
        <v>15.250000002561137</v>
      </c>
      <c r="O199" s="7"/>
      <c r="P199" s="7"/>
      <c r="Q199" s="22"/>
      <c r="R199" s="22"/>
      <c r="S199" s="31">
        <f t="shared" si="67"/>
        <v>1</v>
      </c>
      <c r="T199" s="46" t="str">
        <f t="shared" si="53"/>
        <v>NorthBound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54"/>
        <v>https://d0f6bd738d7f1b3e5a7ca70fe4ff75f0.us-east-1.aws.found.io/app/kibana#/discover/Steve-Slow-Train-Analysis-(2080s-and-2083s)?_g=(refreshInterval:(display:Off,pause:!f,section:0,value:0),time:(from:'2017-04-06T19:12:58-0600',mode:absolute,to:'2017-04-06T21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99" s="183" t="str">
        <f t="shared" si="55"/>
        <v>N</v>
      </c>
      <c r="X199" s="183">
        <f t="shared" si="69"/>
        <v>1</v>
      </c>
      <c r="Y199" s="62">
        <f t="shared" si="56"/>
        <v>9.74E-2</v>
      </c>
      <c r="Z199" s="62">
        <f t="shared" si="68"/>
        <v>5.8933</v>
      </c>
      <c r="AA199" s="62">
        <f t="shared" si="57"/>
        <v>5.7958999999999996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8"/>
        <v>0843-06</v>
      </c>
      <c r="AE199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199" s="82" t="str">
        <f t="shared" si="60"/>
        <v>"C:\Program Files (x86)\AstroGrep\AstroGrep.exe" /e /r /s /spath="%USERPROFILE%\AppData\Local\Temp\OnboardLogs" /stypes="app*4002*20170407*" /stext=" 02:.+((SYSTEM_STATE.+slice.+state.+changed )|(ment ac)|(multiple cpu faults)|(system.+state.+changed )|(\[timeout)|(PRM\|1\|D)|(kpr)|(kdp)|(\|lc)|(penalty))"</v>
      </c>
      <c r="AG199" s="1" t="str">
        <f t="shared" si="61"/>
        <v>NW</v>
      </c>
      <c r="AH199" s="86" t="str">
        <f t="shared" si="62"/>
        <v>"%USERPROFILE%\Documents\GitHub\eaglep3\Utilities\RefineRTDCRunTimes.py" --tripid 843-06 --locoid 4002 --swversion DE.1.0.9.0 --startMP 204:974 --initTime 2017-04-06T20:12:58 --startdatetime 2017-04-06T20:21:17 --delay 1 --endMP 300:58933 --enddatetime 2017-04-06T20:36:32 --enforcementcount 0 &gt;&gt;C:\Users\stu\Documents\GitHub\eaglep3-reporting\EC\2017-04-06-refined-times.txt</v>
      </c>
      <c r="AI199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{"issue":{"subject":"","project_id":79,"tracker_id":40,"status_id":1,"priority_id":2,"assigned_to_id":23,"start_date":"2017-04-06","description":"","custom_fields":[{"id":1,"name":"Subdivision","value":"NW"},{"id":4,"name":"Milepost","value":"5.8933"},{"id":17,"name":"Train ID","value":"843-06"},{"id":16,"name":"Locomotive ID","value":"4002"},{"id":130,"name":"Impact","value":""},{"id":150,"name":"Time of Event (Mountain Time)","value":"20:36:32"},{"id":151,"name":"Denver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8"/>
      <c r="AL199" s="48"/>
      <c r="AM199" s="150" t="str">
        <f t="shared" si="64"/>
        <v>start /low /b %USERPROFILE%\Documents\GitHub\eaglep3\Utilities\DownloadLogsFromS3.py --loco 4002 --day 2017-04-06</v>
      </c>
      <c r="AN199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02:36:32"},{"id":29,"name":"Sharepoint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835</v>
      </c>
      <c r="B200" s="7">
        <v>4001</v>
      </c>
      <c r="C200" s="21" t="s">
        <v>216</v>
      </c>
      <c r="D200" s="21" t="s">
        <v>980</v>
      </c>
      <c r="E200" s="13">
        <v>42831.901504629626</v>
      </c>
      <c r="F200" s="13">
        <v>42831.902800925927</v>
      </c>
      <c r="G200" s="7">
        <v>1</v>
      </c>
      <c r="H200" s="21" t="s">
        <v>1006</v>
      </c>
      <c r="I200" s="13">
        <v>42831.913784722223</v>
      </c>
      <c r="J200" s="7">
        <v>0</v>
      </c>
      <c r="K200" s="97" t="str">
        <f t="shared" si="51"/>
        <v>4001/4002</v>
      </c>
      <c r="L200" s="21" t="str">
        <f>VLOOKUP(A200,'Trips&amp;Operators'!$C$1:$G$99999,5,FALSE)</f>
        <v>STORY SAMANTHA</v>
      </c>
      <c r="M200" s="6">
        <f t="shared" si="52"/>
        <v>1.0983796295477077E-2</v>
      </c>
      <c r="N200" s="7">
        <f t="shared" si="70"/>
        <v>15.816666665486991</v>
      </c>
      <c r="O200" s="7"/>
      <c r="P200" s="7"/>
      <c r="Q200" s="22"/>
      <c r="R200" s="22"/>
      <c r="S200" s="31">
        <f t="shared" si="67"/>
        <v>1</v>
      </c>
      <c r="T200" s="46" t="str">
        <f t="shared" si="53"/>
        <v>Southbound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4"/>
        <v>https://d0f6bd738d7f1b3e5a7ca70fe4ff75f0.us-east-1.aws.found.io/app/kibana#/discover/Steve-Slow-Train-Analysis-(2080s-and-2083s)?_g=(refreshInterval:(display:Off,pause:!f,section:0,value:0),time:(from:'2017-04-06T20:38:10-0600',mode:absolute,to:'2017-04-06T22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0" s="183" t="str">
        <f t="shared" si="55"/>
        <v>N</v>
      </c>
      <c r="X200" s="183">
        <f t="shared" si="69"/>
        <v>1</v>
      </c>
      <c r="Y200" s="62">
        <f t="shared" si="56"/>
        <v>5.8651</v>
      </c>
      <c r="Z200" s="62">
        <f t="shared" si="68"/>
        <v>6.2899999999999998E-2</v>
      </c>
      <c r="AA200" s="62">
        <f t="shared" si="57"/>
        <v>5.8022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8"/>
        <v>0844-06</v>
      </c>
      <c r="AE200" s="85" t="str">
        <f t="shared" si="59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200" s="82" t="str">
        <f t="shared" si="60"/>
        <v>"C:\Program Files (x86)\AstroGrep\AstroGrep.exe" /e /r /s /spath="%USERPROFILE%\AppData\Local\Temp\OnboardLogs" /stypes="app*4001*20170407*" /stext=" 03:.+((SYSTEM_STATE.+slice.+state.+changed )|(ment ac)|(multiple cpu faults)|(system.+state.+changed )|(\[timeout)|(PRM\|1\|D)|(kpr)|(kdp)|(\|lc)|(penalty))"</v>
      </c>
      <c r="AG200" s="1" t="str">
        <f t="shared" si="61"/>
        <v>NW</v>
      </c>
      <c r="AH200" s="86" t="str">
        <f t="shared" si="62"/>
        <v>"%USERPROFILE%\Documents\GitHub\eaglep3\Utilities\RefineRTDCRunTimes.py" --tripid 844-06 --locoid 4001 --swversion DE.1.0.9.0 --startMP 300:58651 --initTime 2017-04-06T21:38:10 --startdatetime 2017-04-06T21:40:02 --delay 1 --endMP 204:629 --enddatetime 2017-04-06T21:55:51 --enforcementcount 0 &gt;&gt;C:\Users\stu\Documents\GitHub\eaglep3-reporting\EC\2017-04-06-refined-times.txt</v>
      </c>
      <c r="AI200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{"issue":{"subject":"","project_id":79,"tracker_id":40,"status_id":1,"priority_id":2,"assigned_to_id":23,"start_date":"2017-04-06","description":"","custom_fields":[{"id":1,"name":"Subdivision","value":"NW"},{"id":4,"name":"Milepost","value":"0.0629"},{"id":17,"name":"Train ID","value":"844-06"},{"id":16,"name":"Locomotive ID","value":"4001"},{"id":130,"name":"Impact","value":""},{"id":150,"name":"Time of Event (Mountain Time)","value":"21:55:51"},{"id":151,"name":"Denver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64"/>
        <v>start /low /b %USERPROFILE%\Documents\GitHub\eaglep3\Utilities\DownloadLogsFromS3.py --loco 4001 --day 2017-04-06</v>
      </c>
      <c r="AN200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03:55:51"},{"id":29,"name":"Sharepoint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832</v>
      </c>
      <c r="B201" s="7">
        <v>4002</v>
      </c>
      <c r="C201" s="21" t="s">
        <v>216</v>
      </c>
      <c r="D201" s="21" t="s">
        <v>475</v>
      </c>
      <c r="E201" s="13">
        <v>42831.87835648148</v>
      </c>
      <c r="F201" s="13">
        <v>42831.889861111114</v>
      </c>
      <c r="G201" s="7">
        <v>9</v>
      </c>
      <c r="H201" s="21" t="s">
        <v>979</v>
      </c>
      <c r="I201" s="13">
        <v>42831.899988425925</v>
      </c>
      <c r="J201" s="7">
        <v>0</v>
      </c>
      <c r="K201" s="97" t="str">
        <f t="shared" si="51"/>
        <v>4001/4002</v>
      </c>
      <c r="L201" s="21" t="str">
        <f>VLOOKUP(A201,'Trips&amp;Operators'!$C$1:$G$99999,5,FALSE)</f>
        <v>STORY SAMANTHA</v>
      </c>
      <c r="M201" s="6">
        <f t="shared" si="52"/>
        <v>1.0127314810233656E-2</v>
      </c>
      <c r="N201" s="7">
        <f t="shared" si="70"/>
        <v>14.583333326736465</v>
      </c>
      <c r="O201" s="7"/>
      <c r="P201" s="7"/>
      <c r="Q201" s="22"/>
      <c r="R201" s="22"/>
      <c r="S201" s="31">
        <f t="shared" si="67"/>
        <v>1</v>
      </c>
      <c r="T201" s="46" t="str">
        <f t="shared" si="53"/>
        <v>NorthBound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54"/>
        <v>https://d0f6bd738d7f1b3e5a7ca70fe4ff75f0.us-east-1.aws.found.io/app/kibana#/discover/Steve-Slow-Train-Analysis-(2080s-and-2083s)?_g=(refreshInterval:(display:Off,pause:!f,section:0,value:0),time:(from:'2017-04-06T20:04:50-0600',mode:absolute,to:'2017-04-06T22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1" s="183" t="str">
        <f t="shared" si="55"/>
        <v>N</v>
      </c>
      <c r="X201" s="183">
        <f t="shared" ref="X201:X227" si="71">VALUE(LEFT(AD201,4))-VALUE(LEFT(AD200,4))</f>
        <v>1</v>
      </c>
      <c r="Y201" s="62">
        <f t="shared" si="56"/>
        <v>9.74E-2</v>
      </c>
      <c r="Z201" s="62">
        <f t="shared" si="68"/>
        <v>5.8968999999999996</v>
      </c>
      <c r="AA201" s="62">
        <f t="shared" si="57"/>
        <v>5.7994999999999992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8"/>
        <v>0845-06</v>
      </c>
      <c r="AE201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201" s="82" t="str">
        <f t="shared" si="60"/>
        <v>"C:\Program Files (x86)\AstroGrep\AstroGrep.exe" /e /r /s /spath="%USERPROFILE%\AppData\Local\Temp\OnboardLogs" /stypes="app*4002*20170407*" /stext=" 03:.+((SYSTEM_STATE.+slice.+state.+changed )|(ment ac)|(multiple cpu faults)|(system.+state.+changed )|(\[timeout)|(PRM\|1\|D)|(kpr)|(kdp)|(\|lc)|(penalty))"</v>
      </c>
      <c r="AG201" s="1" t="str">
        <f t="shared" si="61"/>
        <v>NW</v>
      </c>
      <c r="AH201" s="86" t="str">
        <f t="shared" si="62"/>
        <v>"%USERPROFILE%\Documents\GitHub\eaglep3\Utilities\RefineRTDCRunTimes.py" --tripid 845-06 --locoid 4002 --swversion DE.1.0.9.0 --startMP 204:974 --initTime 2017-04-06T21:04:50 --startdatetime 2017-04-06T21:21:24 --delay 9 --endMP 300:58969 --enddatetime 2017-04-06T21:35:59 --enforcementcount 0 &gt;&gt;C:\Users\stu\Documents\GitHub\eaglep3-reporting\EC\2017-04-06-refined-times.txt</v>
      </c>
      <c r="AI201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{"issue":{"subject":"","project_id":79,"tracker_id":40,"status_id":1,"priority_id":2,"assigned_to_id":23,"start_date":"2017-04-06","description":"","custom_fields":[{"id":1,"name":"Subdivision","value":"NW"},{"id":4,"name":"Milepost","value":"5.8969"},{"id":17,"name":"Train ID","value":"845-06"},{"id":16,"name":"Locomotive ID","value":"4002"},{"id":130,"name":"Impact","value":""},{"id":150,"name":"Time of Event (Mountain Time)","value":"21:35:59"},{"id":151,"name":"Denver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64"/>
        <v>start /low /b %USERPROFILE%\Documents\GitHub\eaglep3\Utilities\DownloadLogsFromS3.py --loco 4002 --day 2017-04-06</v>
      </c>
      <c r="AN201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03:35:59"},{"id":29,"name":"Sharepoint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838</v>
      </c>
      <c r="B202" s="7">
        <v>4002</v>
      </c>
      <c r="C202" s="21" t="s">
        <v>216</v>
      </c>
      <c r="D202" s="21" t="s">
        <v>1007</v>
      </c>
      <c r="E202" s="13">
        <v>42831.920243055552</v>
      </c>
      <c r="F202" s="13">
        <v>42831.93172453704</v>
      </c>
      <c r="G202" s="7">
        <v>1</v>
      </c>
      <c r="H202" s="21" t="s">
        <v>606</v>
      </c>
      <c r="I202" s="13">
        <v>42831.941921296297</v>
      </c>
      <c r="J202" s="7">
        <v>0</v>
      </c>
      <c r="K202" s="97" t="str">
        <f t="shared" si="51"/>
        <v>4001/4002</v>
      </c>
      <c r="L202" s="21" t="str">
        <f>VLOOKUP(A202,'Trips&amp;Operators'!$C$1:$G$99999,5,FALSE)</f>
        <v>STORY SAMANTHA</v>
      </c>
      <c r="M202" s="6">
        <f t="shared" si="52"/>
        <v>1.0196759256359655E-2</v>
      </c>
      <c r="N202" s="7">
        <f t="shared" si="70"/>
        <v>14.683333329157904</v>
      </c>
      <c r="O202" s="7"/>
      <c r="P202" s="7"/>
      <c r="Q202" s="22"/>
      <c r="R202" s="22"/>
      <c r="S202" s="31">
        <f t="shared" si="67"/>
        <v>1</v>
      </c>
      <c r="T202" s="46" t="str">
        <f t="shared" si="53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4"/>
        <v>https://d0f6bd738d7f1b3e5a7ca70fe4ff75f0.us-east-1.aws.found.io/app/kibana#/discover/Steve-Slow-Train-Analysis-(2080s-and-2083s)?_g=(refreshInterval:(display:Off,pause:!f,section:0,value:0),time:(from:'2017-04-06T21:05:09-0600',mode:absolute,to:'2017-04-06T23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2" s="183" t="str">
        <f t="shared" si="55"/>
        <v>N</v>
      </c>
      <c r="X202" s="183">
        <f t="shared" si="71"/>
        <v>2</v>
      </c>
      <c r="Y202" s="62">
        <f t="shared" si="56"/>
        <v>8.8700000000000001E-2</v>
      </c>
      <c r="Z202" s="62">
        <f t="shared" si="68"/>
        <v>5.8967000000000001</v>
      </c>
      <c r="AA202" s="62">
        <f t="shared" si="57"/>
        <v>5.8079999999999998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8"/>
        <v>0847-06</v>
      </c>
      <c r="AE202" s="85" t="str">
        <f t="shared" si="59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202" s="82" t="str">
        <f t="shared" si="60"/>
        <v>"C:\Program Files (x86)\AstroGrep\AstroGrep.exe" /e /r /s /spath="%USERPROFILE%\AppData\Local\Temp\OnboardLogs" /stypes="app*4002*20170407*" /stext=" 04:.+((SYSTEM_STATE.+slice.+state.+changed )|(ment ac)|(multiple cpu faults)|(system.+state.+changed )|(\[timeout)|(PRM\|1\|D)|(kpr)|(kdp)|(\|lc)|(penalty))"</v>
      </c>
      <c r="AG202" s="1" t="str">
        <f t="shared" si="61"/>
        <v>NW</v>
      </c>
      <c r="AH202" s="86" t="str">
        <f t="shared" si="62"/>
        <v>"%USERPROFILE%\Documents\GitHub\eaglep3\Utilities\RefineRTDCRunTimes.py" --tripid 847-06 --locoid 4002 --swversion DE.1.0.9.0 --startMP 204:887 --initTime 2017-04-06T22:05:09 --startdatetime 2017-04-06T22:21:41 --delay 1 --endMP 300:58967 --enddatetime 2017-04-06T22:36:22 --enforcementcount 0 &gt;&gt;C:\Users\stu\Documents\GitHub\eaglep3-reporting\EC\2017-04-06-refined-times.txt</v>
      </c>
      <c r="AI202" s="104" t="str">
        <f t="shared" si="63"/>
        <v>echo {"issue":{"subject":"","project_id":79,"tracker_id":40,"status_id":1,"priority_id":2,"assigned_to_id":23,"start_date":"2017-04-06","description":"","custom_fields":[{"id":1,"name":"Subdivision","value":"NW"},{"id":4,"name":"Milepost","value":"5.8967"},{"id":17,"name":"Train ID","value":"847-06"},{"id":16,"name":"Locomotive ID","value":"4002"},{"id":130,"name":"Impact","value":""},{"id":150,"name":"Time of Event (Mountain Time)","value":"22:36:22"},{"id":151,"name":"Denver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64"/>
        <v>start /low /b %USERPROFILE%\Documents\GitHub\eaglep3\Utilities\DownloadLogsFromS3.py --loco 4002 --day 2017-04-06</v>
      </c>
      <c r="AN202" s="159" t="str">
        <f t="shared" si="65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04:36:22"},{"id":29,"name":"Sharepoint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564</v>
      </c>
      <c r="B203" s="7">
        <v>4013</v>
      </c>
      <c r="C203" s="21" t="s">
        <v>216</v>
      </c>
      <c r="D203" s="21" t="s">
        <v>599</v>
      </c>
      <c r="E203" s="13">
        <v>42831.112430555557</v>
      </c>
      <c r="F203" s="13">
        <v>42831.120694444442</v>
      </c>
      <c r="G203" s="7">
        <v>11</v>
      </c>
      <c r="H203" s="21" t="s">
        <v>409</v>
      </c>
      <c r="I203" s="13">
        <v>42831.134618055556</v>
      </c>
      <c r="J203" s="7">
        <v>0</v>
      </c>
      <c r="K203" s="97" t="str">
        <f t="shared" si="51"/>
        <v>4013/4014</v>
      </c>
      <c r="L203" s="21" t="str">
        <f>VLOOKUP(A203,'Trips&amp;Operators'!$C$1:$G$99999,5,FALSE)</f>
        <v>BADERTSCHER DIANE</v>
      </c>
      <c r="M203" s="6">
        <f t="shared" si="52"/>
        <v>1.3923611113568768E-2</v>
      </c>
      <c r="N203" s="7">
        <f t="shared" si="70"/>
        <v>20.050000003539026</v>
      </c>
      <c r="O203" s="7"/>
      <c r="P203" s="7"/>
      <c r="Q203" s="22"/>
      <c r="R203" s="22"/>
      <c r="S203" s="31">
        <f t="shared" si="67"/>
        <v>1</v>
      </c>
      <c r="T203" s="46" t="str">
        <f t="shared" si="53"/>
        <v>Southbound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4"/>
        <v>https://d0f6bd738d7f1b3e5a7ca70fe4ff75f0.us-east-1.aws.found.io/app/kibana#/discover/Steve-Slow-Train-Analysis-(2080s-and-2083s)?_g=(refreshInterval:(display:Off,pause:!f,section:0,value:0),time:(from:'2017-04-06T01:41:54-0600',mode:absolute,to:'2017-04-06T04:13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3" s="183" t="str">
        <f t="shared" si="55"/>
        <v>Y</v>
      </c>
      <c r="X203" s="183">
        <f t="shared" si="71"/>
        <v>-545</v>
      </c>
      <c r="Y203" s="62">
        <f t="shared" si="56"/>
        <v>2.2269999999999999</v>
      </c>
      <c r="Z203" s="62">
        <f t="shared" si="68"/>
        <v>1.3899999999999999E-2</v>
      </c>
      <c r="AA203" s="62">
        <f t="shared" si="57"/>
        <v>2.2130999999999998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8"/>
        <v>0302-06</v>
      </c>
      <c r="AE203" s="85" t="str">
        <f t="shared" si="59"/>
        <v>aws s3 cp s3://rtdc.mdm.uploadarchive.raw/RTDC4013/ "%USERPROFILE%\AppData\Local\Temp\OnboardLogs"\RTDC4013\2017-04-06 --exclude "*" --recursive --include "*20170406*" &amp; "%USERPROFILE%\Documents\GitHub\mrs-test-scripts\Headless Mode &amp; Sideloading\WalkAndUnGZ.bat" "%USERPROFILE%\AppData\Local\Temp\OnboardLogs"\RTDC4013\2017-04-06 &amp; 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</v>
      </c>
      <c r="AF203" s="82" t="str">
        <f t="shared" si="60"/>
        <v>"C:\Program Files (x86)\AstroGrep\AstroGrep.exe" /e /r /s /spath="%USERPROFILE%\AppData\Local\Temp\OnboardLogs" /stypes="app*4013*20170406*" /stext=" 09:.+((SYSTEM_STATE.+slice.+state.+changed )|(ment ac)|(multiple cpu faults)|(system.+state.+changed )|(\[timeout)|(PRM\|1\|D)|(kpr)|(kdp)|(\|lc)|(penalty))"</v>
      </c>
      <c r="AG203" s="1" t="str">
        <f t="shared" si="61"/>
        <v>Other</v>
      </c>
      <c r="AH203" s="86" t="str">
        <f t="shared" si="62"/>
        <v>"%USERPROFILE%\Documents\GitHub\eaglep3\Utilities\RefineRTDCRunTimes.py" --tripid 302-06 --locoid 4013 --swversion DE.1.0.9.0 --startMP 300:22270 --initTime 2017-04-06T02:41:54 --startdatetime 2017-04-06T02:53:48 --delay 11 --endMP 204:139 --enddatetime 2017-04-06T03:13:51 --enforcementcount 0 &gt;&gt;C:\Users\stu\Documents\GitHub\eaglep3-reporting\EC\2017-04-06-refined-times.txt</v>
      </c>
      <c r="AI203" s="104" t="str">
        <f t="shared" si="63"/>
        <v>echo {"issue":{"subject":"","project_id":79,"tracker_id":40,"status_id":1,"priority_id":2,"assigned_to_id":23,"start_date":"2017-04-06","description":"","custom_fields":[{"id":1,"name":"Subdivision","value":"Other"},{"id":4,"name":"Milepost","value":"0.0139"},{"id":17,"name":"Train ID","value":"302-06"},{"id":16,"name":"Locomotive ID","value":"4013"},{"id":130,"name":"Impact","value":""},{"id":150,"name":"Time of Event (Mountain Time)","value":"03:13:51"},{"id":151,"name":"Denver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64"/>
        <v>start /low /b %USERPROFILE%\Documents\GitHub\eaglep3\Utilities\DownloadLogsFromS3.py --loco 4013 --day 2017-04-06</v>
      </c>
      <c r="AN203" s="159" t="str">
        <f t="shared" si="65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09:13:51"},{"id":29,"name":"Sharepoint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811</v>
      </c>
      <c r="B204" s="7">
        <v>4018</v>
      </c>
      <c r="C204" s="21" t="s">
        <v>216</v>
      </c>
      <c r="D204" s="21" t="s">
        <v>207</v>
      </c>
      <c r="E204" s="13">
        <v>42831.77753472222</v>
      </c>
      <c r="F204" s="13">
        <v>42831.778865740744</v>
      </c>
      <c r="G204" s="7">
        <v>1</v>
      </c>
      <c r="H204" s="21" t="s">
        <v>920</v>
      </c>
      <c r="I204" s="13">
        <v>42831.785138888888</v>
      </c>
      <c r="J204" s="7">
        <v>0</v>
      </c>
      <c r="K204" s="97" t="str">
        <f t="shared" ref="K204:K243" si="72">IF(ISEVEN(B204),(B204-1)&amp;"/"&amp;B204,B204&amp;"/"&amp;(B204+1))</f>
        <v>4017/4018</v>
      </c>
      <c r="L204" s="21" t="str">
        <f>VLOOKUP(A204,'Trips&amp;Operators'!$C$1:$G$99999,5,FALSE)</f>
        <v>SMITH MICHAEL</v>
      </c>
      <c r="M204" s="6">
        <f t="shared" ref="M204:M243" si="73">I204-F204</f>
        <v>6.2731481448281556E-3</v>
      </c>
      <c r="N204" s="7">
        <f t="shared" si="70"/>
        <v>9.0333333285525441</v>
      </c>
      <c r="O204" s="7"/>
      <c r="P204" s="7"/>
      <c r="Q204" s="22"/>
      <c r="R204" s="22"/>
      <c r="S204" s="31">
        <f t="shared" si="67"/>
        <v>1</v>
      </c>
      <c r="T204" s="46" t="str">
        <f t="shared" ref="T204:T243" si="74">IF(ISEVEN(LEFT(AD204,4)),"Southbound","NorthBound")</f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ref="V204:V243" si="75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-04-06T17:39:39-0600',mode:absolute,to:'2017-04-06T19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4" s="183" t="str">
        <f t="shared" ref="W204:W243" si="76">IF(AA204&lt;IF(AG204="EC",23,5.65),"Y","N")</f>
        <v>Y</v>
      </c>
      <c r="X204" s="183">
        <f t="shared" si="71"/>
        <v>1</v>
      </c>
      <c r="Y204" s="62">
        <f t="shared" ref="Y204:Y243" si="77">RIGHT(D204,LEN(D204)-4)/10000</f>
        <v>4.5999999999999999E-2</v>
      </c>
      <c r="Z204" s="62">
        <f t="shared" si="68"/>
        <v>2.3302</v>
      </c>
      <c r="AA204" s="62">
        <f t="shared" ref="AA204:AA243" si="78">ABS(Z204-Y204)</f>
        <v>2.2842000000000002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ref="AD204:AD243" si="79">IF(LEN(A204)=6,"0"&amp;A204,A204)</f>
        <v>0303-06</v>
      </c>
      <c r="AE204" s="85" t="str">
        <f t="shared" ref="AE204:AE243" si="80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 &amp; aws s3 cp s3://rtdc.mdm.uploadarchive.raw/RTDC4018/ "%USERPROFILE%\AppData\Local\Temp\OnboardLogs"\RTDC4018\2017-04-07 --exclude "*" --recursive --include "*20170407*" &amp; "%USERPROFILE%\Documents\GitHub\mrs-test-scripts\Headless Mode &amp; Sideloading\WalkAndUnGZ.bat" "%USERPROFILE%\AppData\Local\Temp\OnboardLogs"\RTDC4018\2017-04-07</v>
      </c>
      <c r="AF204" s="82" t="str">
        <f t="shared" ref="AF204:AF243" si="81"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/stypes="app*4018*20170407*" /stext=" 00:.+((SYSTEM_STATE.+slice.+state.+changed )|(ment ac)|(multiple cpu faults)|(system.+state.+changed )|(\[timeout)|(PRM\|1\|D)|(kpr)|(kdp)|(\|lc)|(penalty))"</v>
      </c>
      <c r="AG204" s="1" t="str">
        <f t="shared" ref="AG204:AG243" si="82">IFERROR(IF(VALUE(LEFT(AD204,2))&lt;=2,"EC",IF(OR(VALUE(LEFT(AD204,2))=8,VALUE(LEFT(AD204,2))=18),"NW","Other")),"Other")</f>
        <v>Other</v>
      </c>
      <c r="AH204" s="86" t="str">
        <f t="shared" ref="AH204:AH243" si="83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303-06 --locoid 4018 --swversion DE.1.0.9.0 --startMP 204:460 --initTime 2017-04-06T18:39:39 --startdatetime 2017-04-06T18:41:34 --delay 1 --endMP 300:23302 --enddatetime 2017-04-06T18:50:36 --enforcementcount 0 &gt;&gt;C:\Users\stu\Documents\GitHub\eaglep3-reporting\EC\2017-04-06-refined-times.txt</v>
      </c>
      <c r="AI204" s="104" t="str">
        <f t="shared" ref="AI204:AI243" si="84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{"issue":{"subject":"","project_id":79,"tracker_id":40,"status_id":1,"priority_id":2,"assigned_to_id":23,"start_date":"2017-04-06","description":"","custom_fields":[{"id":1,"name":"Subdivision","value":"Other"},{"id":4,"name":"Milepost","value":"2.3302"},{"id":17,"name":"Train ID","value":"303-06"},{"id":16,"name":"Locomotive ID","value":"4018"},{"id":130,"name":"Impact","value":""},{"id":150,"name":"Time of Event (Mountain Time)","value":"18:50:36"},{"id":151,"name":"Denver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ref="AM204:AM243" si="85">"start /low /b "&amp;dls3logs&amp;" --loco "&amp;B204&amp;" --day "&amp;TEXT(F204,"YYYY-MM-DD")</f>
        <v>start /low /b %USERPROFILE%\Documents\GitHub\eaglep3\Utilities\DownloadLogsFromS3.py --loco 4018 --day 2017-04-06</v>
      </c>
      <c r="AN204" s="159" t="str">
        <f t="shared" ref="AN204:AN243" si="86">"echo {""issue"":{""subject"":"""&amp;R204&amp;""",""project_id"":30,""tracker_id"":4,""status_id"":"&amp;redmine_status_wcr&amp;",""priority_id"":"&amp;redmine_priority_wcr&amp;",""assigned_to_id"":"&amp;redmine_assignee_wcr&amp;",""start_date"":"""&amp;TEXT(I204-utc_offset/24,"YYYY-mm-dd")&amp;""",""description"":"""&amp;AJ204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00:50:36"},{"id":29,"name":"Sharepoint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658</v>
      </c>
      <c r="B205" s="7">
        <v>4009</v>
      </c>
      <c r="C205" s="21" t="s">
        <v>216</v>
      </c>
      <c r="D205" s="21" t="s">
        <v>921</v>
      </c>
      <c r="E205" s="13">
        <v>42831.136608796296</v>
      </c>
      <c r="F205" s="13">
        <v>42831.139386574076</v>
      </c>
      <c r="G205" s="7">
        <v>3</v>
      </c>
      <c r="H205" s="21" t="s">
        <v>922</v>
      </c>
      <c r="I205" s="13">
        <v>42831.146249999998</v>
      </c>
      <c r="J205" s="7">
        <v>0</v>
      </c>
      <c r="K205" s="97" t="str">
        <f t="shared" si="72"/>
        <v>4009/4010</v>
      </c>
      <c r="L205" s="21" t="str">
        <f>VLOOKUP(A205,'Trips&amp;Operators'!$C$1:$G$99999,5,FALSE)</f>
        <v>FORTUNATO FRANK</v>
      </c>
      <c r="M205" s="6">
        <f t="shared" si="73"/>
        <v>6.8634259223472327E-3</v>
      </c>
      <c r="N205" s="7">
        <f t="shared" si="70"/>
        <v>9.8833333281800151</v>
      </c>
      <c r="O205" s="7"/>
      <c r="P205" s="7"/>
      <c r="Q205" s="22"/>
      <c r="R205" s="22"/>
      <c r="S205" s="31">
        <f t="shared" si="67"/>
        <v>1</v>
      </c>
      <c r="T205" s="46" t="str">
        <f t="shared" si="74"/>
        <v>Southbound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si="75"/>
        <v>https://d0f6bd738d7f1b3e5a7ca70fe4ff75f0.us-east-1.aws.found.io/app/kibana#/discover/Steve-Slow-Train-Analysis-(2080s-and-2083s)?_g=(refreshInterval:(display:Off,pause:!f,section:0,value:0),time:(from:'2017-04-06T02:16:43-0600',mode:absolute,to:'2017-04-06T04:30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5" s="183" t="str">
        <f t="shared" si="76"/>
        <v>Y</v>
      </c>
      <c r="X205" s="183">
        <f t="shared" si="71"/>
        <v>1</v>
      </c>
      <c r="Y205" s="62">
        <f t="shared" si="77"/>
        <v>2.3540000000000001</v>
      </c>
      <c r="Z205" s="62">
        <f t="shared" si="68"/>
        <v>1.8100000000000002E-2</v>
      </c>
      <c r="AA205" s="62">
        <f t="shared" si="78"/>
        <v>2.3359000000000001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79"/>
        <v>0304-06</v>
      </c>
      <c r="AE205" s="85" t="str">
        <f t="shared" si="80"/>
        <v>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 &amp; 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</v>
      </c>
      <c r="AF205" s="82" t="str">
        <f t="shared" si="81"/>
        <v>"C:\Program Files (x86)\AstroGrep\AstroGrep.exe" /e /r /s /spath="%USERPROFILE%\AppData\Local\Temp\OnboardLogs" /stypes="app*4009*20170406*" /stext=" 09:.+((SYSTEM_STATE.+slice.+state.+changed )|(ment ac)|(multiple cpu faults)|(system.+state.+changed )|(\[timeout)|(PRM\|1\|D)|(kpr)|(kdp)|(\|lc)|(penalty))"</v>
      </c>
      <c r="AG205" s="1" t="str">
        <f t="shared" si="82"/>
        <v>Other</v>
      </c>
      <c r="AH205" s="86" t="str">
        <f t="shared" si="83"/>
        <v>"%USERPROFILE%\Documents\GitHub\eaglep3\Utilities\RefineRTDCRunTimes.py" --tripid 304-06 --locoid 4009 --swversion DE.1.0.9.0 --startMP 300:23540 --initTime 2017-04-06T03:16:43 --startdatetime 2017-04-06T03:20:43 --delay 3 --endMP 204:181 --enddatetime 2017-04-06T03:30:36 --enforcementcount 0 &gt;&gt;C:\Users\stu\Documents\GitHub\eaglep3-reporting\EC\2017-04-06-refined-times.txt</v>
      </c>
      <c r="AI205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{"issue":{"subject":"","project_id":79,"tracker_id":40,"status_id":1,"priority_id":2,"assigned_to_id":23,"start_date":"2017-04-06","description":"","custom_fields":[{"id":1,"name":"Subdivision","value":"Other"},{"id":4,"name":"Milepost","value":"0.0181"},{"id":17,"name":"Train ID","value":"304-06"},{"id":16,"name":"Locomotive ID","value":"4009"},{"id":130,"name":"Impact","value":""},{"id":150,"name":"Time of Event (Mountain Time)","value":"03:30:36"},{"id":151,"name":"Denver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si="85"/>
        <v>start /low /b %USERPROFILE%\Documents\GitHub\eaglep3\Utilities\DownloadLogsFromS3.py --loco 4009 --day 2017-04-06</v>
      </c>
      <c r="AN205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09:30:36"},{"id":29,"name":"Sharepoint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s="20" customFormat="1" x14ac:dyDescent="0.25">
      <c r="A206" s="33" t="s">
        <v>814</v>
      </c>
      <c r="B206" s="7">
        <v>4016</v>
      </c>
      <c r="C206" s="21" t="s">
        <v>216</v>
      </c>
      <c r="D206" s="21" t="s">
        <v>207</v>
      </c>
      <c r="E206" s="13">
        <v>42831.797812500001</v>
      </c>
      <c r="F206" s="13">
        <v>42831.799733796295</v>
      </c>
      <c r="G206" s="7">
        <v>1</v>
      </c>
      <c r="H206" s="21" t="s">
        <v>923</v>
      </c>
      <c r="I206" s="13">
        <v>42831.806168981479</v>
      </c>
      <c r="J206" s="7">
        <v>0</v>
      </c>
      <c r="K206" s="97" t="str">
        <f t="shared" si="72"/>
        <v>4015/4016</v>
      </c>
      <c r="L206" s="21" t="str">
        <f>VLOOKUP(A206,'Trips&amp;Operators'!$C$1:$G$99999,5,FALSE)</f>
        <v>DELGADO DIANAH</v>
      </c>
      <c r="M206" s="6">
        <f t="shared" si="73"/>
        <v>6.435185183363501E-3</v>
      </c>
      <c r="N206" s="7">
        <f t="shared" si="70"/>
        <v>9.2666666640434414</v>
      </c>
      <c r="O206" s="7"/>
      <c r="P206" s="7"/>
      <c r="Q206" s="22"/>
      <c r="R206" s="22"/>
      <c r="S206" s="31">
        <f t="shared" si="67"/>
        <v>1</v>
      </c>
      <c r="T206" s="46" t="str">
        <f t="shared" si="74"/>
        <v>NorthBound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75"/>
        <v>https://d0f6bd738d7f1b3e5a7ca70fe4ff75f0.us-east-1.aws.found.io/app/kibana#/discover/Steve-Slow-Train-Analysis-(2080s-and-2083s)?_g=(refreshInterval:(display:Off,pause:!f,section:0,value:0),time:(from:'2017-04-06T18:08:51-0600',mode:absolute,to:'2017-04-06T20:20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6" s="183" t="str">
        <f t="shared" si="76"/>
        <v>Y</v>
      </c>
      <c r="X206" s="183">
        <f t="shared" si="71"/>
        <v>1</v>
      </c>
      <c r="Y206" s="62">
        <f t="shared" si="77"/>
        <v>4.5999999999999999E-2</v>
      </c>
      <c r="Z206" s="62">
        <f t="shared" si="68"/>
        <v>2.3294999999999999</v>
      </c>
      <c r="AA206" s="62">
        <f t="shared" si="78"/>
        <v>2.2835000000000001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9"/>
        <v>0305-06</v>
      </c>
      <c r="AE206" s="85" t="str">
        <f t="shared" si="80"/>
        <v>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 &amp; 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</v>
      </c>
      <c r="AF206" s="82" t="str">
        <f t="shared" si="81"/>
        <v>"C:\Program Files (x86)\AstroGrep\AstroGrep.exe" /e /r /s /spath="%USERPROFILE%\AppData\Local\Temp\OnboardLogs" /stypes="app*4016*20170407*" /stext=" 01:.+((SYSTEM_STATE.+slice.+state.+changed )|(ment ac)|(multiple cpu faults)|(system.+state.+changed )|(\[timeout)|(PRM\|1\|D)|(kpr)|(kdp)|(\|lc)|(penalty))"</v>
      </c>
      <c r="AG206" s="1" t="str">
        <f t="shared" si="82"/>
        <v>Other</v>
      </c>
      <c r="AH206" s="86" t="str">
        <f t="shared" si="83"/>
        <v>"%USERPROFILE%\Documents\GitHub\eaglep3\Utilities\RefineRTDCRunTimes.py" --tripid 305-06 --locoid 4016 --swversion DE.1.0.9.0 --startMP 204:460 --initTime 2017-04-06T19:08:51 --startdatetime 2017-04-06T19:11:37 --delay 1 --endMP 300:23295 --enddatetime 2017-04-06T19:20:53 --enforcementcount 0 &gt;&gt;C:\Users\stu\Documents\GitHub\eaglep3-reporting\EC\2017-04-06-refined-times.txt</v>
      </c>
      <c r="AI206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{"issue":{"subject":"","project_id":79,"tracker_id":40,"status_id":1,"priority_id":2,"assigned_to_id":23,"start_date":"2017-04-06","description":"","custom_fields":[{"id":1,"name":"Subdivision","value":"Other"},{"id":4,"name":"Milepost","value":"2.3295"},{"id":17,"name":"Train ID","value":"305-06"},{"id":16,"name":"Locomotive ID","value":"4016"},{"id":130,"name":"Impact","value":""},{"id":150,"name":"Time of Event (Mountain Time)","value":"19:20:53"},{"id":151,"name":"Denver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8"/>
      <c r="AL206" s="48"/>
      <c r="AM206" s="150" t="str">
        <f t="shared" si="85"/>
        <v>start /low /b %USERPROFILE%\Documents\GitHub\eaglep3\Utilities\DownloadLogsFromS3.py --loco 4016 --day 2017-04-06</v>
      </c>
      <c r="AN206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01:20:53"},{"id":29,"name":"Sharepoint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660</v>
      </c>
      <c r="B207" s="7">
        <v>4003</v>
      </c>
      <c r="C207" s="21" t="s">
        <v>216</v>
      </c>
      <c r="D207" s="21" t="s">
        <v>924</v>
      </c>
      <c r="E207" s="13">
        <v>42831.156238425923</v>
      </c>
      <c r="F207" s="13">
        <v>42831.15896990741</v>
      </c>
      <c r="G207" s="7">
        <v>3</v>
      </c>
      <c r="H207" s="21" t="s">
        <v>439</v>
      </c>
      <c r="I207" s="13">
        <v>42831.168553240743</v>
      </c>
      <c r="J207" s="7">
        <v>0</v>
      </c>
      <c r="K207" s="97" t="str">
        <f t="shared" si="72"/>
        <v>4003/4004</v>
      </c>
      <c r="L207" s="21" t="str">
        <f>VLOOKUP(A207,'Trips&amp;Operators'!$C$1:$G$99999,5,FALSE)</f>
        <v>ROBINSON KADDIBA</v>
      </c>
      <c r="M207" s="6">
        <f t="shared" si="73"/>
        <v>9.5833333325572312E-3</v>
      </c>
      <c r="N207" s="7">
        <f t="shared" si="70"/>
        <v>13.799999998882413</v>
      </c>
      <c r="O207" s="7"/>
      <c r="P207" s="7"/>
      <c r="Q207" s="22"/>
      <c r="R207" s="22"/>
      <c r="S207" s="31">
        <f t="shared" si="67"/>
        <v>1</v>
      </c>
      <c r="T207" s="46" t="str">
        <f t="shared" si="74"/>
        <v>Southbound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75"/>
        <v>https://d0f6bd738d7f1b3e5a7ca70fe4ff75f0.us-east-1.aws.found.io/app/kibana#/discover/Steve-Slow-Train-Analysis-(2080s-and-2083s)?_g=(refreshInterval:(display:Off,pause:!f,section:0,value:0),time:(from:'2017-04-06T02:44:59-0600',mode:absolute,to:'2017-04-06T05:02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07" s="183" t="str">
        <f t="shared" si="76"/>
        <v>Y</v>
      </c>
      <c r="X207" s="183">
        <f t="shared" si="71"/>
        <v>1</v>
      </c>
      <c r="Y207" s="62">
        <f t="shared" si="77"/>
        <v>2.3245</v>
      </c>
      <c r="Z207" s="62">
        <f t="shared" si="68"/>
        <v>1.6E-2</v>
      </c>
      <c r="AA207" s="62">
        <f t="shared" si="78"/>
        <v>2.3085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9"/>
        <v>0306-06</v>
      </c>
      <c r="AE207" s="85" t="str">
        <f t="shared" si="80"/>
        <v>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 &amp; aws s3 cp s3://rtdc.mdm.uploadarchive.raw/RTDC4003/ "%USERPROFILE%\AppData\Local\Temp\OnboardLogs"\RTDC4003\2017-04-07 --exclude "*" --recursive --include "*20170407*" &amp; "%USERPROFILE%\Documents\GitHub\mrs-test-scripts\Headless Mode &amp; Sideloading\WalkAndUnGZ.bat" "%USERPROFILE%\AppData\Local\Temp\OnboardLogs"\RTDC4003\2017-04-07</v>
      </c>
      <c r="AF207" s="82" t="str">
        <f t="shared" si="81"/>
        <v>"C:\Program Files (x86)\AstroGrep\AstroGrep.exe" /e /r /s /spath="%USERPROFILE%\AppData\Local\Temp\OnboardLogs" /stypes="app*4003*20170406*" /stext=" 10:.+((SYSTEM_STATE.+slice.+state.+changed )|(ment ac)|(multiple cpu faults)|(system.+state.+changed )|(\[timeout)|(PRM\|1\|D)|(kpr)|(kdp)|(\|lc)|(penalty))"</v>
      </c>
      <c r="AG207" s="1" t="str">
        <f t="shared" si="82"/>
        <v>Other</v>
      </c>
      <c r="AH207" s="86" t="str">
        <f t="shared" si="83"/>
        <v>"%USERPROFILE%\Documents\GitHub\eaglep3\Utilities\RefineRTDCRunTimes.py" --tripid 306-06 --locoid 4003 --swversion DE.1.0.9.0 --startMP 300:23245 --initTime 2017-04-06T03:44:59 --startdatetime 2017-04-06T03:48:55 --delay 3 --endMP 204:160 --enddatetime 2017-04-06T04:02:43 --enforcementcount 0 &gt;&gt;C:\Users\stu\Documents\GitHub\eaglep3-reporting\EC\2017-04-06-refined-times.txt</v>
      </c>
      <c r="AI207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{"issue":{"subject":"","project_id":79,"tracker_id":40,"status_id":1,"priority_id":2,"assigned_to_id":23,"start_date":"2017-04-06","description":"","custom_fields":[{"id":1,"name":"Subdivision","value":"Other"},{"id":4,"name":"Milepost","value":"0.016"},{"id":17,"name":"Train ID","value":"306-06"},{"id":16,"name":"Locomotive ID","value":"4003"},{"id":130,"name":"Impact","value":""},{"id":150,"name":"Time of Event (Mountain Time)","value":"04:02:43"},{"id":151,"name":"Denver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85"/>
        <v>start /low /b %USERPROFILE%\Documents\GitHub\eaglep3\Utilities\DownloadLogsFromS3.py --loco 4003 --day 2017-04-06</v>
      </c>
      <c r="AN207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10:02:43"},{"id":29,"name":"Sharepoint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822</v>
      </c>
      <c r="B208" s="7">
        <v>4010</v>
      </c>
      <c r="C208" s="21" t="s">
        <v>216</v>
      </c>
      <c r="D208" s="21" t="s">
        <v>205</v>
      </c>
      <c r="E208" s="13">
        <v>42831.82</v>
      </c>
      <c r="F208" s="13">
        <v>42831.821446759262</v>
      </c>
      <c r="G208" s="7">
        <v>1</v>
      </c>
      <c r="H208" s="21" t="s">
        <v>425</v>
      </c>
      <c r="I208" s="13">
        <v>42831.829062500001</v>
      </c>
      <c r="J208" s="7">
        <v>0</v>
      </c>
      <c r="K208" s="97" t="str">
        <f t="shared" si="72"/>
        <v>4009/4010</v>
      </c>
      <c r="L208" s="21" t="str">
        <f>VLOOKUP(A208,'Trips&amp;Operators'!$C$1:$G$99999,5,FALSE)</f>
        <v>STRICKLAND EVAN</v>
      </c>
      <c r="M208" s="6">
        <f t="shared" si="73"/>
        <v>7.6157407384016551E-3</v>
      </c>
      <c r="N208" s="7">
        <f t="shared" si="70"/>
        <v>10.966666663298383</v>
      </c>
      <c r="O208" s="7"/>
      <c r="P208" s="7"/>
      <c r="Q208" s="22"/>
      <c r="R208" s="22"/>
      <c r="S208" s="31">
        <f t="shared" si="67"/>
        <v>1</v>
      </c>
      <c r="T208" s="46" t="str">
        <f t="shared" si="74"/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75"/>
        <v>https://d0f6bd738d7f1b3e5a7ca70fe4ff75f0.us-east-1.aws.found.io/app/kibana#/discover/Steve-Slow-Train-Analysis-(2080s-and-2083s)?_g=(refreshInterval:(display:Off,pause:!f,section:0,value:0),time:(from:'2017-04-06T18:40:48-0600',mode:absolute,to:'2017-04-06T20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8" s="183" t="str">
        <f t="shared" si="76"/>
        <v>Y</v>
      </c>
      <c r="X208" s="183">
        <f t="shared" si="71"/>
        <v>1</v>
      </c>
      <c r="Y208" s="62">
        <f t="shared" si="77"/>
        <v>4.5100000000000001E-2</v>
      </c>
      <c r="Z208" s="62">
        <f t="shared" si="68"/>
        <v>2.3346</v>
      </c>
      <c r="AA208" s="62">
        <f t="shared" si="78"/>
        <v>2.2894999999999999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9"/>
        <v>0307-06</v>
      </c>
      <c r="AE208" s="85" t="str">
        <f t="shared" si="80"/>
        <v>aws s3 cp s3://rtdc.mdm.uploadarchive.raw/RTDC4010/ "%USERPROFILE%\AppData\Local\Temp\OnboardLogs"\RTDC4010\2017-04-06 --exclude "*" --recursive --include "*20170406*" &amp; "%USERPROFILE%\Documents\GitHub\mrs-test-scripts\Headless Mode &amp; Sideloading\WalkAndUnGZ.bat" "%USERPROFILE%\AppData\Local\Temp\OnboardLogs"\RTDC4010\2017-04-06 &amp; aws s3 cp s3://rtdc.mdm.uploadarchive.raw/RTDC4010/ "%USERPROFILE%\AppData\Local\Temp\OnboardLogs"\RTDC4010\2017-04-07 --exclude "*" --recursive --include "*20170407*" &amp; "%USERPROFILE%\Documents\GitHub\mrs-test-scripts\Headless Mode &amp; Sideloading\WalkAndUnGZ.bat" "%USERPROFILE%\AppData\Local\Temp\OnboardLogs"\RTDC4010\2017-04-07</v>
      </c>
      <c r="AF208" s="82" t="str">
        <f t="shared" si="81"/>
        <v>"C:\Program Files (x86)\AstroGrep\AstroGrep.exe" /e /r /s /spath="%USERPROFILE%\AppData\Local\Temp\OnboardLogs" /stypes="app*4010*20170407*" /stext=" 01:.+((SYSTEM_STATE.+slice.+state.+changed )|(ment ac)|(multiple cpu faults)|(system.+state.+changed )|(\[timeout)|(PRM\|1\|D)|(kpr)|(kdp)|(\|lc)|(penalty))"</v>
      </c>
      <c r="AG208" s="1" t="str">
        <f t="shared" si="82"/>
        <v>Other</v>
      </c>
      <c r="AH208" s="86" t="str">
        <f t="shared" si="83"/>
        <v>"%USERPROFILE%\Documents\GitHub\eaglep3\Utilities\RefineRTDCRunTimes.py" --tripid 307-06 --locoid 4010 --swversion DE.1.0.9.0 --startMP 204:451 --initTime 2017-04-06T19:40:48 --startdatetime 2017-04-06T19:42:53 --delay 1 --endMP 300:23346 --enddatetime 2017-04-06T19:53:51 --enforcementcount 0 &gt;&gt;C:\Users\stu\Documents\GitHub\eaglep3-reporting\EC\2017-04-06-refined-times.txt</v>
      </c>
      <c r="AI208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{"issue":{"subject":"","project_id":79,"tracker_id":40,"status_id":1,"priority_id":2,"assigned_to_id":23,"start_date":"2017-04-06","description":"","custom_fields":[{"id":1,"name":"Subdivision","value":"Other"},{"id":4,"name":"Milepost","value":"2.3346"},{"id":17,"name":"Train ID","value":"307-06"},{"id":16,"name":"Locomotive ID","value":"4010"},{"id":130,"name":"Impact","value":""},{"id":150,"name":"Time of Event (Mountain Time)","value":"19:53:51"},{"id":151,"name":"Denver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85"/>
        <v>start /low /b %USERPROFILE%\Documents\GitHub\eaglep3\Utilities\DownloadLogsFromS3.py --loco 4010 --day 2017-04-06</v>
      </c>
      <c r="AN208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01:53:51"},{"id":29,"name":"Sharepoint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663</v>
      </c>
      <c r="B209" s="7">
        <v>4005</v>
      </c>
      <c r="C209" s="21" t="s">
        <v>216</v>
      </c>
      <c r="D209" s="21" t="s">
        <v>925</v>
      </c>
      <c r="E209" s="13">
        <v>42831.171620370369</v>
      </c>
      <c r="F209" s="13">
        <v>42831.17396990741</v>
      </c>
      <c r="G209" s="7">
        <v>3</v>
      </c>
      <c r="H209" s="21" t="s">
        <v>204</v>
      </c>
      <c r="I209" s="13">
        <v>42831.187928240739</v>
      </c>
      <c r="J209" s="7">
        <v>0</v>
      </c>
      <c r="K209" s="97" t="str">
        <f t="shared" si="72"/>
        <v>4005/4006</v>
      </c>
      <c r="L209" s="21" t="str">
        <f>VLOOKUP(A209,'Trips&amp;Operators'!$C$1:$G$99999,5,FALSE)</f>
        <v>GEBRETEKLE DAGNEW</v>
      </c>
      <c r="M209" s="6">
        <f t="shared" si="73"/>
        <v>1.395833332935581E-2</v>
      </c>
      <c r="N209" s="7">
        <f t="shared" si="70"/>
        <v>20.099999994272366</v>
      </c>
      <c r="O209" s="7"/>
      <c r="P209" s="7"/>
      <c r="Q209" s="22"/>
      <c r="R209" s="22"/>
      <c r="S209" s="31">
        <f t="shared" si="67"/>
        <v>1</v>
      </c>
      <c r="T209" s="46" t="str">
        <f t="shared" si="74"/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75"/>
        <v>https://d0f6bd738d7f1b3e5a7ca70fe4ff75f0.us-east-1.aws.found.io/app/kibana#/discover/Steve-Slow-Train-Analysis-(2080s-and-2083s)?_g=(refreshInterval:(display:Off,pause:!f,section:0,value:0),time:(from:'2017-04-06T03:07:08-0600',mode:absolute,to:'2017-04-06T05:30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9" s="183" t="str">
        <f t="shared" si="76"/>
        <v>Y</v>
      </c>
      <c r="X209" s="183">
        <f t="shared" si="71"/>
        <v>1</v>
      </c>
      <c r="Y209" s="62">
        <f t="shared" si="77"/>
        <v>2.3683999999999998</v>
      </c>
      <c r="Z209" s="62">
        <f t="shared" si="68"/>
        <v>1.54E-2</v>
      </c>
      <c r="AA209" s="62">
        <f t="shared" si="78"/>
        <v>2.3529999999999998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9"/>
        <v>0308-06</v>
      </c>
      <c r="AE209" s="85" t="str">
        <f t="shared" si="80"/>
        <v>aws s3 cp s3://rtdc.mdm.uploadarchive.raw/RTDC4005/ "%USERPROFILE%\AppData\Local\Temp\OnboardLogs"\RTDC4005\2017-04-06 --exclude "*" --recursive --include "*20170406*" &amp; "%USERPROFILE%\Documents\GitHub\mrs-test-scripts\Headless Mode &amp; Sideloading\WalkAndUnGZ.bat" "%USERPROFILE%\AppData\Local\Temp\OnboardLogs"\RTDC4005\2017-04-06 &amp; aws s3 cp s3://rtdc.mdm.uploadarchive.raw/RTDC4005/ "%USERPROFILE%\AppData\Local\Temp\OnboardLogs"\RTDC4005\2017-04-07 --exclude "*" --recursive --include "*20170407*" &amp; "%USERPROFILE%\Documents\GitHub\mrs-test-scripts\Headless Mode &amp; Sideloading\WalkAndUnGZ.bat" "%USERPROFILE%\AppData\Local\Temp\OnboardLogs"\RTDC4005\2017-04-07</v>
      </c>
      <c r="AF209" s="82" t="str">
        <f t="shared" si="81"/>
        <v>"C:\Program Files (x86)\AstroGrep\AstroGrep.exe" /e /r /s /spath="%USERPROFILE%\AppData\Local\Temp\OnboardLogs" /stypes="app*4005*20170406*" /stext=" 10:.+((SYSTEM_STATE.+slice.+state.+changed )|(ment ac)|(multiple cpu faults)|(system.+state.+changed )|(\[timeout)|(PRM\|1\|D)|(kpr)|(kdp)|(\|lc)|(penalty))"</v>
      </c>
      <c r="AG209" s="1" t="str">
        <f t="shared" si="82"/>
        <v>Other</v>
      </c>
      <c r="AH209" s="86" t="str">
        <f t="shared" si="83"/>
        <v>"%USERPROFILE%\Documents\GitHub\eaglep3\Utilities\RefineRTDCRunTimes.py" --tripid 308-06 --locoid 4005 --swversion DE.1.0.9.0 --startMP 300:23684 --initTime 2017-04-06T04:07:08 --startdatetime 2017-04-06T04:10:31 --delay 3 --endMP 204:154 --enddatetime 2017-04-06T04:30:37 --enforcementcount 0 &gt;&gt;C:\Users\stu\Documents\GitHub\eaglep3-reporting\EC\2017-04-06-refined-times.txt</v>
      </c>
      <c r="AI209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{"issue":{"subject":"","project_id":79,"tracker_id":40,"status_id":1,"priority_id":2,"assigned_to_id":23,"start_date":"2017-04-06","description":"","custom_fields":[{"id":1,"name":"Subdivision","value":"Other"},{"id":4,"name":"Milepost","value":"0.0154"},{"id":17,"name":"Train ID","value":"308-06"},{"id":16,"name":"Locomotive ID","value":"4005"},{"id":130,"name":"Impact","value":""},{"id":150,"name":"Time of Event (Mountain Time)","value":"04:30:37"},{"id":151,"name":"Denver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85"/>
        <v>start /low /b %USERPROFILE%\Documents\GitHub\eaglep3\Utilities\DownloadLogsFromS3.py --loco 4005 --day 2017-04-06</v>
      </c>
      <c r="AN209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10:30:37"},{"id":29,"name":"Sharepoint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852</v>
      </c>
      <c r="B210" s="7">
        <v>4044</v>
      </c>
      <c r="C210" s="21" t="s">
        <v>216</v>
      </c>
      <c r="D210" s="21" t="s">
        <v>206</v>
      </c>
      <c r="E210" s="13">
        <v>42832.047037037039</v>
      </c>
      <c r="F210" s="13">
        <v>42832.048252314817</v>
      </c>
      <c r="G210" s="7">
        <v>1</v>
      </c>
      <c r="H210" s="21" t="s">
        <v>521</v>
      </c>
      <c r="I210" s="13">
        <v>42832.055833333332</v>
      </c>
      <c r="J210" s="7">
        <v>0</v>
      </c>
      <c r="K210" s="97" t="str">
        <f t="shared" si="72"/>
        <v>4043/4044</v>
      </c>
      <c r="L210" s="21" t="str">
        <f>VLOOKUP(A210,'Trips&amp;Operators'!$C$1:$G$99999,5,FALSE)</f>
        <v>NEWELL JAMES</v>
      </c>
      <c r="M210" s="6">
        <f t="shared" si="73"/>
        <v>7.5810185153386556E-3</v>
      </c>
      <c r="N210" s="7">
        <f t="shared" ref="N210:N226" si="87">24*60*SUM($M210:$M210)</f>
        <v>10.916666662087664</v>
      </c>
      <c r="O210" s="7"/>
      <c r="P210" s="7"/>
      <c r="Q210" s="22"/>
      <c r="R210" s="22"/>
      <c r="S210" s="31">
        <f t="shared" si="67"/>
        <v>1</v>
      </c>
      <c r="T210" s="46" t="str">
        <f t="shared" si="74"/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75"/>
        <v>https://d0f6bd738d7f1b3e5a7ca70fe4ff75f0.us-east-1.aws.found.io/app/kibana#/discover/Steve-Slow-Train-Analysis-(2080s-and-2083s)?_g=(refreshInterval:(display:Off,pause:!f,section:0,value:0),time:(from:'2017-04-07T00:07:44-0600',mode:absolute,to:'2017-04-07T02:20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0" s="183" t="str">
        <f t="shared" si="76"/>
        <v>Y</v>
      </c>
      <c r="X210" s="183">
        <f t="shared" si="71"/>
        <v>1</v>
      </c>
      <c r="Y210" s="62">
        <f t="shared" si="77"/>
        <v>4.5699999999999998E-2</v>
      </c>
      <c r="Z210" s="62">
        <f t="shared" si="68"/>
        <v>2.3304</v>
      </c>
      <c r="AA210" s="62">
        <f t="shared" si="78"/>
        <v>2.2847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9"/>
        <v>0309-06</v>
      </c>
      <c r="AE210" s="85" t="str">
        <f t="shared" si="80"/>
        <v>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 &amp; aws s3 cp s3://rtdc.mdm.uploadarchive.raw/RTDC4044/ "%USERPROFILE%\AppData\Local\Temp\OnboardLogs"\RTDC4044\2017-04-08 --exclude "*" --recursive --include "*20170408*" &amp; "%USERPROFILE%\Documents\GitHub\mrs-test-scripts\Headless Mode &amp; Sideloading\WalkAndUnGZ.bat" "%USERPROFILE%\AppData\Local\Temp\OnboardLogs"\RTDC4044\2017-04-08</v>
      </c>
      <c r="AF210" s="82" t="str">
        <f t="shared" si="81"/>
        <v>"C:\Program Files (x86)\AstroGrep\AstroGrep.exe" /e /r /s /spath="%USERPROFILE%\AppData\Local\Temp\OnboardLogs" /stypes="app*4044*20170407*" /stext=" 07:.+((SYSTEM_STATE.+slice.+state.+changed )|(ment ac)|(multiple cpu faults)|(system.+state.+changed )|(\[timeout)|(PRM\|1\|D)|(kpr)|(kdp)|(\|lc)|(penalty))"</v>
      </c>
      <c r="AG210" s="1" t="str">
        <f t="shared" si="82"/>
        <v>Other</v>
      </c>
      <c r="AH210" s="86" t="str">
        <f t="shared" si="83"/>
        <v>"%USERPROFILE%\Documents\GitHub\eaglep3\Utilities\RefineRTDCRunTimes.py" --tripid 309-06 --locoid 4044 --swversion DE.1.0.9.0 --startMP 204:457 --initTime 2017-04-07T01:07:44 --startdatetime 2017-04-07T01:09:29 --delay 1 --endMP 300:23304 --enddatetime 2017-04-07T01:20:24 --enforcementcount 0 &gt;&gt;C:\Users\stu\Documents\GitHub\eaglep3-reporting\EC\2017-04-06-refined-times.txt</v>
      </c>
      <c r="AI210" s="104" t="str">
        <f t="shared" si="84"/>
        <v>echo {"issue":{"subject":"","project_id":79,"tracker_id":40,"status_id":1,"priority_id":2,"assigned_to_id":23,"start_date":"2017-04-07","description":"","custom_fields":[{"id":1,"name":"Subdivision","value":"Other"},{"id":4,"name":"Milepost","value":"2.3304"},{"id":17,"name":"Train ID","value":"309-06"},{"id":16,"name":"Locomotive ID","value":"4044"},{"id":130,"name":"Impact","value":""},{"id":150,"name":"Time of Event (Mountain Time)","value":"01:20:24"},{"id":151,"name":"Denver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85"/>
        <v>start /low /b %USERPROFILE%\Documents\GitHub\eaglep3\Utilities\DownloadLogsFromS3.py --loco 4044 --day 2017-04-07</v>
      </c>
      <c r="AN210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07:20:24"},{"id":29,"name":"Sharepoint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665</v>
      </c>
      <c r="B211" s="7">
        <v>4017</v>
      </c>
      <c r="C211" s="21" t="s">
        <v>216</v>
      </c>
      <c r="D211" s="21" t="s">
        <v>926</v>
      </c>
      <c r="E211" s="13">
        <v>42831.18037037037</v>
      </c>
      <c r="F211" s="13">
        <v>42831.184074074074</v>
      </c>
      <c r="G211" s="7">
        <v>5</v>
      </c>
      <c r="H211" s="21" t="s">
        <v>927</v>
      </c>
      <c r="I211" s="13">
        <v>42831.189525462964</v>
      </c>
      <c r="J211" s="7">
        <v>0</v>
      </c>
      <c r="K211" s="97" t="str">
        <f t="shared" si="72"/>
        <v>4017/4018</v>
      </c>
      <c r="L211" s="21" t="str">
        <f>VLOOKUP(A211,'Trips&amp;Operators'!$C$1:$G$99999,5,FALSE)</f>
        <v>MENGES BRAD</v>
      </c>
      <c r="M211" s="6">
        <f t="shared" si="73"/>
        <v>5.4513888899236917E-3</v>
      </c>
      <c r="N211" s="7">
        <f t="shared" si="87"/>
        <v>7.8500000014901161</v>
      </c>
      <c r="O211" s="7"/>
      <c r="P211" s="7"/>
      <c r="Q211" s="22"/>
      <c r="R211" s="22"/>
      <c r="S211" s="31">
        <f t="shared" si="67"/>
        <v>1</v>
      </c>
      <c r="T211" s="46" t="str">
        <f t="shared" si="74"/>
        <v>Southbound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75"/>
        <v>https://d0f6bd738d7f1b3e5a7ca70fe4ff75f0.us-east-1.aws.found.io/app/kibana#/discover/Steve-Slow-Train-Analysis-(2080s-and-2083s)?_g=(refreshInterval:(display:Off,pause:!f,section:0,value:0),time:(from:'2017-04-06T03:19:44-0600',mode:absolute,to:'2017-04-06T05:32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1" s="183" t="str">
        <f t="shared" si="76"/>
        <v>Y</v>
      </c>
      <c r="X211" s="183">
        <f t="shared" si="71"/>
        <v>1</v>
      </c>
      <c r="Y211" s="62">
        <f t="shared" si="77"/>
        <v>2.3319000000000001</v>
      </c>
      <c r="Z211" s="62">
        <f t="shared" si="68"/>
        <v>8.1600000000000006E-2</v>
      </c>
      <c r="AA211" s="62">
        <f t="shared" si="78"/>
        <v>2.2503000000000002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9"/>
        <v>0310-06</v>
      </c>
      <c r="AE211" s="85" t="str">
        <f t="shared" si="80"/>
        <v>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 &amp; aws s3 cp s3://rtdc.mdm.uploadarchive.raw/RTDC4017/ "%USERPROFILE%\AppData\Local\Temp\OnboardLogs"\RTDC4017\2017-04-07 --exclude "*" --recursive --include "*20170407*" &amp; "%USERPROFILE%\Documents\GitHub\mrs-test-scripts\Headless Mode &amp; Sideloading\WalkAndUnGZ.bat" "%USERPROFILE%\AppData\Local\Temp\OnboardLogs"\RTDC4017\2017-04-07</v>
      </c>
      <c r="AF211" s="82" t="str">
        <f t="shared" si="81"/>
        <v>"C:\Program Files (x86)\AstroGrep\AstroGrep.exe" /e /r /s /spath="%USERPROFILE%\AppData\Local\Temp\OnboardLogs" /stypes="app*4017*20170406*" /stext=" 10:.+((SYSTEM_STATE.+slice.+state.+changed )|(ment ac)|(multiple cpu faults)|(system.+state.+changed )|(\[timeout)|(PRM\|1\|D)|(kpr)|(kdp)|(\|lc)|(penalty))"</v>
      </c>
      <c r="AG211" s="1" t="str">
        <f t="shared" si="82"/>
        <v>Other</v>
      </c>
      <c r="AH211" s="86" t="str">
        <f t="shared" si="83"/>
        <v>"%USERPROFILE%\Documents\GitHub\eaglep3\Utilities\RefineRTDCRunTimes.py" --tripid 310-06 --locoid 4017 --swversion DE.1.0.9.0 --startMP 300:23319 --initTime 2017-04-06T04:19:44 --startdatetime 2017-04-06T04:25:04 --delay 5 --endMP 204:816 --enddatetime 2017-04-06T04:32:55 --enforcementcount 0 &gt;&gt;C:\Users\stu\Documents\GitHub\eaglep3-reporting\EC\2017-04-06-refined-times.txt</v>
      </c>
      <c r="AI211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{"issue":{"subject":"","project_id":79,"tracker_id":40,"status_id":1,"priority_id":2,"assigned_to_id":23,"start_date":"2017-04-06","description":"","custom_fields":[{"id":1,"name":"Subdivision","value":"Other"},{"id":4,"name":"Milepost","value":"0.0816"},{"id":17,"name":"Train ID","value":"310-06"},{"id":16,"name":"Locomotive ID","value":"4017"},{"id":130,"name":"Impact","value":""},{"id":150,"name":"Time of Event (Mountain Time)","value":"04:32:55"},{"id":151,"name":"Denver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85"/>
        <v>start /low /b %USERPROFILE%\Documents\GitHub\eaglep3\Utilities\DownloadLogsFromS3.py --loco 4017 --day 2017-04-06</v>
      </c>
      <c r="AN211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10:32:55"},{"id":29,"name":"Sharepoint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854</v>
      </c>
      <c r="B212" s="7">
        <v>4054</v>
      </c>
      <c r="C212" s="21" t="s">
        <v>216</v>
      </c>
      <c r="D212" s="21" t="s">
        <v>420</v>
      </c>
      <c r="E212" s="13">
        <v>42832.06790509259</v>
      </c>
      <c r="F212" s="13">
        <v>42832.069780092592</v>
      </c>
      <c r="G212" s="7">
        <v>1</v>
      </c>
      <c r="H212" s="21" t="s">
        <v>425</v>
      </c>
      <c r="I212" s="13">
        <v>42832.077777777777</v>
      </c>
      <c r="J212" s="7">
        <v>0</v>
      </c>
      <c r="K212" s="97" t="str">
        <f t="shared" si="72"/>
        <v>4053/4054</v>
      </c>
      <c r="L212" s="21" t="str">
        <f>VLOOKUP(A212,'Trips&amp;Operators'!$C$1:$G$99999,5,FALSE)</f>
        <v>WHITED DUSTIN</v>
      </c>
      <c r="M212" s="6">
        <f t="shared" si="73"/>
        <v>7.9976851848186925E-3</v>
      </c>
      <c r="N212" s="7">
        <f t="shared" si="87"/>
        <v>11.516666666138917</v>
      </c>
      <c r="O212" s="7"/>
      <c r="P212" s="7"/>
      <c r="Q212" s="22"/>
      <c r="R212" s="22"/>
      <c r="S212" s="31">
        <f t="shared" si="67"/>
        <v>1</v>
      </c>
      <c r="T212" s="46" t="str">
        <f t="shared" si="74"/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75"/>
        <v>https://d0f6bd738d7f1b3e5a7ca70fe4ff75f0.us-east-1.aws.found.io/app/kibana#/discover/Steve-Slow-Train-Analysis-(2080s-and-2083s)?_g=(refreshInterval:(display:Off,pause:!f,section:0,value:0),time:(from:'2017-04-07T00:37:47-0600',mode:absolute,to:'2017-04-07T02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2" s="183" t="str">
        <f t="shared" si="76"/>
        <v>Y</v>
      </c>
      <c r="X212" s="183">
        <f t="shared" si="71"/>
        <v>1</v>
      </c>
      <c r="Y212" s="62">
        <f t="shared" si="77"/>
        <v>4.6199999999999998E-2</v>
      </c>
      <c r="Z212" s="62">
        <f t="shared" si="68"/>
        <v>2.3346</v>
      </c>
      <c r="AA212" s="62">
        <f t="shared" si="78"/>
        <v>2.2884000000000002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9"/>
        <v>0311-06</v>
      </c>
      <c r="AE212" s="85" t="str">
        <f t="shared" si="80"/>
        <v>aws s3 cp s3://rtdc.mdm.uploadarchive.raw/RTDC4054/ "%USERPROFILE%\AppData\Local\Temp\OnboardLogs"\RTDC4054\2017-04-07 --exclude "*" --recursive --include "*20170407*" &amp; "%USERPROFILE%\Documents\GitHub\mrs-test-scripts\Headless Mode &amp; Sideloading\WalkAndUnGZ.bat" "%USERPROFILE%\AppData\Local\Temp\OnboardLogs"\RTDC4054\2017-04-07 &amp; aws s3 cp s3://rtdc.mdm.uploadarchive.raw/RTDC4054/ "%USERPROFILE%\AppData\Local\Temp\OnboardLogs"\RTDC4054\2017-04-08 --exclude "*" --recursive --include "*20170408*" &amp; "%USERPROFILE%\Documents\GitHub\mrs-test-scripts\Headless Mode &amp; Sideloading\WalkAndUnGZ.bat" "%USERPROFILE%\AppData\Local\Temp\OnboardLogs"\RTDC4054\2017-04-08</v>
      </c>
      <c r="AF212" s="82" t="str">
        <f t="shared" si="81"/>
        <v>"C:\Program Files (x86)\AstroGrep\AstroGrep.exe" /e /r /s /spath="%USERPROFILE%\AppData\Local\Temp\OnboardLogs" /stypes="app*4054*20170407*" /stext=" 07:.+((SYSTEM_STATE.+slice.+state.+changed )|(ment ac)|(multiple cpu faults)|(system.+state.+changed )|(\[timeout)|(PRM\|1\|D)|(kpr)|(kdp)|(\|lc)|(penalty))"</v>
      </c>
      <c r="AG212" s="1" t="str">
        <f t="shared" si="82"/>
        <v>Other</v>
      </c>
      <c r="AH212" s="86" t="str">
        <f t="shared" si="83"/>
        <v>"%USERPROFILE%\Documents\GitHub\eaglep3\Utilities\RefineRTDCRunTimes.py" --tripid 311-06 --locoid 4054 --swversion DE.1.0.9.0 --startMP 204:462 --initTime 2017-04-07T01:37:47 --startdatetime 2017-04-07T01:40:29 --delay 1 --endMP 300:23346 --enddatetime 2017-04-07T01:52:00 --enforcementcount 0 &gt;&gt;C:\Users\stu\Documents\GitHub\eaglep3-reporting\EC\2017-04-06-refined-times.txt</v>
      </c>
      <c r="AI212" s="104" t="str">
        <f t="shared" si="84"/>
        <v>echo {"issue":{"subject":"","project_id":79,"tracker_id":40,"status_id":1,"priority_id":2,"assigned_to_id":23,"start_date":"2017-04-07","description":"","custom_fields":[{"id":1,"name":"Subdivision","value":"Other"},{"id":4,"name":"Milepost","value":"2.3346"},{"id":17,"name":"Train ID","value":"311-06"},{"id":16,"name":"Locomotive ID","value":"4054"},{"id":130,"name":"Impact","value":""},{"id":150,"name":"Time of Event (Mountain Time)","value":"01:52:00"},{"id":151,"name":"Denver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85"/>
        <v>start /low /b %USERPROFILE%\Documents\GitHub\eaglep3\Utilities\DownloadLogsFromS3.py --loco 4054 --day 2017-04-07</v>
      </c>
      <c r="AN212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07:52:00"},{"id":29,"name":"Sharepoint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855</v>
      </c>
      <c r="B213" s="7">
        <v>4042</v>
      </c>
      <c r="C213" s="21" t="s">
        <v>216</v>
      </c>
      <c r="D213" s="21" t="s">
        <v>598</v>
      </c>
      <c r="E213" s="13">
        <v>42832.090046296296</v>
      </c>
      <c r="F213" s="13">
        <v>42832.092361111114</v>
      </c>
      <c r="G213" s="7">
        <v>1</v>
      </c>
      <c r="H213" s="21" t="s">
        <v>425</v>
      </c>
      <c r="I213" s="13">
        <v>42832.09988425926</v>
      </c>
      <c r="J213" s="7">
        <v>0</v>
      </c>
      <c r="K213" s="97" t="str">
        <f t="shared" si="72"/>
        <v>4041/4042</v>
      </c>
      <c r="L213" s="21" t="str">
        <f>VLOOKUP(A213,'Trips&amp;Operators'!$C$1:$G$99999,5,FALSE)</f>
        <v>SWANSON BRYCE</v>
      </c>
      <c r="M213" s="6">
        <f t="shared" si="73"/>
        <v>7.5231481459923089E-3</v>
      </c>
      <c r="N213" s="7">
        <f t="shared" si="87"/>
        <v>10.833333330228925</v>
      </c>
      <c r="O213" s="7"/>
      <c r="P213" s="7"/>
      <c r="Q213" s="22"/>
      <c r="R213" s="22"/>
      <c r="S213" s="31">
        <f t="shared" si="67"/>
        <v>1</v>
      </c>
      <c r="T213" s="46" t="str">
        <f t="shared" si="74"/>
        <v>NorthBound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75"/>
        <v>https://d0f6bd738d7f1b3e5a7ca70fe4ff75f0.us-east-1.aws.found.io/app/kibana#/discover/Steve-Slow-Train-Analysis-(2080s-and-2083s)?_g=(refreshInterval:(display:Off,pause:!f,section:0,value:0),time:(from:'2017-04-07T01:09:40-0600',mode:absolute,to:'2017-04-07T03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3" s="183" t="str">
        <f t="shared" si="76"/>
        <v>Y</v>
      </c>
      <c r="X213" s="183">
        <f t="shared" si="71"/>
        <v>2</v>
      </c>
      <c r="Y213" s="62">
        <f t="shared" si="77"/>
        <v>4.6399999999999997E-2</v>
      </c>
      <c r="Z213" s="62">
        <f t="shared" si="68"/>
        <v>2.3346</v>
      </c>
      <c r="AA213" s="62">
        <f t="shared" si="78"/>
        <v>2.2881999999999998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9"/>
        <v>0313-06</v>
      </c>
      <c r="AE213" s="85" t="str">
        <f t="shared" si="80"/>
        <v>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 &amp; aws s3 cp s3://rtdc.mdm.uploadarchive.raw/RTDC4042/ "%USERPROFILE%\AppData\Local\Temp\OnboardLogs"\RTDC4042\2017-04-08 --exclude "*" --recursive --include "*20170408*" &amp; "%USERPROFILE%\Documents\GitHub\mrs-test-scripts\Headless Mode &amp; Sideloading\WalkAndUnGZ.bat" "%USERPROFILE%\AppData\Local\Temp\OnboardLogs"\RTDC4042\2017-04-08</v>
      </c>
      <c r="AF213" s="82" t="str">
        <f t="shared" si="81"/>
        <v>"C:\Program Files (x86)\AstroGrep\AstroGrep.exe" /e /r /s /spath="%USERPROFILE%\AppData\Local\Temp\OnboardLogs" /stypes="app*4042*20170407*" /stext=" 08:.+((SYSTEM_STATE.+slice.+state.+changed )|(ment ac)|(multiple cpu faults)|(system.+state.+changed )|(\[timeout)|(PRM\|1\|D)|(kpr)|(kdp)|(\|lc)|(penalty))"</v>
      </c>
      <c r="AG213" s="1" t="str">
        <f t="shared" si="82"/>
        <v>Other</v>
      </c>
      <c r="AH213" s="86" t="str">
        <f t="shared" si="83"/>
        <v>"%USERPROFILE%\Documents\GitHub\eaglep3\Utilities\RefineRTDCRunTimes.py" --tripid 313-06 --locoid 4042 --swversion DE.1.0.9.0 --startMP 204:464 --initTime 2017-04-07T02:09:40 --startdatetime 2017-04-07T02:13:00 --delay 1 --endMP 300:23346 --enddatetime 2017-04-07T02:23:50 --enforcementcount 0 &gt;&gt;C:\Users\stu\Documents\GitHub\eaglep3-reporting\EC\2017-04-06-refined-times.txt</v>
      </c>
      <c r="AI213" s="104" t="str">
        <f t="shared" si="84"/>
        <v>echo {"issue":{"subject":"","project_id":79,"tracker_id":40,"status_id":1,"priority_id":2,"assigned_to_id":23,"start_date":"2017-04-07","description":"","custom_fields":[{"id":1,"name":"Subdivision","value":"Other"},{"id":4,"name":"Milepost","value":"2.3346"},{"id":17,"name":"Train ID","value":"313-06"},{"id":16,"name":"Locomotive ID","value":"4042"},{"id":130,"name":"Impact","value":""},{"id":150,"name":"Time of Event (Mountain Time)","value":"02:23:50"},{"id":151,"name":"Denver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85"/>
        <v>start /low /b %USERPROFILE%\Documents\GitHub\eaglep3\Utilities\DownloadLogsFromS3.py --loco 4042 --day 2017-04-07</v>
      </c>
      <c r="AN213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08:23:50"},{"id":29,"name":"Sharepoint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850</v>
      </c>
      <c r="B214" s="7">
        <v>4004</v>
      </c>
      <c r="C214" s="21" t="s">
        <v>216</v>
      </c>
      <c r="D214" s="21" t="s">
        <v>928</v>
      </c>
      <c r="E214" s="13">
        <v>42832.028553240743</v>
      </c>
      <c r="F214" s="13">
        <v>42832.030011574076</v>
      </c>
      <c r="G214" s="7">
        <v>1</v>
      </c>
      <c r="H214" s="21" t="s">
        <v>920</v>
      </c>
      <c r="I214" s="13">
        <v>42832.035196759258</v>
      </c>
      <c r="J214" s="7">
        <v>0</v>
      </c>
      <c r="K214" s="97" t="str">
        <f t="shared" si="72"/>
        <v>4003/4004</v>
      </c>
      <c r="L214" s="21" t="str">
        <f>VLOOKUP(A214,'Trips&amp;Operators'!$C$1:$G$99999,5,FALSE)</f>
        <v>CHANDLER KELVIN</v>
      </c>
      <c r="M214" s="6">
        <f t="shared" si="73"/>
        <v>5.1851851821993478E-3</v>
      </c>
      <c r="N214" s="7">
        <f t="shared" si="87"/>
        <v>7.4666666623670608</v>
      </c>
      <c r="O214" s="7"/>
      <c r="P214" s="7"/>
      <c r="Q214" s="22"/>
      <c r="R214" s="22"/>
      <c r="S214" s="31">
        <f t="shared" si="67"/>
        <v>1</v>
      </c>
      <c r="T214" s="46" t="str">
        <f t="shared" si="74"/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75"/>
        <v>https://d0f6bd738d7f1b3e5a7ca70fe4ff75f0.us-east-1.aws.found.io/app/kibana#/discover/Steve-Slow-Train-Analysis-(2080s-and-2083s)?_g=(refreshInterval:(display:Off,pause:!f,section:0,value:0),time:(from:'2017-04-06T23:41:07-0600',mode:absolute,to:'2017-04-07T01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4" s="183" t="str">
        <f t="shared" si="76"/>
        <v>Y</v>
      </c>
      <c r="X214" s="183">
        <f t="shared" si="71"/>
        <v>2</v>
      </c>
      <c r="Y214" s="62">
        <f t="shared" si="77"/>
        <v>4.7800000000000002E-2</v>
      </c>
      <c r="Z214" s="62">
        <f t="shared" si="68"/>
        <v>2.3302</v>
      </c>
      <c r="AA214" s="62">
        <f t="shared" si="78"/>
        <v>2.2824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9"/>
        <v>0315-06</v>
      </c>
      <c r="AE214" s="85" t="str">
        <f t="shared" si="80"/>
        <v>aws s3 cp s3://rtdc.mdm.uploadarchive.raw/RTDC4004/ "%USERPROFILE%\AppData\Local\Temp\OnboardLogs"\RTDC4004\2017-04-07 --exclude "*" --recursive --include "*20170407*" &amp; "%USERPROFILE%\Documents\GitHub\mrs-test-scripts\Headless Mode &amp; Sideloading\WalkAndUnGZ.bat" "%USERPROFILE%\AppData\Local\Temp\OnboardLogs"\RTDC4004\2017-04-07 &amp; aws s3 cp s3://rtdc.mdm.uploadarchive.raw/RTDC4004/ "%USERPROFILE%\AppData\Local\Temp\OnboardLogs"\RTDC4004\2017-04-08 --exclude "*" --recursive --include "*20170408*" &amp; "%USERPROFILE%\Documents\GitHub\mrs-test-scripts\Headless Mode &amp; Sideloading\WalkAndUnGZ.bat" "%USERPROFILE%\AppData\Local\Temp\OnboardLogs"\RTDC4004\2017-04-08</v>
      </c>
      <c r="AF214" s="82" t="str">
        <f t="shared" si="81"/>
        <v>"C:\Program Files (x86)\AstroGrep\AstroGrep.exe" /e /r /s /spath="%USERPROFILE%\AppData\Local\Temp\OnboardLogs" /stypes="app*4004*20170407*" /stext=" 06:.+((SYSTEM_STATE.+slice.+state.+changed )|(ment ac)|(multiple cpu faults)|(system.+state.+changed )|(\[timeout)|(PRM\|1\|D)|(kpr)|(kdp)|(\|lc)|(penalty))"</v>
      </c>
      <c r="AG214" s="1" t="str">
        <f t="shared" si="82"/>
        <v>Other</v>
      </c>
      <c r="AH214" s="86" t="str">
        <f t="shared" si="83"/>
        <v>"%USERPROFILE%\Documents\GitHub\eaglep3\Utilities\RefineRTDCRunTimes.py" --tripid 315-06 --locoid 4004 --swversion DE.1.0.9.0 --startMP 204:478 --initTime 2017-04-07T00:41:07 --startdatetime 2017-04-07T00:43:13 --delay 1 --endMP 300:23302 --enddatetime 2017-04-07T00:50:41 --enforcementcount 0 &gt;&gt;C:\Users\stu\Documents\GitHub\eaglep3-reporting\EC\2017-04-06-refined-times.txt</v>
      </c>
      <c r="AI214" s="104" t="str">
        <f t="shared" si="84"/>
        <v>echo {"issue":{"subject":"","project_id":79,"tracker_id":40,"status_id":1,"priority_id":2,"assigned_to_id":23,"start_date":"2017-04-07","description":"","custom_fields":[{"id":1,"name":"Subdivision","value":"Other"},{"id":4,"name":"Milepost","value":"2.3302"},{"id":17,"name":"Train ID","value":"315-06"},{"id":16,"name":"Locomotive ID","value":"4004"},{"id":130,"name":"Impact","value":""},{"id":150,"name":"Time of Event (Mountain Time)","value":"00:50:41"},{"id":151,"name":"Denver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85"/>
        <v>start /low /b %USERPROFILE%\Documents\GitHub\eaglep3\Utilities\DownloadLogsFromS3.py --loco 4004 --day 2017-04-07</v>
      </c>
      <c r="AN214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06:50:41"},{"id":29,"name":"Sharepoint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669</v>
      </c>
      <c r="B215" s="7">
        <v>4020</v>
      </c>
      <c r="C215" s="21" t="s">
        <v>216</v>
      </c>
      <c r="D215" s="21" t="s">
        <v>1008</v>
      </c>
      <c r="E215" s="13">
        <v>42831.199675925927</v>
      </c>
      <c r="F215" s="13">
        <v>42831.206030092595</v>
      </c>
      <c r="G215" s="7">
        <v>9</v>
      </c>
      <c r="H215" s="21" t="s">
        <v>1009</v>
      </c>
      <c r="I215" s="13">
        <v>42831.211712962962</v>
      </c>
      <c r="J215" s="7">
        <v>0</v>
      </c>
      <c r="K215" s="97" t="str">
        <f t="shared" si="72"/>
        <v>4019/4020</v>
      </c>
      <c r="L215" s="21" t="str">
        <f>VLOOKUP(A215,'Trips&amp;Operators'!$C$1:$G$99999,5,FALSE)</f>
        <v>SHOOK JOHN</v>
      </c>
      <c r="M215" s="6">
        <f t="shared" si="73"/>
        <v>5.6828703673090786E-3</v>
      </c>
      <c r="N215" s="7">
        <f t="shared" si="87"/>
        <v>8.1833333289250731</v>
      </c>
      <c r="O215" s="7"/>
      <c r="P215" s="7"/>
      <c r="Q215" s="22"/>
      <c r="R215" s="22"/>
      <c r="S215" s="31">
        <f t="shared" si="67"/>
        <v>0</v>
      </c>
      <c r="T215" s="46" t="str">
        <f t="shared" si="74"/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82" t="str">
        <f t="shared" si="75"/>
        <v>https://d0f6bd738d7f1b3e5a7ca70fe4ff75f0.us-east-1.aws.found.io/app/kibana#/discover/Steve-Slow-Train-Analysis-(2080s-and-2083s)?_g=(refreshInterval:(display:Off,pause:!f,section:0,value:0),time:(from:'2017-04-06T03:47:32-0600',mode:absolute,to:'2017-04-06T06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5" s="183" t="str">
        <f t="shared" si="76"/>
        <v>Y</v>
      </c>
      <c r="X215" s="183">
        <f t="shared" si="71"/>
        <v>586</v>
      </c>
      <c r="Y215" s="62">
        <f t="shared" si="77"/>
        <v>3.0316999999999998</v>
      </c>
      <c r="Z215" s="62">
        <f t="shared" si="68"/>
        <v>5.8987999999999996</v>
      </c>
      <c r="AA215" s="62">
        <f t="shared" si="78"/>
        <v>2.8670999999999998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9"/>
        <v>0901-06</v>
      </c>
      <c r="AE215" s="85" t="str">
        <f t="shared" si="80"/>
        <v>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 &amp; 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</v>
      </c>
      <c r="AF215" s="82" t="str">
        <f t="shared" si="81"/>
        <v>"C:\Program Files (x86)\AstroGrep\AstroGrep.exe" /e /r /s /spath="%USERPROFILE%\AppData\Local\Temp\OnboardLogs" /stypes="app*4020*20170406*" /stext=" 11:.+((SYSTEM_STATE.+slice.+state.+changed )|(ment ac)|(multiple cpu faults)|(system.+state.+changed )|(\[timeout)|(PRM\|1\|D)|(kpr)|(kdp)|(\|lc)|(penalty))"</v>
      </c>
      <c r="AG215" s="1" t="str">
        <f t="shared" si="82"/>
        <v>Other</v>
      </c>
      <c r="AH215" s="86" t="str">
        <f t="shared" si="83"/>
        <v>"%USERPROFILE%\Documents\GitHub\eaglep3\Utilities\RefineRTDCRunTimes.py" --tripid 901-06 --locoid 4020 --swversion DE.1.0.9.0 --startMP 300:30317 --initTime 2017-04-06T04:47:32 --startdatetime 2017-04-06T04:56:41 --delay 9 --endMP 300:58988 --enddatetime 2017-04-06T05:04:52 --enforcementcount 0 &gt;&gt;C:\Users\stu\Documents\GitHub\eaglep3-reporting\EC\2017-04-06-refined-times.txt</v>
      </c>
      <c r="AI215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{"issue":{"subject":"","project_id":79,"tracker_id":40,"status_id":1,"priority_id":2,"assigned_to_id":23,"start_date":"2017-04-06","description":"","custom_fields":[{"id":1,"name":"Subdivision","value":"Other"},{"id":4,"name":"Milepost","value":"5.8988"},{"id":17,"name":"Train ID","value":"901-06"},{"id":16,"name":"Locomotive ID","value":"4020"},{"id":130,"name":"Impact","value":""},{"id":150,"name":"Time of Event (Mountain Time)","value":"05:04:52"},{"id":151,"name":"Denver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85"/>
        <v>start /low /b %USERPROFILE%\Documents\GitHub\eaglep3\Utilities\DownloadLogsFromS3.py --loco 4020 --day 2017-04-06</v>
      </c>
      <c r="AN215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11:04:52"},{"id":29,"name":"Sharepoint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682</v>
      </c>
      <c r="B216" s="7">
        <v>4001</v>
      </c>
      <c r="C216" s="21" t="s">
        <v>216</v>
      </c>
      <c r="D216" s="21" t="s">
        <v>1010</v>
      </c>
      <c r="E216" s="13">
        <v>42831.249606481484</v>
      </c>
      <c r="F216" s="13">
        <v>42831.251585648148</v>
      </c>
      <c r="G216" s="7">
        <v>2</v>
      </c>
      <c r="H216" s="21" t="s">
        <v>1004</v>
      </c>
      <c r="I216" s="13">
        <v>42831.256620370368</v>
      </c>
      <c r="J216" s="7">
        <v>0</v>
      </c>
      <c r="K216" s="97" t="str">
        <f t="shared" si="72"/>
        <v>4001/4002</v>
      </c>
      <c r="L216" s="21" t="str">
        <f>VLOOKUP(A216,'Trips&amp;Operators'!$C$1:$G$99999,5,FALSE)</f>
        <v>LOZA FIDEL</v>
      </c>
      <c r="M216" s="6">
        <f t="shared" si="73"/>
        <v>5.0347222204436548E-3</v>
      </c>
      <c r="N216" s="7">
        <f t="shared" si="87"/>
        <v>7.2499999974388629</v>
      </c>
      <c r="O216" s="7"/>
      <c r="P216" s="7"/>
      <c r="Q216" s="22"/>
      <c r="R216" s="22"/>
      <c r="S216" s="31">
        <f t="shared" si="67"/>
        <v>1</v>
      </c>
      <c r="T216" s="46" t="str">
        <f t="shared" si="74"/>
        <v>Southbound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75"/>
        <v>https://d0f6bd738d7f1b3e5a7ca70fe4ff75f0.us-east-1.aws.found.io/app/kibana#/discover/Steve-Slow-Train-Analysis-(2080s-and-2083s)?_g=(refreshInterval:(display:Off,pause:!f,section:0,value:0),time:(from:'2017-04-06T04:59:26-0600',mode:absolute,to:'2017-04-06T07:09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6" s="183" t="str">
        <f t="shared" si="76"/>
        <v>Y</v>
      </c>
      <c r="X216" s="183">
        <f t="shared" si="71"/>
        <v>1</v>
      </c>
      <c r="Y216" s="62">
        <f t="shared" si="77"/>
        <v>2.347</v>
      </c>
      <c r="Z216" s="62">
        <f t="shared" si="68"/>
        <v>6.8400000000000002E-2</v>
      </c>
      <c r="AA216" s="62">
        <f t="shared" si="78"/>
        <v>2.2786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9"/>
        <v>0902-06</v>
      </c>
      <c r="AE216" s="85" t="str">
        <f t="shared" si="80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216" s="82" t="str">
        <f t="shared" si="81"/>
        <v>"C:\Program Files (x86)\AstroGrep\AstroGrep.exe" /e /r /s /spath="%USERPROFILE%\AppData\Local\Temp\OnboardLogs" /stypes="app*4001*20170406*" /stext=" 12:.+((SYSTEM_STATE.+slice.+state.+changed )|(ment ac)|(multiple cpu faults)|(system.+state.+changed )|(\[timeout)|(PRM\|1\|D)|(kpr)|(kdp)|(\|lc)|(penalty))"</v>
      </c>
      <c r="AG216" s="1" t="str">
        <f t="shared" si="82"/>
        <v>Other</v>
      </c>
      <c r="AH216" s="86" t="str">
        <f t="shared" si="83"/>
        <v>"%USERPROFILE%\Documents\GitHub\eaglep3\Utilities\RefineRTDCRunTimes.py" --tripid 902-06 --locoid 4001 --swversion DE.1.0.9.0 --startMP 300:23470 --initTime 2017-04-06T05:59:26 --startdatetime 2017-04-06T06:02:17 --delay 2 --endMP 204:684 --enddatetime 2017-04-06T06:09:32 --enforcementcount 0 &gt;&gt;C:\Users\stu\Documents\GitHub\eaglep3-reporting\EC\2017-04-06-refined-times.txt</v>
      </c>
      <c r="AI216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{"issue":{"subject":"","project_id":79,"tracker_id":40,"status_id":1,"priority_id":2,"assigned_to_id":23,"start_date":"2017-04-06","description":"","custom_fields":[{"id":1,"name":"Subdivision","value":"Other"},{"id":4,"name":"Milepost","value":"0.0684"},{"id":17,"name":"Train ID","value":"902-06"},{"id":16,"name":"Locomotive ID","value":"4001"},{"id":130,"name":"Impact","value":""},{"id":150,"name":"Time of Event (Mountain Time)","value":"06:09:32"},{"id":151,"name":"Denver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85"/>
        <v>start /low /b %USERPROFILE%\Documents\GitHub\eaglep3\Utilities\DownloadLogsFromS3.py --loco 4001 --day 2017-04-06</v>
      </c>
      <c r="AN216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12:09:32"},{"id":29,"name":"Sharepoint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711</v>
      </c>
      <c r="B217" s="7">
        <v>4020</v>
      </c>
      <c r="C217" s="21" t="s">
        <v>216</v>
      </c>
      <c r="D217" s="21" t="s">
        <v>1011</v>
      </c>
      <c r="E217" s="13">
        <v>42831.354421296295</v>
      </c>
      <c r="F217" s="13">
        <v>42831.356180555558</v>
      </c>
      <c r="G217" s="7">
        <v>1</v>
      </c>
      <c r="H217" s="21" t="s">
        <v>1012</v>
      </c>
      <c r="I217" s="13">
        <v>42831.362129629626</v>
      </c>
      <c r="J217" s="7">
        <v>0</v>
      </c>
      <c r="K217" s="97" t="str">
        <f t="shared" si="72"/>
        <v>4019/4020</v>
      </c>
      <c r="L217" s="21" t="str">
        <f>VLOOKUP(A217,'Trips&amp;Operators'!$C$1:$G$99999,5,FALSE)</f>
        <v>SHOOK JOHN</v>
      </c>
      <c r="M217" s="6">
        <f t="shared" si="73"/>
        <v>5.9490740677574649E-3</v>
      </c>
      <c r="N217" s="7">
        <f t="shared" si="87"/>
        <v>8.5666666575707495</v>
      </c>
      <c r="O217" s="7"/>
      <c r="P217" s="7"/>
      <c r="Q217" s="22"/>
      <c r="R217" s="22"/>
      <c r="S217" s="31">
        <f t="shared" si="67"/>
        <v>1</v>
      </c>
      <c r="T217" s="46" t="str">
        <f t="shared" si="74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 t="shared" si="75"/>
        <v>https://d0f6bd738d7f1b3e5a7ca70fe4ff75f0.us-east-1.aws.found.io/app/kibana#/discover/Steve-Slow-Train-Analysis-(2080s-and-2083s)?_g=(refreshInterval:(display:Off,pause:!f,section:0,value:0),time:(from:'2017-04-06T07:30:22-0600',mode:absolute,to:'2017-04-06T09:41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7" s="183" t="str">
        <f t="shared" si="76"/>
        <v>Y</v>
      </c>
      <c r="X217" s="183">
        <f t="shared" si="71"/>
        <v>1</v>
      </c>
      <c r="Y217" s="62">
        <f t="shared" si="77"/>
        <v>0.10249999999999999</v>
      </c>
      <c r="Z217" s="62">
        <f t="shared" si="68"/>
        <v>2.4253999999999998</v>
      </c>
      <c r="AA217" s="62">
        <f t="shared" si="78"/>
        <v>2.3228999999999997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9"/>
        <v>0903-06</v>
      </c>
      <c r="AE217" s="85" t="str">
        <f t="shared" si="80"/>
        <v>aws s3 cp s3://rtdc.mdm.uploadarchive.raw/RTDC4020/ "%USERPROFILE%\AppData\Local\Temp\OnboardLogs"\RTDC4020\2017-04-06 --exclude "*" --recursive --include "*20170406*" &amp; "%USERPROFILE%\Documents\GitHub\mrs-test-scripts\Headless Mode &amp; Sideloading\WalkAndUnGZ.bat" "%USERPROFILE%\AppData\Local\Temp\OnboardLogs"\RTDC4020\2017-04-06 &amp; aws s3 cp s3://rtdc.mdm.uploadarchive.raw/RTDC4020/ "%USERPROFILE%\AppData\Local\Temp\OnboardLogs"\RTDC4020\2017-04-07 --exclude "*" --recursive --include "*20170407*" &amp; "%USERPROFILE%\Documents\GitHub\mrs-test-scripts\Headless Mode &amp; Sideloading\WalkAndUnGZ.bat" "%USERPROFILE%\AppData\Local\Temp\OnboardLogs"\RTDC4020\2017-04-07</v>
      </c>
      <c r="AF217" s="82" t="str">
        <f t="shared" si="81"/>
        <v>"C:\Program Files (x86)\AstroGrep\AstroGrep.exe" /e /r /s /spath="%USERPROFILE%\AppData\Local\Temp\OnboardLogs" /stypes="app*4020*20170406*" /stext=" 14:.+((SYSTEM_STATE.+slice.+state.+changed )|(ment ac)|(multiple cpu faults)|(system.+state.+changed )|(\[timeout)|(PRM\|1\|D)|(kpr)|(kdp)|(\|lc)|(penalty))"</v>
      </c>
      <c r="AG217" s="1" t="str">
        <f t="shared" si="82"/>
        <v>Other</v>
      </c>
      <c r="AH217" s="86" t="str">
        <f t="shared" si="83"/>
        <v>"%USERPROFILE%\Documents\GitHub\eaglep3\Utilities\RefineRTDCRunTimes.py" --tripid 903-06 --locoid 4020 --swversion DE.1.0.9.0 --startMP 204:1025 --initTime 2017-04-06T08:30:22 --startdatetime 2017-04-06T08:32:54 --delay 1 --endMP 300:24254 --enddatetime 2017-04-06T08:41:28 --enforcementcount 0 &gt;&gt;C:\Users\stu\Documents\GitHub\eaglep3-reporting\EC\2017-04-06-refined-times.txt</v>
      </c>
      <c r="AI217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{"issue":{"subject":"","project_id":79,"tracker_id":40,"status_id":1,"priority_id":2,"assigned_to_id":23,"start_date":"2017-04-06","description":"","custom_fields":[{"id":1,"name":"Subdivision","value":"Other"},{"id":4,"name":"Milepost","value":"2.4254"},{"id":17,"name":"Train ID","value":"903-06"},{"id":16,"name":"Locomotive ID","value":"4020"},{"id":130,"name":"Impact","value":""},{"id":150,"name":"Time of Event (Mountain Time)","value":"08:41:28"},{"id":151,"name":"Denver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85"/>
        <v>start /low /b %USERPROFILE%\Documents\GitHub\eaglep3\Utilities\DownloadLogsFromS3.py --loco 4020 --day 2017-04-06</v>
      </c>
      <c r="AN217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14:41:28"},{"id":29,"name":"Sharepoint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775</v>
      </c>
      <c r="B218" s="7">
        <v>4019</v>
      </c>
      <c r="C218" s="21" t="s">
        <v>216</v>
      </c>
      <c r="D218" s="21" t="s">
        <v>1013</v>
      </c>
      <c r="E218" s="13">
        <v>42831.635208333333</v>
      </c>
      <c r="F218" s="13">
        <v>42831.638541666667</v>
      </c>
      <c r="G218" s="7">
        <v>4</v>
      </c>
      <c r="H218" s="21" t="s">
        <v>601</v>
      </c>
      <c r="I218" s="13">
        <v>42831.644247685188</v>
      </c>
      <c r="J218" s="7">
        <v>0</v>
      </c>
      <c r="K218" s="97" t="str">
        <f t="shared" si="72"/>
        <v>4019/4020</v>
      </c>
      <c r="L218" s="21" t="str">
        <f>VLOOKUP(A218,'Trips&amp;Operators'!$C$1:$G$99999,5,FALSE)</f>
        <v>STORY SAMANTHA</v>
      </c>
      <c r="M218" s="6">
        <f t="shared" si="73"/>
        <v>5.7060185208683833E-3</v>
      </c>
      <c r="N218" s="7">
        <f t="shared" si="87"/>
        <v>8.216666670050472</v>
      </c>
      <c r="O218" s="7"/>
      <c r="P218" s="7"/>
      <c r="Q218" s="22"/>
      <c r="R218" s="22"/>
      <c r="S218" s="31">
        <f t="shared" si="67"/>
        <v>1</v>
      </c>
      <c r="T218" s="46" t="str">
        <f t="shared" si="74"/>
        <v>Southbound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 t="shared" si="75"/>
        <v>https://d0f6bd738d7f1b3e5a7ca70fe4ff75f0.us-east-1.aws.found.io/app/kibana#/discover/Steve-Slow-Train-Analysis-(2080s-and-2083s)?_g=(refreshInterval:(display:Off,pause:!f,section:0,value:0),time:(from:'2017-04-06T14:14:42-0600',mode:absolute,to:'2017-04-06T16:27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8" s="183" t="str">
        <f t="shared" si="76"/>
        <v>Y</v>
      </c>
      <c r="X218" s="183">
        <f t="shared" si="71"/>
        <v>1</v>
      </c>
      <c r="Y218" s="62">
        <f t="shared" si="77"/>
        <v>2.3755999999999999</v>
      </c>
      <c r="Z218" s="62">
        <f t="shared" si="68"/>
        <v>6.7299999999999999E-2</v>
      </c>
      <c r="AA218" s="62">
        <f t="shared" si="78"/>
        <v>2.3083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9"/>
        <v>0904-06</v>
      </c>
      <c r="AE218" s="85" t="str">
        <f t="shared" si="80"/>
        <v>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 &amp; 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</v>
      </c>
      <c r="AF218" s="82" t="str">
        <f t="shared" si="81"/>
        <v>"C:\Program Files (x86)\AstroGrep\AstroGrep.exe" /e /r /s /spath="%USERPROFILE%\AppData\Local\Temp\OnboardLogs" /stypes="app*4019*20170406*" /stext=" 21:.+((SYSTEM_STATE.+slice.+state.+changed )|(ment ac)|(multiple cpu faults)|(system.+state.+changed )|(\[timeout)|(PRM\|1\|D)|(kpr)|(kdp)|(\|lc)|(penalty))"</v>
      </c>
      <c r="AG218" s="1" t="str">
        <f t="shared" si="82"/>
        <v>Other</v>
      </c>
      <c r="AH218" s="86" t="str">
        <f t="shared" si="83"/>
        <v>"%USERPROFILE%\Documents\GitHub\eaglep3\Utilities\RefineRTDCRunTimes.py" --tripid 904-06 --locoid 4019 --swversion DE.1.0.9.0 --startMP 300:23756 --initTime 2017-04-06T15:14:42 --startdatetime 2017-04-06T15:19:30 --delay 4 --endMP 204:673 --enddatetime 2017-04-06T15:27:43 --enforcementcount 0 &gt;&gt;C:\Users\stu\Documents\GitHub\eaglep3-reporting\EC\2017-04-06-refined-times.txt</v>
      </c>
      <c r="AI218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{"issue":{"subject":"","project_id":79,"tracker_id":40,"status_id":1,"priority_id":2,"assigned_to_id":23,"start_date":"2017-04-06","description":"","custom_fields":[{"id":1,"name":"Subdivision","value":"Other"},{"id":4,"name":"Milepost","value":"0.0673"},{"id":17,"name":"Train ID","value":"904-06"},{"id":16,"name":"Locomotive ID","value":"4019"},{"id":130,"name":"Impact","value":""},{"id":150,"name":"Time of Event (Mountain Time)","value":"15:27:43"},{"id":151,"name":"Denver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85"/>
        <v>start /low /b %USERPROFILE%\Documents\GitHub\eaglep3\Utilities\DownloadLogsFromS3.py --loco 4019 --day 2017-04-06</v>
      </c>
      <c r="AN218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21:27:43"},{"id":29,"name":"Sharepoint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813</v>
      </c>
      <c r="B219" s="7">
        <v>4019</v>
      </c>
      <c r="C219" s="21" t="s">
        <v>216</v>
      </c>
      <c r="D219" s="21" t="s">
        <v>994</v>
      </c>
      <c r="E219" s="13">
        <v>42831.797222222223</v>
      </c>
      <c r="F219" s="13">
        <v>42831.79855324074</v>
      </c>
      <c r="G219" s="7">
        <v>1</v>
      </c>
      <c r="H219" s="21" t="s">
        <v>1014</v>
      </c>
      <c r="I219" s="13">
        <v>42831.806666666664</v>
      </c>
      <c r="J219" s="7">
        <v>0</v>
      </c>
      <c r="K219" s="97" t="str">
        <f t="shared" si="72"/>
        <v>4019/4020</v>
      </c>
      <c r="L219" s="21" t="str">
        <f>VLOOKUP(A219,'Trips&amp;Operators'!$C$1:$G$99999,5,FALSE)</f>
        <v>STORY SAMANTHA</v>
      </c>
      <c r="M219" s="6">
        <f t="shared" si="73"/>
        <v>8.1134259235113859E-3</v>
      </c>
      <c r="N219" s="7">
        <f t="shared" si="87"/>
        <v>11.683333329856396</v>
      </c>
      <c r="O219" s="7"/>
      <c r="P219" s="7"/>
      <c r="Q219" s="22"/>
      <c r="R219" s="22"/>
      <c r="S219" s="31">
        <f t="shared" ref="S219:S243" si="88">SUM(U219:U219)/IF(AG219="EC",12,1)</f>
        <v>0</v>
      </c>
      <c r="T219" s="46" t="str">
        <f t="shared" si="74"/>
        <v>Southbound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2" t="str">
        <f t="shared" si="75"/>
        <v>https://d0f6bd738d7f1b3e5a7ca70fe4ff75f0.us-east-1.aws.found.io/app/kibana#/discover/Steve-Slow-Train-Analysis-(2080s-and-2083s)?_g=(refreshInterval:(display:Off,pause:!f,section:0,value:0),time:(from:'2017-04-06T18:08:00-0600',mode:absolute,to:'2017-04-06T20:21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9" s="183" t="str">
        <f t="shared" si="76"/>
        <v>Y</v>
      </c>
      <c r="X219" s="183">
        <f t="shared" si="71"/>
        <v>2</v>
      </c>
      <c r="Y219" s="62">
        <f t="shared" si="77"/>
        <v>5.8624999999999998</v>
      </c>
      <c r="Z219" s="62">
        <f t="shared" ref="Z219:Z243" si="89">RIGHT(H219,LEN(H219)-4)/10000</f>
        <v>2.8774000000000002</v>
      </c>
      <c r="AA219" s="62">
        <f t="shared" si="78"/>
        <v>2.9850999999999996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9"/>
        <v>0906-06</v>
      </c>
      <c r="AE219" s="85" t="str">
        <f t="shared" si="80"/>
        <v>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 &amp; 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</v>
      </c>
      <c r="AF219" s="82" t="str">
        <f t="shared" si="81"/>
        <v>"C:\Program Files (x86)\AstroGrep\AstroGrep.exe" /e /r /s /spath="%USERPROFILE%\AppData\Local\Temp\OnboardLogs" /stypes="app*4019*20170407*" /stext=" 01:.+((SYSTEM_STATE.+slice.+state.+changed )|(ment ac)|(multiple cpu faults)|(system.+state.+changed )|(\[timeout)|(PRM\|1\|D)|(kpr)|(kdp)|(\|lc)|(penalty))"</v>
      </c>
      <c r="AG219" s="1" t="str">
        <f t="shared" si="82"/>
        <v>Other</v>
      </c>
      <c r="AH219" s="86" t="str">
        <f t="shared" si="83"/>
        <v>"%USERPROFILE%\Documents\GitHub\eaglep3\Utilities\RefineRTDCRunTimes.py" --tripid 906-06 --locoid 4019 --swversion DE.1.0.9.0 --startMP 300:58625 --initTime 2017-04-06T19:08:00 --startdatetime 2017-04-06T19:09:55 --delay 1 --endMP 300:28774 --enddatetime 2017-04-06T19:21:36 --enforcementcount 0 &gt;&gt;C:\Users\stu\Documents\GitHub\eaglep3-reporting\EC\2017-04-06-refined-times.txt</v>
      </c>
      <c r="AI219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{"issue":{"subject":"","project_id":79,"tracker_id":40,"status_id":1,"priority_id":2,"assigned_to_id":23,"start_date":"2017-04-06","description":"","custom_fields":[{"id":1,"name":"Subdivision","value":"Other"},{"id":4,"name":"Milepost","value":"2.8774"},{"id":17,"name":"Train ID","value":"906-06"},{"id":16,"name":"Locomotive ID","value":"4019"},{"id":130,"name":"Impact","value":""},{"id":150,"name":"Time of Event (Mountain Time)","value":"19:21:36"},{"id":151,"name":"Denver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85"/>
        <v>start /low /b %USERPROFILE%\Documents\GitHub\eaglep3\Utilities\DownloadLogsFromS3.py --loco 4019 --day 2017-04-06</v>
      </c>
      <c r="AN219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01:21:36"},{"id":29,"name":"Sharepoint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841</v>
      </c>
      <c r="B220" s="7">
        <v>4001</v>
      </c>
      <c r="C220" s="21" t="s">
        <v>216</v>
      </c>
      <c r="D220" s="21" t="s">
        <v>1015</v>
      </c>
      <c r="E220" s="13">
        <v>42831.942881944444</v>
      </c>
      <c r="F220" s="13">
        <v>42831.954560185186</v>
      </c>
      <c r="G220" s="7">
        <v>1</v>
      </c>
      <c r="H220" s="21" t="s">
        <v>1016</v>
      </c>
      <c r="I220" s="13">
        <v>42831.956967592596</v>
      </c>
      <c r="J220" s="7">
        <v>0</v>
      </c>
      <c r="K220" s="97" t="str">
        <f t="shared" si="72"/>
        <v>4001/4002</v>
      </c>
      <c r="L220" s="21" t="str">
        <f>VLOOKUP(A220,'Trips&amp;Operators'!$C$1:$G$99999,5,FALSE)</f>
        <v>STORY SAMANTHA</v>
      </c>
      <c r="M220" s="6">
        <f t="shared" si="73"/>
        <v>2.4074074099189602E-3</v>
      </c>
      <c r="N220" s="7">
        <f t="shared" si="87"/>
        <v>3.4666666702833027</v>
      </c>
      <c r="O220" s="7"/>
      <c r="P220" s="7"/>
      <c r="Q220" s="22"/>
      <c r="R220" s="22"/>
      <c r="S220" s="31">
        <f t="shared" si="88"/>
        <v>0</v>
      </c>
      <c r="T220" s="46" t="str">
        <f t="shared" si="74"/>
        <v>Southbound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2" t="str">
        <f t="shared" si="75"/>
        <v>https://d0f6bd738d7f1b3e5a7ca70fe4ff75f0.us-east-1.aws.found.io/app/kibana#/discover/Steve-Slow-Train-Analysis-(2080s-and-2083s)?_g=(refreshInterval:(display:Off,pause:!f,section:0,value:0),time:(from:'2017-04-06T21:37:45-0600',mode:absolute,to:'2017-04-06T23:58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20" s="183" t="str">
        <f t="shared" si="76"/>
        <v>Y</v>
      </c>
      <c r="X220" s="183">
        <f t="shared" si="71"/>
        <v>2</v>
      </c>
      <c r="Y220" s="62">
        <f t="shared" si="77"/>
        <v>5.8655999999999997</v>
      </c>
      <c r="Z220" s="62">
        <f t="shared" si="89"/>
        <v>2.1627000000000001</v>
      </c>
      <c r="AA220" s="62">
        <f t="shared" si="78"/>
        <v>3.7028999999999996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9"/>
        <v>0908-06</v>
      </c>
      <c r="AE220" s="85" t="str">
        <f t="shared" si="80"/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AF220" s="82" t="str">
        <f t="shared" si="81"/>
        <v>"C:\Program Files (x86)\AstroGrep\AstroGrep.exe" /e /r /s /spath="%USERPROFILE%\AppData\Local\Temp\OnboardLogs" /stypes="app*4001*20170407*" /stext=" 04:.+((SYSTEM_STATE.+slice.+state.+changed )|(ment ac)|(multiple cpu faults)|(system.+state.+changed )|(\[timeout)|(PRM\|1\|D)|(kpr)|(kdp)|(\|lc)|(penalty))"</v>
      </c>
      <c r="AG220" s="1" t="str">
        <f t="shared" si="82"/>
        <v>Other</v>
      </c>
      <c r="AH220" s="86" t="str">
        <f t="shared" si="83"/>
        <v>"%USERPROFILE%\Documents\GitHub\eaglep3\Utilities\RefineRTDCRunTimes.py" --tripid 908-06 --locoid 4001 --swversion DE.1.0.9.0 --startMP 300:58656 --initTime 2017-04-06T22:37:45 --startdatetime 2017-04-06T22:54:34 --delay 1 --endMP 300:21627 --enddatetime 2017-04-06T22:58:02 --enforcementcount 0 &gt;&gt;C:\Users\stu\Documents\GitHub\eaglep3-reporting\EC\2017-04-06-refined-times.txt</v>
      </c>
      <c r="AI220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{"issue":{"subject":"","project_id":79,"tracker_id":40,"status_id":1,"priority_id":2,"assigned_to_id":23,"start_date":"2017-04-06","description":"","custom_fields":[{"id":1,"name":"Subdivision","value":"Other"},{"id":4,"name":"Milepost","value":"2.1627"},{"id":17,"name":"Train ID","value":"908-06"},{"id":16,"name":"Locomotive ID","value":"4001"},{"id":130,"name":"Impact","value":""},{"id":150,"name":"Time of Event (Mountain Time)","value":"22:58:02"},{"id":151,"name":"Denver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85"/>
        <v>start /low /b %USERPROFILE%\Documents\GitHub\eaglep3\Utilities\DownloadLogsFromS3.py --loco 4001 --day 2017-04-06</v>
      </c>
      <c r="AN220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04:58:02"},{"id":29,"name":"Sharepoint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841</v>
      </c>
      <c r="B221" s="7">
        <v>4002</v>
      </c>
      <c r="C221" s="21" t="s">
        <v>216</v>
      </c>
      <c r="D221" s="21" t="s">
        <v>1017</v>
      </c>
      <c r="E221" s="13">
        <v>42831.952523148146</v>
      </c>
      <c r="F221" s="13">
        <v>42831.954560185186</v>
      </c>
      <c r="G221" s="7">
        <v>1</v>
      </c>
      <c r="H221" s="21" t="s">
        <v>521</v>
      </c>
      <c r="I221" s="13">
        <v>42831.956967592596</v>
      </c>
      <c r="J221" s="7">
        <v>0</v>
      </c>
      <c r="K221" s="97" t="str">
        <f t="shared" si="72"/>
        <v>4001/4002</v>
      </c>
      <c r="L221" s="21" t="str">
        <f>VLOOKUP(A221,'Trips&amp;Operators'!$C$1:$G$99999,5,FALSE)</f>
        <v>STORY SAMANTHA</v>
      </c>
      <c r="M221" s="6">
        <f t="shared" si="73"/>
        <v>2.4074074099189602E-3</v>
      </c>
      <c r="N221" s="7">
        <f t="shared" si="87"/>
        <v>3.4666666702833027</v>
      </c>
      <c r="O221" s="7"/>
      <c r="P221" s="7"/>
      <c r="Q221" s="22"/>
      <c r="R221" s="22"/>
      <c r="S221" s="31">
        <f t="shared" si="88"/>
        <v>0</v>
      </c>
      <c r="T221" s="46" t="str">
        <f t="shared" si="74"/>
        <v>Southbound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2" t="str">
        <f t="shared" si="75"/>
        <v>https://d0f6bd738d7f1b3e5a7ca70fe4ff75f0.us-east-1.aws.found.io/app/kibana#/discover/Steve-Slow-Train-Analysis-(2080s-and-2083s)?_g=(refreshInterval:(display:Off,pause:!f,section:0,value:0),time:(from:'2017-04-06T21:51:38-0600',mode:absolute,to:'2017-04-06T23:58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21" s="183" t="str">
        <f t="shared" si="76"/>
        <v>Y</v>
      </c>
      <c r="X221" s="183">
        <f t="shared" si="71"/>
        <v>0</v>
      </c>
      <c r="Y221" s="62">
        <f t="shared" si="77"/>
        <v>2.1932999999999998</v>
      </c>
      <c r="Z221" s="62">
        <f t="shared" si="89"/>
        <v>2.3304</v>
      </c>
      <c r="AA221" s="62">
        <f t="shared" si="78"/>
        <v>0.13710000000000022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9"/>
        <v>0908-06</v>
      </c>
      <c r="AE221" s="85" t="str">
        <f t="shared" si="80"/>
        <v>aws s3 cp s3://rtdc.mdm.uploadarchive.raw/RTDC4002/ "%USERPROFILE%\AppData\Local\Temp\OnboardLogs"\RTDC4002\2017-04-06 --exclude "*" --recursive --include "*20170406*" &amp; "%USERPROFILE%\Documents\GitHub\mrs-test-scripts\Headless Mode &amp; Sideloading\WalkAndUnGZ.bat" "%USERPROFILE%\AppData\Local\Temp\OnboardLogs"\RTDC4002\2017-04-06 &amp; aws s3 cp s3://rtdc.mdm.uploadarchive.raw/RTDC4002/ "%USERPROFILE%\AppData\Local\Temp\OnboardLogs"\RTDC4002\2017-04-07 --exclude "*" --recursive --include "*20170407*" &amp; "%USERPROFILE%\Documents\GitHub\mrs-test-scripts\Headless Mode &amp; Sideloading\WalkAndUnGZ.bat" "%USERPROFILE%\AppData\Local\Temp\OnboardLogs"\RTDC4002\2017-04-07</v>
      </c>
      <c r="AF221" s="82" t="str">
        <f t="shared" si="81"/>
        <v>"C:\Program Files (x86)\AstroGrep\AstroGrep.exe" /e /r /s /spath="%USERPROFILE%\AppData\Local\Temp\OnboardLogs" /stypes="app*4002*20170407*" /stext=" 04:.+((SYSTEM_STATE.+slice.+state.+changed )|(ment ac)|(multiple cpu faults)|(system.+state.+changed )|(\[timeout)|(PRM\|1\|D)|(kpr)|(kdp)|(\|lc)|(penalty))"</v>
      </c>
      <c r="AG221" s="1" t="str">
        <f t="shared" si="82"/>
        <v>Other</v>
      </c>
      <c r="AH221" s="86" t="str">
        <f t="shared" si="83"/>
        <v>"%USERPROFILE%\Documents\GitHub\eaglep3\Utilities\RefineRTDCRunTimes.py" --tripid 908-06 --locoid 4002 --swversion DE.1.0.9.0 --startMP 300:21933 --initTime 2017-04-06T22:51:38 --startdatetime 2017-04-06T22:54:34 --delay 1 --endMP 300:23304 --enddatetime 2017-04-06T22:58:02 --enforcementcount 0 &gt;&gt;C:\Users\stu\Documents\GitHub\eaglep3-reporting\EC\2017-04-06-refined-times.txt</v>
      </c>
      <c r="AI221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{"issue":{"subject":"","project_id":79,"tracker_id":40,"status_id":1,"priority_id":2,"assigned_to_id":23,"start_date":"2017-04-06","description":"","custom_fields":[{"id":1,"name":"Subdivision","value":"Other"},{"id":4,"name":"Milepost","value":"2.3304"},{"id":17,"name":"Train ID","value":"908-06"},{"id":16,"name":"Locomotive ID","value":"4002"},{"id":130,"name":"Impact","value":""},{"id":150,"name":"Time of Event (Mountain Time)","value":"22:58:02"},{"id":151,"name":"Denver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85"/>
        <v>start /low /b %USERPROFILE%\Documents\GitHub\eaglep3\Utilities\DownloadLogsFromS3.py --loco 4002 --day 2017-04-06</v>
      </c>
      <c r="AN221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04:58:02"},{"id":29,"name":"Sharepoint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622</v>
      </c>
      <c r="B222" s="7">
        <v>4053</v>
      </c>
      <c r="C222" s="21" t="s">
        <v>216</v>
      </c>
      <c r="D222" s="21" t="s">
        <v>929</v>
      </c>
      <c r="E222" s="13">
        <v>42831.176759259259</v>
      </c>
      <c r="F222" s="13">
        <v>42831.191620370373</v>
      </c>
      <c r="G222" s="7">
        <v>1</v>
      </c>
      <c r="H222" s="21" t="s">
        <v>930</v>
      </c>
      <c r="I222" s="13">
        <v>42831.197187500002</v>
      </c>
      <c r="J222" s="7">
        <v>0</v>
      </c>
      <c r="K222" s="97" t="str">
        <f t="shared" si="72"/>
        <v>4053/4054</v>
      </c>
      <c r="L222" s="21" t="str">
        <f>VLOOKUP(A222,'Trips&amp;Operators'!$C$1:$G$99999,5,FALSE)</f>
        <v>SPECTOR MICHAEL</v>
      </c>
      <c r="M222" s="6">
        <f t="shared" si="73"/>
        <v>5.5671296286163852E-3</v>
      </c>
      <c r="N222" s="7">
        <f t="shared" si="87"/>
        <v>8.0166666652075946</v>
      </c>
      <c r="O222" s="7"/>
      <c r="P222" s="7"/>
      <c r="Q222" s="22"/>
      <c r="R222" s="22"/>
      <c r="S222" s="31">
        <f t="shared" si="88"/>
        <v>0</v>
      </c>
      <c r="T222" s="46" t="e">
        <f t="shared" si="74"/>
        <v>#VALUE!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2" t="str">
        <f t="shared" si="75"/>
        <v>https://d0f6bd738d7f1b3e5a7ca70fe4ff75f0.us-east-1.aws.found.io/app/kibana#/discover/Steve-Slow-Train-Analysis-(2080s-and-2083s)?_g=(refreshInterval:(display:Off,pause:!f,section:0,value:0),time:(from:'2017-04-06T03:14:32-0600',mode:absolute,to:'2017-04-06T05:43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2" s="183" t="str">
        <f t="shared" si="76"/>
        <v>Y</v>
      </c>
      <c r="X222" s="183" t="e">
        <f t="shared" si="71"/>
        <v>#VALUE!</v>
      </c>
      <c r="Y222" s="62">
        <f t="shared" si="77"/>
        <v>1.8769</v>
      </c>
      <c r="Z222" s="62">
        <f t="shared" si="89"/>
        <v>9.0399999999999994E-2</v>
      </c>
      <c r="AA222" s="62">
        <f t="shared" si="78"/>
        <v>1.7865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9"/>
        <v>50-06</v>
      </c>
      <c r="AE222" s="85" t="str">
        <f t="shared" si="80"/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AF222" s="82" t="str">
        <f t="shared" si="81"/>
        <v>"C:\Program Files (x86)\AstroGrep\AstroGrep.exe" /e /r /s /spath="%USERPROFILE%\AppData\Local\Temp\OnboardLogs" /stypes="app*4053*20170406*" /stext=" 10:.+((SYSTEM_STATE.+slice.+state.+changed )|(ment ac)|(multiple cpu faults)|(system.+state.+changed )|(\[timeout)|(PRM\|1\|D)|(kpr)|(kdp)|(\|lc)|(penalty))"</v>
      </c>
      <c r="AG222" s="1" t="str">
        <f t="shared" si="82"/>
        <v>Other</v>
      </c>
      <c r="AH222" s="86" t="str">
        <f t="shared" si="83"/>
        <v>"%USERPROFILE%\Documents\GitHub\eaglep3\Utilities\RefineRTDCRunTimes.py" --tripid 50-06 --locoid 4053 --swversion DE.1.0.9.0 --startMP 204:18769 --initTime 2017-04-06T04:14:32 --startdatetime 2017-04-06T04:35:56 --delay 1 --endMP 204:904 --enddatetime 2017-04-06T04:43:57 --enforcementcount 0 &gt;&gt;C:\Users\stu\Documents\GitHub\eaglep3-reporting\EC\2017-04-06-refined-times.txt</v>
      </c>
      <c r="AI222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{"issue":{"subject":"","project_id":79,"tracker_id":40,"status_id":1,"priority_id":2,"assigned_to_id":23,"start_date":"2017-04-06","description":"","custom_fields":[{"id":1,"name":"Subdivision","value":"Other"},{"id":4,"name":"Milepost","value":"0.0904"},{"id":17,"name":"Train ID","value":"50-06"},{"id":16,"name":"Locomotive ID","value":"4053"},{"id":130,"name":"Impact","value":""},{"id":150,"name":"Time of Event (Mountain Time)","value":"04:43:57"},{"id":151,"name":"Denver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85"/>
        <v>start /low /b %USERPROFILE%\Documents\GitHub\eaglep3\Utilities\DownloadLogsFromS3.py --loco 4053 --day 2017-04-06</v>
      </c>
      <c r="AN222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10:43:57"},{"id":29,"name":"Sharepoint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622</v>
      </c>
      <c r="B223" s="7">
        <v>4053</v>
      </c>
      <c r="C223" s="21" t="s">
        <v>216</v>
      </c>
      <c r="D223" s="21" t="s">
        <v>931</v>
      </c>
      <c r="E223" s="13">
        <v>42831.142222222225</v>
      </c>
      <c r="F223" s="13">
        <v>42831.191620370373</v>
      </c>
      <c r="G223" s="7">
        <v>1</v>
      </c>
      <c r="H223" s="21" t="s">
        <v>932</v>
      </c>
      <c r="I223" s="13">
        <v>42831.197187500002</v>
      </c>
      <c r="J223" s="7">
        <v>0</v>
      </c>
      <c r="K223" s="97" t="str">
        <f t="shared" si="72"/>
        <v>4053/4054</v>
      </c>
      <c r="L223" s="21" t="str">
        <f>VLOOKUP(A223,'Trips&amp;Operators'!$C$1:$G$99999,5,FALSE)</f>
        <v>SPECTOR MICHAEL</v>
      </c>
      <c r="M223" s="6">
        <f t="shared" si="73"/>
        <v>5.5671296286163852E-3</v>
      </c>
      <c r="N223" s="7">
        <f t="shared" si="87"/>
        <v>8.0166666652075946</v>
      </c>
      <c r="O223" s="7"/>
      <c r="P223" s="7"/>
      <c r="Q223" s="22"/>
      <c r="R223" s="22"/>
      <c r="S223" s="31">
        <f t="shared" si="88"/>
        <v>0</v>
      </c>
      <c r="T223" s="46" t="e">
        <f t="shared" si="74"/>
        <v>#VALUE!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75"/>
        <v>https://d0f6bd738d7f1b3e5a7ca70fe4ff75f0.us-east-1.aws.found.io/app/kibana#/discover/Steve-Slow-Train-Analysis-(2080s-and-2083s)?_g=(refreshInterval:(display:Off,pause:!f,section:0,value:0),time:(from:'2017-04-06T02:24:48-0600',mode:absolute,to:'2017-04-06T05:43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3" s="183" t="str">
        <f t="shared" si="76"/>
        <v>Y</v>
      </c>
      <c r="X223" s="183" t="e">
        <f t="shared" si="71"/>
        <v>#VALUE!</v>
      </c>
      <c r="Y223" s="62">
        <f t="shared" si="77"/>
        <v>6.9927999999999999</v>
      </c>
      <c r="Z223" s="62">
        <f t="shared" si="89"/>
        <v>1.8773</v>
      </c>
      <c r="AA223" s="62">
        <f t="shared" si="78"/>
        <v>5.1154999999999999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9"/>
        <v>50-06</v>
      </c>
      <c r="AE223" s="85" t="str">
        <f t="shared" si="80"/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AF223" s="82" t="str">
        <f t="shared" si="81"/>
        <v>"C:\Program Files (x86)\AstroGrep\AstroGrep.exe" /e /r /s /spath="%USERPROFILE%\AppData\Local\Temp\OnboardLogs" /stypes="app*4053*20170406*" /stext=" 10:.+((SYSTEM_STATE.+slice.+state.+changed )|(ment ac)|(multiple cpu faults)|(system.+state.+changed )|(\[timeout)|(PRM\|1\|D)|(kpr)|(kdp)|(\|lc)|(penalty))"</v>
      </c>
      <c r="AG223" s="1" t="str">
        <f t="shared" si="82"/>
        <v>Other</v>
      </c>
      <c r="AH223" s="86" t="str">
        <f t="shared" si="83"/>
        <v>"%USERPROFILE%\Documents\GitHub\eaglep3\Utilities\RefineRTDCRunTimes.py" --tripid 50-06 --locoid 4053 --swversion DE.1.0.9.0 --startMP 204:69928 --initTime 2017-04-06T03:24:48 --startdatetime 2017-04-06T04:35:56 --delay 1 --endMP 204:18773 --enddatetime 2017-04-06T04:43:57 --enforcementcount 0 &gt;&gt;C:\Users\stu\Documents\GitHub\eaglep3-reporting\EC\2017-04-06-refined-times.txt</v>
      </c>
      <c r="AI223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{"issue":{"subject":"","project_id":79,"tracker_id":40,"status_id":1,"priority_id":2,"assigned_to_id":23,"start_date":"2017-04-06","description":"","custom_fields":[{"id":1,"name":"Subdivision","value":"Other"},{"id":4,"name":"Milepost","value":"1.8773"},{"id":17,"name":"Train ID","value":"50-06"},{"id":16,"name":"Locomotive ID","value":"4053"},{"id":130,"name":"Impact","value":""},{"id":150,"name":"Time of Event (Mountain Time)","value":"04:43:57"},{"id":151,"name":"Denver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85"/>
        <v>start /low /b %USERPROFILE%\Documents\GitHub\eaglep3\Utilities\DownloadLogsFromS3.py --loco 4053 --day 2017-04-06</v>
      </c>
      <c r="AN223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10:43:57"},{"id":29,"name":"Sharepoint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622</v>
      </c>
      <c r="B224" s="7">
        <v>4053</v>
      </c>
      <c r="C224" s="21" t="s">
        <v>216</v>
      </c>
      <c r="D224" s="21" t="s">
        <v>933</v>
      </c>
      <c r="E224" s="13">
        <v>42831.231574074074</v>
      </c>
      <c r="F224" s="13">
        <v>42831.233240740738</v>
      </c>
      <c r="G224" s="7">
        <v>1</v>
      </c>
      <c r="H224" s="21" t="s">
        <v>381</v>
      </c>
      <c r="I224" s="13">
        <v>42831.235590277778</v>
      </c>
      <c r="J224" s="7">
        <v>0</v>
      </c>
      <c r="K224" s="97" t="str">
        <f t="shared" si="72"/>
        <v>4053/4054</v>
      </c>
      <c r="L224" s="21" t="str">
        <f>VLOOKUP(A224,'Trips&amp;Operators'!$C$1:$G$99999,5,FALSE)</f>
        <v>SPECTOR MICHAEL</v>
      </c>
      <c r="M224" s="6">
        <f t="shared" si="73"/>
        <v>2.3495370405726135E-3</v>
      </c>
      <c r="N224" s="7">
        <f t="shared" si="87"/>
        <v>3.3833333384245634</v>
      </c>
      <c r="O224" s="7"/>
      <c r="P224" s="7"/>
      <c r="Q224" s="22"/>
      <c r="R224" s="22"/>
      <c r="S224" s="31">
        <f t="shared" si="88"/>
        <v>0</v>
      </c>
      <c r="T224" s="46" t="e">
        <f t="shared" si="74"/>
        <v>#VALUE!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75"/>
        <v>https://d0f6bd738d7f1b3e5a7ca70fe4ff75f0.us-east-1.aws.found.io/app/kibana#/discover/Steve-Slow-Train-Analysis-(2080s-and-2083s)?_g=(refreshInterval:(display:Off,pause:!f,section:0,value:0),time:(from:'2017-04-06T04:33:28-0600',mode:absolute,to:'2017-04-06T06:39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4" s="183" t="str">
        <f t="shared" si="76"/>
        <v>Y</v>
      </c>
      <c r="X224" s="183" t="e">
        <f t="shared" si="71"/>
        <v>#VALUE!</v>
      </c>
      <c r="Y224" s="62">
        <f t="shared" si="77"/>
        <v>0.52690000000000003</v>
      </c>
      <c r="Z224" s="62">
        <f t="shared" si="89"/>
        <v>1.43E-2</v>
      </c>
      <c r="AA224" s="62">
        <f t="shared" si="78"/>
        <v>0.51260000000000006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9"/>
        <v>50-06</v>
      </c>
      <c r="AE224" s="85" t="str">
        <f t="shared" si="80"/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AF224" s="82" t="str">
        <f t="shared" si="81"/>
        <v>"C:\Program Files (x86)\AstroGrep\AstroGrep.exe" /e /r /s /spath="%USERPROFILE%\AppData\Local\Temp\OnboardLogs" /stypes="app*4053*20170406*" /stext=" 11:.+((SYSTEM_STATE.+slice.+state.+changed )|(ment ac)|(multiple cpu faults)|(system.+state.+changed )|(\[timeout)|(PRM\|1\|D)|(kpr)|(kdp)|(\|lc)|(penalty))"</v>
      </c>
      <c r="AG224" s="1" t="str">
        <f t="shared" si="82"/>
        <v>Other</v>
      </c>
      <c r="AH224" s="86" t="str">
        <f t="shared" si="83"/>
        <v>"%USERPROFILE%\Documents\GitHub\eaglep3\Utilities\RefineRTDCRunTimes.py" --tripid 50-06 --locoid 4053 --swversion DE.1.0.9.0 --startMP 300:5269 --initTime 2017-04-06T05:33:28 --startdatetime 2017-04-06T05:35:52 --delay 1 --endMP 204:143 --enddatetime 2017-04-06T05:39:15 --enforcementcount 0 &gt;&gt;C:\Users\stu\Documents\GitHub\eaglep3-reporting\EC\2017-04-06-refined-times.txt</v>
      </c>
      <c r="AI224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{"issue":{"subject":"","project_id":79,"tracker_id":40,"status_id":1,"priority_id":2,"assigned_to_id":23,"start_date":"2017-04-06","description":"","custom_fields":[{"id":1,"name":"Subdivision","value":"Other"},{"id":4,"name":"Milepost","value":"0.0143"},{"id":17,"name":"Train ID","value":"50-06"},{"id":16,"name":"Locomotive ID","value":"4053"},{"id":130,"name":"Impact","value":""},{"id":150,"name":"Time of Event (Mountain Time)","value":"05:39:15"},{"id":151,"name":"Denver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85"/>
        <v>start /low /b %USERPROFILE%\Documents\GitHub\eaglep3\Utilities\DownloadLogsFromS3.py --loco 4053 --day 2017-04-06</v>
      </c>
      <c r="AN224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11:39:15"},{"id":29,"name":"Sharepoint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622</v>
      </c>
      <c r="B225" s="7">
        <v>4054</v>
      </c>
      <c r="C225" s="21" t="s">
        <v>216</v>
      </c>
      <c r="D225" s="21" t="s">
        <v>934</v>
      </c>
      <c r="E225" s="13">
        <v>42831.226631944446</v>
      </c>
      <c r="F225" s="13">
        <v>42831.233240740738</v>
      </c>
      <c r="G225" s="7">
        <v>1</v>
      </c>
      <c r="H225" s="21" t="s">
        <v>935</v>
      </c>
      <c r="I225" s="13">
        <v>42831.235590277778</v>
      </c>
      <c r="J225" s="7">
        <v>0</v>
      </c>
      <c r="K225" s="97" t="str">
        <f t="shared" si="72"/>
        <v>4053/4054</v>
      </c>
      <c r="L225" s="21" t="str">
        <f>VLOOKUP(A225,'Trips&amp;Operators'!$C$1:$G$99999,5,FALSE)</f>
        <v>SPECTOR MICHAEL</v>
      </c>
      <c r="M225" s="6">
        <f t="shared" si="73"/>
        <v>2.3495370405726135E-3</v>
      </c>
      <c r="N225" s="7">
        <f t="shared" si="87"/>
        <v>3.3833333384245634</v>
      </c>
      <c r="O225" s="7"/>
      <c r="P225" s="7"/>
      <c r="Q225" s="22"/>
      <c r="R225" s="22"/>
      <c r="S225" s="31">
        <f t="shared" si="88"/>
        <v>0</v>
      </c>
      <c r="T225" s="46" t="e">
        <f t="shared" si="74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75"/>
        <v>https://d0f6bd738d7f1b3e5a7ca70fe4ff75f0.us-east-1.aws.found.io/app/kibana#/discover/Steve-Slow-Train-Analysis-(2080s-and-2083s)?_g=(refreshInterval:(display:Off,pause:!f,section:0,value:0),time:(from:'2017-04-06T04:26:21-0600',mode:absolute,to:'2017-04-06T06:39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5" s="183" t="str">
        <f t="shared" si="76"/>
        <v>Y</v>
      </c>
      <c r="X225" s="183" t="e">
        <f t="shared" si="71"/>
        <v>#VALUE!</v>
      </c>
      <c r="Y225" s="62">
        <f t="shared" si="77"/>
        <v>0.121</v>
      </c>
      <c r="Z225" s="62">
        <f t="shared" si="89"/>
        <v>0.55759999999999998</v>
      </c>
      <c r="AA225" s="62">
        <f t="shared" si="78"/>
        <v>0.43659999999999999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9"/>
        <v>50-06</v>
      </c>
      <c r="AE225" s="85" t="str">
        <f t="shared" si="80"/>
        <v>aws s3 cp s3://rtdc.mdm.uploadarchive.raw/RTDC4054/ "%USERPROFILE%\AppData\Local\Temp\OnboardLogs"\RTDC4054\2017-04-06 --exclude "*" --recursive --include "*20170406*" &amp; "%USERPROFILE%\Documents\GitHub\mrs-test-scripts\Headless Mode &amp; Sideloading\WalkAndUnGZ.bat" "%USERPROFILE%\AppData\Local\Temp\OnboardLogs"\RTDC4054\2017-04-06 &amp; aws s3 cp s3://rtdc.mdm.uploadarchive.raw/RTDC4054/ "%USERPROFILE%\AppData\Local\Temp\OnboardLogs"\RTDC4054\2017-04-07 --exclude "*" --recursive --include "*20170407*" &amp; "%USERPROFILE%\Documents\GitHub\mrs-test-scripts\Headless Mode &amp; Sideloading\WalkAndUnGZ.bat" "%USERPROFILE%\AppData\Local\Temp\OnboardLogs"\RTDC4054\2017-04-07</v>
      </c>
      <c r="AF225" s="82" t="str">
        <f t="shared" si="81"/>
        <v>"C:\Program Files (x86)\AstroGrep\AstroGrep.exe" /e /r /s /spath="%USERPROFILE%\AppData\Local\Temp\OnboardLogs" /stypes="app*4054*20170406*" /stext=" 11:.+((SYSTEM_STATE.+slice.+state.+changed )|(ment ac)|(multiple cpu faults)|(system.+state.+changed )|(\[timeout)|(PRM\|1\|D)|(kpr)|(kdp)|(\|lc)|(penalty))"</v>
      </c>
      <c r="AG225" s="1" t="str">
        <f t="shared" si="82"/>
        <v>Other</v>
      </c>
      <c r="AH225" s="86" t="str">
        <f t="shared" si="83"/>
        <v>"%USERPROFILE%\Documents\GitHub\eaglep3\Utilities\RefineRTDCRunTimes.py" --tripid 50-06 --locoid 4054 --swversion DE.1.0.9.0 --startMP 204:1210 --initTime 2017-04-06T05:26:21 --startdatetime 2017-04-06T05:35:52 --delay 1 --endMP 300:5576 --enddatetime 2017-04-06T05:39:15 --enforcementcount 0 &gt;&gt;C:\Users\stu\Documents\GitHub\eaglep3-reporting\EC\2017-04-06-refined-times.txt</v>
      </c>
      <c r="AI225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{"issue":{"subject":"","project_id":79,"tracker_id":40,"status_id":1,"priority_id":2,"assigned_to_id":23,"start_date":"2017-04-06","description":"","custom_fields":[{"id":1,"name":"Subdivision","value":"Other"},{"id":4,"name":"Milepost","value":"0.5576"},{"id":17,"name":"Train ID","value":"50-06"},{"id":16,"name":"Locomotive ID","value":"4054"},{"id":130,"name":"Impact","value":""},{"id":150,"name":"Time of Event (Mountain Time)","value":"05:39:15"},{"id":151,"name":"Denver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85"/>
        <v>start /low /b %USERPROFILE%\Documents\GitHub\eaglep3\Utilities\DownloadLogsFromS3.py --loco 4054 --day 2017-04-06</v>
      </c>
      <c r="AN225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11:39:15"},{"id":29,"name":"Sharepoint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620</v>
      </c>
      <c r="B226" s="7">
        <v>4054</v>
      </c>
      <c r="C226" s="21" t="s">
        <v>216</v>
      </c>
      <c r="D226" s="21" t="s">
        <v>936</v>
      </c>
      <c r="E226" s="13">
        <v>42831.11986111111</v>
      </c>
      <c r="F226" s="13">
        <v>42831.124305555553</v>
      </c>
      <c r="G226" s="7">
        <v>2</v>
      </c>
      <c r="H226" s="21" t="s">
        <v>937</v>
      </c>
      <c r="I226" s="13">
        <v>42831.140879629631</v>
      </c>
      <c r="J226" s="7">
        <v>0</v>
      </c>
      <c r="K226" s="97" t="str">
        <f t="shared" si="72"/>
        <v>4053/4054</v>
      </c>
      <c r="L226" s="21" t="str">
        <f>VLOOKUP(A226,'Trips&amp;Operators'!$C$1:$G$99999,5,FALSE)</f>
        <v>SPECTOR MICHAEL</v>
      </c>
      <c r="M226" s="6">
        <f t="shared" si="73"/>
        <v>1.6574074077652767E-2</v>
      </c>
      <c r="N226" s="7">
        <f t="shared" si="87"/>
        <v>23.866666671819985</v>
      </c>
      <c r="O226" s="7"/>
      <c r="P226" s="7"/>
      <c r="Q226" s="22"/>
      <c r="R226" s="22"/>
      <c r="S226" s="31">
        <f t="shared" si="88"/>
        <v>0</v>
      </c>
      <c r="T226" s="46" t="e">
        <f t="shared" si="74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75"/>
        <v>https://d0f6bd738d7f1b3e5a7ca70fe4ff75f0.us-east-1.aws.found.io/app/kibana#/discover/Steve-Slow-Train-Analysis-(2080s-and-2083s)?_g=(refreshInterval:(display:Off,pause:!f,section:0,value:0),time:(from:'2017-04-06T01:52:36-0600',mode:absolute,to:'2017-04-06T04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6" s="183" t="str">
        <f t="shared" si="76"/>
        <v>N</v>
      </c>
      <c r="X226" s="183" t="e">
        <f t="shared" si="71"/>
        <v>#VALUE!</v>
      </c>
      <c r="Y226" s="62">
        <f t="shared" si="77"/>
        <v>0.1148</v>
      </c>
      <c r="Z226" s="62">
        <f t="shared" si="89"/>
        <v>7.0251000000000001</v>
      </c>
      <c r="AA226" s="62">
        <f t="shared" si="78"/>
        <v>6.9103000000000003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9"/>
        <v>51-06</v>
      </c>
      <c r="AE226" s="85" t="str">
        <f t="shared" si="80"/>
        <v>aws s3 cp s3://rtdc.mdm.uploadarchive.raw/RTDC4054/ "%USERPROFILE%\AppData\Local\Temp\OnboardLogs"\RTDC4054\2017-04-06 --exclude "*" --recursive --include "*20170406*" &amp; "%USERPROFILE%\Documents\GitHub\mrs-test-scripts\Headless Mode &amp; Sideloading\WalkAndUnGZ.bat" "%USERPROFILE%\AppData\Local\Temp\OnboardLogs"\RTDC4054\2017-04-06 &amp; aws s3 cp s3://rtdc.mdm.uploadarchive.raw/RTDC4054/ "%USERPROFILE%\AppData\Local\Temp\OnboardLogs"\RTDC4054\2017-04-07 --exclude "*" --recursive --include "*20170407*" &amp; "%USERPROFILE%\Documents\GitHub\mrs-test-scripts\Headless Mode &amp; Sideloading\WalkAndUnGZ.bat" "%USERPROFILE%\AppData\Local\Temp\OnboardLogs"\RTDC4054\2017-04-07</v>
      </c>
      <c r="AF226" s="82" t="str">
        <f t="shared" si="81"/>
        <v>"C:\Program Files (x86)\AstroGrep\AstroGrep.exe" /e /r /s /spath="%USERPROFILE%\AppData\Local\Temp\OnboardLogs" /stypes="app*4054*20170406*" /stext=" 09:.+((SYSTEM_STATE.+slice.+state.+changed )|(ment ac)|(multiple cpu faults)|(system.+state.+changed )|(\[timeout)|(PRM\|1\|D)|(kpr)|(kdp)|(\|lc)|(penalty))"</v>
      </c>
      <c r="AG226" s="1" t="str">
        <f t="shared" si="82"/>
        <v>Other</v>
      </c>
      <c r="AH226" s="86" t="str">
        <f t="shared" si="83"/>
        <v>"%USERPROFILE%\Documents\GitHub\eaglep3\Utilities\RefineRTDCRunTimes.py" --tripid 51-06 --locoid 4054 --swversion DE.1.0.9.0 --startMP 204:1148 --initTime 2017-04-06T02:52:36 --startdatetime 2017-04-06T02:59:00 --delay 2 --endMP 204:70251 --enddatetime 2017-04-06T03:22:52 --enforcementcount 0 &gt;&gt;C:\Users\stu\Documents\GitHub\eaglep3-reporting\EC\2017-04-06-refined-times.txt</v>
      </c>
      <c r="AI226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{"issue":{"subject":"","project_id":79,"tracker_id":40,"status_id":1,"priority_id":2,"assigned_to_id":23,"start_date":"2017-04-06","description":"","custom_fields":[{"id":1,"name":"Subdivision","value":"Other"},{"id":4,"name":"Milepost","value":"7.0251"},{"id":17,"name":"Train ID","value":"51-06"},{"id":16,"name":"Locomotive ID","value":"4054"},{"id":130,"name":"Impact","value":""},{"id":150,"name":"Time of Event (Mountain Time)","value":"03:22:52"},{"id":151,"name":"Denver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85"/>
        <v>start /low /b %USERPROFILE%\Documents\GitHub\eaglep3\Utilities\DownloadLogsFromS3.py --loco 4054 --day 2017-04-06</v>
      </c>
      <c r="AN226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09:22:52"},{"id":29,"name":"Sharepoint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s="20" customFormat="1" x14ac:dyDescent="0.25">
      <c r="A227" s="33" t="s">
        <v>724</v>
      </c>
      <c r="B227" s="7">
        <v>4051</v>
      </c>
      <c r="C227" s="21" t="s">
        <v>216</v>
      </c>
      <c r="D227" s="21" t="s">
        <v>936</v>
      </c>
      <c r="E227" s="13">
        <v>42831.11986111111</v>
      </c>
      <c r="F227" s="13">
        <v>42831.481944444444</v>
      </c>
      <c r="G227" s="7">
        <v>2</v>
      </c>
      <c r="H227" s="21" t="s">
        <v>937</v>
      </c>
      <c r="I227" s="13">
        <v>42831.481944444444</v>
      </c>
      <c r="J227" s="7">
        <v>0</v>
      </c>
      <c r="K227" s="97" t="str">
        <f t="shared" si="72"/>
        <v>4051/4052</v>
      </c>
      <c r="L227" s="21" t="str">
        <f>VLOOKUP(A227,'Trips&amp;Operators'!$C$1:$G$99999,5,FALSE)</f>
        <v>MOSES BRADLEY</v>
      </c>
      <c r="M227" s="6">
        <f t="shared" si="73"/>
        <v>0</v>
      </c>
      <c r="N227" s="7"/>
      <c r="O227" s="7"/>
      <c r="P227" s="7">
        <v>1</v>
      </c>
      <c r="Q227" s="22"/>
      <c r="R227" s="22" t="s">
        <v>1044</v>
      </c>
      <c r="S227" s="31">
        <f t="shared" si="88"/>
        <v>0</v>
      </c>
      <c r="T227" s="46" t="e">
        <f t="shared" si="74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75"/>
        <v>https://d0f6bd738d7f1b3e5a7ca70fe4ff75f0.us-east-1.aws.found.io/app/kibana#/discover/Steve-Slow-Train-Analysis-(2080s-and-2083s)?_g=(refreshInterval:(display:Off,pause:!f,section:0,value:0),time:(from:'2017-04-06T01:52:36-0600',mode:absolute,to:'2017-04-06T12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7" s="183" t="str">
        <f t="shared" si="76"/>
        <v>N</v>
      </c>
      <c r="X227" s="183" t="e">
        <f t="shared" si="71"/>
        <v>#VALUE!</v>
      </c>
      <c r="Y227" s="62">
        <f t="shared" si="77"/>
        <v>0.1148</v>
      </c>
      <c r="Z227" s="62">
        <f t="shared" si="89"/>
        <v>7.0251000000000001</v>
      </c>
      <c r="AA227" s="62">
        <f t="shared" si="78"/>
        <v>6.9103000000000003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9"/>
        <v>52-06</v>
      </c>
      <c r="AE227" s="85" t="str">
        <f t="shared" si="80"/>
        <v>aws s3 cp s3://rtdc.mdm.uploadarchive.raw/RTDC4051/ "%USERPROFILE%\AppData\Local\Temp\OnboardLogs"\RTDC4051\2017-04-06 --exclude "*" --recursive --include "*20170406*" &amp; "%USERPROFILE%\Documents\GitHub\mrs-test-scripts\Headless Mode &amp; Sideloading\WalkAndUnGZ.bat" "%USERPROFILE%\AppData\Local\Temp\OnboardLogs"\RTDC4051\2017-04-06 &amp; aws s3 cp s3://rtdc.mdm.uploadarchive.raw/RTDC4051/ "%USERPROFILE%\AppData\Local\Temp\OnboardLogs"\RTDC4051\2017-04-07 --exclude "*" --recursive --include "*20170407*" &amp; "%USERPROFILE%\Documents\GitHub\mrs-test-scripts\Headless Mode &amp; Sideloading\WalkAndUnGZ.bat" "%USERPROFILE%\AppData\Local\Temp\OnboardLogs"\RTDC4051\2017-04-07</v>
      </c>
      <c r="AF227" s="82" t="str">
        <f t="shared" si="81"/>
        <v>"C:\Program Files (x86)\AstroGrep\AstroGrep.exe" /e /r /s /spath="%USERPROFILE%\AppData\Local\Temp\OnboardLogs" /stypes="app*4051*20170406*" /stext=" 17:.+((SYSTEM_STATE.+slice.+state.+changed )|(ment ac)|(multiple cpu faults)|(system.+state.+changed )|(\[timeout)|(PRM\|1\|D)|(kpr)|(kdp)|(\|lc)|(penalty))"</v>
      </c>
      <c r="AG227" s="1" t="str">
        <f t="shared" si="82"/>
        <v>Other</v>
      </c>
      <c r="AH227" s="86" t="str">
        <f t="shared" ref="AH227" si="90">refinertdcruntimes&amp;" --tripid "&amp;A227&amp;" --locoid "&amp;B227&amp;" --swversion "&amp;C227&amp;" --startMP "&amp;D227&amp;" --initTime "&amp;TEXT(E227,"yyyy-mm-ddTHH:MM:SS")&amp;" --startdatetime "&amp;TEXT(F227,"yyyy-mm-ddTHH:MM:SS")&amp;" --delay "&amp;G227&amp;" --endMP "&amp;H227&amp;" --enddatetime "&amp;TEXT(I227,"yyyy-mm-ddTHH:MM:SS")&amp;" --enforcementcount "&amp;J227&amp;IF(outputrefinedruntimes," &gt;&gt;"&amp;RefinedRTDCRunTimesOutputFile,"")</f>
        <v>"%USERPROFILE%\Documents\GitHub\eaglep3\Utilities\RefineRTDCRunTimes.py" --tripid 52-06 --locoid 4051 --swversion DE.1.0.9.0 --startMP 204:1148 --initTime 2017-04-06T02:52:36 --startdatetime 2017-04-06T11:34:00 --delay 2 --endMP 204:70251 --enddatetime 2017-04-06T11:34:00 --enforcementcount 0 &gt;&gt;C:\Users\stu\Documents\GitHub\eaglep3-reporting\EC\2017-04-06-refined-times.txt</v>
      </c>
      <c r="AI227" s="104" t="str">
        <f t="shared" ref="AI227" si="91">"echo {""issue"":{""subject"":"""&amp;R227&amp;""",""project_id"":79,""tracker_id"":40,""status_id"":"&amp;redmine_status&amp;",""priority_id"":"&amp;redmine_priority&amp;",""assigned_to_id"":"&amp;redmine_assignee&amp;",""start_date"":"""&amp;TEXT(I227,"YYYY-mm-dd")&amp;""",""description"":"""&amp;AJ227&amp;""",""custom_fields"":[{""id"":1,""name"":""Subdivision"",""value"":"""&amp;AG227&amp;"""},{""id"":4,""name"":""Milepost"",""value"":"""&amp;Z227&amp;"""},{""id"":17,""name"":""Train ID"",""value"":"""&amp;A227&amp;"""},{""id"":16,""name"":""Locomotive ID"",""value"":"""&amp;B227&amp;"""},{""id"":130,""name"":""Impact"",""value"":"""&amp;AK227&amp;"""},{""id"":150,""name"":""Time of Event (Mountain Time)"",""value"":"""&amp;TEXT(I227,"hh:mm:ss")&amp;"""},{""id"":151,""name"":""Denver Issue ID"",""value"":"""&amp;"""},{""id"":178,""name"":""Operational Impact"",""value"":"""&amp;redmine_op_impact&amp;"""},{""id"":179,""name"":""Denver Segment Assigned"",""value"":"""&amp;AL227&amp;"""}]}}"&amp;" | curl -X POST -H ""Content-Type: application/json"" -H ""X-Redmine-API-Key: "&amp;redm_api_key&amp;""" "&amp;redm_url&amp;" --data @-"</f>
        <v>echo {"issue":{"subject":"Poor GPS signal inside CRMF","project_id":79,"tracker_id":40,"status_id":1,"priority_id":2,"assigned_to_id":23,"start_date":"2017-04-06","description":"","custom_fields":[{"id":1,"name":"Subdivision","value":"Other"},{"id":4,"name":"Milepost","value":"7.0251"},{"id":17,"name":"Train ID","value":"52-06"},{"id":16,"name":"Locomotive ID","value":"4051"},{"id":130,"name":"Impact","value":""},{"id":150,"name":"Time of Event (Mountain Time)","value":"11:34:00"},{"id":151,"name":"Denver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7" s="48"/>
      <c r="AL227" s="48"/>
      <c r="AM227" s="150" t="str">
        <f t="shared" ref="AM227" si="92">"start /low /b "&amp;dls3logs&amp;" --loco "&amp;B227&amp;" --day "&amp;TEXT(F227,"YYYY-MM-DD")</f>
        <v>start /low /b %USERPROFILE%\Documents\GitHub\eaglep3\Utilities\DownloadLogsFromS3.py --loco 4051 --day 2017-04-06</v>
      </c>
      <c r="AN227" s="159" t="str">
        <f t="shared" ref="AN227" si="93">"echo {""issue"":{""subject"":"""&amp;R227&amp;""",""project_id"":30,""tracker_id"":4,""status_id"":"&amp;redmine_status_wcr&amp;",""priority_id"":"&amp;redmine_priority_wcr&amp;",""assigned_to_id"":"&amp;redmine_assignee_wcr&amp;",""start_date"":"""&amp;TEXT(I227-utc_offset/24,"YYYY-mm-dd")&amp;""",""description"":"""&amp;AJ227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ID"",""value"":"""&amp;B227&amp;"""},{""id"":20,""name"":""RR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UTC"",""value"":"""&amp;TEXT(I227-utc_offset/24,"YYYY-MM-DD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{"issue":{"subject":"Poor GPS signal inside CRMF","project_id":30,"tracker_id":4,"status_id":1,"priority_id":1,"assigned_to_id":10,"start_date":"2017-04-06","description":"","custom_fields":[{"id":30,"name":"Category","value":"Issue"},{"id":3,"name":"Functional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17:34:00"},{"id":29,"name":"Sharepoint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745</v>
      </c>
      <c r="B228" s="7">
        <v>4052</v>
      </c>
      <c r="C228" s="21" t="s">
        <v>216</v>
      </c>
      <c r="D228" s="21" t="s">
        <v>938</v>
      </c>
      <c r="E228" s="13">
        <v>42831.50880787037</v>
      </c>
      <c r="F228" s="13">
        <v>42831.516724537039</v>
      </c>
      <c r="G228" s="7">
        <v>3</v>
      </c>
      <c r="H228" s="21" t="s">
        <v>857</v>
      </c>
      <c r="I228" s="13">
        <v>42831.524375000001</v>
      </c>
      <c r="J228" s="7">
        <v>0</v>
      </c>
      <c r="K228" s="97" t="str">
        <f t="shared" si="72"/>
        <v>4051/4052</v>
      </c>
      <c r="L228" s="21" t="str">
        <f>VLOOKUP(A228,'Trips&amp;Operators'!$C$1:$G$99999,5,FALSE)</f>
        <v>COOLAHAN JOHN</v>
      </c>
      <c r="M228" s="6">
        <f t="shared" si="73"/>
        <v>7.6504629614646547E-3</v>
      </c>
      <c r="N228" s="7">
        <f t="shared" ref="N228:N243" si="94">24*60*SUM($M228:$M228)</f>
        <v>11.016666664509103</v>
      </c>
      <c r="O228" s="7"/>
      <c r="P228" s="7"/>
      <c r="Q228" s="22"/>
      <c r="R228" s="22"/>
      <c r="S228" s="31">
        <f t="shared" si="88"/>
        <v>0</v>
      </c>
      <c r="T228" s="46" t="e">
        <f t="shared" si="74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75"/>
        <v>https://d0f6bd738d7f1b3e5a7ca70fe4ff75f0.us-east-1.aws.found.io/app/kibana#/discover/Steve-Slow-Train-Analysis-(2080s-and-2083s)?_g=(refreshInterval:(display:Off,pause:!f,section:0,value:0),time:(from:'2017-04-06T11:12:41-0600',mode:absolute,to:'2017-04-06T13:35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8" s="183" t="str">
        <f t="shared" si="76"/>
        <v>Y</v>
      </c>
      <c r="X228" s="183" t="e">
        <f>VALUE(LEFT(AD228,4))-VALUE(LEFT(AD226,4))</f>
        <v>#VALUE!</v>
      </c>
      <c r="Y228" s="62">
        <f t="shared" si="77"/>
        <v>3.7900000000000003E-2</v>
      </c>
      <c r="Z228" s="62">
        <f t="shared" si="89"/>
        <v>2.4199000000000002</v>
      </c>
      <c r="AA228" s="62">
        <f t="shared" si="78"/>
        <v>2.3820000000000001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9"/>
        <v>53-06</v>
      </c>
      <c r="AE228" s="85" t="str">
        <f t="shared" si="80"/>
        <v>aws s3 cp s3://rtdc.mdm.uploadarchive.raw/RTDC4052/ "%USERPROFILE%\AppData\Local\Temp\OnboardLogs"\RTDC4052\2017-04-06 --exclude "*" --recursive --include "*20170406*" &amp; "%USERPROFILE%\Documents\GitHub\mrs-test-scripts\Headless Mode &amp; Sideloading\WalkAndUnGZ.bat" "%USERPROFILE%\AppData\Local\Temp\OnboardLogs"\RTDC4052\2017-04-06 &amp; aws s3 cp s3://rtdc.mdm.uploadarchive.raw/RTDC4052/ "%USERPROFILE%\AppData\Local\Temp\OnboardLogs"\RTDC4052\2017-04-07 --exclude "*" --recursive --include "*20170407*" &amp; "%USERPROFILE%\Documents\GitHub\mrs-test-scripts\Headless Mode &amp; Sideloading\WalkAndUnGZ.bat" "%USERPROFILE%\AppData\Local\Temp\OnboardLogs"\RTDC4052\2017-04-07</v>
      </c>
      <c r="AF228" s="82" t="str">
        <f t="shared" si="81"/>
        <v>"C:\Program Files (x86)\AstroGrep\AstroGrep.exe" /e /r /s /spath="%USERPROFILE%\AppData\Local\Temp\OnboardLogs" /stypes="app*4052*20170406*" /stext=" 18:.+((SYSTEM_STATE.+slice.+state.+changed )|(ment ac)|(multiple cpu faults)|(system.+state.+changed )|(\[timeout)|(PRM\|1\|D)|(kpr)|(kdp)|(\|lc)|(penalty))"</v>
      </c>
      <c r="AG228" s="1" t="str">
        <f t="shared" si="82"/>
        <v>Other</v>
      </c>
      <c r="AH228" s="86" t="str">
        <f t="shared" si="83"/>
        <v>"%USERPROFILE%\Documents\GitHub\eaglep3\Utilities\RefineRTDCRunTimes.py" --tripid 53-06 --locoid 4052 --swversion DE.1.0.9.0 --startMP 204:379 --initTime 2017-04-06T12:12:41 --startdatetime 2017-04-06T12:24:05 --delay 3 --endMP 300:24199 --enddatetime 2017-04-06T12:35:06 --enforcementcount 0 &gt;&gt;C:\Users\stu\Documents\GitHub\eaglep3-reporting\EC\2017-04-06-refined-times.txt</v>
      </c>
      <c r="AI228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{"issue":{"subject":"","project_id":79,"tracker_id":40,"status_id":1,"priority_id":2,"assigned_to_id":23,"start_date":"2017-04-06","description":"","custom_fields":[{"id":1,"name":"Subdivision","value":"Other"},{"id":4,"name":"Milepost","value":"2.4199"},{"id":17,"name":"Train ID","value":"53-06"},{"id":16,"name":"Locomotive ID","value":"4052"},{"id":130,"name":"Impact","value":""},{"id":150,"name":"Time of Event (Mountain Time)","value":"12:35:06"},{"id":151,"name":"Denver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85"/>
        <v>start /low /b %USERPROFILE%\Documents\GitHub\eaglep3\Utilities\DownloadLogsFromS3.py --loco 4052 --day 2017-04-06</v>
      </c>
      <c r="AN228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18:35:06"},{"id":29,"name":"Sharepoint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621</v>
      </c>
      <c r="B229" s="7">
        <v>4013</v>
      </c>
      <c r="C229" s="21" t="s">
        <v>216</v>
      </c>
      <c r="D229" s="21" t="s">
        <v>939</v>
      </c>
      <c r="E229" s="13">
        <v>42831.178055555552</v>
      </c>
      <c r="F229" s="13">
        <v>42831.1797337963</v>
      </c>
      <c r="G229" s="7">
        <v>1</v>
      </c>
      <c r="H229" s="21" t="s">
        <v>940</v>
      </c>
      <c r="I229" s="13">
        <v>42831.185312499998</v>
      </c>
      <c r="J229" s="7">
        <v>0</v>
      </c>
      <c r="K229" s="97" t="str">
        <f t="shared" si="72"/>
        <v>4013/4014</v>
      </c>
      <c r="L229" s="21" t="str">
        <f>VLOOKUP(A229,'Trips&amp;Operators'!$C$1:$G$99999,5,FALSE)</f>
        <v>BADERTSCHER DIANE</v>
      </c>
      <c r="M229" s="6">
        <f t="shared" si="73"/>
        <v>5.5787036981200799E-3</v>
      </c>
      <c r="N229" s="7">
        <f t="shared" si="94"/>
        <v>8.0333333252929151</v>
      </c>
      <c r="O229" s="7"/>
      <c r="P229" s="7"/>
      <c r="Q229" s="22"/>
      <c r="R229" s="22"/>
      <c r="S229" s="31">
        <f t="shared" si="88"/>
        <v>0</v>
      </c>
      <c r="T229" s="46" t="e">
        <f t="shared" si="74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75"/>
        <v>https://d0f6bd738d7f1b3e5a7ca70fe4ff75f0.us-east-1.aws.found.io/app/kibana#/discover/Steve-Slow-Train-Analysis-(2080s-and-2083s)?_g=(refreshInterval:(display:Off,pause:!f,section:0,value:0),time:(from:'2017-04-06T03:16:24-0600',mode:absolute,to:'2017-04-06T05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9" s="183" t="str">
        <f t="shared" si="76"/>
        <v>Y</v>
      </c>
      <c r="X229" s="183" t="e">
        <f t="shared" ref="X229:X243" si="95">VALUE(LEFT(AD229,4))-VALUE(LEFT(AD228,4))</f>
        <v>#VALUE!</v>
      </c>
      <c r="Y229" s="62">
        <f t="shared" si="77"/>
        <v>1.7646999999999999</v>
      </c>
      <c r="Z229" s="62">
        <f t="shared" si="89"/>
        <v>8.8200000000000001E-2</v>
      </c>
      <c r="AA229" s="62">
        <f t="shared" si="78"/>
        <v>1.6764999999999999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9"/>
        <v>54-06</v>
      </c>
      <c r="AE229" s="85" t="str">
        <f t="shared" si="80"/>
        <v>aws s3 cp s3://rtdc.mdm.uploadarchive.raw/RTDC4013/ "%USERPROFILE%\AppData\Local\Temp\OnboardLogs"\RTDC4013\2017-04-06 --exclude "*" --recursive --include "*20170406*" &amp; "%USERPROFILE%\Documents\GitHub\mrs-test-scripts\Headless Mode &amp; Sideloading\WalkAndUnGZ.bat" "%USERPROFILE%\AppData\Local\Temp\OnboardLogs"\RTDC4013\2017-04-06 &amp; aws s3 cp s3://rtdc.mdm.uploadarchive.raw/RTDC4013/ "%USERPROFILE%\AppData\Local\Temp\OnboardLogs"\RTDC4013\2017-04-07 --exclude "*" --recursive --include "*20170407*" &amp; "%USERPROFILE%\Documents\GitHub\mrs-test-scripts\Headless Mode &amp; Sideloading\WalkAndUnGZ.bat" "%USERPROFILE%\AppData\Local\Temp\OnboardLogs"\RTDC4013\2017-04-07</v>
      </c>
      <c r="AF229" s="82" t="str">
        <f t="shared" si="81"/>
        <v>"C:\Program Files (x86)\AstroGrep\AstroGrep.exe" /e /r /s /spath="%USERPROFILE%\AppData\Local\Temp\OnboardLogs" /stypes="app*4013*20170406*" /stext=" 10:.+((SYSTEM_STATE.+slice.+state.+changed )|(ment ac)|(multiple cpu faults)|(system.+state.+changed )|(\[timeout)|(PRM\|1\|D)|(kpr)|(kdp)|(\|lc)|(penalty))"</v>
      </c>
      <c r="AG229" s="1" t="str">
        <f t="shared" si="82"/>
        <v>Other</v>
      </c>
      <c r="AH229" s="86" t="str">
        <f t="shared" si="83"/>
        <v>"%USERPROFILE%\Documents\GitHub\eaglep3\Utilities\RefineRTDCRunTimes.py" --tripid 54-06 --locoid 4013 --swversion DE.1.0.9.0 --startMP 204:17647 --initTime 2017-04-06T04:16:24 --startdatetime 2017-04-06T04:18:49 --delay 1 --endMP 204:882 --enddatetime 2017-04-06T04:26:51 --enforcementcount 0 &gt;&gt;C:\Users\stu\Documents\GitHub\eaglep3-reporting\EC\2017-04-06-refined-times.txt</v>
      </c>
      <c r="AI229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{"issue":{"subject":"","project_id":79,"tracker_id":40,"status_id":1,"priority_id":2,"assigned_to_id":23,"start_date":"2017-04-06","description":"","custom_fields":[{"id":1,"name":"Subdivision","value":"Other"},{"id":4,"name":"Milepost","value":"0.0882"},{"id":17,"name":"Train ID","value":"54-06"},{"id":16,"name":"Locomotive ID","value":"4013"},{"id":130,"name":"Impact","value":""},{"id":150,"name":"Time of Event (Mountain Time)","value":"04:26:51"},{"id":151,"name":"Denver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85"/>
        <v>start /low /b %USERPROFILE%\Documents\GitHub\eaglep3\Utilities\DownloadLogsFromS3.py --loco 4013 --day 2017-04-06</v>
      </c>
      <c r="AN229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10:26:51"},{"id":29,"name":"Sharepoint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771</v>
      </c>
      <c r="B230" s="7">
        <v>4012</v>
      </c>
      <c r="C230" s="21" t="s">
        <v>216</v>
      </c>
      <c r="D230" s="21" t="s">
        <v>941</v>
      </c>
      <c r="E230" s="13">
        <v>42831.619675925926</v>
      </c>
      <c r="F230" s="13">
        <v>42831.623599537037</v>
      </c>
      <c r="G230" s="7">
        <v>3</v>
      </c>
      <c r="H230" s="21" t="s">
        <v>942</v>
      </c>
      <c r="I230" s="13">
        <v>42831.631261574075</v>
      </c>
      <c r="J230" s="7">
        <v>0</v>
      </c>
      <c r="K230" s="97" t="str">
        <f t="shared" si="72"/>
        <v>4011/4012</v>
      </c>
      <c r="L230" s="21" t="str">
        <f>VLOOKUP(A230,'Trips&amp;Operators'!$C$1:$G$99999,5,FALSE)</f>
        <v>DE LA ROSA ALEX</v>
      </c>
      <c r="M230" s="6">
        <f t="shared" si="73"/>
        <v>7.662037038244307E-3</v>
      </c>
      <c r="N230" s="7">
        <f t="shared" si="94"/>
        <v>11.033333335071802</v>
      </c>
      <c r="O230" s="7"/>
      <c r="P230" s="7"/>
      <c r="Q230" s="22"/>
      <c r="R230" s="22"/>
      <c r="S230" s="31">
        <f t="shared" si="88"/>
        <v>0</v>
      </c>
      <c r="T230" s="46" t="e">
        <f t="shared" si="74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75"/>
        <v>https://d0f6bd738d7f1b3e5a7ca70fe4ff75f0.us-east-1.aws.found.io/app/kibana#/discover/Steve-Slow-Train-Analysis-(2080s-and-2083s)?_g=(refreshInterval:(display:Off,pause:!f,section:0,value:0),time:(from:'2017-04-06T13:52:20-0600',mode:absolute,to:'2017-04-06T16:09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0" s="183" t="str">
        <f t="shared" si="76"/>
        <v>Y</v>
      </c>
      <c r="X230" s="183" t="e">
        <f t="shared" si="95"/>
        <v>#VALUE!</v>
      </c>
      <c r="Y230" s="62">
        <f t="shared" si="77"/>
        <v>3.0499999999999999E-2</v>
      </c>
      <c r="Z230" s="62">
        <f t="shared" si="89"/>
        <v>2.3308</v>
      </c>
      <c r="AA230" s="62">
        <f t="shared" si="78"/>
        <v>2.3003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9"/>
        <v>55-06</v>
      </c>
      <c r="AE230" s="85" t="str">
        <f t="shared" si="80"/>
        <v>aws s3 cp s3://rtdc.mdm.uploadarchive.raw/RTDC4012/ "%USERPROFILE%\AppData\Local\Temp\OnboardLogs"\RTDC4012\2017-04-06 --exclude "*" --recursive --include "*20170406*" &amp; "%USERPROFILE%\Documents\GitHub\mrs-test-scripts\Headless Mode &amp; Sideloading\WalkAndUnGZ.bat" "%USERPROFILE%\AppData\Local\Temp\OnboardLogs"\RTDC4012\2017-04-06 &amp; aws s3 cp s3://rtdc.mdm.uploadarchive.raw/RTDC4012/ "%USERPROFILE%\AppData\Local\Temp\OnboardLogs"\RTDC4012\2017-04-07 --exclude "*" --recursive --include "*20170407*" &amp; "%USERPROFILE%\Documents\GitHub\mrs-test-scripts\Headless Mode &amp; Sideloading\WalkAndUnGZ.bat" "%USERPROFILE%\AppData\Local\Temp\OnboardLogs"\RTDC4012\2017-04-07</v>
      </c>
      <c r="AF230" s="82" t="str">
        <f t="shared" si="81"/>
        <v>"C:\Program Files (x86)\AstroGrep\AstroGrep.exe" /e /r /s /spath="%USERPROFILE%\AppData\Local\Temp\OnboardLogs" /stypes="app*4012*20170406*" /stext=" 21:.+((SYSTEM_STATE.+slice.+state.+changed )|(ment ac)|(multiple cpu faults)|(system.+state.+changed )|(\[timeout)|(PRM\|1\|D)|(kpr)|(kdp)|(\|lc)|(penalty))"</v>
      </c>
      <c r="AG230" s="1" t="str">
        <f t="shared" si="82"/>
        <v>Other</v>
      </c>
      <c r="AH230" s="86" t="str">
        <f t="shared" si="83"/>
        <v>"%USERPROFILE%\Documents\GitHub\eaglep3\Utilities\RefineRTDCRunTimes.py" --tripid 55-06 --locoid 4012 --swversion DE.1.0.9.0 --startMP 204:305 --initTime 2017-04-06T14:52:20 --startdatetime 2017-04-06T14:57:59 --delay 3 --endMP 300:23308 --enddatetime 2017-04-06T15:09:01 --enforcementcount 0 &gt;&gt;C:\Users\stu\Documents\GitHub\eaglep3-reporting\EC\2017-04-06-refined-times.txt</v>
      </c>
      <c r="AI230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{"issue":{"subject":"","project_id":79,"tracker_id":40,"status_id":1,"priority_id":2,"assigned_to_id":23,"start_date":"2017-04-06","description":"","custom_fields":[{"id":1,"name":"Subdivision","value":"Other"},{"id":4,"name":"Milepost","value":"2.3308"},{"id":17,"name":"Train ID","value":"55-06"},{"id":16,"name":"Locomotive ID","value":"4012"},{"id":130,"name":"Impact","value":""},{"id":150,"name":"Time of Event (Mountain Time)","value":"15:09:01"},{"id":151,"name":"Denver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85"/>
        <v>start /low /b %USERPROFILE%\Documents\GitHub\eaglep3\Utilities\DownloadLogsFromS3.py --loco 4012 --day 2017-04-06</v>
      </c>
      <c r="AN230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21:09:01"},{"id":29,"name":"Sharepoint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686</v>
      </c>
      <c r="B231" s="7">
        <v>4043</v>
      </c>
      <c r="C231" s="21" t="s">
        <v>216</v>
      </c>
      <c r="D231" s="21" t="s">
        <v>943</v>
      </c>
      <c r="E231" s="13">
        <v>42831.264652777776</v>
      </c>
      <c r="F231" s="13">
        <v>42831.266006944446</v>
      </c>
      <c r="G231" s="7">
        <v>1</v>
      </c>
      <c r="H231" s="21" t="s">
        <v>597</v>
      </c>
      <c r="I231" s="13">
        <v>42831.285231481481</v>
      </c>
      <c r="J231" s="7">
        <v>0</v>
      </c>
      <c r="K231" s="97" t="str">
        <f t="shared" si="72"/>
        <v>4043/4044</v>
      </c>
      <c r="L231" s="21" t="str">
        <f>VLOOKUP(A231,'Trips&amp;Operators'!$C$1:$G$99999,5,FALSE)</f>
        <v>YANAI IAN</v>
      </c>
      <c r="M231" s="6">
        <f t="shared" si="73"/>
        <v>1.9224537034460809E-2</v>
      </c>
      <c r="N231" s="7">
        <f t="shared" si="94"/>
        <v>27.683333329623565</v>
      </c>
      <c r="O231" s="7"/>
      <c r="P231" s="7"/>
      <c r="Q231" s="22"/>
      <c r="R231" s="22"/>
      <c r="S231" s="31">
        <f t="shared" si="88"/>
        <v>0</v>
      </c>
      <c r="T231" s="46" t="e">
        <f t="shared" si="74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75"/>
        <v>https://d0f6bd738d7f1b3e5a7ca70fe4ff75f0.us-east-1.aws.found.io/app/kibana#/discover/Steve-Slow-Train-Analysis-(2080s-and-2083s)?_g=(refreshInterval:(display:Off,pause:!f,section:0,value:0),time:(from:'2017-04-06T05:21:06-0600',mode:absolute,to:'2017-04-06T07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1" s="183" t="str">
        <f t="shared" si="76"/>
        <v>Y</v>
      </c>
      <c r="X231" s="183" t="e">
        <f t="shared" si="95"/>
        <v>#VALUE!</v>
      </c>
      <c r="Y231" s="62">
        <f t="shared" si="77"/>
        <v>2.327</v>
      </c>
      <c r="Z231" s="62">
        <f t="shared" si="89"/>
        <v>1.2999999999999999E-2</v>
      </c>
      <c r="AA231" s="62">
        <f t="shared" si="78"/>
        <v>2.3140000000000001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9"/>
        <v>56-06</v>
      </c>
      <c r="AE231" s="85" t="str">
        <f t="shared" si="80"/>
        <v>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 &amp; aws s3 cp s3://rtdc.mdm.uploadarchive.raw/RTDC4043/ "%USERPROFILE%\AppData\Local\Temp\OnboardLogs"\RTDC4043\2017-04-07 --exclude "*" --recursive --include "*20170407*" &amp; "%USERPROFILE%\Documents\GitHub\mrs-test-scripts\Headless Mode &amp; Sideloading\WalkAndUnGZ.bat" "%USERPROFILE%\AppData\Local\Temp\OnboardLogs"\RTDC4043\2017-04-07</v>
      </c>
      <c r="AF231" s="82" t="str">
        <f t="shared" si="81"/>
        <v>"C:\Program Files (x86)\AstroGrep\AstroGrep.exe" /e /r /s /spath="%USERPROFILE%\AppData\Local\Temp\OnboardLogs" /stypes="app*4043*20170406*" /stext=" 12:.+((SYSTEM_STATE.+slice.+state.+changed )|(ment ac)|(multiple cpu faults)|(system.+state.+changed )|(\[timeout)|(PRM\|1\|D)|(kpr)|(kdp)|(\|lc)|(penalty))"</v>
      </c>
      <c r="AG231" s="1" t="str">
        <f t="shared" si="82"/>
        <v>Other</v>
      </c>
      <c r="AH231" s="86" t="str">
        <f t="shared" si="83"/>
        <v>"%USERPROFILE%\Documents\GitHub\eaglep3\Utilities\RefineRTDCRunTimes.py" --tripid 56-06 --locoid 4043 --swversion DE.1.0.9.0 --startMP 300:23270 --initTime 2017-04-06T06:21:06 --startdatetime 2017-04-06T06:23:03 --delay 1 --endMP 204:130 --enddatetime 2017-04-06T06:50:44 --enforcementcount 0 &gt;&gt;C:\Users\stu\Documents\GitHub\eaglep3-reporting\EC\2017-04-06-refined-times.txt</v>
      </c>
      <c r="AI231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{"issue":{"subject":"","project_id":79,"tracker_id":40,"status_id":1,"priority_id":2,"assigned_to_id":23,"start_date":"2017-04-06","description":"","custom_fields":[{"id":1,"name":"Subdivision","value":"Other"},{"id":4,"name":"Milepost","value":"0.013"},{"id":17,"name":"Train ID","value":"56-06"},{"id":16,"name":"Locomotive ID","value":"4043"},{"id":130,"name":"Impact","value":""},{"id":150,"name":"Time of Event (Mountain Time)","value":"06:50:44"},{"id":151,"name":"Denver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85"/>
        <v>start /low /b %USERPROFILE%\Documents\GitHub\eaglep3\Utilities\DownloadLogsFromS3.py --loco 4043 --day 2017-04-06</v>
      </c>
      <c r="AN231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12:50:44"},{"id":29,"name":"Sharepoint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700</v>
      </c>
      <c r="B232" s="7">
        <v>4056</v>
      </c>
      <c r="C232" s="21" t="s">
        <v>216</v>
      </c>
      <c r="D232" s="21" t="s">
        <v>944</v>
      </c>
      <c r="E232" s="13">
        <v>42831.304085648146</v>
      </c>
      <c r="F232" s="13">
        <v>42831.312256944446</v>
      </c>
      <c r="G232" s="7">
        <v>11</v>
      </c>
      <c r="H232" s="21" t="s">
        <v>945</v>
      </c>
      <c r="I232" s="13">
        <v>42831.317928240744</v>
      </c>
      <c r="J232" s="7">
        <v>0</v>
      </c>
      <c r="K232" s="97" t="str">
        <f t="shared" si="72"/>
        <v>4055/4056</v>
      </c>
      <c r="L232" s="21" t="str">
        <f>VLOOKUP(A232,'Trips&amp;Operators'!$C$1:$G$99999,5,FALSE)</f>
        <v>COOLAHAN JOHN</v>
      </c>
      <c r="M232" s="6">
        <f t="shared" si="73"/>
        <v>5.6712962978053838E-3</v>
      </c>
      <c r="N232" s="7">
        <f t="shared" si="94"/>
        <v>8.1666666688397527</v>
      </c>
      <c r="O232" s="7"/>
      <c r="P232" s="7"/>
      <c r="Q232" s="22"/>
      <c r="R232" s="22"/>
      <c r="S232" s="31">
        <f t="shared" si="88"/>
        <v>0</v>
      </c>
      <c r="T232" s="46" t="e">
        <f t="shared" si="74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75"/>
        <v>https://d0f6bd738d7f1b3e5a7ca70fe4ff75f0.us-east-1.aws.found.io/app/kibana#/discover/Steve-Slow-Train-Analysis-(2080s-and-2083s)?_g=(refreshInterval:(display:Off,pause:!f,section:0,value:0),time:(from:'2017-04-06T06:17:53-0600',mode:absolute,to:'2017-04-06T08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32" s="183" t="str">
        <f t="shared" si="76"/>
        <v>Y</v>
      </c>
      <c r="X232" s="183" t="e">
        <f t="shared" si="95"/>
        <v>#VALUE!</v>
      </c>
      <c r="Y232" s="62">
        <f t="shared" si="77"/>
        <v>1.8976999999999999</v>
      </c>
      <c r="Z232" s="62">
        <f t="shared" si="89"/>
        <v>4.3200000000000002E-2</v>
      </c>
      <c r="AA232" s="62">
        <f t="shared" si="78"/>
        <v>1.8545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9"/>
        <v>58-06</v>
      </c>
      <c r="AE232" s="85" t="str">
        <f t="shared" si="80"/>
        <v>aws s3 cp s3://rtdc.mdm.uploadarchive.raw/RTDC4056/ "%USERPROFILE%\AppData\Local\Temp\OnboardLogs"\RTDC4056\2017-04-06 --exclude "*" --recursive --include "*20170406*" &amp; "%USERPROFILE%\Documents\GitHub\mrs-test-scripts\Headless Mode &amp; Sideloading\WalkAndUnGZ.bat" "%USERPROFILE%\AppData\Local\Temp\OnboardLogs"\RTDC4056\2017-04-06 &amp; aws s3 cp s3://rtdc.mdm.uploadarchive.raw/RTDC4056/ "%USERPROFILE%\AppData\Local\Temp\OnboardLogs"\RTDC4056\2017-04-07 --exclude "*" --recursive --include "*20170407*" &amp; "%USERPROFILE%\Documents\GitHub\mrs-test-scripts\Headless Mode &amp; Sideloading\WalkAndUnGZ.bat" "%USERPROFILE%\AppData\Local\Temp\OnboardLogs"\RTDC4056\2017-04-07</v>
      </c>
      <c r="AF232" s="82" t="str">
        <f t="shared" si="81"/>
        <v>"C:\Program Files (x86)\AstroGrep\AstroGrep.exe" /e /r /s /spath="%USERPROFILE%\AppData\Local\Temp\OnboardLogs" /stypes="app*4056*20170406*" /stext=" 13:.+((SYSTEM_STATE.+slice.+state.+changed )|(ment ac)|(multiple cpu faults)|(system.+state.+changed )|(\[timeout)|(PRM\|1\|D)|(kpr)|(kdp)|(\|lc)|(penalty))"</v>
      </c>
      <c r="AG232" s="1" t="str">
        <f t="shared" si="82"/>
        <v>Other</v>
      </c>
      <c r="AH232" s="86" t="str">
        <f t="shared" si="83"/>
        <v>"%USERPROFILE%\Documents\GitHub\eaglep3\Utilities\RefineRTDCRunTimes.py" --tripid 58-06 --locoid 4056 --swversion DE.1.0.9.0 --startMP 300:18977 --initTime 2017-04-06T07:17:53 --startdatetime 2017-04-06T07:29:39 --delay 11 --endMP 204:432 --enddatetime 2017-04-06T07:37:49 --enforcementcount 0 &gt;&gt;C:\Users\stu\Documents\GitHub\eaglep3-reporting\EC\2017-04-06-refined-times.txt</v>
      </c>
      <c r="AI232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{"issue":{"subject":"","project_id":79,"tracker_id":40,"status_id":1,"priority_id":2,"assigned_to_id":23,"start_date":"2017-04-06","description":"","custom_fields":[{"id":1,"name":"Subdivision","value":"Other"},{"id":4,"name":"Milepost","value":"0.0432"},{"id":17,"name":"Train ID","value":"58-06"},{"id":16,"name":"Locomotive ID","value":"4056"},{"id":130,"name":"Impact","value":""},{"id":150,"name":"Time of Event (Mountain Time)","value":"07:37:49"},{"id":151,"name":"Denver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85"/>
        <v>start /low /b %USERPROFILE%\Documents\GitHub\eaglep3\Utilities\DownloadLogsFromS3.py --loco 4056 --day 2017-04-06</v>
      </c>
      <c r="AN232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13:37:49"},{"id":29,"name":"Sharepoint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702</v>
      </c>
      <c r="B233" s="7">
        <v>4012</v>
      </c>
      <c r="C233" s="21" t="s">
        <v>216</v>
      </c>
      <c r="D233" s="21" t="s">
        <v>946</v>
      </c>
      <c r="E233" s="13">
        <v>42831.309872685182</v>
      </c>
      <c r="F233" s="13">
        <v>42831.313819444447</v>
      </c>
      <c r="G233" s="7">
        <v>5</v>
      </c>
      <c r="H233" s="21" t="s">
        <v>947</v>
      </c>
      <c r="I233" s="13">
        <v>42831.320810185185</v>
      </c>
      <c r="J233" s="7">
        <v>0</v>
      </c>
      <c r="K233" s="97" t="str">
        <f t="shared" si="72"/>
        <v>4011/4012</v>
      </c>
      <c r="L233" s="21" t="str">
        <f>VLOOKUP(A233,'Trips&amp;Operators'!$C$1:$G$99999,5,FALSE)</f>
        <v>BEAM ROSS</v>
      </c>
      <c r="M233" s="6">
        <f t="shared" si="73"/>
        <v>6.9907407378195785E-3</v>
      </c>
      <c r="N233" s="7">
        <f t="shared" si="94"/>
        <v>10.066666662460193</v>
      </c>
      <c r="O233" s="7"/>
      <c r="P233" s="7"/>
      <c r="Q233" s="22"/>
      <c r="R233" s="22"/>
      <c r="S233" s="31">
        <f t="shared" si="88"/>
        <v>0</v>
      </c>
      <c r="T233" s="46" t="e">
        <f t="shared" si="74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75"/>
        <v>https://d0f6bd738d7f1b3e5a7ca70fe4ff75f0.us-east-1.aws.found.io/app/kibana#/discover/Steve-Slow-Train-Analysis-(2080s-and-2083s)?_g=(refreshInterval:(display:Off,pause:!f,section:0,value:0),time:(from:'2017-04-06T06:26:13-0600',mode:absolute,to:'2017-04-06T08:41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3" s="183" t="str">
        <f t="shared" si="76"/>
        <v>Y</v>
      </c>
      <c r="X233" s="183" t="e">
        <f t="shared" si="95"/>
        <v>#VALUE!</v>
      </c>
      <c r="Y233" s="62">
        <f t="shared" si="77"/>
        <v>2.2214</v>
      </c>
      <c r="Z233" s="62">
        <f t="shared" si="89"/>
        <v>0.1047</v>
      </c>
      <c r="AA233" s="62">
        <f t="shared" si="78"/>
        <v>2.1167000000000002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9"/>
        <v>60-06</v>
      </c>
      <c r="AE233" s="85" t="str">
        <f t="shared" si="80"/>
        <v>aws s3 cp s3://rtdc.mdm.uploadarchive.raw/RTDC4012/ "%USERPROFILE%\AppData\Local\Temp\OnboardLogs"\RTDC4012\2017-04-06 --exclude "*" --recursive --include "*20170406*" &amp; "%USERPROFILE%\Documents\GitHub\mrs-test-scripts\Headless Mode &amp; Sideloading\WalkAndUnGZ.bat" "%USERPROFILE%\AppData\Local\Temp\OnboardLogs"\RTDC4012\2017-04-06 &amp; aws s3 cp s3://rtdc.mdm.uploadarchive.raw/RTDC4012/ "%USERPROFILE%\AppData\Local\Temp\OnboardLogs"\RTDC4012\2017-04-07 --exclude "*" --recursive --include "*20170407*" &amp; "%USERPROFILE%\Documents\GitHub\mrs-test-scripts\Headless Mode &amp; Sideloading\WalkAndUnGZ.bat" "%USERPROFILE%\AppData\Local\Temp\OnboardLogs"\RTDC4012\2017-04-07</v>
      </c>
      <c r="AF233" s="82" t="str">
        <f t="shared" si="81"/>
        <v>"C:\Program Files (x86)\AstroGrep\AstroGrep.exe" /e /r /s /spath="%USERPROFILE%\AppData\Local\Temp\OnboardLogs" /stypes="app*4012*20170406*" /stext=" 13:.+((SYSTEM_STATE.+slice.+state.+changed )|(ment ac)|(multiple cpu faults)|(system.+state.+changed )|(\[timeout)|(PRM\|1\|D)|(kpr)|(kdp)|(\|lc)|(penalty))"</v>
      </c>
      <c r="AG233" s="1" t="str">
        <f t="shared" si="82"/>
        <v>Other</v>
      </c>
      <c r="AH233" s="86" t="str">
        <f t="shared" si="83"/>
        <v>"%USERPROFILE%\Documents\GitHub\eaglep3\Utilities\RefineRTDCRunTimes.py" --tripid 60-06 --locoid 4012 --swversion DE.1.0.9.0 --startMP 300:22214 --initTime 2017-04-06T07:26:13 --startdatetime 2017-04-06T07:31:54 --delay 5 --endMP 204:1047 --enddatetime 2017-04-06T07:41:58 --enforcementcount 0 &gt;&gt;C:\Users\stu\Documents\GitHub\eaglep3-reporting\EC\2017-04-06-refined-times.txt</v>
      </c>
      <c r="AI233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{"issue":{"subject":"","project_id":79,"tracker_id":40,"status_id":1,"priority_id":2,"assigned_to_id":23,"start_date":"2017-04-06","description":"","custom_fields":[{"id":1,"name":"Subdivision","value":"Other"},{"id":4,"name":"Milepost","value":"0.1047"},{"id":17,"name":"Train ID","value":"60-06"},{"id":16,"name":"Locomotive ID","value":"4012"},{"id":130,"name":"Impact","value":""},{"id":150,"name":"Time of Event (Mountain Time)","value":"07:41:58"},{"id":151,"name":"Denver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85"/>
        <v>start /low /b %USERPROFILE%\Documents\GitHub\eaglep3\Utilities\DownloadLogsFromS3.py --loco 4012 --day 2017-04-06</v>
      </c>
      <c r="AN233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13:41:58"},{"id":29,"name":"Sharepoint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743</v>
      </c>
      <c r="B234" s="7">
        <v>4026</v>
      </c>
      <c r="C234" s="21" t="s">
        <v>216</v>
      </c>
      <c r="D234" s="21" t="s">
        <v>948</v>
      </c>
      <c r="E234" s="13">
        <v>42831.508900462963</v>
      </c>
      <c r="F234" s="13">
        <v>42831.513807870368</v>
      </c>
      <c r="G234" s="7">
        <v>7</v>
      </c>
      <c r="H234" s="21" t="s">
        <v>949</v>
      </c>
      <c r="I234" s="13">
        <v>42831.519074074073</v>
      </c>
      <c r="J234" s="7">
        <v>0</v>
      </c>
      <c r="K234" s="97" t="str">
        <f t="shared" si="72"/>
        <v>4025/4026</v>
      </c>
      <c r="L234" s="21" t="str">
        <f>VLOOKUP(A234,'Trips&amp;Operators'!$C$1:$G$99999,5,FALSE)</f>
        <v>DE LA ROSA ALEX</v>
      </c>
      <c r="M234" s="6">
        <f t="shared" si="73"/>
        <v>5.2662037051049992E-3</v>
      </c>
      <c r="N234" s="7">
        <f t="shared" si="94"/>
        <v>7.5833333353511989</v>
      </c>
      <c r="O234" s="7"/>
      <c r="P234" s="7"/>
      <c r="Q234" s="22"/>
      <c r="R234" s="22"/>
      <c r="S234" s="31">
        <f t="shared" si="88"/>
        <v>0</v>
      </c>
      <c r="T234" s="46" t="e">
        <f t="shared" si="74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75"/>
        <v>https://d0f6bd738d7f1b3e5a7ca70fe4ff75f0.us-east-1.aws.found.io/app/kibana#/discover/Steve-Slow-Train-Analysis-(2080s-and-2083s)?_g=(refreshInterval:(display:Off,pause:!f,section:0,value:0),time:(from:'2017-04-06T11:12:49-0600',mode:absolute,to:'2017-04-06T13:27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4" s="183" t="str">
        <f t="shared" si="76"/>
        <v>Y</v>
      </c>
      <c r="X234" s="183" t="e">
        <f t="shared" si="95"/>
        <v>#VALUE!</v>
      </c>
      <c r="Y234" s="62">
        <f t="shared" si="77"/>
        <v>2.2157</v>
      </c>
      <c r="Z234" s="62">
        <f t="shared" si="89"/>
        <v>0.4834</v>
      </c>
      <c r="AA234" s="62">
        <f t="shared" si="78"/>
        <v>1.7323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79"/>
        <v>62-06</v>
      </c>
      <c r="AE234" s="85" t="str">
        <f t="shared" si="80"/>
        <v>aws s3 cp s3://rtdc.mdm.uploadarchive.raw/RTDC4026/ "%USERPROFILE%\AppData\Local\Temp\OnboardLogs"\RTDC4026\2017-04-06 --exclude "*" --recursive --include "*20170406*" &amp; "%USERPROFILE%\Documents\GitHub\mrs-test-scripts\Headless Mode &amp; Sideloading\WalkAndUnGZ.bat" "%USERPROFILE%\AppData\Local\Temp\OnboardLogs"\RTDC4026\2017-04-06 &amp; aws s3 cp s3://rtdc.mdm.uploadarchive.raw/RTDC4026/ "%USERPROFILE%\AppData\Local\Temp\OnboardLogs"\RTDC4026\2017-04-07 --exclude "*" --recursive --include "*20170407*" &amp; "%USERPROFILE%\Documents\GitHub\mrs-test-scripts\Headless Mode &amp; Sideloading\WalkAndUnGZ.bat" "%USERPROFILE%\AppData\Local\Temp\OnboardLogs"\RTDC4026\2017-04-07</v>
      </c>
      <c r="AF234" s="82" t="str">
        <f t="shared" si="81"/>
        <v>"C:\Program Files (x86)\AstroGrep\AstroGrep.exe" /e /r /s /spath="%USERPROFILE%\AppData\Local\Temp\OnboardLogs" /stypes="app*4026*20170406*" /stext=" 18:.+((SYSTEM_STATE.+slice.+state.+changed )|(ment ac)|(multiple cpu faults)|(system.+state.+changed )|(\[timeout)|(PRM\|1\|D)|(kpr)|(kdp)|(\|lc)|(penalty))"</v>
      </c>
      <c r="AG234" s="1" t="str">
        <f t="shared" si="82"/>
        <v>Other</v>
      </c>
      <c r="AH234" s="86" t="str">
        <f t="shared" si="83"/>
        <v>"%USERPROFILE%\Documents\GitHub\eaglep3\Utilities\RefineRTDCRunTimes.py" --tripid 62-06 --locoid 4026 --swversion DE.1.0.9.0 --startMP 300:22157 --initTime 2017-04-06T12:12:49 --startdatetime 2017-04-06T12:19:53 --delay 7 --endMP 300:4834 --enddatetime 2017-04-06T12:27:28 --enforcementcount 0 &gt;&gt;C:\Users\stu\Documents\GitHub\eaglep3-reporting\EC\2017-04-06-refined-times.txt</v>
      </c>
      <c r="AI234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{"issue":{"subject":"","project_id":79,"tracker_id":40,"status_id":1,"priority_id":2,"assigned_to_id":23,"start_date":"2017-04-06","description":"","custom_fields":[{"id":1,"name":"Subdivision","value":"Other"},{"id":4,"name":"Milepost","value":"0.4834"},{"id":17,"name":"Train ID","value":"62-06"},{"id":16,"name":"Locomotive ID","value":"4026"},{"id":130,"name":"Impact","value":""},{"id":150,"name":"Time of Event (Mountain Time)","value":"12:27:28"},{"id":151,"name":"Denver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85"/>
        <v>start /low /b %USERPROFILE%\Documents\GitHub\eaglep3\Utilities\DownloadLogsFromS3.py --loco 4026 --day 2017-04-06</v>
      </c>
      <c r="AN234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18:27:28"},{"id":29,"name":"Sharepoint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786</v>
      </c>
      <c r="B235" s="7">
        <v>4026</v>
      </c>
      <c r="C235" s="21" t="s">
        <v>216</v>
      </c>
      <c r="D235" s="21" t="s">
        <v>950</v>
      </c>
      <c r="E235" s="13">
        <v>42831.687777777777</v>
      </c>
      <c r="F235" s="13">
        <v>42831.690578703703</v>
      </c>
      <c r="G235" s="7">
        <v>2</v>
      </c>
      <c r="H235" s="21" t="s">
        <v>951</v>
      </c>
      <c r="I235" s="13">
        <v>42831.697233796294</v>
      </c>
      <c r="J235" s="7">
        <v>0</v>
      </c>
      <c r="K235" s="97" t="str">
        <f t="shared" si="72"/>
        <v>4025/4026</v>
      </c>
      <c r="L235" s="21" t="str">
        <f>VLOOKUP(A235,'Trips&amp;Operators'!$C$1:$G$99999,5,FALSE)</f>
        <v>ARVIDSON DANIEL</v>
      </c>
      <c r="M235" s="6">
        <f t="shared" si="73"/>
        <v>6.655092591245193E-3</v>
      </c>
      <c r="N235" s="7">
        <f t="shared" si="94"/>
        <v>9.583333331393078</v>
      </c>
      <c r="O235" s="7"/>
      <c r="P235" s="7"/>
      <c r="Q235" s="22"/>
      <c r="R235" s="22"/>
      <c r="S235" s="31">
        <f t="shared" si="88"/>
        <v>0</v>
      </c>
      <c r="T235" s="46" t="e">
        <f t="shared" si="74"/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 t="shared" si="75"/>
        <v>https://d0f6bd738d7f1b3e5a7ca70fe4ff75f0.us-east-1.aws.found.io/app/kibana#/discover/Steve-Slow-Train-Analysis-(2080s-and-2083s)?_g=(refreshInterval:(display:Off,pause:!f,section:0,value:0),time:(from:'2017-04-06T15:30:24-0600',mode:absolute,to:'2017-04-06T17:44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5" s="183" t="str">
        <f t="shared" si="76"/>
        <v>Y</v>
      </c>
      <c r="X235" s="183" t="e">
        <f t="shared" si="95"/>
        <v>#VALUE!</v>
      </c>
      <c r="Y235" s="62">
        <f t="shared" si="77"/>
        <v>0.14949999999999999</v>
      </c>
      <c r="Z235" s="62">
        <f t="shared" si="89"/>
        <v>2.3492999999999999</v>
      </c>
      <c r="AA235" s="62">
        <f t="shared" si="78"/>
        <v>2.1997999999999998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79"/>
        <v>71-06</v>
      </c>
      <c r="AE235" s="85" t="str">
        <f t="shared" si="80"/>
        <v>aws s3 cp s3://rtdc.mdm.uploadarchive.raw/RTDC4026/ "%USERPROFILE%\AppData\Local\Temp\OnboardLogs"\RTDC4026\2017-04-06 --exclude "*" --recursive --include "*20170406*" &amp; "%USERPROFILE%\Documents\GitHub\mrs-test-scripts\Headless Mode &amp; Sideloading\WalkAndUnGZ.bat" "%USERPROFILE%\AppData\Local\Temp\OnboardLogs"\RTDC4026\2017-04-06 &amp; aws s3 cp s3://rtdc.mdm.uploadarchive.raw/RTDC4026/ "%USERPROFILE%\AppData\Local\Temp\OnboardLogs"\RTDC4026\2017-04-07 --exclude "*" --recursive --include "*20170407*" &amp; "%USERPROFILE%\Documents\GitHub\mrs-test-scripts\Headless Mode &amp; Sideloading\WalkAndUnGZ.bat" "%USERPROFILE%\AppData\Local\Temp\OnboardLogs"\RTDC4026\2017-04-07</v>
      </c>
      <c r="AF235" s="82" t="str">
        <f t="shared" si="81"/>
        <v>"C:\Program Files (x86)\AstroGrep\AstroGrep.exe" /e /r /s /spath="%USERPROFILE%\AppData\Local\Temp\OnboardLogs" /stypes="app*4026*20170406*" /stext=" 22:.+((SYSTEM_STATE.+slice.+state.+changed )|(ment ac)|(multiple cpu faults)|(system.+state.+changed )|(\[timeout)|(PRM\|1\|D)|(kpr)|(kdp)|(\|lc)|(penalty))"</v>
      </c>
      <c r="AG235" s="1" t="str">
        <f t="shared" si="82"/>
        <v>Other</v>
      </c>
      <c r="AH235" s="86" t="str">
        <f t="shared" si="83"/>
        <v>"%USERPROFILE%\Documents\GitHub\eaglep3\Utilities\RefineRTDCRunTimes.py" --tripid 71-06 --locoid 4026 --swversion DE.1.0.9.0 --startMP 204:1495 --initTime 2017-04-06T16:30:24 --startdatetime 2017-04-06T16:34:26 --delay 2 --endMP 300:23493 --enddatetime 2017-04-06T16:44:01 --enforcementcount 0 &gt;&gt;C:\Users\stu\Documents\GitHub\eaglep3-reporting\EC\2017-04-06-refined-times.txt</v>
      </c>
      <c r="AI235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{"issue":{"subject":"","project_id":79,"tracker_id":40,"status_id":1,"priority_id":2,"assigned_to_id":23,"start_date":"2017-04-06","description":"","custom_fields":[{"id":1,"name":"Subdivision","value":"Other"},{"id":4,"name":"Milepost","value":"2.3493"},{"id":17,"name":"Train ID","value":"71-06"},{"id":16,"name":"Locomotive ID","value":"4026"},{"id":130,"name":"Impact","value":""},{"id":150,"name":"Time of Event (Mountain Time)","value":"16:44:01"},{"id":151,"name":"Denver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 t="shared" si="85"/>
        <v>start /low /b %USERPROFILE%\Documents\GitHub\eaglep3\Utilities\DownloadLogsFromS3.py --loco 4026 --day 2017-04-06</v>
      </c>
      <c r="AN235" s="159" t="str">
        <f t="shared" si="86"/>
        <v>echo {"issue":{"subject":"","project_id":30,"tracker_id":4,"status_id":1,"priority_id":1,"assigned_to_id":10,"start_date":"2017-04-06","description":"","custom_fields":[{"id":30,"name":"Category","value":"Issue"},{"id":3,"name":"Functional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UTC","value":"2017-04-06 22:44:01"},{"id":29,"name":"Sharepoint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3" t="s">
        <v>649</v>
      </c>
      <c r="B236" s="7">
        <v>4051</v>
      </c>
      <c r="C236" s="21" t="s">
        <v>216</v>
      </c>
      <c r="D236" s="21" t="s">
        <v>599</v>
      </c>
      <c r="E236" s="13">
        <v>42831.785034722219</v>
      </c>
      <c r="F236" s="13">
        <v>42831.789155092592</v>
      </c>
      <c r="G236" s="7">
        <v>5</v>
      </c>
      <c r="H236" s="21" t="s">
        <v>952</v>
      </c>
      <c r="I236" s="13">
        <v>42831.796817129631</v>
      </c>
      <c r="J236" s="7">
        <v>0</v>
      </c>
      <c r="K236" s="97" t="str">
        <f t="shared" si="72"/>
        <v>4051/4052</v>
      </c>
      <c r="L236" s="21" t="str">
        <f>VLOOKUP(A236,'Trips&amp;Operators'!$C$1:$G$99999,5,FALSE)</f>
        <v>MCREYNOLDS KYLE</v>
      </c>
      <c r="M236" s="6">
        <f t="shared" si="73"/>
        <v>7.662037038244307E-3</v>
      </c>
      <c r="N236" s="7">
        <f t="shared" si="94"/>
        <v>11.033333335071802</v>
      </c>
      <c r="O236" s="7"/>
      <c r="P236" s="7"/>
      <c r="Q236" s="22"/>
      <c r="R236" s="22"/>
      <c r="S236" s="31">
        <f t="shared" si="88"/>
        <v>0</v>
      </c>
      <c r="T236" s="46" t="e">
        <f t="shared" si="74"/>
        <v>#VALUE!</v>
      </c>
      <c r="U236" s="181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2" t="str">
        <f t="shared" si="75"/>
        <v>https://d0f6bd738d7f1b3e5a7ca70fe4ff75f0.us-east-1.aws.found.io/app/kibana#/discover/Steve-Slow-Train-Analysis-(2080s-and-2083s)?_g=(refreshInterval:(display:Off,pause:!f,section:0,value:0),time:(from:'2017-04-06T17:50:27-0600',mode:absolute,to:'2017-04-06T20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6" s="183" t="str">
        <f t="shared" si="76"/>
        <v>Y</v>
      </c>
      <c r="X236" s="183" t="e">
        <f t="shared" si="95"/>
        <v>#VALUE!</v>
      </c>
      <c r="Y236" s="62">
        <f t="shared" si="77"/>
        <v>2.2269999999999999</v>
      </c>
      <c r="Z236" s="62">
        <f t="shared" si="89"/>
        <v>0.14829999999999999</v>
      </c>
      <c r="AA236" s="62">
        <f t="shared" si="78"/>
        <v>2.0787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79"/>
        <v>76-06</v>
      </c>
      <c r="AE236" s="85" t="str">
        <f t="shared" si="80"/>
        <v>aws s3 cp s3://rtdc.mdm.uploadarchive.raw/RTDC4051/ "%USERPROFILE%\AppData\Local\Temp\OnboardLogs"\RTDC4051\2017-04-06 --exclude "*" --recursive --include "*20170406*" &amp; "%USERPROFILE%\Documents\GitHub\mrs-test-scripts\Headless Mode &amp; Sideloading\WalkAndUnGZ.bat" "%USERPROFILE%\AppData\Local\Temp\OnboardLogs"\RTDC4051\2017-04-06 &amp; aws s3 cp s3://rtdc.mdm.uploadarchive.raw/RTDC4051/ "%USERPROFILE%\AppData\Local\Temp\OnboardLogs"\RTDC4051\2017-04-07 --exclude "*" --recursive --include "*20170407*" &amp; "%USERPROFILE%\Documents\GitHub\mrs-test-scripts\Headless Mode &amp; Sideloading\WalkAndUnGZ.bat" "%USERPROFILE%\AppData\Local\Temp\OnboardLogs"\RTDC4051\2017-04-07</v>
      </c>
      <c r="AF236" s="82" t="str">
        <f t="shared" si="81"/>
        <v>"C:\Program Files (x86)\AstroGrep\AstroGrep.exe" /e /r /s /spath="%USERPROFILE%\AppData\Local\Temp\OnboardLogs" /stypes="app*4051*20170407*" /stext=" 01:.+((SYSTEM_STATE.+slice.+state.+changed )|(ment ac)|(multiple cpu faults)|(system.+state.+changed )|(\[timeout)|(PRM\|1\|D)|(kpr)|(kdp)|(\|lc)|(penalty))"</v>
      </c>
      <c r="AG236" s="1" t="str">
        <f t="shared" si="82"/>
        <v>Other</v>
      </c>
      <c r="AH236" s="86" t="str">
        <f t="shared" si="83"/>
        <v>"%USERPROFILE%\Documents\GitHub\eaglep3\Utilities\RefineRTDCRunTimes.py" --tripid 76-06 --locoid 4051 --swversion DE.1.0.9.0 --startMP 300:22270 --initTime 2017-04-06T18:50:27 --startdatetime 2017-04-06T18:56:23 --delay 5 --endMP 204:1483 --enddatetime 2017-04-06T19:07:25 --enforcementcount 0 &gt;&gt;C:\Users\stu\Documents\GitHub\eaglep3-reporting\EC\2017-04-06-refined-times.txt</v>
      </c>
      <c r="AI236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{"issue":{"subject":"","project_id":79,"tracker_id":40,"status_id":1,"priority_id":2,"assigned_to_id":23,"start_date":"2017-04-06","description":"","custom_fields":[{"id":1,"name":"Subdivision","value":"Other"},{"id":4,"name":"Milepost","value":"0.1483"},{"id":17,"name":"Train ID","value":"76-06"},{"id":16,"name":"Locomotive ID","value":"4051"},{"id":130,"name":"Impact","value":""},{"id":150,"name":"Time of Event (Mountain Time)","value":"19:07:25"},{"id":151,"name":"Denver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8"/>
      <c r="AL236" s="48"/>
      <c r="AM236" s="150" t="str">
        <f t="shared" si="85"/>
        <v>start /low /b %USERPROFILE%\Documents\GitHub\eaglep3\Utilities\DownloadLogsFromS3.py --loco 4051 --day 2017-04-06</v>
      </c>
      <c r="AN236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01:07:25"},{"id":29,"name":"Sharepoint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3" t="s">
        <v>649</v>
      </c>
      <c r="B237" s="7">
        <v>4051</v>
      </c>
      <c r="C237" s="21" t="s">
        <v>216</v>
      </c>
      <c r="D237" s="21" t="s">
        <v>953</v>
      </c>
      <c r="E237" s="13">
        <v>42831.738506944443</v>
      </c>
      <c r="F237" s="13">
        <v>42831.767777777779</v>
      </c>
      <c r="G237" s="7">
        <v>7</v>
      </c>
      <c r="H237" s="21" t="s">
        <v>954</v>
      </c>
      <c r="I237" s="13">
        <v>42831.781898148147</v>
      </c>
      <c r="J237" s="7">
        <v>0</v>
      </c>
      <c r="K237" s="97" t="str">
        <f t="shared" si="72"/>
        <v>4051/4052</v>
      </c>
      <c r="L237" s="21" t="str">
        <f>VLOOKUP(A237,'Trips&amp;Operators'!$C$1:$G$99999,5,FALSE)</f>
        <v>MCREYNOLDS KYLE</v>
      </c>
      <c r="M237" s="6">
        <f t="shared" si="73"/>
        <v>1.4120370367891155E-2</v>
      </c>
      <c r="N237" s="7">
        <f t="shared" si="94"/>
        <v>20.333333329763263</v>
      </c>
      <c r="O237" s="7"/>
      <c r="P237" s="7"/>
      <c r="Q237" s="22"/>
      <c r="R237" s="22"/>
      <c r="S237" s="31">
        <f t="shared" si="88"/>
        <v>0</v>
      </c>
      <c r="T237" s="46" t="e">
        <f t="shared" si="74"/>
        <v>#VALUE!</v>
      </c>
      <c r="U237" s="181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2" t="str">
        <f t="shared" si="75"/>
        <v>https://d0f6bd738d7f1b3e5a7ca70fe4ff75f0.us-east-1.aws.found.io/app/kibana#/discover/Steve-Slow-Train-Analysis-(2080s-and-2083s)?_g=(refreshInterval:(display:Off,pause:!f,section:0,value:0),time:(from:'2017-04-06T16:43:27-0600',mode:absolute,to:'2017-04-06T19:45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7" s="183" t="str">
        <f t="shared" si="76"/>
        <v>Y</v>
      </c>
      <c r="X237" s="183" t="e">
        <f t="shared" si="95"/>
        <v>#VALUE!</v>
      </c>
      <c r="Y237" s="62">
        <f t="shared" si="77"/>
        <v>2.3584000000000001</v>
      </c>
      <c r="Z237" s="62">
        <f t="shared" si="89"/>
        <v>8.5900000000000004E-2</v>
      </c>
      <c r="AA237" s="62">
        <f t="shared" si="78"/>
        <v>2.2725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79"/>
        <v>76-06</v>
      </c>
      <c r="AE237" s="85" t="str">
        <f t="shared" si="80"/>
        <v>aws s3 cp s3://rtdc.mdm.uploadarchive.raw/RTDC4051/ "%USERPROFILE%\AppData\Local\Temp\OnboardLogs"\RTDC4051\2017-04-06 --exclude "*" --recursive --include "*20170406*" &amp; "%USERPROFILE%\Documents\GitHub\mrs-test-scripts\Headless Mode &amp; Sideloading\WalkAndUnGZ.bat" "%USERPROFILE%\AppData\Local\Temp\OnboardLogs"\RTDC4051\2017-04-06 &amp; aws s3 cp s3://rtdc.mdm.uploadarchive.raw/RTDC4051/ "%USERPROFILE%\AppData\Local\Temp\OnboardLogs"\RTDC4051\2017-04-07 --exclude "*" --recursive --include "*20170407*" &amp; "%USERPROFILE%\Documents\GitHub\mrs-test-scripts\Headless Mode &amp; Sideloading\WalkAndUnGZ.bat" "%USERPROFILE%\AppData\Local\Temp\OnboardLogs"\RTDC4051\2017-04-07</v>
      </c>
      <c r="AF237" s="82" t="str">
        <f t="shared" si="81"/>
        <v>"C:\Program Files (x86)\AstroGrep\AstroGrep.exe" /e /r /s /spath="%USERPROFILE%\AppData\Local\Temp\OnboardLogs" /stypes="app*4051*20170407*" /stext=" 00:.+((SYSTEM_STATE.+slice.+state.+changed )|(ment ac)|(multiple cpu faults)|(system.+state.+changed )|(\[timeout)|(PRM\|1\|D)|(kpr)|(kdp)|(\|lc)|(penalty))"</v>
      </c>
      <c r="AG237" s="1" t="str">
        <f t="shared" si="82"/>
        <v>Other</v>
      </c>
      <c r="AH237" s="86" t="str">
        <f t="shared" si="83"/>
        <v>"%USERPROFILE%\Documents\GitHub\eaglep3\Utilities\RefineRTDCRunTimes.py" --tripid 76-06 --locoid 4051 --swversion DE.1.0.9.0 --startMP 300:23584 --initTime 2017-04-06T17:43:27 --startdatetime 2017-04-06T18:25:36 --delay 7 --endMP 204:859 --enddatetime 2017-04-06T18:45:56 --enforcementcount 0 &gt;&gt;C:\Users\stu\Documents\GitHub\eaglep3-reporting\EC\2017-04-06-refined-times.txt</v>
      </c>
      <c r="AI237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{"issue":{"subject":"","project_id":79,"tracker_id":40,"status_id":1,"priority_id":2,"assigned_to_id":23,"start_date":"2017-04-06","description":"","custom_fields":[{"id":1,"name":"Subdivision","value":"Other"},{"id":4,"name":"Milepost","value":"0.0859"},{"id":17,"name":"Train ID","value":"76-06"},{"id":16,"name":"Locomotive ID","value":"4051"},{"id":130,"name":"Impact","value":""},{"id":150,"name":"Time of Event (Mountain Time)","value":"18:45:56"},{"id":151,"name":"Denver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8"/>
      <c r="AL237" s="48"/>
      <c r="AM237" s="150" t="str">
        <f t="shared" si="85"/>
        <v>start /low /b %USERPROFILE%\Documents\GitHub\eaglep3\Utilities\DownloadLogsFromS3.py --loco 4051 --day 2017-04-06</v>
      </c>
      <c r="AN237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00:45:56"},{"id":29,"name":"Sharepoint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3" t="s">
        <v>649</v>
      </c>
      <c r="B238" s="7">
        <v>4052</v>
      </c>
      <c r="C238" s="21" t="s">
        <v>216</v>
      </c>
      <c r="D238" s="21" t="s">
        <v>955</v>
      </c>
      <c r="E238" s="13">
        <v>42831.758888888886</v>
      </c>
      <c r="F238" s="13">
        <v>42831.789155092592</v>
      </c>
      <c r="G238" s="7">
        <v>1</v>
      </c>
      <c r="H238" s="21" t="s">
        <v>474</v>
      </c>
      <c r="I238" s="13">
        <v>42831.796817129631</v>
      </c>
      <c r="J238" s="7">
        <v>0</v>
      </c>
      <c r="K238" s="97" t="str">
        <f t="shared" si="72"/>
        <v>4051/4052</v>
      </c>
      <c r="L238" s="21" t="str">
        <f>VLOOKUP(A238,'Trips&amp;Operators'!$C$1:$G$99999,5,FALSE)</f>
        <v>MCREYNOLDS KYLE</v>
      </c>
      <c r="M238" s="6">
        <f t="shared" si="73"/>
        <v>7.662037038244307E-3</v>
      </c>
      <c r="N238" s="7">
        <f t="shared" si="94"/>
        <v>11.033333335071802</v>
      </c>
      <c r="O238" s="7"/>
      <c r="P238" s="7"/>
      <c r="Q238" s="22"/>
      <c r="R238" s="22"/>
      <c r="S238" s="31">
        <f t="shared" si="88"/>
        <v>0</v>
      </c>
      <c r="T238" s="46" t="e">
        <f t="shared" si="74"/>
        <v>#VALUE!</v>
      </c>
      <c r="U238" s="181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2" t="str">
        <f t="shared" si="75"/>
        <v>https://d0f6bd738d7f1b3e5a7ca70fe4ff75f0.us-east-1.aws.found.io/app/kibana#/discover/Steve-Slow-Train-Analysis-(2080s-and-2083s)?_g=(refreshInterval:(display:Off,pause:!f,section:0,value:0),time:(from:'2017-04-06T17:12:48-0600',mode:absolute,to:'2017-04-06T20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8" s="183" t="str">
        <f t="shared" si="76"/>
        <v>Y</v>
      </c>
      <c r="X238" s="183" t="e">
        <f t="shared" si="95"/>
        <v>#VALUE!</v>
      </c>
      <c r="Y238" s="62">
        <f t="shared" si="77"/>
        <v>0.1168</v>
      </c>
      <c r="Z238" s="62">
        <f t="shared" si="89"/>
        <v>2.3311999999999999</v>
      </c>
      <c r="AA238" s="62">
        <f t="shared" si="78"/>
        <v>2.2143999999999999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79"/>
        <v>76-06</v>
      </c>
      <c r="AE238" s="85" t="str">
        <f t="shared" si="80"/>
        <v>aws s3 cp s3://rtdc.mdm.uploadarchive.raw/RTDC4052/ "%USERPROFILE%\AppData\Local\Temp\OnboardLogs"\RTDC4052\2017-04-06 --exclude "*" --recursive --include "*20170406*" &amp; "%USERPROFILE%\Documents\GitHub\mrs-test-scripts\Headless Mode &amp; Sideloading\WalkAndUnGZ.bat" "%USERPROFILE%\AppData\Local\Temp\OnboardLogs"\RTDC4052\2017-04-06 &amp; aws s3 cp s3://rtdc.mdm.uploadarchive.raw/RTDC4052/ "%USERPROFILE%\AppData\Local\Temp\OnboardLogs"\RTDC4052\2017-04-07 --exclude "*" --recursive --include "*20170407*" &amp; "%USERPROFILE%\Documents\GitHub\mrs-test-scripts\Headless Mode &amp; Sideloading\WalkAndUnGZ.bat" "%USERPROFILE%\AppData\Local\Temp\OnboardLogs"\RTDC4052\2017-04-07</v>
      </c>
      <c r="AF238" s="82" t="str">
        <f t="shared" si="81"/>
        <v>"C:\Program Files (x86)\AstroGrep\AstroGrep.exe" /e /r /s /spath="%USERPROFILE%\AppData\Local\Temp\OnboardLogs" /stypes="app*4052*20170407*" /stext=" 01:.+((SYSTEM_STATE.+slice.+state.+changed )|(ment ac)|(multiple cpu faults)|(system.+state.+changed )|(\[timeout)|(PRM\|1\|D)|(kpr)|(kdp)|(\|lc)|(penalty))"</v>
      </c>
      <c r="AG238" s="1" t="str">
        <f t="shared" si="82"/>
        <v>Other</v>
      </c>
      <c r="AH238" s="86" t="str">
        <f t="shared" si="83"/>
        <v>"%USERPROFILE%\Documents\GitHub\eaglep3\Utilities\RefineRTDCRunTimes.py" --tripid 76-06 --locoid 4052 --swversion DE.1.0.9.0 --startMP 204:1168 --initTime 2017-04-06T18:12:48 --startdatetime 2017-04-06T18:56:23 --delay 1 --endMP 300:23312 --enddatetime 2017-04-06T19:07:25 --enforcementcount 0 &gt;&gt;C:\Users\stu\Documents\GitHub\eaglep3-reporting\EC\2017-04-06-refined-times.txt</v>
      </c>
      <c r="AI238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{"issue":{"subject":"","project_id":79,"tracker_id":40,"status_id":1,"priority_id":2,"assigned_to_id":23,"start_date":"2017-04-06","description":"","custom_fields":[{"id":1,"name":"Subdivision","value":"Other"},{"id":4,"name":"Milepost","value":"2.3312"},{"id":17,"name":"Train ID","value":"76-06"},{"id":16,"name":"Locomotive ID","value":"4052"},{"id":130,"name":"Impact","value":""},{"id":150,"name":"Time of Event (Mountain Time)","value":"19:07:25"},{"id":151,"name":"Denver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8"/>
      <c r="AL238" s="48"/>
      <c r="AM238" s="150" t="str">
        <f t="shared" si="85"/>
        <v>start /low /b %USERPROFILE%\Documents\GitHub\eaglep3\Utilities\DownloadLogsFromS3.py --loco 4052 --day 2017-04-06</v>
      </c>
      <c r="AN238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01:07:25"},{"id":29,"name":"Sharepoint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3" t="s">
        <v>797</v>
      </c>
      <c r="B239" s="7">
        <v>4006</v>
      </c>
      <c r="C239" s="21" t="s">
        <v>216</v>
      </c>
      <c r="D239" s="21" t="s">
        <v>956</v>
      </c>
      <c r="E239" s="13">
        <v>42831.7265162037</v>
      </c>
      <c r="F239" s="13">
        <v>42831.75267361111</v>
      </c>
      <c r="G239" s="7">
        <v>1</v>
      </c>
      <c r="H239" s="21" t="s">
        <v>425</v>
      </c>
      <c r="I239" s="13">
        <v>42831.762280092589</v>
      </c>
      <c r="J239" s="7">
        <v>0</v>
      </c>
      <c r="K239" s="97" t="str">
        <f t="shared" si="72"/>
        <v>4005/4006</v>
      </c>
      <c r="L239" s="21" t="str">
        <f>VLOOKUP(A239,'Trips&amp;Operators'!$C$1:$G$99999,5,FALSE)</f>
        <v>MOSES BRADLEY</v>
      </c>
      <c r="M239" s="6">
        <f t="shared" si="73"/>
        <v>9.6064814788405783E-3</v>
      </c>
      <c r="N239" s="7">
        <f t="shared" si="94"/>
        <v>13.833333329530433</v>
      </c>
      <c r="O239" s="7"/>
      <c r="P239" s="7"/>
      <c r="Q239" s="22"/>
      <c r="R239" s="22"/>
      <c r="S239" s="31">
        <f t="shared" si="88"/>
        <v>0</v>
      </c>
      <c r="T239" s="46" t="e">
        <f t="shared" si="74"/>
        <v>#VALUE!</v>
      </c>
      <c r="U239" s="181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2" t="str">
        <f t="shared" si="75"/>
        <v>https://d0f6bd738d7f1b3e5a7ca70fe4ff75f0.us-east-1.aws.found.io/app/kibana#/discover/Steve-Slow-Train-Analysis-(2080s-and-2083s)?_g=(refreshInterval:(display:Off,pause:!f,section:0,value:0),time:(from:'2017-04-06T16:26:11-0600',mode:absolute,to:'2017-04-06T19:17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39" s="183" t="str">
        <f t="shared" si="76"/>
        <v>Y</v>
      </c>
      <c r="X239" s="183" t="e">
        <f t="shared" si="95"/>
        <v>#VALUE!</v>
      </c>
      <c r="Y239" s="62">
        <f t="shared" si="77"/>
        <v>0.14899999999999999</v>
      </c>
      <c r="Z239" s="62">
        <f t="shared" si="89"/>
        <v>2.3346</v>
      </c>
      <c r="AA239" s="62">
        <f t="shared" si="78"/>
        <v>2.1856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79"/>
        <v>77-06</v>
      </c>
      <c r="AE239" s="85" t="str">
        <f t="shared" si="80"/>
        <v>aws s3 cp s3://rtdc.mdm.uploadarchive.raw/RTDC4006/ "%USERPROFILE%\AppData\Local\Temp\OnboardLogs"\RTDC4006\2017-04-06 --exclude "*" --recursive --include "*20170406*" &amp; "%USERPROFILE%\Documents\GitHub\mrs-test-scripts\Headless Mode &amp; Sideloading\WalkAndUnGZ.bat" "%USERPROFILE%\AppData\Local\Temp\OnboardLogs"\RTDC4006\2017-04-06 &amp; aws s3 cp s3://rtdc.mdm.uploadarchive.raw/RTDC4006/ "%USERPROFILE%\AppData\Local\Temp\OnboardLogs"\RTDC4006\2017-04-07 --exclude "*" --recursive --include "*20170407*" &amp; "%USERPROFILE%\Documents\GitHub\mrs-test-scripts\Headless Mode &amp; Sideloading\WalkAndUnGZ.bat" "%USERPROFILE%\AppData\Local\Temp\OnboardLogs"\RTDC4006\2017-04-07</v>
      </c>
      <c r="AF239" s="82" t="str">
        <f t="shared" si="81"/>
        <v>"C:\Program Files (x86)\AstroGrep\AstroGrep.exe" /e /r /s /spath="%USERPROFILE%\AppData\Local\Temp\OnboardLogs" /stypes="app*4006*20170407*" /stext=" 00:.+((SYSTEM_STATE.+slice.+state.+changed )|(ment ac)|(multiple cpu faults)|(system.+state.+changed )|(\[timeout)|(PRM\|1\|D)|(kpr)|(kdp)|(\|lc)|(penalty))"</v>
      </c>
      <c r="AG239" s="1" t="str">
        <f t="shared" si="82"/>
        <v>Other</v>
      </c>
      <c r="AH239" s="86" t="str">
        <f t="shared" si="83"/>
        <v>"%USERPROFILE%\Documents\GitHub\eaglep3\Utilities\RefineRTDCRunTimes.py" --tripid 77-06 --locoid 4006 --swversion DE.1.0.9.0 --startMP 204:1490 --initTime 2017-04-06T17:26:11 --startdatetime 2017-04-06T18:03:51 --delay 1 --endMP 300:23346 --enddatetime 2017-04-06T18:17:41 --enforcementcount 0 &gt;&gt;C:\Users\stu\Documents\GitHub\eaglep3-reporting\EC\2017-04-06-refined-times.txt</v>
      </c>
      <c r="AI239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{"issue":{"subject":"","project_id":79,"tracker_id":40,"status_id":1,"priority_id":2,"assigned_to_id":23,"start_date":"2017-04-06","description":"","custom_fields":[{"id":1,"name":"Subdivision","value":"Other"},{"id":4,"name":"Milepost","value":"2.3346"},{"id":17,"name":"Train ID","value":"77-06"},{"id":16,"name":"Locomotive ID","value":"4006"},{"id":130,"name":"Impact","value":""},{"id":150,"name":"Time of Event (Mountain Time)","value":"18:17:41"},{"id":151,"name":"Denver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8"/>
      <c r="AL239" s="48"/>
      <c r="AM239" s="150" t="str">
        <f t="shared" si="85"/>
        <v>start /low /b %USERPROFILE%\Documents\GitHub\eaglep3\Utilities\DownloadLogsFromS3.py --loco 4006 --day 2017-04-06</v>
      </c>
      <c r="AN239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00:17:41"},{"id":29,"name":"Sharepoint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3" t="s">
        <v>828</v>
      </c>
      <c r="B240" s="7">
        <v>4024</v>
      </c>
      <c r="C240" s="21" t="s">
        <v>216</v>
      </c>
      <c r="D240" s="21" t="s">
        <v>934</v>
      </c>
      <c r="E240" s="13">
        <v>42831.848067129627</v>
      </c>
      <c r="F240" s="13">
        <v>42831.860833333332</v>
      </c>
      <c r="G240" s="7">
        <v>1</v>
      </c>
      <c r="H240" s="21" t="s">
        <v>584</v>
      </c>
      <c r="I240" s="13">
        <v>42831.891550925924</v>
      </c>
      <c r="J240" s="7">
        <v>0</v>
      </c>
      <c r="K240" s="97" t="str">
        <f t="shared" si="72"/>
        <v>4023/4024</v>
      </c>
      <c r="L240" s="21" t="str">
        <f>VLOOKUP(A240,'Trips&amp;Operators'!$C$1:$G$99999,5,FALSE)</f>
        <v>MACDONALD THOMAS</v>
      </c>
      <c r="M240" s="6">
        <f t="shared" si="73"/>
        <v>3.071759259182727E-2</v>
      </c>
      <c r="N240" s="7">
        <f t="shared" si="94"/>
        <v>44.233333332231268</v>
      </c>
      <c r="O240" s="7"/>
      <c r="P240" s="7"/>
      <c r="Q240" s="22"/>
      <c r="R240" s="22" t="s">
        <v>1045</v>
      </c>
      <c r="S240" s="31">
        <f t="shared" si="88"/>
        <v>0</v>
      </c>
      <c r="T240" s="46" t="e">
        <f t="shared" si="74"/>
        <v>#VALUE!</v>
      </c>
      <c r="U240" s="181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2" t="str">
        <f t="shared" si="75"/>
        <v>https://d0f6bd738d7f1b3e5a7ca70fe4ff75f0.us-east-1.aws.found.io/app/kibana#/discover/Steve-Slow-Train-Analysis-(2080s-and-2083s)?_g=(refreshInterval:(display:Off,pause:!f,section:0,value:0),time:(from:'2017-04-06T19:21:13-0600',mode:absolute,to:'2017-04-06T22:23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0" s="183" t="str">
        <f t="shared" si="76"/>
        <v>N</v>
      </c>
      <c r="X240" s="183" t="e">
        <f t="shared" si="95"/>
        <v>#VALUE!</v>
      </c>
      <c r="Y240" s="62">
        <f t="shared" si="77"/>
        <v>0.121</v>
      </c>
      <c r="Z240" s="62">
        <f t="shared" si="89"/>
        <v>23.3291</v>
      </c>
      <c r="AA240" s="62">
        <f t="shared" si="78"/>
        <v>23.208100000000002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79"/>
        <v>81-06</v>
      </c>
      <c r="AE240" s="85" t="str">
        <f t="shared" si="80"/>
        <v>aws s3 cp s3://rtdc.mdm.uploadarchive.raw/RTDC4024/ "%USERPROFILE%\AppData\Local\Temp\OnboardLogs"\RTDC4024\2017-04-06 --exclude "*" --recursive --include "*20170406*" &amp; "%USERPROFILE%\Documents\GitHub\mrs-test-scripts\Headless Mode &amp; Sideloading\WalkAndUnGZ.bat" "%USERPROFILE%\AppData\Local\Temp\OnboardLogs"\RTDC4024\2017-04-06 &amp; aws s3 cp s3://rtdc.mdm.uploadarchive.raw/RTDC4024/ "%USERPROFILE%\AppData\Local\Temp\OnboardLogs"\RTDC4024\2017-04-07 --exclude "*" --recursive --include "*20170407*" &amp; "%USERPROFILE%\Documents\GitHub\mrs-test-scripts\Headless Mode &amp; Sideloading\WalkAndUnGZ.bat" "%USERPROFILE%\AppData\Local\Temp\OnboardLogs"\RTDC4024\2017-04-07</v>
      </c>
      <c r="AF240" s="82" t="str">
        <f t="shared" si="81"/>
        <v>"C:\Program Files (x86)\AstroGrep\AstroGrep.exe" /e /r /s /spath="%USERPROFILE%\AppData\Local\Temp\OnboardLogs" /stypes="app*4024*20170407*" /stext=" 03:.+((SYSTEM_STATE.+slice.+state.+changed )|(ment ac)|(multiple cpu faults)|(system.+state.+changed )|(\[timeout)|(PRM\|1\|D)|(kpr)|(kdp)|(\|lc)|(penalty))"</v>
      </c>
      <c r="AG240" s="1" t="str">
        <f t="shared" si="82"/>
        <v>Other</v>
      </c>
      <c r="AH240" s="86" t="str">
        <f t="shared" si="83"/>
        <v>"%USERPROFILE%\Documents\GitHub\eaglep3\Utilities\RefineRTDCRunTimes.py" --tripid 81-06 --locoid 4024 --swversion DE.1.0.9.0 --startMP 204:1210 --initTime 2017-04-06T20:21:13 --startdatetime 2017-04-06T20:39:36 --delay 1 --endMP 204:233291 --enddatetime 2017-04-06T21:23:50 --enforcementcount 0 &gt;&gt;C:\Users\stu\Documents\GitHub\eaglep3-reporting\EC\2017-04-06-refined-times.txt</v>
      </c>
      <c r="AI240" s="104" t="str">
        <f t="shared" si="84"/>
        <v>echo {"issue":{"subject":"Init button not available at 20:17 - loose cable to CHM box?","project_id":79,"tracker_id":40,"status_id":1,"priority_id":2,"assigned_to_id":23,"start_date":"2017-04-06","description":"","custom_fields":[{"id":1,"name":"Subdivision","value":"Other"},{"id":4,"name":"Milepost","value":"23.3291"},{"id":17,"name":"Train ID","value":"81-06"},{"id":16,"name":"Locomotive ID","value":"4024"},{"id":130,"name":"Impact","value":""},{"id":150,"name":"Time of Event (Mountain Time)","value":"21:23:50"},{"id":151,"name":"Denver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8"/>
      <c r="AL240" s="48"/>
      <c r="AM240" s="150" t="str">
        <f t="shared" si="85"/>
        <v>start /low /b %USERPROFILE%\Documents\GitHub\eaglep3\Utilities\DownloadLogsFromS3.py --loco 4024 --day 2017-04-06</v>
      </c>
      <c r="AN240" s="159" t="str">
        <f t="shared" si="86"/>
        <v>echo {"issue":{"subject":"Init button not available at 20:17 - loose cable to CHM box?","project_id":30,"tracker_id":4,"status_id":1,"priority_id":1,"assigned_to_id":10,"start_date":"2017-04-07","description":"","custom_fields":[{"id":30,"name":"Category","value":"Issue"},{"id":3,"name":"Functional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03:23:50"},{"id":29,"name":"Sharepoint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3" t="s">
        <v>828</v>
      </c>
      <c r="B241" s="7">
        <v>4024</v>
      </c>
      <c r="C241" s="21" t="s">
        <v>216</v>
      </c>
      <c r="D241" s="21" t="s">
        <v>972</v>
      </c>
      <c r="E241" s="13">
        <v>42831.932928240742</v>
      </c>
      <c r="F241" s="13">
        <v>42831.934270833335</v>
      </c>
      <c r="G241" s="7">
        <v>1</v>
      </c>
      <c r="H241" s="21" t="s">
        <v>973</v>
      </c>
      <c r="I241" s="13">
        <v>42831.941018518519</v>
      </c>
      <c r="J241" s="7">
        <v>0</v>
      </c>
      <c r="K241" s="97" t="str">
        <f t="shared" si="72"/>
        <v>4023/4024</v>
      </c>
      <c r="L241" s="21" t="str">
        <f>VLOOKUP(A241,'Trips&amp;Operators'!$C$1:$G$99999,5,FALSE)</f>
        <v>MACDONALD THOMAS</v>
      </c>
      <c r="M241" s="6">
        <f t="shared" si="73"/>
        <v>6.7476851836545393E-3</v>
      </c>
      <c r="N241" s="7">
        <f t="shared" si="94"/>
        <v>9.7166666644625366</v>
      </c>
      <c r="O241" s="7"/>
      <c r="P241" s="7"/>
      <c r="Q241" s="22"/>
      <c r="R241" s="22"/>
      <c r="S241" s="31">
        <f t="shared" si="88"/>
        <v>0</v>
      </c>
      <c r="T241" s="46" t="e">
        <f t="shared" si="74"/>
        <v>#VALUE!</v>
      </c>
      <c r="U241" s="181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2" t="str">
        <f t="shared" si="75"/>
        <v>https://d0f6bd738d7f1b3e5a7ca70fe4ff75f0.us-east-1.aws.found.io/app/kibana#/discover/Steve-Slow-Train-Analysis-(2080s-and-2083s)?_g=(refreshInterval:(display:Off,pause:!f,section:0,value:0),time:(from:'2017-04-06T21:23:25-0600',mode:absolute,to:'2017-04-06T23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41" s="183" t="str">
        <f t="shared" si="76"/>
        <v>Y</v>
      </c>
      <c r="X241" s="183" t="e">
        <f t="shared" si="95"/>
        <v>#VALUE!</v>
      </c>
      <c r="Y241" s="62">
        <f t="shared" si="77"/>
        <v>4.9099999999999998E-2</v>
      </c>
      <c r="Z241" s="62">
        <f t="shared" si="89"/>
        <v>2.3306</v>
      </c>
      <c r="AA241" s="62">
        <f t="shared" si="78"/>
        <v>2.2814999999999999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79"/>
        <v>81-06</v>
      </c>
      <c r="AE241" s="85" t="str">
        <f t="shared" si="80"/>
        <v>aws s3 cp s3://rtdc.mdm.uploadarchive.raw/RTDC4024/ "%USERPROFILE%\AppData\Local\Temp\OnboardLogs"\RTDC4024\2017-04-06 --exclude "*" --recursive --include "*20170406*" &amp; "%USERPROFILE%\Documents\GitHub\mrs-test-scripts\Headless Mode &amp; Sideloading\WalkAndUnGZ.bat" "%USERPROFILE%\AppData\Local\Temp\OnboardLogs"\RTDC4024\2017-04-06 &amp; aws s3 cp s3://rtdc.mdm.uploadarchive.raw/RTDC4024/ "%USERPROFILE%\AppData\Local\Temp\OnboardLogs"\RTDC4024\2017-04-07 --exclude "*" --recursive --include "*20170407*" &amp; "%USERPROFILE%\Documents\GitHub\mrs-test-scripts\Headless Mode &amp; Sideloading\WalkAndUnGZ.bat" "%USERPROFILE%\AppData\Local\Temp\OnboardLogs"\RTDC4024\2017-04-07</v>
      </c>
      <c r="AF241" s="82" t="str">
        <f t="shared" si="81"/>
        <v>"C:\Program Files (x86)\AstroGrep\AstroGrep.exe" /e /r /s /spath="%USERPROFILE%\AppData\Local\Temp\OnboardLogs" /stypes="app*4024*20170407*" /stext=" 04:.+((SYSTEM_STATE.+slice.+state.+changed )|(ment ac)|(multiple cpu faults)|(system.+state.+changed )|(\[timeout)|(PRM\|1\|D)|(kpr)|(kdp)|(\|lc)|(penalty))"</v>
      </c>
      <c r="AG241" s="1" t="str">
        <f t="shared" si="82"/>
        <v>Other</v>
      </c>
      <c r="AH241" s="86" t="str">
        <f t="shared" si="83"/>
        <v>"%USERPROFILE%\Documents\GitHub\eaglep3\Utilities\RefineRTDCRunTimes.py" --tripid 81-06 --locoid 4024 --swversion DE.1.0.9.0 --startMP 204:491 --initTime 2017-04-06T22:23:25 --startdatetime 2017-04-06T22:25:21 --delay 1 --endMP 300:23306 --enddatetime 2017-04-06T22:35:04 --enforcementcount 0 &gt;&gt;C:\Users\stu\Documents\GitHub\eaglep3-reporting\EC\2017-04-06-refined-times.txt</v>
      </c>
      <c r="AI241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{"issue":{"subject":"","project_id":79,"tracker_id":40,"status_id":1,"priority_id":2,"assigned_to_id":23,"start_date":"2017-04-06","description":"","custom_fields":[{"id":1,"name":"Subdivision","value":"Other"},{"id":4,"name":"Milepost","value":"2.3306"},{"id":17,"name":"Train ID","value":"81-06"},{"id":16,"name":"Locomotive ID","value":"4024"},{"id":130,"name":"Impact","value":""},{"id":150,"name":"Time of Event (Mountain Time)","value":"22:35:04"},{"id":151,"name":"Denver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8"/>
      <c r="AL241" s="48"/>
      <c r="AM241" s="150" t="str">
        <f t="shared" si="85"/>
        <v>start /low /b %USERPROFILE%\Documents\GitHub\eaglep3\Utilities\DownloadLogsFromS3.py --loco 4024 --day 2017-04-06</v>
      </c>
      <c r="AN241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04:35:04"},{"id":29,"name":"Sharepoint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3" t="s">
        <v>818</v>
      </c>
      <c r="B242" s="7">
        <v>4023</v>
      </c>
      <c r="C242" s="21" t="s">
        <v>216</v>
      </c>
      <c r="D242" s="21" t="s">
        <v>578</v>
      </c>
      <c r="E242" s="13">
        <v>42831.895428240743</v>
      </c>
      <c r="F242" s="13">
        <v>42831.896608796298</v>
      </c>
      <c r="G242" s="7">
        <v>1</v>
      </c>
      <c r="H242" s="21" t="s">
        <v>591</v>
      </c>
      <c r="I242" s="13">
        <v>42831.930567129632</v>
      </c>
      <c r="J242" s="7">
        <v>0</v>
      </c>
      <c r="K242" s="97" t="str">
        <f t="shared" si="72"/>
        <v>4023/4024</v>
      </c>
      <c r="L242" s="21" t="str">
        <f>VLOOKUP(A242,'Trips&amp;Operators'!$C$1:$G$99999,5,FALSE)</f>
        <v>MACDONALD THOMAS</v>
      </c>
      <c r="M242" s="6">
        <f t="shared" si="73"/>
        <v>3.3958333333430346E-2</v>
      </c>
      <c r="N242" s="7">
        <f t="shared" si="94"/>
        <v>48.900000000139698</v>
      </c>
      <c r="O242" s="7"/>
      <c r="P242" s="7"/>
      <c r="Q242" s="22"/>
      <c r="R242" s="22"/>
      <c r="S242" s="31">
        <f t="shared" si="88"/>
        <v>0</v>
      </c>
      <c r="T242" s="46" t="e">
        <f t="shared" si="74"/>
        <v>#VALUE!</v>
      </c>
      <c r="U242" s="181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2" t="str">
        <f t="shared" si="75"/>
        <v>https://d0f6bd738d7f1b3e5a7ca70fe4ff75f0.us-east-1.aws.found.io/app/kibana#/discover/Steve-Slow-Train-Analysis-(2080s-and-2083s)?_g=(refreshInterval:(display:Off,pause:!f,section:0,value:0),time:(from:'2017-04-06T20:29:25-0600',mode:absolute,to:'2017-04-06T23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2" s="183" t="str">
        <f t="shared" si="76"/>
        <v>N</v>
      </c>
      <c r="X242" s="183" t="e">
        <f t="shared" si="95"/>
        <v>#VALUE!</v>
      </c>
      <c r="Y242" s="62">
        <f t="shared" si="77"/>
        <v>23.296700000000001</v>
      </c>
      <c r="Z242" s="62">
        <f t="shared" si="89"/>
        <v>1.8700000000000001E-2</v>
      </c>
      <c r="AA242" s="62">
        <f t="shared" si="78"/>
        <v>23.278000000000002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79"/>
        <v>82-06</v>
      </c>
      <c r="AE242" s="85" t="str">
        <f t="shared" si="80"/>
        <v>aws s3 cp s3://rtdc.mdm.uploadarchive.raw/RTDC4023/ "%USERPROFILE%\AppData\Local\Temp\OnboardLogs"\RTDC4023\2017-04-06 --exclude "*" --recursive --include "*20170406*" &amp; "%USERPROFILE%\Documents\GitHub\mrs-test-scripts\Headless Mode &amp; Sideloading\WalkAndUnGZ.bat" "%USERPROFILE%\AppData\Local\Temp\OnboardLogs"\RTDC4023\2017-04-06 &amp; aws s3 cp s3://rtdc.mdm.uploadarchive.raw/RTDC4023/ "%USERPROFILE%\AppData\Local\Temp\OnboardLogs"\RTDC4023\2017-04-07 --exclude "*" --recursive --include "*20170407*" &amp; "%USERPROFILE%\Documents\GitHub\mrs-test-scripts\Headless Mode &amp; Sideloading\WalkAndUnGZ.bat" "%USERPROFILE%\AppData\Local\Temp\OnboardLogs"\RTDC4023\2017-04-07</v>
      </c>
      <c r="AF242" s="82" t="str">
        <f t="shared" si="81"/>
        <v>"C:\Program Files (x86)\AstroGrep\AstroGrep.exe" /e /r /s /spath="%USERPROFILE%\AppData\Local\Temp\OnboardLogs" /stypes="app*4023*20170407*" /stext=" 04:.+((SYSTEM_STATE.+slice.+state.+changed )|(ment ac)|(multiple cpu faults)|(system.+state.+changed )|(\[timeout)|(PRM\|1\|D)|(kpr)|(kdp)|(\|lc)|(penalty))"</v>
      </c>
      <c r="AG242" s="1" t="str">
        <f t="shared" si="82"/>
        <v>Other</v>
      </c>
      <c r="AH242" s="86" t="str">
        <f t="shared" si="83"/>
        <v>"%USERPROFILE%\Documents\GitHub\eaglep3\Utilities\RefineRTDCRunTimes.py" --tripid 82-06 --locoid 4023 --swversion DE.1.0.9.0 --startMP 204:232967 --initTime 2017-04-06T21:29:25 --startdatetime 2017-04-06T21:31:07 --delay 1 --endMP 204:187 --enddatetime 2017-04-06T22:20:01 --enforcementcount 0 &gt;&gt;C:\Users\stu\Documents\GitHub\eaglep3-reporting\EC\2017-04-06-refined-times.txt</v>
      </c>
      <c r="AI242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{"issue":{"subject":"","project_id":79,"tracker_id":40,"status_id":1,"priority_id":2,"assigned_to_id":23,"start_date":"2017-04-06","description":"","custom_fields":[{"id":1,"name":"Subdivision","value":"Other"},{"id":4,"name":"Milepost","value":"0.0187"},{"id":17,"name":"Train ID","value":"82-06"},{"id":16,"name":"Locomotive ID","value":"4023"},{"id":130,"name":"Impact","value":""},{"id":150,"name":"Time of Event (Mountain Time)","value":"22:20:01"},{"id":151,"name":"Denver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8"/>
      <c r="AL242" s="48"/>
      <c r="AM242" s="150" t="str">
        <f t="shared" si="85"/>
        <v>start /low /b %USERPROFILE%\Documents\GitHub\eaglep3\Utilities\DownloadLogsFromS3.py --loco 4023 --day 2017-04-06</v>
      </c>
      <c r="AN242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04:20:01"},{"id":29,"name":"Sharepoint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3" t="s">
        <v>818</v>
      </c>
      <c r="B243" s="7">
        <v>4023</v>
      </c>
      <c r="C243" s="21" t="s">
        <v>216</v>
      </c>
      <c r="D243" s="21" t="s">
        <v>986</v>
      </c>
      <c r="E243" s="13">
        <v>42831.811886574076</v>
      </c>
      <c r="F243" s="13">
        <v>42831.814837962964</v>
      </c>
      <c r="G243" s="7">
        <v>3</v>
      </c>
      <c r="H243" s="21" t="s">
        <v>987</v>
      </c>
      <c r="I243" s="13">
        <v>42831.820787037039</v>
      </c>
      <c r="J243" s="7">
        <v>0</v>
      </c>
      <c r="K243" s="97" t="str">
        <f t="shared" si="72"/>
        <v>4023/4024</v>
      </c>
      <c r="L243" s="21" t="str">
        <f>VLOOKUP(A243,'Trips&amp;Operators'!$C$1:$G$99999,5,FALSE)</f>
        <v>MACDONALD THOMAS</v>
      </c>
      <c r="M243" s="6">
        <f t="shared" si="73"/>
        <v>5.9490740750334226E-3</v>
      </c>
      <c r="N243" s="7">
        <f t="shared" si="94"/>
        <v>8.5666666680481285</v>
      </c>
      <c r="O243" s="7"/>
      <c r="P243" s="7"/>
      <c r="Q243" s="22"/>
      <c r="R243" s="22"/>
      <c r="S243" s="31">
        <f t="shared" si="88"/>
        <v>0</v>
      </c>
      <c r="T243" s="46" t="e">
        <f t="shared" si="74"/>
        <v>#VALUE!</v>
      </c>
      <c r="U243" s="181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2" t="str">
        <f t="shared" si="75"/>
        <v>https://d0f6bd738d7f1b3e5a7ca70fe4ff75f0.us-east-1.aws.found.io/app/kibana#/discover/Steve-Slow-Train-Analysis-(2080s-and-2083s)?_g=(refreshInterval:(display:Off,pause:!f,section:0,value:0),time:(from:'2017-04-06T18:29:07-0600',mode:absolute,to:'2017-04-06T20:41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43" s="183" t="str">
        <f t="shared" si="76"/>
        <v>Y</v>
      </c>
      <c r="X243" s="183" t="e">
        <f t="shared" si="95"/>
        <v>#VALUE!</v>
      </c>
      <c r="Y243" s="62">
        <f t="shared" si="77"/>
        <v>2.2873999999999999</v>
      </c>
      <c r="Z243" s="62">
        <f t="shared" si="89"/>
        <v>8.8900000000000007E-2</v>
      </c>
      <c r="AA243" s="62">
        <f t="shared" si="78"/>
        <v>2.1984999999999997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79"/>
        <v>82-06</v>
      </c>
      <c r="AE243" s="85" t="str">
        <f t="shared" si="80"/>
        <v>aws s3 cp s3://rtdc.mdm.uploadarchive.raw/RTDC4023/ "%USERPROFILE%\AppData\Local\Temp\OnboardLogs"\RTDC4023\2017-04-06 --exclude "*" --recursive --include "*20170406*" &amp; "%USERPROFILE%\Documents\GitHub\mrs-test-scripts\Headless Mode &amp; Sideloading\WalkAndUnGZ.bat" "%USERPROFILE%\AppData\Local\Temp\OnboardLogs"\RTDC4023\2017-04-06 &amp; aws s3 cp s3://rtdc.mdm.uploadarchive.raw/RTDC4023/ "%USERPROFILE%\AppData\Local\Temp\OnboardLogs"\RTDC4023\2017-04-07 --exclude "*" --recursive --include "*20170407*" &amp; "%USERPROFILE%\Documents\GitHub\mrs-test-scripts\Headless Mode &amp; Sideloading\WalkAndUnGZ.bat" "%USERPROFILE%\AppData\Local\Temp\OnboardLogs"\RTDC4023\2017-04-07</v>
      </c>
      <c r="AF243" s="82" t="str">
        <f t="shared" si="81"/>
        <v>"C:\Program Files (x86)\AstroGrep\AstroGrep.exe" /e /r /s /spath="%USERPROFILE%\AppData\Local\Temp\OnboardLogs" /stypes="app*4023*20170407*" /stext=" 01:.+((SYSTEM_STATE.+slice.+state.+changed )|(ment ac)|(multiple cpu faults)|(system.+state.+changed )|(\[timeout)|(PRM\|1\|D)|(kpr)|(kdp)|(\|lc)|(penalty))"</v>
      </c>
      <c r="AG243" s="1" t="str">
        <f t="shared" si="82"/>
        <v>Other</v>
      </c>
      <c r="AH243" s="86" t="str">
        <f t="shared" si="83"/>
        <v>"%USERPROFILE%\Documents\GitHub\eaglep3\Utilities\RefineRTDCRunTimes.py" --tripid 82-06 --locoid 4023 --swversion DE.1.0.9.0 --startMP 300:22874 --initTime 2017-04-06T19:29:07 --startdatetime 2017-04-06T19:33:22 --delay 3 --endMP 204:889 --enddatetime 2017-04-06T19:41:56 --enforcementcount 0 &gt;&gt;C:\Users\stu\Documents\GitHub\eaglep3-reporting\EC\2017-04-06-refined-times.txt</v>
      </c>
      <c r="AI243" s="104" t="str">
        <f t="shared" si="84"/>
        <v>echo {"issue":{"subject":"","project_id":79,"tracker_id":40,"status_id":1,"priority_id":2,"assigned_to_id":23,"start_date":"2017-04-06","description":"","custom_fields":[{"id":1,"name":"Subdivision","value":"Other"},{"id":4,"name":"Milepost","value":"0.0889"},{"id":17,"name":"Train ID","value":"82-06"},{"id":16,"name":"Locomotive ID","value":"4023"},{"id":130,"name":"Impact","value":""},{"id":150,"name":"Time of Event (Mountain Time)","value":"19:41:56"},{"id":151,"name":"Denver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8"/>
      <c r="AL243" s="48"/>
      <c r="AM243" s="150" t="str">
        <f t="shared" si="85"/>
        <v>start /low /b %USERPROFILE%\Documents\GitHub\eaglep3\Utilities\DownloadLogsFromS3.py --loco 4023 --day 2017-04-06</v>
      </c>
      <c r="AN243" s="159" t="str">
        <f t="shared" si="86"/>
        <v>echo {"issue":{"subject":"","project_id":30,"tracker_id":4,"status_id":1,"priority_id":1,"assigned_to_id":10,"start_date":"2017-04-07","description":"","custom_fields":[{"id":30,"name":"Category","value":"Issue"},{"id":3,"name":"Functional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UTC","value":"2017-04-07 01:41:56"},{"id":29,"name":"Sharepoint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</sheetData>
  <autoFilter ref="A12:AG262"/>
  <sortState ref="A13:AH200">
    <sortCondition ref="AG13:AG200"/>
    <sortCondition ref="AD13:AD200"/>
  </sortState>
  <mergeCells count="1">
    <mergeCell ref="A11:P11"/>
  </mergeCells>
  <conditionalFormatting sqref="W11:W12 W269:X1048576 W13:X243">
    <cfRule type="cellIs" dxfId="10" priority="370" operator="equal">
      <formula>"Y"</formula>
    </cfRule>
  </conditionalFormatting>
  <conditionalFormatting sqref="X269:X1048576 X13:X243">
    <cfRule type="cellIs" dxfId="9" priority="353" operator="greaterThan">
      <formula>1</formula>
    </cfRule>
  </conditionalFormatting>
  <conditionalFormatting sqref="X269:X1048576 X12:X243">
    <cfRule type="cellIs" dxfId="8" priority="350" operator="equal">
      <formula>0</formula>
    </cfRule>
  </conditionalFormatting>
  <conditionalFormatting sqref="A13:S243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AK13:AK243</xm:sqref>
        </x14:dataValidation>
        <x14:dataValidation type="list" allowBlank="1" showInputMessage="1" showErrorMessage="1">
          <x14:formula1>
            <xm:f>'Redmine List Values'!$C$2:$C$15</xm:f>
          </x14:formula1>
          <xm:sqref>AL13:AL243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2"/>
  <sheetViews>
    <sheetView topLeftCell="A2" zoomScaleNormal="100" workbookViewId="0">
      <selection activeCell="P24" sqref="P24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COUNTIF($O$7:$O$302,"=Y")</f>
        <v>3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COUNTA($O$7:$O$302)-O2</f>
        <v>35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- 2017-04-06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191</v>
      </c>
      <c r="AE6" s="151" t="s">
        <v>201</v>
      </c>
    </row>
    <row r="7" spans="1:32" s="1" customFormat="1" x14ac:dyDescent="0.25">
      <c r="A7" s="32">
        <v>42831.348449074074</v>
      </c>
      <c r="B7" s="30" t="s">
        <v>442</v>
      </c>
      <c r="C7" s="30" t="s">
        <v>626</v>
      </c>
      <c r="D7" s="30" t="s">
        <v>49</v>
      </c>
      <c r="E7" s="30" t="s">
        <v>192</v>
      </c>
      <c r="F7" s="43">
        <v>0</v>
      </c>
      <c r="G7" s="43">
        <v>172</v>
      </c>
      <c r="H7" s="43">
        <v>26979</v>
      </c>
      <c r="I7" s="43">
        <v>27226</v>
      </c>
      <c r="J7" s="30" t="s">
        <v>193</v>
      </c>
      <c r="K7" s="43">
        <v>27053</v>
      </c>
      <c r="L7" s="139" t="s">
        <v>50</v>
      </c>
      <c r="M7" s="140">
        <f t="shared" ref="M7:M44" si="0">CONVERT((I7-K7)/10000,"mi","ft")*IF(L7="Increasing Mileposts (1)",-1,1)</f>
        <v>-91.343999999999994</v>
      </c>
      <c r="N7" s="141" t="str">
        <f>VLOOKUP(C7,'Trips&amp;Operators'!$C$1:$G$99999,5,FALSE)</f>
        <v>MENGES BRAD</v>
      </c>
      <c r="O7" s="190" t="s">
        <v>185</v>
      </c>
      <c r="P7" s="142" t="s">
        <v>477</v>
      </c>
      <c r="Q7" s="30"/>
      <c r="R7" s="89" t="str">
        <f>IF(VLOOKUP(C7,'Train Runs'!$A$13:$AE$9938,1,1)=C7,VLOOKUP(C7,'Train Runs'!$A$13:$AE$9938,31,1),NA())</f>
        <v>aws s3 cp s3://rtdc.mdm.uploadarchive.raw/RTDC4018/ "%USERPROFILE%\AppData\Local\Temp\OnboardLogs"\RTDC4018\2017-04-06 --exclude "*" --recursive --include "*20170406*" &amp; "%USERPROFILE%\Documents\GitHub\mrs-test-scripts\Headless Mode &amp; Sideloading\WalkAndUnGZ.bat" "%USERPROFILE%\AppData\Local\Temp\OnboardLogs"\RTDC4018\2017-04-06 &amp; aws s3 cp s3://rtdc.mdm.uploadarchive.raw/RTDC4018/ "%USERPROFILE%\AppData\Local\Temp\OnboardLogs"\RTDC4018\2017-04-07 --exclude "*" --recursive --include "*20170407*" &amp; "%USERPROFILE%\Documents\GitHub\mrs-test-scripts\Headless Mode &amp; Sideloading\WalkAndUnGZ.bat" "%USERPROFILE%\AppData\Local\Temp\OnboardLogs"\RTDC4018\2017-04-07</v>
      </c>
      <c r="S7" s="92" t="str">
        <f>VLOOKUP(C7,'Train Runs'!$A$13:$AE$9938,22,0)</f>
        <v>https://d0f6bd738d7f1b3e5a7ca70fe4ff75f0.us-east-1.aws.found.io/app/kibana#/discover/Steve-Slow-Train-Analysis-(2080s-and-2083s)?_g=(refreshInterval:(display:Off,pause:!f,section:0,value:0),time:(from:'2017-04-06T07:10:26-0600',mode:absolute,to:'2017-04-06T09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7" s="94" t="str">
        <f t="shared" ref="T7:T44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/stypes="*4018*201704061*" /stext=" 14:.+((SYSTEM_STATE.+slice.+state.+changed )|(ment ac)|(multiple cpu faults)|(system.+state.+changed )|(\[timeout)|(PRM\|1\|D)|(kpr)|(kdp)|(\|lc)|(penalty))"</v>
      </c>
      <c r="U7" s="9" t="str">
        <f t="shared" ref="U7:U44" si="2">MID(B7,13,4)</f>
        <v>4018</v>
      </c>
      <c r="V7" s="32">
        <f t="shared" ref="V7:V44" si="3">A7-utc_offset/24</f>
        <v>42831.598449074074</v>
      </c>
      <c r="W7" s="46" t="str">
        <f t="shared" ref="W7:W44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4" si="5">IF(AND(E7="TRACK WARRANT AUTHORITY",G7&lt;10),"OMIT","KEEP")</f>
        <v>KEEP</v>
      </c>
      <c r="Y7" s="104" t="str">
        <f t="shared" ref="Y7:Y44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arrival","project_id":79,"tracker_id":40,"status_id":1,"priority_id":2,"assigned_to_id":23,"start_date":"2017-04-06","description":"","custom_fields":[{"id":1,"name":"Subdivision","value":"EC"},{"id":4,"name":"Milepost","value":"2.7053"},{"id":17,"name":"Train ID","value":"137-06"},{"id":16,"name":"Locomotive ID","value":"4018"},{"id":130,"name":"Impact","value":""},{"id":150,"name":"Time of Event (Mountain Time)","value":"08:21:46"},{"id":151,"name":"Denver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17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"%USERPROFILE%\AppData\Local\Temp\OnboardLogs"\RTDC4018\*4018*201704061*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"%USERPROFILE%\AppData\Local\Temp\OnboardLogs"\RTDC4018\*4018*201704061* &gt;&gt; 2017-04-06-SliceDisagreementCheck.txt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4018 --day 2017-04-06</v>
      </c>
    </row>
    <row r="8" spans="1:32" s="1" customFormat="1" x14ac:dyDescent="0.25">
      <c r="A8" s="32">
        <v>42831.437650462962</v>
      </c>
      <c r="B8" s="30" t="s">
        <v>386</v>
      </c>
      <c r="C8" s="30" t="s">
        <v>634</v>
      </c>
      <c r="D8" s="30" t="s">
        <v>98</v>
      </c>
      <c r="E8" s="30" t="s">
        <v>192</v>
      </c>
      <c r="F8" s="43">
        <v>0</v>
      </c>
      <c r="G8" s="43">
        <v>135</v>
      </c>
      <c r="H8" s="43">
        <v>27309</v>
      </c>
      <c r="I8" s="43">
        <v>27235</v>
      </c>
      <c r="J8" s="30" t="s">
        <v>193</v>
      </c>
      <c r="K8" s="43">
        <v>27350</v>
      </c>
      <c r="L8" s="139" t="s">
        <v>51</v>
      </c>
      <c r="M8" s="140">
        <f t="shared" si="0"/>
        <v>-60.72</v>
      </c>
      <c r="N8" s="141" t="str">
        <f>VLOOKUP(C8,'Trips&amp;Operators'!$C$1:$G$99999,5,FALSE)</f>
        <v>STARKS ANGELINA</v>
      </c>
      <c r="O8" s="190" t="s">
        <v>185</v>
      </c>
      <c r="P8" s="142" t="s">
        <v>477</v>
      </c>
      <c r="Q8" s="30"/>
      <c r="R8" s="89" t="str">
        <f>IF(VLOOKUP(C8,'Train Runs'!$A$13:$AE$9938,1,1)=C8,VLOOKUP(C8,'Train Runs'!$A$13:$AE$9938,31,1),NA())</f>
        <v>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 &amp; aws s3 cp s3://rtdc.mdm.uploadarchive.raw/RTDC4043/ "%USERPROFILE%\AppData\Local\Temp\OnboardLogs"\RTDC4043\2017-04-07 --exclude "*" --recursive --include "*20170407*" &amp; "%USERPROFILE%\Documents\GitHub\mrs-test-scripts\Headless Mode &amp; Sideloading\WalkAndUnGZ.bat" "%USERPROFILE%\AppData\Local\Temp\OnboardLogs"\RTDC4043\2017-04-07</v>
      </c>
      <c r="S8" s="92" t="str">
        <f>VLOOKUP(C8,'Train Runs'!$A$13:$AE$9938,22,0)</f>
        <v>https://d0f6bd738d7f1b3e5a7ca70fe4ff75f0.us-east-1.aws.found.io/app/kibana#/discover/Steve-Slow-Train-Analysis-(2080s-and-2083s)?_g=(refreshInterval:(display:Off,pause:!f,section:0,value:0),time:(from:'2017-04-06T08:53:16-0600',mode:absolute,to:'2017-04-06T11:39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8" s="94" t="str">
        <f t="shared" si="1"/>
        <v>"C:\Program Files (x86)\AstroGrep\AstroGrep.exe" /e /r /s /spath="%USERPROFILE%\AppData\Local\Temp\OnboardLogs" /stypes="*4043*201704061*" /stext=" 16:.+((SYSTEM_STATE.+slice.+state.+changed )|(ment ac)|(multiple cpu faults)|(system.+state.+changed )|(\[timeout)|(PRM\|1\|D)|(kpr)|(kdp)|(\|lc)|(penalty))"</v>
      </c>
      <c r="U8" s="9" t="str">
        <f t="shared" si="2"/>
        <v>4043</v>
      </c>
      <c r="V8" s="32">
        <f t="shared" si="3"/>
        <v>42831.687650462962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arrival","project_id":79,"tracker_id":40,"status_id":1,"priority_id":2,"assigned_to_id":23,"start_date":"2017-04-06","description":"","custom_fields":[{"id":1,"name":"Subdivision","value":"EC"},{"id":4,"name":"Milepost","value":"2.735"},{"id":17,"name":"Train ID","value":"144-06"},{"id":16,"name":"Locomotive ID","value":"4043"},{"id":130,"name":"Impact","value":""},{"id":150,"name":"Time of Event (Mountain Time)","value":"10:30:13"},{"id":151,"name":"Denver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"%USERPROFILE%\AppData\Local\Temp\OnboardLogs"\RTDC4043\*4043*201704061*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"%USERPROFILE%\AppData\Local\Temp\OnboardLogs"\RTDC4043\*4043*201704061* &gt;&gt; 2017-04-06-SliceDisagreementCheck.txt</v>
      </c>
      <c r="AE8" s="153" t="str">
        <f t="shared" ref="AE8:AE44" si="9">"start /low /b "&amp;dls3logs&amp;" --loco "&amp;U8&amp;" --day "&amp;TEXT(V8,"YYYY-MM-DD")</f>
        <v>start /low /b %USERPROFILE%\Documents\GitHub\eaglep3\Utilities\DownloadLogsFromS3.py --loco 4043 --day 2017-04-06</v>
      </c>
    </row>
    <row r="9" spans="1:32" s="1" customFormat="1" x14ac:dyDescent="0.25">
      <c r="A9" s="32">
        <v>42831.455069444448</v>
      </c>
      <c r="B9" s="30" t="s">
        <v>478</v>
      </c>
      <c r="C9" s="30" t="s">
        <v>636</v>
      </c>
      <c r="D9" s="30" t="s">
        <v>49</v>
      </c>
      <c r="E9" s="30" t="s">
        <v>192</v>
      </c>
      <c r="F9" s="43">
        <v>210</v>
      </c>
      <c r="G9" s="43">
        <v>326</v>
      </c>
      <c r="H9" s="43">
        <v>35447</v>
      </c>
      <c r="I9" s="43">
        <v>34466</v>
      </c>
      <c r="J9" s="30" t="s">
        <v>193</v>
      </c>
      <c r="K9" s="43">
        <v>33257</v>
      </c>
      <c r="L9" s="139" t="s">
        <v>51</v>
      </c>
      <c r="M9" s="140">
        <f t="shared" si="0"/>
        <v>638.35199999999998</v>
      </c>
      <c r="N9" s="141" t="str">
        <f>VLOOKUP(C9,'Trips&amp;Operators'!$C$1:$G$99999,5,FALSE)</f>
        <v>ROBINSON KADDIBA</v>
      </c>
      <c r="O9" s="190" t="s">
        <v>185</v>
      </c>
      <c r="P9" s="142" t="s">
        <v>477</v>
      </c>
      <c r="Q9" s="30"/>
      <c r="R9" s="89" t="str">
        <f>IF(VLOOKUP(C9,'Train Runs'!$A$13:$AE$9938,1,1)=C9,VLOOKUP(C9,'Train Runs'!$A$13:$AE$9938,31,1),NA())</f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S9" s="92" t="str">
        <f>VLOOKUP(C9,'Train Runs'!$A$13:$AE$9938,22,0)</f>
        <v>https://d0f6bd738d7f1b3e5a7ca70fe4ff75f0.us-east-1.aws.found.io/app/kibana#/discover/Steve-Slow-Train-Analysis-(2080s-and-2083s)?_g=(refreshInterval:(display:Off,pause:!f,section:0,value:0),time:(from:'2017-04-06T09:14:37-0600',mode:absolute,to:'2017-04-06T12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9" s="94" t="str">
        <f t="shared" si="1"/>
        <v>"C:\Program Files (x86)\AstroGrep\AstroGrep.exe" /e /r /s /spath="%USERPROFILE%\AppData\Local\Temp\OnboardLogs" /stypes="*4053*201704061*" /stext=" 16:.+((SYSTEM_STATE.+slice.+state.+changed )|(ment ac)|(multiple cpu faults)|(system.+state.+changed )|(\[timeout)|(PRM\|1\|D)|(kpr)|(kdp)|(\|lc)|(penalty))"</v>
      </c>
      <c r="U9" s="9" t="str">
        <f t="shared" si="2"/>
        <v>4053</v>
      </c>
      <c r="V9" s="32">
        <f t="shared" si="3"/>
        <v>42831.705069444448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arrival","project_id":79,"tracker_id":40,"status_id":1,"priority_id":2,"assigned_to_id":23,"start_date":"2017-04-06","description":"","custom_fields":[{"id":1,"name":"Subdivision","value":"EC"},{"id":4,"name":"Milepost","value":"3.3257"},{"id":17,"name":"Train ID","value":"148-06"},{"id":16,"name":"Locomotive ID","value":"4053"},{"id":130,"name":"Impact","value":""},{"id":150,"name":"Time of Event (Mountain Time)","value":"10:55:18"},{"id":151,"name":"Denver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"%USERPROFILE%\AppData\Local\Temp\OnboardLogs"\RTDC4053\*4053*201704061*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"%USERPROFILE%\AppData\Local\Temp\OnboardLogs"\RTDC4053\*4053*201704061* &gt;&gt; 2017-04-06-SliceDisagreementCheck.txt</v>
      </c>
      <c r="AE9" s="153" t="str">
        <f t="shared" si="9"/>
        <v>start /low /b %USERPROFILE%\Documents\GitHub\eaglep3\Utilities\DownloadLogsFromS3.py --loco 4053 --day 2017-04-06</v>
      </c>
    </row>
    <row r="10" spans="1:32" s="1" customFormat="1" x14ac:dyDescent="0.25">
      <c r="A10" s="32">
        <v>42831.714143518519</v>
      </c>
      <c r="B10" s="30" t="s">
        <v>485</v>
      </c>
      <c r="C10" s="30" t="s">
        <v>646</v>
      </c>
      <c r="D10" s="30" t="s">
        <v>49</v>
      </c>
      <c r="E10" s="30" t="s">
        <v>192</v>
      </c>
      <c r="F10" s="43">
        <v>480</v>
      </c>
      <c r="G10" s="43">
        <v>556</v>
      </c>
      <c r="H10" s="43">
        <v>49332</v>
      </c>
      <c r="I10" s="43">
        <v>47054</v>
      </c>
      <c r="J10" s="30" t="s">
        <v>193</v>
      </c>
      <c r="K10" s="43">
        <v>48048</v>
      </c>
      <c r="L10" s="139" t="s">
        <v>51</v>
      </c>
      <c r="M10" s="140">
        <f t="shared" si="0"/>
        <v>-524.83199999999999</v>
      </c>
      <c r="N10" s="141" t="str">
        <f>VLOOKUP(C10,'Trips&amp;Operators'!$C$1:$G$99999,5,FALSE)</f>
        <v>WILLIAMS DONTE</v>
      </c>
      <c r="O10" s="190" t="s">
        <v>185</v>
      </c>
      <c r="P10" s="142" t="s">
        <v>477</v>
      </c>
      <c r="Q10" s="30"/>
      <c r="R10" s="89" t="str">
        <f>IF(VLOOKUP(C10,'Train Runs'!$A$13:$AE$9938,1,1)=C10,VLOOKUP(C10,'Train Runs'!$A$13:$AE$9938,31,1),NA())</f>
        <v>aws s3 cp s3://rtdc.mdm.uploadarchive.raw/RTDC4015/ "%USERPROFILE%\AppData\Local\Temp\OnboardLogs"\RTDC4015\2017-04-06 --exclude "*" --recursive --include "*20170406*" &amp; "%USERPROFILE%\Documents\GitHub\mrs-test-scripts\Headless Mode &amp; Sideloading\WalkAndUnGZ.bat" "%USERPROFILE%\AppData\Local\Temp\OnboardLogs"\RTDC4015\2017-04-06 &amp; aws s3 cp s3://rtdc.mdm.uploadarchive.raw/RTDC4015/ "%USERPROFILE%\AppData\Local\Temp\OnboardLogs"\RTDC4015\2017-04-07 --exclude "*" --recursive --include "*20170407*" &amp; "%USERPROFILE%\Documents\GitHub\mrs-test-scripts\Headless Mode &amp; Sideloading\WalkAndUnGZ.bat" "%USERPROFILE%\AppData\Local\Temp\OnboardLogs"\RTDC4015\2017-04-07</v>
      </c>
      <c r="S10" s="92" t="str">
        <f>VLOOKUP(C10,'Train Runs'!$A$13:$AE$9938,22,0)</f>
        <v>https://d0f6bd738d7f1b3e5a7ca70fe4ff75f0.us-east-1.aws.found.io/app/kibana#/discover/Steve-Slow-Train-Analysis-(2080s-and-2083s)?_g=(refreshInterval:(display:Off,pause:!f,section:0,value:0),time:(from:'2017-04-06T15:34:14-0600',mode:absolute,to:'2017-04-06T18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0" s="94" t="str">
        <f t="shared" si="1"/>
        <v>"C:\Program Files (x86)\AstroGrep\AstroGrep.exe" /e /r /s /spath="%USERPROFILE%\AppData\Local\Temp\OnboardLogs" /stypes="*4015*201704062*" /stext=" 23:.+((SYSTEM_STATE.+slice.+state.+changed )|(ment ac)|(multiple cpu faults)|(system.+state.+changed )|(\[timeout)|(PRM\|1\|D)|(kpr)|(kdp)|(\|lc)|(penalty))"</v>
      </c>
      <c r="U10" s="9" t="str">
        <f t="shared" si="2"/>
        <v>4015</v>
      </c>
      <c r="V10" s="32">
        <f t="shared" si="3"/>
        <v>42831.964143518519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arrival","project_id":79,"tracker_id":40,"status_id":1,"priority_id":2,"assigned_to_id":23,"start_date":"2017-04-06","description":"","custom_fields":[{"id":1,"name":"Subdivision","value":"EC"},{"id":4,"name":"Milepost","value":"4.8048"},{"id":17,"name":"Train ID","value":"198-06"},{"id":16,"name":"Locomotive ID","value":"4015"},{"id":130,"name":"Impact","value":""},{"id":150,"name":"Time of Event (Mountain Time)","value":"17:08:22"},{"id":151,"name":"Denver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"%USERPROFILE%\AppData\Local\Temp\OnboardLogs"\RTDC4015\*4015*201704062*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"%USERPROFILE%\AppData\Local\Temp\OnboardLogs"\RTDC4015\*4015*201704062* &gt;&gt; 2017-04-06-SliceDisagreementCheck.txt</v>
      </c>
      <c r="AE10" s="153" t="str">
        <f t="shared" si="9"/>
        <v>start /low /b %USERPROFILE%\Documents\GitHub\eaglep3\Utilities\DownloadLogsFromS3.py --loco 4015 --day 2017-04-06</v>
      </c>
    </row>
    <row r="11" spans="1:32" s="1" customFormat="1" x14ac:dyDescent="0.25">
      <c r="A11" s="32">
        <v>42831.433240740742</v>
      </c>
      <c r="B11" s="30" t="s">
        <v>386</v>
      </c>
      <c r="C11" s="30" t="s">
        <v>634</v>
      </c>
      <c r="D11" s="30" t="s">
        <v>49</v>
      </c>
      <c r="E11" s="30" t="s">
        <v>192</v>
      </c>
      <c r="F11" s="43">
        <v>430</v>
      </c>
      <c r="G11" s="43">
        <v>489</v>
      </c>
      <c r="H11" s="43">
        <v>58976</v>
      </c>
      <c r="I11" s="43">
        <v>57344</v>
      </c>
      <c r="J11" s="30" t="s">
        <v>193</v>
      </c>
      <c r="K11" s="43">
        <v>58301</v>
      </c>
      <c r="L11" s="139" t="s">
        <v>51</v>
      </c>
      <c r="M11" s="140">
        <f t="shared" si="0"/>
        <v>-505.29599999999999</v>
      </c>
      <c r="N11" s="141" t="str">
        <f>VLOOKUP(C11,'Trips&amp;Operators'!$C$1:$G$99999,5,FALSE)</f>
        <v>STARKS ANGELINA</v>
      </c>
      <c r="O11" s="190" t="s">
        <v>185</v>
      </c>
      <c r="P11" s="142" t="s">
        <v>477</v>
      </c>
      <c r="Q11" s="30"/>
      <c r="R11" s="89" t="str">
        <f>IF(VLOOKUP(C11,'Train Runs'!$A$13:$AE$9938,1,1)=C11,VLOOKUP(C11,'Train Runs'!$A$13:$AE$9938,31,1),NA())</f>
        <v>aws s3 cp s3://rtdc.mdm.uploadarchive.raw/RTDC4043/ "%USERPROFILE%\AppData\Local\Temp\OnboardLogs"\RTDC4043\2017-04-06 --exclude "*" --recursive --include "*20170406*" &amp; "%USERPROFILE%\Documents\GitHub\mrs-test-scripts\Headless Mode &amp; Sideloading\WalkAndUnGZ.bat" "%USERPROFILE%\AppData\Local\Temp\OnboardLogs"\RTDC4043\2017-04-06 &amp; aws s3 cp s3://rtdc.mdm.uploadarchive.raw/RTDC4043/ "%USERPROFILE%\AppData\Local\Temp\OnboardLogs"\RTDC4043\2017-04-07 --exclude "*" --recursive --include "*20170407*" &amp; "%USERPROFILE%\Documents\GitHub\mrs-test-scripts\Headless Mode &amp; Sideloading\WalkAndUnGZ.bat" "%USERPROFILE%\AppData\Local\Temp\OnboardLogs"\RTDC4043\2017-04-07</v>
      </c>
      <c r="S11" s="92" t="str">
        <f>VLOOKUP(C11,'Train Runs'!$A$13:$AE$9938,22,0)</f>
        <v>https://d0f6bd738d7f1b3e5a7ca70fe4ff75f0.us-east-1.aws.found.io/app/kibana#/discover/Steve-Slow-Train-Analysis-(2080s-and-2083s)?_g=(refreshInterval:(display:Off,pause:!f,section:0,value:0),time:(from:'2017-04-06T08:53:16-0600',mode:absolute,to:'2017-04-06T11:39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94" t="str">
        <f t="shared" si="1"/>
        <v>"C:\Program Files (x86)\AstroGrep\AstroGrep.exe" /e /r /s /spath="%USERPROFILE%\AppData\Local\Temp\OnboardLogs" /stypes="*4043*201704061*" /stext=" 16:.+((SYSTEM_STATE.+slice.+state.+changed )|(ment ac)|(multiple cpu faults)|(system.+state.+changed )|(\[timeout)|(PRM\|1\|D)|(kpr)|(kdp)|(\|lc)|(penalty))"</v>
      </c>
      <c r="U11" s="9" t="str">
        <f t="shared" si="2"/>
        <v>4043</v>
      </c>
      <c r="V11" s="32">
        <f t="shared" si="3"/>
        <v>42831.683240740742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arrival","project_id":79,"tracker_id":40,"status_id":1,"priority_id":2,"assigned_to_id":23,"start_date":"2017-04-06","description":"","custom_fields":[{"id":1,"name":"Subdivision","value":"EC"},{"id":4,"name":"Milepost","value":"5.8301"},{"id":17,"name":"Train ID","value":"144-06"},{"id":16,"name":"Locomotive ID","value":"4043"},{"id":130,"name":"Impact","value":""},{"id":150,"name":"Time of Event (Mountain Time)","value":"10:23:52"},{"id":151,"name":"Denver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"%USERPROFILE%\AppData\Local\Temp\OnboardLogs"\RTDC4043\*4043*201704061*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"%USERPROFILE%\AppData\Local\Temp\OnboardLogs"\RTDC4043\*4043*201704061* &gt;&gt; 2017-04-06-SliceDisagreementCheck.txt</v>
      </c>
      <c r="AE11" s="153" t="str">
        <f t="shared" si="9"/>
        <v>start /low /b %USERPROFILE%\Documents\GitHub\eaglep3\Utilities\DownloadLogsFromS3.py --loco 4043 --day 2017-04-06</v>
      </c>
    </row>
    <row r="12" spans="1:32" s="1" customFormat="1" x14ac:dyDescent="0.25">
      <c r="A12" s="32">
        <v>42831.26934027778</v>
      </c>
      <c r="B12" s="30" t="s">
        <v>464</v>
      </c>
      <c r="C12" s="30" t="s">
        <v>624</v>
      </c>
      <c r="D12" s="30" t="s">
        <v>49</v>
      </c>
      <c r="E12" s="30" t="s">
        <v>192</v>
      </c>
      <c r="F12" s="43">
        <v>0</v>
      </c>
      <c r="G12" s="43">
        <v>501</v>
      </c>
      <c r="H12" s="43">
        <v>62422</v>
      </c>
      <c r="I12" s="43">
        <v>63562</v>
      </c>
      <c r="J12" s="30" t="s">
        <v>193</v>
      </c>
      <c r="K12" s="43">
        <v>63069</v>
      </c>
      <c r="L12" s="139" t="s">
        <v>50</v>
      </c>
      <c r="M12" s="140">
        <f t="shared" si="0"/>
        <v>-260.30399999999997</v>
      </c>
      <c r="N12" s="141" t="str">
        <f>VLOOKUP(C12,'Trips&amp;Operators'!$C$1:$G$99999,5,FALSE)</f>
        <v>GEBRETEKLE DAGNEW</v>
      </c>
      <c r="O12" s="190" t="s">
        <v>185</v>
      </c>
      <c r="P12" s="142" t="s">
        <v>477</v>
      </c>
      <c r="Q12" s="30"/>
      <c r="R12" s="89" t="str">
        <f>IF(VLOOKUP(C12,'Train Runs'!$A$13:$AE$9938,1,1)=C12,VLOOKUP(C12,'Train Runs'!$A$13:$AE$9938,31,1),NA())</f>
        <v>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 &amp; 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</v>
      </c>
      <c r="S12" s="92" t="str">
        <f>VLOOKUP(C12,'Train Runs'!$A$13:$AE$9938,22,0)</f>
        <v>https://d0f6bd738d7f1b3e5a7ca70fe4ff75f0.us-east-1.aws.found.io/app/kibana#/discover/Steve-Slow-Train-Analysis-(2080s-and-2083s)?_g=(refreshInterval:(display:Off,pause:!f,section:0,value:0),time:(from:'2017-04-06T05:09:43-0600',mode:absolute,to:'2017-04-06T07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2" s="94" t="str">
        <f t="shared" si="1"/>
        <v>"C:\Program Files (x86)\AstroGrep\AstroGrep.exe" /e /r /s /spath="%USERPROFILE%\AppData\Local\Temp\OnboardLogs" /stypes="*4042*201704061*" /stext=" 12:.+((SYSTEM_STATE.+slice.+state.+changed )|(ment ac)|(multiple cpu faults)|(system.+state.+changed )|(\[timeout)|(PRM\|1\|D)|(kpr)|(kdp)|(\|lc)|(penalty))"</v>
      </c>
      <c r="U12" s="9" t="str">
        <f t="shared" si="2"/>
        <v>4042</v>
      </c>
      <c r="V12" s="32">
        <f t="shared" si="3"/>
        <v>42831.51934027778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arrival","project_id":79,"tracker_id":40,"status_id":1,"priority_id":2,"assigned_to_id":23,"start_date":"2017-04-06","description":"","custom_fields":[{"id":1,"name":"Subdivision","value":"EC"},{"id":4,"name":"Milepost","value":"6.3069"},{"id":17,"name":"Train ID","value":"121-06"},{"id":16,"name":"Locomotive ID","value":"4042"},{"id":130,"name":"Impact","value":""},{"id":150,"name":"Time of Event (Mountain Time)","value":"06:27:51"},{"id":151,"name":"Denver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"%USERPROFILE%\AppData\Local\Temp\OnboardLogs"\RTDC4042\*4042*201704061*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"%USERPROFILE%\AppData\Local\Temp\OnboardLogs"\RTDC4042\*4042*201704061* &gt;&gt; 2017-04-06-SliceDisagreementCheck.txt</v>
      </c>
      <c r="AE12" s="153" t="str">
        <f t="shared" si="9"/>
        <v>start /low /b %USERPROFILE%\Documents\GitHub\eaglep3\Utilities\DownloadLogsFromS3.py --loco 4042 --day 2017-04-06</v>
      </c>
    </row>
    <row r="13" spans="1:32" s="1" customFormat="1" x14ac:dyDescent="0.25">
      <c r="A13" s="32">
        <v>42831.384317129632</v>
      </c>
      <c r="B13" s="30" t="s">
        <v>385</v>
      </c>
      <c r="C13" s="30" t="s">
        <v>630</v>
      </c>
      <c r="D13" s="30" t="s">
        <v>49</v>
      </c>
      <c r="E13" s="30" t="s">
        <v>192</v>
      </c>
      <c r="F13" s="43">
        <v>300</v>
      </c>
      <c r="G13" s="43">
        <v>440</v>
      </c>
      <c r="H13" s="43">
        <v>62123</v>
      </c>
      <c r="I13" s="43">
        <v>63234</v>
      </c>
      <c r="J13" s="30" t="s">
        <v>193</v>
      </c>
      <c r="K13" s="43">
        <v>63069</v>
      </c>
      <c r="L13" s="139" t="s">
        <v>50</v>
      </c>
      <c r="M13" s="140">
        <f t="shared" si="0"/>
        <v>-87.12</v>
      </c>
      <c r="N13" s="141" t="str">
        <f>VLOOKUP(C13,'Trips&amp;Operators'!$C$1:$G$99999,5,FALSE)</f>
        <v>STARKS ANGELINA</v>
      </c>
      <c r="O13" s="190" t="s">
        <v>185</v>
      </c>
      <c r="P13" s="142" t="s">
        <v>477</v>
      </c>
      <c r="Q13" s="30"/>
      <c r="R13" s="89" t="str">
        <f>IF(VLOOKUP(C13,'Train Runs'!$A$13:$AE$9938,1,1)=C13,VLOOKUP(C13,'Train Runs'!$A$13:$AE$9938,31,1),NA())</f>
        <v>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 &amp; 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</v>
      </c>
      <c r="S13" s="92" t="str">
        <f>VLOOKUP(C13,'Train Runs'!$A$13:$AE$9938,22,0)</f>
        <v>https://d0f6bd738d7f1b3e5a7ca70fe4ff75f0.us-east-1.aws.found.io/app/kibana#/discover/Steve-Slow-Train-Analysis-(2080s-and-2083s)?_g=(refreshInterval:(display:Off,pause:!f,section:0,value:0),time:(from:'2017-04-06T07:57:44-0600',mode:absolute,to:'2017-04-06T10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3" s="94" t="str">
        <f t="shared" si="1"/>
        <v>"C:\Program Files (x86)\AstroGrep\AstroGrep.exe" /e /r /s /spath="%USERPROFILE%\AppData\Local\Temp\OnboardLogs" /stypes="*4044*201704061*" /stext=" 15:.+((SYSTEM_STATE.+slice.+state.+changed )|(ment ac)|(multiple cpu faults)|(system.+state.+changed )|(\[timeout)|(PRM\|1\|D)|(kpr)|(kdp)|(\|lc)|(penalty))"</v>
      </c>
      <c r="U13" s="9" t="str">
        <f t="shared" si="2"/>
        <v>4044</v>
      </c>
      <c r="V13" s="32">
        <f t="shared" si="3"/>
        <v>42831.634317129632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arrival","project_id":79,"tracker_id":40,"status_id":1,"priority_id":2,"assigned_to_id":23,"start_date":"2017-04-06","description":"","custom_fields":[{"id":1,"name":"Subdivision","value":"EC"},{"id":4,"name":"Milepost","value":"6.3069"},{"id":17,"name":"Train ID","value":"143-06"},{"id":16,"name":"Locomotive ID","value":"4044"},{"id":130,"name":"Impact","value":""},{"id":150,"name":"Time of Event (Mountain Time)","value":"09:13:25"},{"id":151,"name":"Denver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"%USERPROFILE%\AppData\Local\Temp\OnboardLogs"\RTDC4044\*4044*201704061*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"%USERPROFILE%\AppData\Local\Temp\OnboardLogs"\RTDC4044\*4044*201704061* &gt;&gt; 2017-04-06-SliceDisagreementCheck.txt</v>
      </c>
      <c r="AE13" s="153" t="str">
        <f t="shared" si="9"/>
        <v>start /low /b %USERPROFILE%\Documents\GitHub\eaglep3\Utilities\DownloadLogsFromS3.py --loco 4044 --day 2017-04-06</v>
      </c>
    </row>
    <row r="14" spans="1:32" x14ac:dyDescent="0.25">
      <c r="A14" s="32">
        <v>42831.364085648151</v>
      </c>
      <c r="B14" s="30" t="s">
        <v>431</v>
      </c>
      <c r="C14" s="30" t="s">
        <v>628</v>
      </c>
      <c r="D14" s="30" t="s">
        <v>49</v>
      </c>
      <c r="E14" s="30" t="s">
        <v>192</v>
      </c>
      <c r="F14" s="43">
        <v>370</v>
      </c>
      <c r="G14" s="43">
        <v>428</v>
      </c>
      <c r="H14" s="43">
        <v>110241</v>
      </c>
      <c r="I14" s="43">
        <v>108958</v>
      </c>
      <c r="J14" s="30" t="s">
        <v>193</v>
      </c>
      <c r="K14" s="43">
        <v>109135</v>
      </c>
      <c r="L14" s="139" t="s">
        <v>51</v>
      </c>
      <c r="M14" s="140">
        <f t="shared" si="0"/>
        <v>-93.456000000000003</v>
      </c>
      <c r="N14" s="141" t="str">
        <f>VLOOKUP(C14,'Trips&amp;Operators'!$C$1:$G$99999,5,FALSE)</f>
        <v>FORTUNATO FRANK</v>
      </c>
      <c r="O14" s="190" t="s">
        <v>185</v>
      </c>
      <c r="P14" s="142" t="s">
        <v>477</v>
      </c>
      <c r="Q14" s="30"/>
      <c r="R14" s="89" t="str">
        <f>IF(VLOOKUP(C14,'Train Runs'!$A$13:$AE$9938,1,1)=C14,VLOOKUP(C14,'Train Runs'!$A$13:$AE$9938,31,1),NA())</f>
        <v>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 &amp; 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</v>
      </c>
      <c r="S14" s="92" t="str">
        <f>VLOOKUP(C14,'Train Runs'!$A$13:$AE$9938,22,0)</f>
        <v>https://d0f6bd738d7f1b3e5a7ca70fe4ff75f0.us-east-1.aws.found.io/app/kibana#/discover/Steve-Slow-Train-Analysis-(2080s-and-2083s)?_g=(refreshInterval:(display:Off,pause:!f,section:0,value:0),time:(from:'2017-04-06T07:09:57-0600',mode:absolute,to:'2017-04-06T10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4" s="94" t="str">
        <f t="shared" si="1"/>
        <v>"C:\Program Files (x86)\AstroGrep\AstroGrep.exe" /e /r /s /spath="%USERPROFILE%\AppData\Local\Temp\OnboardLogs" /stypes="*4009*201704061*" /stext=" 14:.+((SYSTEM_STATE.+slice.+state.+changed )|(ment ac)|(multiple cpu faults)|(system.+state.+changed )|(\[timeout)|(PRM\|1\|D)|(kpr)|(kdp)|(\|lc)|(penalty))"</v>
      </c>
      <c r="U14" s="9" t="str">
        <f t="shared" si="2"/>
        <v>4009</v>
      </c>
      <c r="V14" s="32">
        <f t="shared" si="3"/>
        <v>42831.614085648151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arrival","project_id":79,"tracker_id":40,"status_id":1,"priority_id":2,"assigned_to_id":23,"start_date":"2017-04-06","description":"","custom_fields":[{"id":1,"name":"Subdivision","value":"EC"},{"id":4,"name":"Milepost","value":"10.9135"},{"id":17,"name":"Train ID","value":"132-06"},{"id":16,"name":"Locomotive ID","value":"4009"},{"id":130,"name":"Impact","value":""},{"id":150,"name":"Time of Event (Mountain Time)","value":"08:44:17"},{"id":151,"name":"Denver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"%USERPROFILE%\AppData\Local\Temp\OnboardLogs"\RTDC4009\*4009*201704061*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"%USERPROFILE%\AppData\Local\Temp\OnboardLogs"\RTDC4009\*4009*201704061* &gt;&gt; 2017-04-06-SliceDisagreementCheck.txt</v>
      </c>
      <c r="AE14" s="153" t="str">
        <f t="shared" si="9"/>
        <v>start /low /b %USERPROFILE%\Documents\GitHub\eaglep3\Utilities\DownloadLogsFromS3.py --loco 4009 --day 2017-04-06</v>
      </c>
      <c r="AF14" s="1"/>
    </row>
    <row r="15" spans="1:32" x14ac:dyDescent="0.25">
      <c r="A15" s="32">
        <v>42831.451481481483</v>
      </c>
      <c r="B15" s="30" t="s">
        <v>385</v>
      </c>
      <c r="C15" s="30" t="s">
        <v>635</v>
      </c>
      <c r="D15" s="30" t="s">
        <v>49</v>
      </c>
      <c r="E15" s="30" t="s">
        <v>214</v>
      </c>
      <c r="F15" s="43">
        <v>400</v>
      </c>
      <c r="G15" s="43">
        <v>455</v>
      </c>
      <c r="H15" s="43">
        <v>17258</v>
      </c>
      <c r="I15" s="43">
        <v>17990</v>
      </c>
      <c r="J15" s="30" t="s">
        <v>215</v>
      </c>
      <c r="K15" s="43">
        <v>17867</v>
      </c>
      <c r="L15" s="139" t="s">
        <v>50</v>
      </c>
      <c r="M15" s="140">
        <f t="shared" si="0"/>
        <v>-64.944000000000003</v>
      </c>
      <c r="N15" s="141" t="str">
        <f>VLOOKUP(C15,'Trips&amp;Operators'!$C$1:$G$99999,5,FALSE)</f>
        <v>STARKS ANGELINA</v>
      </c>
      <c r="O15" s="190" t="s">
        <v>185</v>
      </c>
      <c r="P15" s="142"/>
      <c r="Q15" s="30"/>
      <c r="R15" s="89" t="str">
        <f>IF(VLOOKUP(C15,'Train Runs'!$A$13:$AE$9938,1,1)=C15,VLOOKUP(C15,'Train Runs'!$A$13:$AE$9938,31,1),NA())</f>
        <v>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 &amp; 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</v>
      </c>
      <c r="S15" s="92" t="str">
        <f>VLOOKUP(C15,'Train Runs'!$A$13:$AE$9938,22,0)</f>
        <v>https://d0f6bd738d7f1b3e5a7ca70fe4ff75f0.us-east-1.aws.found.io/app/kibana#/discover/Steve-Slow-Train-Analysis-(2080s-and-2083s)?_g=(refreshInterval:(display:Off,pause:!f,section:0,value:0),time:(from:'2017-04-06T09:44:50-0600',mode:absolute,to:'2017-04-06T12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5" s="94" t="str">
        <f t="shared" si="1"/>
        <v>"C:\Program Files (x86)\AstroGrep\AstroGrep.exe" /e /r /s /spath="%USERPROFILE%\AppData\Local\Temp\OnboardLogs" /stypes="*4044*201704061*" /stext=" 16:.+((SYSTEM_STATE.+slice.+state.+changed )|(ment ac)|(multiple cpu faults)|(system.+state.+changed )|(\[timeout)|(PRM\|1\|D)|(kpr)|(kdp)|(\|lc)|(penalty))"</v>
      </c>
      <c r="U15" s="9" t="str">
        <f t="shared" si="2"/>
        <v>4044</v>
      </c>
      <c r="V15" s="32">
        <f t="shared" si="3"/>
        <v>42831.701481481483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{"issue":{"subject":"","project_id":79,"tracker_id":40,"status_id":1,"priority_id":2,"assigned_to_id":23,"start_date":"2017-04-06","description":"","custom_fields":[{"id":1,"name":"Subdivision","value":"EC"},{"id":4,"name":"Milepost","value":"1.7867"},{"id":17,"name":"Train ID","value":"157-06"},{"id":16,"name":"Locomotive ID","value":"4044"},{"id":130,"name":"Impact","value":""},{"id":150,"name":"Time of Event (Mountain Time)","value":"10:50:08"},{"id":151,"name":"Denver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"%USERPROFILE%\AppData\Local\Temp\OnboardLogs"\RTDC4044\*4044*201704061*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"%USERPROFILE%\AppData\Local\Temp\OnboardLogs"\RTDC4044\*4044*201704061* &gt;&gt; 2017-04-06-SliceDisagreementCheck.txt</v>
      </c>
      <c r="AE15" s="153" t="str">
        <f t="shared" si="9"/>
        <v>start /low /b %USERPROFILE%\Documents\GitHub\eaglep3\Utilities\DownloadLogsFromS3.py --loco 4044 --day 2017-04-06</v>
      </c>
      <c r="AF15" s="1"/>
    </row>
    <row r="16" spans="1:32" x14ac:dyDescent="0.25">
      <c r="A16" s="32">
        <v>42831.615127314813</v>
      </c>
      <c r="B16" s="30" t="s">
        <v>385</v>
      </c>
      <c r="C16" s="30" t="s">
        <v>640</v>
      </c>
      <c r="D16" s="30" t="s">
        <v>49</v>
      </c>
      <c r="E16" s="30" t="s">
        <v>214</v>
      </c>
      <c r="F16" s="43">
        <v>600</v>
      </c>
      <c r="G16" s="43">
        <v>696</v>
      </c>
      <c r="H16" s="43">
        <v>181650</v>
      </c>
      <c r="I16" s="43">
        <v>184569</v>
      </c>
      <c r="J16" s="30" t="s">
        <v>215</v>
      </c>
      <c r="K16" s="43">
        <v>183829</v>
      </c>
      <c r="L16" s="139" t="s">
        <v>50</v>
      </c>
      <c r="M16" s="140">
        <f t="shared" si="0"/>
        <v>-390.72</v>
      </c>
      <c r="N16" s="141" t="str">
        <f>VLOOKUP(C16,'Trips&amp;Operators'!$C$1:$G$99999,5,FALSE)</f>
        <v>STRICKLAND EVAN</v>
      </c>
      <c r="O16" s="190" t="s">
        <v>185</v>
      </c>
      <c r="P16" s="142"/>
      <c r="Q16" s="30"/>
      <c r="R16" s="89" t="str">
        <f>IF(VLOOKUP(C16,'Train Runs'!$A$13:$AE$9938,1,1)=C16,VLOOKUP(C16,'Train Runs'!$A$13:$AE$9938,31,1),NA())</f>
        <v>aws s3 cp s3://rtdc.mdm.uploadarchive.raw/RTDC4044/ "%USERPROFILE%\AppData\Local\Temp\OnboardLogs"\RTDC4044\2017-04-06 --exclude "*" --recursive --include "*20170406*" &amp; "%USERPROFILE%\Documents\GitHub\mrs-test-scripts\Headless Mode &amp; Sideloading\WalkAndUnGZ.bat" "%USERPROFILE%\AppData\Local\Temp\OnboardLogs"\RTDC4044\2017-04-06 &amp; aws s3 cp s3://rtdc.mdm.uploadarchive.raw/RTDC4044/ "%USERPROFILE%\AppData\Local\Temp\OnboardLogs"\RTDC4044\2017-04-07 --exclude "*" --recursive --include "*20170407*" &amp; "%USERPROFILE%\Documents\GitHub\mrs-test-scripts\Headless Mode &amp; Sideloading\WalkAndUnGZ.bat" "%USERPROFILE%\AppData\Local\Temp\OnboardLogs"\RTDC4044\2017-04-07</v>
      </c>
      <c r="S16" s="92" t="str">
        <f>VLOOKUP(C16,'Train Runs'!$A$13:$AE$9938,22,0)</f>
        <v>https://d0f6bd738d7f1b3e5a7ca70fe4ff75f0.us-east-1.aws.found.io/app/kibana#/discover/Steve-Slow-Train-Analysis-(2080s-and-2083s)?_g=(refreshInterval:(display:Off,pause:!f,section:0,value:0),time:(from:'2017-04-06T13:10:13-0600',mode:absolute,to:'2017-04-06T15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16" s="94" t="str">
        <f t="shared" si="1"/>
        <v>"C:\Program Files (x86)\AstroGrep\AstroGrep.exe" /e /r /s /spath="%USERPROFILE%\AppData\Local\Temp\OnboardLogs" /stypes="*4044*201704062*" /stext=" 20:.+((SYSTEM_STATE.+slice.+state.+changed )|(ment ac)|(multiple cpu faults)|(system.+state.+changed )|(\[timeout)|(PRM\|1\|D)|(kpr)|(kdp)|(\|lc)|(penalty))"</v>
      </c>
      <c r="U16" s="9" t="str">
        <f t="shared" si="2"/>
        <v>4044</v>
      </c>
      <c r="V16" s="32">
        <f t="shared" si="3"/>
        <v>42831.865127314813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{"issue":{"subject":"","project_id":79,"tracker_id":40,"status_id":1,"priority_id":2,"assigned_to_id":23,"start_date":"2017-04-06","description":"","custom_fields":[{"id":1,"name":"Subdivision","value":"EC"},{"id":4,"name":"Milepost","value":"18.3829"},{"id":17,"name":"Train ID","value":"185-06"},{"id":16,"name":"Locomotive ID","value":"4044"},{"id":130,"name":"Impact","value":""},{"id":150,"name":"Time of Event (Mountain Time)","value":"14:45:47"},{"id":151,"name":"Denver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"%USERPROFILE%\AppData\Local\Temp\OnboardLogs"\RTDC4044\*4044*201704062*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"%USERPROFILE%\AppData\Local\Temp\OnboardLogs"\RTDC4044\*4044*201704062* &gt;&gt; 2017-04-06-SliceDisagreementCheck.txt</v>
      </c>
      <c r="AE16" s="153" t="str">
        <f t="shared" si="9"/>
        <v>start /low /b %USERPROFILE%\Documents\GitHub\eaglep3\Utilities\DownloadLogsFromS3.py --loco 4044 --day 2017-04-06</v>
      </c>
      <c r="AF16" s="1"/>
    </row>
    <row r="17" spans="1:32" x14ac:dyDescent="0.25">
      <c r="A17" s="32">
        <v>42831.790856481479</v>
      </c>
      <c r="B17" s="30" t="s">
        <v>431</v>
      </c>
      <c r="C17" s="30" t="s">
        <v>652</v>
      </c>
      <c r="D17" s="30" t="s">
        <v>98</v>
      </c>
      <c r="E17" s="30" t="s">
        <v>214</v>
      </c>
      <c r="F17" s="43">
        <v>350</v>
      </c>
      <c r="G17" s="43">
        <v>405</v>
      </c>
      <c r="H17" s="43">
        <v>224616</v>
      </c>
      <c r="I17" s="43">
        <v>223059</v>
      </c>
      <c r="J17" s="30" t="s">
        <v>215</v>
      </c>
      <c r="K17" s="43">
        <v>232080</v>
      </c>
      <c r="L17" s="139" t="s">
        <v>51</v>
      </c>
      <c r="M17" s="140">
        <f t="shared" si="0"/>
        <v>-4763.0879999999997</v>
      </c>
      <c r="N17" s="141" t="str">
        <f>VLOOKUP(C17,'Trips&amp;Operators'!$C$1:$G$99999,5,FALSE)</f>
        <v>STRICKLAND EVAN</v>
      </c>
      <c r="O17" s="190" t="s">
        <v>185</v>
      </c>
      <c r="P17" s="142"/>
      <c r="Q17" s="30"/>
      <c r="R17" s="89" t="str">
        <f>IF(VLOOKUP(C17,'Train Runs'!$A$13:$AE$9938,1,1)=C17,VLOOKUP(C17,'Train Runs'!$A$13:$AE$9938,31,1),NA())</f>
        <v>aws s3 cp s3://rtdc.mdm.uploadarchive.raw/RTDC4009/ "%USERPROFILE%\AppData\Local\Temp\OnboardLogs"\RTDC4009\2017-04-06 --exclude "*" --recursive --include "*20170406*" &amp; "%USERPROFILE%\Documents\GitHub\mrs-test-scripts\Headless Mode &amp; Sideloading\WalkAndUnGZ.bat" "%USERPROFILE%\AppData\Local\Temp\OnboardLogs"\RTDC4009\2017-04-06 &amp; aws s3 cp s3://rtdc.mdm.uploadarchive.raw/RTDC4009/ "%USERPROFILE%\AppData\Local\Temp\OnboardLogs"\RTDC4009\2017-04-07 --exclude "*" --recursive --include "*20170407*" &amp; "%USERPROFILE%\Documents\GitHub\mrs-test-scripts\Headless Mode &amp; Sideloading\WalkAndUnGZ.bat" "%USERPROFILE%\AppData\Local\Temp\OnboardLogs"\RTDC4009\2017-04-07</v>
      </c>
      <c r="S17" s="92" t="str">
        <f>VLOOKUP(C17,'Train Runs'!$A$13:$AE$9938,22,0)</f>
        <v>https://d0f6bd738d7f1b3e5a7ca70fe4ff75f0.us-east-1.aws.found.io/app/kibana#/discover/Steve-Slow-Train-Analysis-(2080s-and-2083s)?_g=(refreshInterval:(display:Off,pause:!f,section:0,value:0),time:(from:'2017-04-06T17:45:03-0600',mode:absolute,to:'2017-04-06T20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7" s="94" t="str">
        <f t="shared" si="1"/>
        <v>"C:\Program Files (x86)\AstroGrep\AstroGrep.exe" /e /r /s /spath="%USERPROFILE%\AppData\Local\Temp\OnboardLogs" /stypes="*4009*201704070*" /stext=" 00:.+((SYSTEM_STATE.+slice.+state.+changed )|(ment ac)|(multiple cpu faults)|(system.+state.+changed )|(\[timeout)|(PRM\|1\|D)|(kpr)|(kdp)|(\|lc)|(penalty))"</v>
      </c>
      <c r="U17" s="9" t="str">
        <f t="shared" si="2"/>
        <v>4009</v>
      </c>
      <c r="V17" s="32">
        <f t="shared" si="3"/>
        <v>42832.040856481479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{"issue":{"subject":"","project_id":79,"tracker_id":40,"status_id":1,"priority_id":2,"assigned_to_id":23,"start_date":"2017-04-06","description":"","custom_fields":[{"id":1,"name":"Subdivision","value":"EC"},{"id":4,"name":"Milepost","value":"23.208"},{"id":17,"name":"Train ID","value":"216-06"},{"id":16,"name":"Locomotive ID","value":"4009"},{"id":130,"name":"Impact","value":""},{"id":150,"name":"Time of Event (Mountain Time)","value":"18:58:50"},{"id":151,"name":"Denver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"%USERPROFILE%\AppData\Local\Temp\OnboardLogs"\RTDC4009\*4009*201704070*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"%USERPROFILE%\AppData\Local\Temp\OnboardLogs"\RTDC4009\*4009*201704070* &gt;&gt; 2017-04-06-SliceDisagreementCheck.txt</v>
      </c>
      <c r="AE17" s="153" t="str">
        <f t="shared" si="9"/>
        <v>start /low /b %USERPROFILE%\Documents\GitHub\eaglep3\Utilities\DownloadLogsFromS3.py --loco 4009 --day 2017-04-07</v>
      </c>
      <c r="AF17" s="1"/>
    </row>
    <row r="18" spans="1:32" ht="15" customHeight="1" x14ac:dyDescent="0.25">
      <c r="A18" s="32">
        <v>42831.562372685185</v>
      </c>
      <c r="B18" s="30" t="s">
        <v>450</v>
      </c>
      <c r="C18" s="30" t="s">
        <v>639</v>
      </c>
      <c r="D18" s="30" t="s">
        <v>49</v>
      </c>
      <c r="E18" s="30" t="s">
        <v>451</v>
      </c>
      <c r="F18" s="43">
        <v>0</v>
      </c>
      <c r="G18" s="43">
        <v>319</v>
      </c>
      <c r="H18" s="43">
        <v>21593</v>
      </c>
      <c r="I18" s="43">
        <v>20719</v>
      </c>
      <c r="J18" s="30" t="s">
        <v>452</v>
      </c>
      <c r="K18" s="43">
        <v>20632</v>
      </c>
      <c r="L18" s="139" t="s">
        <v>51</v>
      </c>
      <c r="M18" s="140">
        <f t="shared" si="0"/>
        <v>45.936</v>
      </c>
      <c r="N18" s="141" t="str">
        <f>VLOOKUP(C18,'Trips&amp;Operators'!$C$1:$G$99999,5,FALSE)</f>
        <v>DELGADO DIANAH</v>
      </c>
      <c r="O18" s="190" t="s">
        <v>453</v>
      </c>
      <c r="P18" s="142" t="s">
        <v>531</v>
      </c>
      <c r="Q18" s="30"/>
      <c r="R18" s="89" t="str">
        <f>IF(VLOOKUP(C18,'Train Runs'!$A$13:$AE$9938,1,1)=C18,VLOOKUP(C18,'Train Runs'!$A$13:$AE$9938,31,1),NA())</f>
        <v>aws s3 cp s3://rtdc.mdm.uploadarchive.raw/RTDC4003/ "%USERPROFILE%\AppData\Local\Temp\OnboardLogs"\RTDC4003\2017-04-06 --exclude "*" --recursive --include "*20170406*" &amp; "%USERPROFILE%\Documents\GitHub\mrs-test-scripts\Headless Mode &amp; Sideloading\WalkAndUnGZ.bat" "%USERPROFILE%\AppData\Local\Temp\OnboardLogs"\RTDC4003\2017-04-06 &amp; aws s3 cp s3://rtdc.mdm.uploadarchive.raw/RTDC4003/ "%USERPROFILE%\AppData\Local\Temp\OnboardLogs"\RTDC4003\2017-04-07 --exclude "*" --recursive --include "*20170407*" &amp; "%USERPROFILE%\Documents\GitHub\mrs-test-scripts\Headless Mode &amp; Sideloading\WalkAndUnGZ.bat" "%USERPROFILE%\AppData\Local\Temp\OnboardLogs"\RTDC4003\2017-04-07</v>
      </c>
      <c r="S18" s="92" t="str">
        <f>VLOOKUP(C18,'Train Runs'!$A$13:$AE$9938,22,0)</f>
        <v>https://d0f6bd738d7f1b3e5a7ca70fe4ff75f0.us-east-1.aws.found.io/app/kibana#/discover/Steve-Slow-Train-Analysis-(2080s-and-2083s)?_g=(refreshInterval:(display:Off,pause:!f,section:0,value:0),time:(from:'2017-04-06T11:48:03-0600',mode:absolute,to:'2017-04-06T14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8" s="94" t="str">
        <f t="shared" si="1"/>
        <v>"C:\Program Files (x86)\AstroGrep\AstroGrep.exe" /e /r /s /spath="%USERPROFILE%\AppData\Local\Temp\OnboardLogs" /stypes="*4003*201704061*" /stext=" 19:.+((SYSTEM_STATE.+slice.+state.+changed )|(ment ac)|(multiple cpu faults)|(system.+state.+changed )|(\[timeout)|(PRM\|1\|D)|(kpr)|(kdp)|(\|lc)|(penalty))"</v>
      </c>
      <c r="U18" s="9" t="str">
        <f t="shared" si="2"/>
        <v>4003</v>
      </c>
      <c r="V18" s="32">
        <f t="shared" si="3"/>
        <v>42831.812372685185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{"issue":{"subject":"Wi-MAX data drop","project_id":79,"tracker_id":40,"status_id":1,"priority_id":2,"assigned_to_id":23,"start_date":"2017-04-06","description":"","custom_fields":[{"id":1,"name":"Subdivision","value":"EC"},{"id":4,"name":"Milepost","value":"2.0632"},{"id":17,"name":"Train ID","value":"168-06"},{"id":16,"name":"Locomotive ID","value":"4003"},{"id":130,"name":"Impact","value":""},{"id":150,"name":"Time of Event (Mountain Time)","value":"13:29:49"},{"id":151,"name":"Denver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"%USERPROFILE%\AppData\Local\Temp\OnboardLogs"\RTDC4003\*4003*201704061*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"%USERPROFILE%\AppData\Local\Temp\OnboardLogs"\RTDC4003\*4003*201704061* &gt;&gt; 2017-04-06-SliceDisagreementCheck.txt</v>
      </c>
      <c r="AE18" s="153" t="str">
        <f t="shared" si="9"/>
        <v>start /low /b %USERPROFILE%\Documents\GitHub\eaglep3\Utilities\DownloadLogsFromS3.py --loco 4003 --day 2017-04-06</v>
      </c>
      <c r="AF18" s="1"/>
    </row>
    <row r="19" spans="1:32" x14ac:dyDescent="0.25">
      <c r="A19" s="32">
        <v>42831.400625000002</v>
      </c>
      <c r="B19" s="30" t="s">
        <v>441</v>
      </c>
      <c r="C19" s="30" t="s">
        <v>632</v>
      </c>
      <c r="D19" s="30" t="s">
        <v>49</v>
      </c>
      <c r="E19" s="30" t="s">
        <v>451</v>
      </c>
      <c r="F19" s="43">
        <v>0</v>
      </c>
      <c r="G19" s="43">
        <v>303</v>
      </c>
      <c r="H19" s="43">
        <v>58817</v>
      </c>
      <c r="I19" s="43">
        <v>57828</v>
      </c>
      <c r="J19" s="30" t="s">
        <v>452</v>
      </c>
      <c r="K19" s="43">
        <v>57897</v>
      </c>
      <c r="L19" s="139" t="s">
        <v>51</v>
      </c>
      <c r="M19" s="140">
        <f t="shared" si="0"/>
        <v>-36.432000000000002</v>
      </c>
      <c r="N19" s="141" t="str">
        <f>VLOOKUP(C19,'Trips&amp;Operators'!$C$1:$G$99999,5,FALSE)</f>
        <v>MENGES BRAD</v>
      </c>
      <c r="O19" s="190" t="s">
        <v>185</v>
      </c>
      <c r="P19" s="142" t="s">
        <v>1042</v>
      </c>
      <c r="Q19" s="30"/>
      <c r="R19" s="89" t="str">
        <f>IF(VLOOKUP(C19,'Train Runs'!$A$13:$AE$9938,1,1)=C19,VLOOKUP(C19,'Train Runs'!$A$13:$AE$9938,31,1),NA())</f>
        <v>aws s3 cp s3://rtdc.mdm.uploadarchive.raw/RTDC4017/ "%USERPROFILE%\AppData\Local\Temp\OnboardLogs"\RTDC4017\2017-04-06 --exclude "*" --recursive --include "*20170406*" &amp; "%USERPROFILE%\Documents\GitHub\mrs-test-scripts\Headless Mode &amp; Sideloading\WalkAndUnGZ.bat" "%USERPROFILE%\AppData\Local\Temp\OnboardLogs"\RTDC4017\2017-04-06 &amp; aws s3 cp s3://rtdc.mdm.uploadarchive.raw/RTDC4017/ "%USERPROFILE%\AppData\Local\Temp\OnboardLogs"\RTDC4017\2017-04-07 --exclude "*" --recursive --include "*20170407*" &amp; "%USERPROFILE%\Documents\GitHub\mrs-test-scripts\Headless Mode &amp; Sideloading\WalkAndUnGZ.bat" "%USERPROFILE%\AppData\Local\Temp\OnboardLogs"\RTDC4017\2017-04-07</v>
      </c>
      <c r="S19" s="92" t="str">
        <f>VLOOKUP(C19,'Train Runs'!$A$13:$AE$9938,22,0)</f>
        <v>https://d0f6bd738d7f1b3e5a7ca70fe4ff75f0.us-east-1.aws.found.io/app/kibana#/discover/Steve-Slow-Train-Analysis-(2080s-and-2083s)?_g=(refreshInterval:(display:Off,pause:!f,section:0,value:0),time:(from:'2017-04-06T08:09:48-0600',mode:absolute,to:'2017-04-06T10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9" s="94" t="str">
        <f t="shared" si="1"/>
        <v>"C:\Program Files (x86)\AstroGrep\AstroGrep.exe" /e /r /s /spath="%USERPROFILE%\AppData\Local\Temp\OnboardLogs" /stypes="*4017*201704061*" /stext=" 15:.+((SYSTEM_STATE.+slice.+state.+changed )|(ment ac)|(multiple cpu faults)|(system.+state.+changed )|(\[timeout)|(PRM\|1\|D)|(kpr)|(kdp)|(\|lc)|(penalty))"</v>
      </c>
      <c r="U19" s="9" t="str">
        <f t="shared" si="2"/>
        <v>4017</v>
      </c>
      <c r="V19" s="32">
        <f t="shared" si="3"/>
        <v>42831.650625000002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{"issue":{"subject":"Premature downgrade at Quebec 4S","project_id":79,"tracker_id":40,"status_id":1,"priority_id":2,"assigned_to_id":23,"start_date":"2017-04-06","description":"At 09:36:36, Quebec 4S dropped from PROCEED CAB to STOP while the train was approaching (~485 ft away). Do logs show anything unusual?","custom_fields":[{"id":1,"name":"Subdivision","value":"EC"},{"id":4,"name":"Milepost","value":"5.7897"},{"id":17,"name":"Train ID","value":"138-06"},{"id":16,"name":"Locomotive ID","value":"4017"},{"id":130,"name":"Impact","value":"Enforcement"},{"id":150,"name":"Time of Event (Mountain Time)","value":"09:36:54"},{"id":151,"name":"Denver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9" s="218" t="s">
        <v>1043</v>
      </c>
      <c r="AA19" s="48" t="s">
        <v>124</v>
      </c>
      <c r="AB19" s="48" t="s">
        <v>129</v>
      </c>
      <c r="AC19" s="123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"%USERPROFILE%\AppData\Local\Temp\OnboardLogs"\RTDC4017\*4017*201704061*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"%USERPROFILE%\AppData\Local\Temp\OnboardLogs"\RTDC4017\*4017*201704061* &gt;&gt; 2017-04-06-SliceDisagreementCheck.txt</v>
      </c>
      <c r="AE19" s="153" t="str">
        <f t="shared" si="9"/>
        <v>start /low /b %USERPROFILE%\Documents\GitHub\eaglep3\Utilities\DownloadLogsFromS3.py --loco 4017 --day 2017-04-06</v>
      </c>
      <c r="AF19" s="1"/>
    </row>
    <row r="20" spans="1:32" x14ac:dyDescent="0.25">
      <c r="A20" s="32">
        <v>42831.251435185186</v>
      </c>
      <c r="B20" s="30" t="s">
        <v>482</v>
      </c>
      <c r="C20" s="30" t="s">
        <v>623</v>
      </c>
      <c r="D20" s="30" t="s">
        <v>49</v>
      </c>
      <c r="E20" s="30" t="s">
        <v>451</v>
      </c>
      <c r="F20" s="43">
        <v>0</v>
      </c>
      <c r="G20" s="43">
        <v>597</v>
      </c>
      <c r="H20" s="43">
        <v>144086</v>
      </c>
      <c r="I20" s="43">
        <v>146720</v>
      </c>
      <c r="J20" s="30" t="s">
        <v>452</v>
      </c>
      <c r="K20" s="43">
        <v>144300</v>
      </c>
      <c r="L20" s="139" t="s">
        <v>50</v>
      </c>
      <c r="M20" s="140">
        <f t="shared" si="0"/>
        <v>-1277.76</v>
      </c>
      <c r="N20" s="141" t="str">
        <f>VLOOKUP(C20,'Trips&amp;Operators'!$C$1:$G$99999,5,FALSE)</f>
        <v>STARKS ANGELINA</v>
      </c>
      <c r="O20" s="190" t="s">
        <v>453</v>
      </c>
      <c r="P20" s="142" t="s">
        <v>531</v>
      </c>
      <c r="Q20" s="30"/>
      <c r="R20" s="89" t="str">
        <f>IF(VLOOKUP(C20,'Train Runs'!$A$13:$AE$9938,1,1)=C20,VLOOKUP(C20,'Train Runs'!$A$13:$AE$9938,31,1),NA())</f>
        <v>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 &amp; 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</v>
      </c>
      <c r="S20" s="92" t="str">
        <f>VLOOKUP(C20,'Train Runs'!$A$13:$AE$9938,22,0)</f>
        <v>https://d0f6bd738d7f1b3e5a7ca70fe4ff75f0.us-east-1.aws.found.io/app/kibana#/discover/Steve-Slow-Train-Analysis-(2080s-and-2083s)?_g=(refreshInterval:(display:Off,pause:!f,section:0,value:0),time:(from:'2017-04-06T04:26:51-0600',mode:absolute,to:'2017-04-06T06:48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0" s="94" t="str">
        <f t="shared" si="1"/>
        <v>"C:\Program Files (x86)\AstroGrep\AstroGrep.exe" /e /r /s /spath="%USERPROFILE%\AppData\Local\Temp\OnboardLogs" /stypes="*4016*201704061*" /stext=" 12:.+((SYSTEM_STATE.+slice.+state.+changed )|(ment ac)|(multiple cpu faults)|(system.+state.+changed )|(\[timeout)|(PRM\|1\|D)|(kpr)|(kdp)|(\|lc)|(penalty))"</v>
      </c>
      <c r="U20" s="9" t="str">
        <f t="shared" si="2"/>
        <v>4016</v>
      </c>
      <c r="V20" s="32">
        <f t="shared" si="3"/>
        <v>42831.501435185186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{"issue":{"subject":"Wi-MAX data drop","project_id":79,"tracker_id":40,"status_id":1,"priority_id":2,"assigned_to_id":23,"start_date":"2017-04-06","description":"","custom_fields":[{"id":1,"name":"Subdivision","value":"EC"},{"id":4,"name":"Milepost","value":"14.43"},{"id":17,"name":"Train ID","value":"115-06"},{"id":16,"name":"Locomotive ID","value":"4016"},{"id":130,"name":"Impact","value":""},{"id":150,"name":"Time of Event (Mountain Time)","value":"06:02:04"},{"id":151,"name":"Denver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"%USERPROFILE%\AppData\Local\Temp\OnboardLogs"\RTDC4016\*4016*201704061*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"%USERPROFILE%\AppData\Local\Temp\OnboardLogs"\RTDC4016\*4016*201704061* &gt;&gt; 2017-04-06-SliceDisagreementCheck.txt</v>
      </c>
      <c r="AE20" s="153" t="str">
        <f t="shared" si="9"/>
        <v>start /low /b %USERPROFILE%\Documents\GitHub\eaglep3\Utilities\DownloadLogsFromS3.py --loco 4016 --day 2017-04-06</v>
      </c>
      <c r="AF20" s="1"/>
    </row>
    <row r="21" spans="1:32" x14ac:dyDescent="0.25">
      <c r="A21" s="32">
        <v>42831.258414351854</v>
      </c>
      <c r="B21" s="30" t="s">
        <v>482</v>
      </c>
      <c r="C21" s="30" t="s">
        <v>623</v>
      </c>
      <c r="D21" s="30" t="s">
        <v>49</v>
      </c>
      <c r="E21" s="30" t="s">
        <v>451</v>
      </c>
      <c r="F21" s="43">
        <v>0</v>
      </c>
      <c r="G21" s="43">
        <v>152</v>
      </c>
      <c r="H21" s="43">
        <v>174862</v>
      </c>
      <c r="I21" s="43">
        <v>175093</v>
      </c>
      <c r="J21" s="30" t="s">
        <v>452</v>
      </c>
      <c r="K21" s="43">
        <v>175383</v>
      </c>
      <c r="L21" s="139" t="s">
        <v>50</v>
      </c>
      <c r="M21" s="140">
        <f t="shared" si="0"/>
        <v>153.12</v>
      </c>
      <c r="N21" s="141" t="str">
        <f>VLOOKUP(C21,'Trips&amp;Operators'!$C$1:$G$99999,5,FALSE)</f>
        <v>STARKS ANGELINA</v>
      </c>
      <c r="O21" s="190" t="s">
        <v>453</v>
      </c>
      <c r="P21" s="142" t="s">
        <v>531</v>
      </c>
      <c r="Q21" s="30"/>
      <c r="R21" s="89" t="str">
        <f>IF(VLOOKUP(C21,'Train Runs'!$A$13:$AE$9938,1,1)=C21,VLOOKUP(C21,'Train Runs'!$A$13:$AE$9938,31,1),NA())</f>
        <v>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 &amp; 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</v>
      </c>
      <c r="S21" s="92" t="str">
        <f>VLOOKUP(C21,'Train Runs'!$A$13:$AE$9938,22,0)</f>
        <v>https://d0f6bd738d7f1b3e5a7ca70fe4ff75f0.us-east-1.aws.found.io/app/kibana#/discover/Steve-Slow-Train-Analysis-(2080s-and-2083s)?_g=(refreshInterval:(display:Off,pause:!f,section:0,value:0),time:(from:'2017-04-06T04:26:51-0600',mode:absolute,to:'2017-04-06T06:48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1" s="94" t="str">
        <f t="shared" si="1"/>
        <v>"C:\Program Files (x86)\AstroGrep\AstroGrep.exe" /e /r /s /spath="%USERPROFILE%\AppData\Local\Temp\OnboardLogs" /stypes="*4016*201704061*" /stext=" 12:.+((SYSTEM_STATE.+slice.+state.+changed )|(ment ac)|(multiple cpu faults)|(system.+state.+changed )|(\[timeout)|(PRM\|1\|D)|(kpr)|(kdp)|(\|lc)|(penalty))"</v>
      </c>
      <c r="U21" s="9" t="str">
        <f t="shared" si="2"/>
        <v>4016</v>
      </c>
      <c r="V21" s="32">
        <f t="shared" si="3"/>
        <v>42831.508414351854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{"issue":{"subject":"Wi-MAX data drop","project_id":79,"tracker_id":40,"status_id":1,"priority_id":2,"assigned_to_id":23,"start_date":"2017-04-06","description":"","custom_fields":[{"id":1,"name":"Subdivision","value":"EC"},{"id":4,"name":"Milepost","value":"17.5383"},{"id":17,"name":"Train ID","value":"115-06"},{"id":16,"name":"Locomotive ID","value":"4016"},{"id":130,"name":"Impact","value":""},{"id":150,"name":"Time of Event (Mountain Time)","value":"06:12:07"},{"id":151,"name":"Denver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"%USERPROFILE%\AppData\Local\Temp\OnboardLogs"\RTDC4016\*4016*201704061*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"%USERPROFILE%\AppData\Local\Temp\OnboardLogs"\RTDC4016\*4016*201704061* &gt;&gt; 2017-04-06-SliceDisagreementCheck.txt</v>
      </c>
      <c r="AE21" s="153" t="str">
        <f t="shared" si="9"/>
        <v>start /low /b %USERPROFILE%\Documents\GitHub\eaglep3\Utilities\DownloadLogsFromS3.py --loco 4016 --day 2017-04-06</v>
      </c>
      <c r="AF21" s="1"/>
    </row>
    <row r="22" spans="1:32" x14ac:dyDescent="0.25">
      <c r="A22" s="32">
        <v>42831.535682870373</v>
      </c>
      <c r="B22" s="30" t="s">
        <v>478</v>
      </c>
      <c r="C22" s="30" t="s">
        <v>638</v>
      </c>
      <c r="D22" s="30" t="s">
        <v>49</v>
      </c>
      <c r="E22" s="30" t="s">
        <v>186</v>
      </c>
      <c r="F22" s="43">
        <v>0</v>
      </c>
      <c r="G22" s="43">
        <v>48</v>
      </c>
      <c r="H22" s="43">
        <v>181</v>
      </c>
      <c r="I22" s="43">
        <v>143</v>
      </c>
      <c r="J22" s="30" t="s">
        <v>187</v>
      </c>
      <c r="K22" s="43">
        <v>1</v>
      </c>
      <c r="L22" s="139" t="s">
        <v>51</v>
      </c>
      <c r="M22" s="140">
        <f t="shared" si="0"/>
        <v>74.975999999999999</v>
      </c>
      <c r="N22" s="141" t="str">
        <f>VLOOKUP(C22,'Trips&amp;Operators'!$C$1:$G$99999,5,FALSE)</f>
        <v>BRANDNER MELINDA</v>
      </c>
      <c r="O22" s="190" t="s">
        <v>185</v>
      </c>
      <c r="P22" s="142"/>
      <c r="Q22" s="30"/>
      <c r="R22" s="89" t="str">
        <f>IF(VLOOKUP(C22,'Train Runs'!$A$13:$AE$9938,1,1)=C22,VLOOKUP(C22,'Train Runs'!$A$13:$AE$9938,31,1),NA())</f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S22" s="92" t="str">
        <f>VLOOKUP(C22,'Train Runs'!$A$13:$AE$9938,22,0)</f>
        <v>https://d0f6bd738d7f1b3e5a7ca70fe4ff75f0.us-east-1.aws.found.io/app/kibana#/discover/Steve-Slow-Train-Analysis-(2080s-and-2083s)?_g=(refreshInterval:(display:Off,pause:!f,section:0,value:0),time:(from:'2017-04-06T11:01:33-0600',mode:absolute,to:'2017-04-06T13:51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2" s="94" t="str">
        <f t="shared" si="1"/>
        <v>"C:\Program Files (x86)\AstroGrep\AstroGrep.exe" /e /r /s /spath="%USERPROFILE%\AppData\Local\Temp\OnboardLogs" /stypes="*4053*201704061*" /stext=" 18:.+((SYSTEM_STATE.+slice.+state.+changed )|(ment ac)|(multiple cpu faults)|(system.+state.+changed )|(\[timeout)|(PRM\|1\|D)|(kpr)|(kdp)|(\|lc)|(penalty))"</v>
      </c>
      <c r="U22" s="9" t="str">
        <f t="shared" si="2"/>
        <v>4053</v>
      </c>
      <c r="V22" s="32">
        <f t="shared" si="3"/>
        <v>42831.785682870373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{"issue":{"subject":"","project_id":79,"tracker_id":40,"status_id":1,"priority_id":2,"assigned_to_id":23,"start_date":"2017-04-06","description":"","custom_fields":[{"id":1,"name":"Subdivision","value":"EC"},{"id":4,"name":"Milepost","value":"0.0001"},{"id":17,"name":"Train ID","value":"162-06"},{"id":16,"name":"Locomotive ID","value":"4053"},{"id":130,"name":"Impact","value":""},{"id":150,"name":"Time of Event (Mountain Time)","value":"12:51:23"},{"id":151,"name":"Denver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ref="AC22:AC44" si="10">"grep -hSE -A400 ""Enforcement Action"" "&amp;search_path&amp;"\RTDC"&amp;U22&amp;"\*"&amp;U22&amp;"*"&amp;TEXT(A22-utc_offset/24,"YYYYMMDD")&amp;LEFT(TEXT(A22-utc_offset/24,"HH"),1)&amp;"* | grep -SE ""((Enforcement Ac)|(PRM.+XING))"" -"</f>
        <v>grep -hSE -A400 "Enforcement Action" "%USERPROFILE%\AppData\Local\Temp\OnboardLogs"\RTDC4053\*4053*201704061*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"%USERPROFILE%\AppData\Local\Temp\OnboardLogs"\RTDC4053\*4053*201704061* &gt;&gt; 2017-04-06-SliceDisagreementCheck.txt</v>
      </c>
      <c r="AE22" s="153" t="str">
        <f t="shared" si="9"/>
        <v>start /low /b %USERPROFILE%\Documents\GitHub\eaglep3\Utilities\DownloadLogsFromS3.py --loco 4053 --day 2017-04-06</v>
      </c>
      <c r="AF22" s="1"/>
    </row>
    <row r="23" spans="1:32" x14ac:dyDescent="0.25">
      <c r="A23" s="32">
        <v>42831.619247685187</v>
      </c>
      <c r="B23" s="30" t="s">
        <v>448</v>
      </c>
      <c r="C23" s="30" t="s">
        <v>641</v>
      </c>
      <c r="D23" s="30" t="s">
        <v>49</v>
      </c>
      <c r="E23" s="30" t="s">
        <v>186</v>
      </c>
      <c r="F23" s="43">
        <v>0</v>
      </c>
      <c r="G23" s="43">
        <v>64</v>
      </c>
      <c r="H23" s="43">
        <v>216</v>
      </c>
      <c r="I23" s="43">
        <v>165</v>
      </c>
      <c r="J23" s="30" t="s">
        <v>187</v>
      </c>
      <c r="K23" s="43">
        <v>1</v>
      </c>
      <c r="L23" s="139" t="s">
        <v>51</v>
      </c>
      <c r="M23" s="140">
        <f t="shared" si="0"/>
        <v>86.592000000000013</v>
      </c>
      <c r="N23" s="141" t="str">
        <f>VLOOKUP(C23,'Trips&amp;Operators'!$C$1:$G$99999,5,FALSE)</f>
        <v>GUZMAN DANNY</v>
      </c>
      <c r="O23" s="190" t="s">
        <v>185</v>
      </c>
      <c r="P23" s="142"/>
      <c r="Q23" s="30"/>
      <c r="R23" s="89" t="str">
        <f>IF(VLOOKUP(C23,'Train Runs'!$A$13:$AE$9938,1,1)=C23,VLOOKUP(C23,'Train Runs'!$A$13:$AE$9938,31,1),NA())</f>
        <v>aws s3 cp s3://rtdc.mdm.uploadarchive.raw/RTDC4041/ "%USERPROFILE%\AppData\Local\Temp\OnboardLogs"\RTDC4041\2017-04-06 --exclude "*" --recursive --include "*20170406*" &amp; "%USERPROFILE%\Documents\GitHub\mrs-test-scripts\Headless Mode &amp; Sideloading\WalkAndUnGZ.bat" "%USERPROFILE%\AppData\Local\Temp\OnboardLogs"\RTDC4041\2017-04-06 &amp; aws s3 cp s3://rtdc.mdm.uploadarchive.raw/RTDC4041/ "%USERPROFILE%\AppData\Local\Temp\OnboardLogs"\RTDC4041\2017-04-07 --exclude "*" --recursive --include "*20170407*" &amp; "%USERPROFILE%\Documents\GitHub\mrs-test-scripts\Headless Mode &amp; Sideloading\WalkAndUnGZ.bat" "%USERPROFILE%\AppData\Local\Temp\OnboardLogs"\RTDC4041\2017-04-07</v>
      </c>
      <c r="S23" s="92" t="str">
        <f>VLOOKUP(C23,'Train Runs'!$A$13:$AE$9938,22,0)</f>
        <v>https://d0f6bd738d7f1b3e5a7ca70fe4ff75f0.us-east-1.aws.found.io/app/kibana#/discover/Steve-Slow-Train-Analysis-(2080s-and-2083s)?_g=(refreshInterval:(display:Off,pause:!f,section:0,value:0),time:(from:'2017-04-06T12:56:39-0600',mode:absolute,to:'2017-04-06T15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3" s="94" t="str">
        <f t="shared" si="1"/>
        <v>"C:\Program Files (x86)\AstroGrep\AstroGrep.exe" /e /r /s /spath="%USERPROFILE%\AppData\Local\Temp\OnboardLogs" /stypes="*4041*201704062*" /stext=" 20:.+((SYSTEM_STATE.+slice.+state.+changed )|(ment ac)|(multiple cpu faults)|(system.+state.+changed )|(\[timeout)|(PRM\|1\|D)|(kpr)|(kdp)|(\|lc)|(penalty))"</v>
      </c>
      <c r="U23" s="9" t="str">
        <f t="shared" si="2"/>
        <v>4041</v>
      </c>
      <c r="V23" s="32">
        <f t="shared" si="3"/>
        <v>42831.869247685187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{"issue":{"subject":"","project_id":79,"tracker_id":40,"status_id":1,"priority_id":2,"assigned_to_id":23,"start_date":"2017-04-06","description":"","custom_fields":[{"id":1,"name":"Subdivision","value":"EC"},{"id":4,"name":"Milepost","value":"0.0001"},{"id":17,"name":"Train ID","value":"178-06"},{"id":16,"name":"Locomotive ID","value":"4041"},{"id":130,"name":"Impact","value":""},{"id":150,"name":"Time of Event (Mountain Time)","value":"14:51:43"},{"id":151,"name":"Denver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10"/>
        <v>grep -hSE -A400 "Enforcement Action" "%USERPROFILE%\AppData\Local\Temp\OnboardLogs"\RTDC4041\*4041*201704062*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"%USERPROFILE%\AppData\Local\Temp\OnboardLogs"\RTDC4041\*4041*201704062* &gt;&gt; 2017-04-06-SliceDisagreementCheck.txt</v>
      </c>
      <c r="AE23" s="153" t="str">
        <f t="shared" si="9"/>
        <v>start /low /b %USERPROFILE%\Documents\GitHub\eaglep3\Utilities\DownloadLogsFromS3.py --loco 4041 --day 2017-04-06</v>
      </c>
      <c r="AF23" s="1"/>
    </row>
    <row r="24" spans="1:32" x14ac:dyDescent="0.25">
      <c r="A24" s="32">
        <v>42831.753738425927</v>
      </c>
      <c r="B24" s="30" t="s">
        <v>478</v>
      </c>
      <c r="C24" s="30" t="s">
        <v>650</v>
      </c>
      <c r="D24" s="30" t="s">
        <v>49</v>
      </c>
      <c r="E24" s="30" t="s">
        <v>186</v>
      </c>
      <c r="F24" s="43">
        <v>0</v>
      </c>
      <c r="G24" s="43">
        <v>47</v>
      </c>
      <c r="H24" s="43">
        <v>156</v>
      </c>
      <c r="I24" s="43">
        <v>114</v>
      </c>
      <c r="J24" s="30" t="s">
        <v>187</v>
      </c>
      <c r="K24" s="43">
        <v>1</v>
      </c>
      <c r="L24" s="139" t="s">
        <v>51</v>
      </c>
      <c r="M24" s="140">
        <f t="shared" si="0"/>
        <v>59.664000000000001</v>
      </c>
      <c r="N24" s="141" t="str">
        <f>VLOOKUP(C24,'Trips&amp;Operators'!$C$1:$G$99999,5,FALSE)</f>
        <v>BRANDNER MELINDA</v>
      </c>
      <c r="O24" s="190" t="s">
        <v>185</v>
      </c>
      <c r="P24" s="142"/>
      <c r="Q24" s="30"/>
      <c r="R24" s="89" t="str">
        <f>IF(VLOOKUP(C24,'Train Runs'!$A$13:$AE$9938,1,1)=C24,VLOOKUP(C24,'Train Runs'!$A$13:$AE$9938,31,1),NA())</f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S24" s="92" t="str">
        <f>VLOOKUP(C24,'Train Runs'!$A$13:$AE$9938,22,0)</f>
        <v>https://d0f6bd738d7f1b3e5a7ca70fe4ff75f0.us-east-1.aws.found.io/app/kibana#/discover/Steve-Slow-Train-Analysis-(2080s-and-2083s)?_g=(refreshInterval:(display:Off,pause:!f,section:0,value:0),time:(from:'2017-04-06T16:19:01-0600',mode:absolute,to:'2017-04-06T19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4" s="94" t="str">
        <f t="shared" si="1"/>
        <v>"C:\Program Files (x86)\AstroGrep\AstroGrep.exe" /e /r /s /spath="%USERPROFILE%\AppData\Local\Temp\OnboardLogs" /stypes="*4053*201704070*" /stext=" 00:.+((SYSTEM_STATE.+slice.+state.+changed )|(ment ac)|(multiple cpu faults)|(system.+state.+changed )|(\[timeout)|(PRM\|1\|D)|(kpr)|(kdp)|(\|lc)|(penalty))"</v>
      </c>
      <c r="U24" s="9" t="str">
        <f t="shared" si="2"/>
        <v>4053</v>
      </c>
      <c r="V24" s="32">
        <f t="shared" si="3"/>
        <v>42832.003738425927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{"issue":{"subject":"","project_id":79,"tracker_id":40,"status_id":1,"priority_id":2,"assigned_to_id":23,"start_date":"2017-04-06","description":"","custom_fields":[{"id":1,"name":"Subdivision","value":"EC"},{"id":4,"name":"Milepost","value":"0.0001"},{"id":17,"name":"Train ID","value":"204-06"},{"id":16,"name":"Locomotive ID","value":"4053"},{"id":130,"name":"Impact","value":""},{"id":150,"name":"Time of Event (Mountain Time)","value":"18:05:23"},{"id":151,"name":"Denver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10"/>
        <v>grep -hSE -A400 "Enforcement Action" "%USERPROFILE%\AppData\Local\Temp\OnboardLogs"\RTDC4053\*4053*201704070*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"%USERPROFILE%\AppData\Local\Temp\OnboardLogs"\RTDC4053\*4053*201704070* &gt;&gt; 2017-04-06-SliceDisagreementCheck.txt</v>
      </c>
      <c r="AE24" s="153" t="str">
        <f t="shared" si="9"/>
        <v>start /low /b %USERPROFILE%\Documents\GitHub\eaglep3\Utilities\DownloadLogsFromS3.py --loco 4053 --day 2017-04-07</v>
      </c>
      <c r="AF24" s="1"/>
    </row>
    <row r="25" spans="1:32" x14ac:dyDescent="0.25">
      <c r="A25" s="32">
        <v>42831.82671296296</v>
      </c>
      <c r="B25" s="30" t="s">
        <v>478</v>
      </c>
      <c r="C25" s="30" t="s">
        <v>654</v>
      </c>
      <c r="D25" s="30" t="s">
        <v>49</v>
      </c>
      <c r="E25" s="30" t="s">
        <v>186</v>
      </c>
      <c r="F25" s="43">
        <v>0</v>
      </c>
      <c r="G25" s="43">
        <v>54</v>
      </c>
      <c r="H25" s="43">
        <v>174</v>
      </c>
      <c r="I25" s="43">
        <v>119</v>
      </c>
      <c r="J25" s="30" t="s">
        <v>187</v>
      </c>
      <c r="K25" s="43">
        <v>1</v>
      </c>
      <c r="L25" s="139" t="s">
        <v>51</v>
      </c>
      <c r="M25" s="140">
        <f t="shared" si="0"/>
        <v>62.304000000000002</v>
      </c>
      <c r="N25" s="141" t="str">
        <f>VLOOKUP(C25,'Trips&amp;Operators'!$C$1:$G$99999,5,FALSE)</f>
        <v>WHITED DUSTIN</v>
      </c>
      <c r="O25" s="190" t="s">
        <v>185</v>
      </c>
      <c r="P25" s="142"/>
      <c r="Q25" s="30"/>
      <c r="R25" s="89" t="str">
        <f>IF(VLOOKUP(C25,'Train Runs'!$A$13:$AE$9938,1,1)=C25,VLOOKUP(C25,'Train Runs'!$A$13:$AE$9938,31,1),NA())</f>
        <v>aws s3 cp s3://rtdc.mdm.uploadarchive.raw/RTDC4053/ "%USERPROFILE%\AppData\Local\Temp\OnboardLogs"\RTDC4053\2017-04-06 --exclude "*" --recursive --include "*20170406*" &amp; "%USERPROFILE%\Documents\GitHub\mrs-test-scripts\Headless Mode &amp; Sideloading\WalkAndUnGZ.bat" "%USERPROFILE%\AppData\Local\Temp\OnboardLogs"\RTDC4053\2017-04-06 &amp; aws s3 cp s3://rtdc.mdm.uploadarchive.raw/RTDC4053/ "%USERPROFILE%\AppData\Local\Temp\OnboardLogs"\RTDC4053\2017-04-07 --exclude "*" --recursive --include "*20170407*" &amp; "%USERPROFILE%\Documents\GitHub\mrs-test-scripts\Headless Mode &amp; Sideloading\WalkAndUnGZ.bat" "%USERPROFILE%\AppData\Local\Temp\OnboardLogs"\RTDC4053\2017-04-07</v>
      </c>
      <c r="S25" s="92" t="str">
        <f>VLOOKUP(C25,'Train Runs'!$A$13:$AE$9938,22,0)</f>
        <v>https://d0f6bd738d7f1b3e5a7ca70fe4ff75f0.us-east-1.aws.found.io/app/kibana#/discover/Steve-Slow-Train-Analysis-(2080s-and-2083s)?_g=(refreshInterval:(display:Off,pause:!f,section:0,value:0),time:(from:'2017-04-06T18:01:17-0600',mode:absolute,to:'2017-04-06T20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5" s="94" t="str">
        <f t="shared" si="1"/>
        <v>"C:\Program Files (x86)\AstroGrep\AstroGrep.exe" /e /r /s /spath="%USERPROFILE%\AppData\Local\Temp\OnboardLogs" /stypes="*4053*201704070*" /stext=" 01:.+((SYSTEM_STATE.+slice.+state.+changed )|(ment ac)|(multiple cpu faults)|(system.+state.+changed )|(\[timeout)|(PRM\|1\|D)|(kpr)|(kdp)|(\|lc)|(penalty))"</v>
      </c>
      <c r="U25" s="9" t="str">
        <f t="shared" si="2"/>
        <v>4053</v>
      </c>
      <c r="V25" s="32">
        <f t="shared" si="3"/>
        <v>42832.07671296296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{"issue":{"subject":"","project_id":79,"tracker_id":40,"status_id":1,"priority_id":2,"assigned_to_id":23,"start_date":"2017-04-06","description":"","custom_fields":[{"id":1,"name":"Subdivision","value":"EC"},{"id":4,"name":"Milepost","value":"0.0001"},{"id":17,"name":"Train ID","value":"218-06"},{"id":16,"name":"Locomotive ID","value":"4053"},{"id":130,"name":"Impact","value":""},{"id":150,"name":"Time of Event (Mountain Time)","value":"19:50:28"},{"id":151,"name":"Denver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10"/>
        <v>grep -hSE -A400 "Enforcement Action" "%USERPROFILE%\AppData\Local\Temp\OnboardLogs"\RTDC4053\*4053*201704070*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"%USERPROFILE%\AppData\Local\Temp\OnboardLogs"\RTDC4053\*4053*201704070* &gt;&gt; 2017-04-06-SliceDisagreementCheck.txt</v>
      </c>
      <c r="AE25" s="153" t="str">
        <f t="shared" si="9"/>
        <v>start /low /b %USERPROFILE%\Documents\GitHub\eaglep3\Utilities\DownloadLogsFromS3.py --loco 4053 --day 2017-04-07</v>
      </c>
      <c r="AF25" s="1"/>
    </row>
    <row r="26" spans="1:32" x14ac:dyDescent="0.25">
      <c r="A26" s="32">
        <v>42831.43105324074</v>
      </c>
      <c r="B26" s="30" t="s">
        <v>464</v>
      </c>
      <c r="C26" s="30" t="s">
        <v>633</v>
      </c>
      <c r="D26" s="30" t="s">
        <v>49</v>
      </c>
      <c r="E26" s="30" t="s">
        <v>186</v>
      </c>
      <c r="F26" s="43">
        <v>0</v>
      </c>
      <c r="G26" s="43">
        <v>113</v>
      </c>
      <c r="H26" s="43">
        <v>233161</v>
      </c>
      <c r="I26" s="43">
        <v>233285</v>
      </c>
      <c r="J26" s="30" t="s">
        <v>187</v>
      </c>
      <c r="K26" s="43">
        <v>233491</v>
      </c>
      <c r="L26" s="139" t="s">
        <v>50</v>
      </c>
      <c r="M26" s="140">
        <f t="shared" si="0"/>
        <v>108.768</v>
      </c>
      <c r="N26" s="141" t="str">
        <f>VLOOKUP(C26,'Trips&amp;Operators'!$C$1:$G$99999,5,FALSE)</f>
        <v>GEBRETEKLE DAGNEW</v>
      </c>
      <c r="O26" s="190" t="s">
        <v>185</v>
      </c>
      <c r="P26" s="142"/>
      <c r="Q26" s="30"/>
      <c r="R26" s="89" t="str">
        <f>IF(VLOOKUP(C26,'Train Runs'!$A$13:$AE$9938,1,1)=C26,VLOOKUP(C26,'Train Runs'!$A$13:$AE$9938,31,1),NA())</f>
        <v>aws s3 cp s3://rtdc.mdm.uploadarchive.raw/RTDC4042/ "%USERPROFILE%\AppData\Local\Temp\OnboardLogs"\RTDC4042\2017-04-06 --exclude "*" --recursive --include "*20170406*" &amp; "%USERPROFILE%\Documents\GitHub\mrs-test-scripts\Headless Mode &amp; Sideloading\WalkAndUnGZ.bat" "%USERPROFILE%\AppData\Local\Temp\OnboardLogs"\RTDC4042\2017-04-06 &amp; aws s3 cp s3://rtdc.mdm.uploadarchive.raw/RTDC4042/ "%USERPROFILE%\AppData\Local\Temp\OnboardLogs"\RTDC4042\2017-04-07 --exclude "*" --recursive --include "*20170407*" &amp; "%USERPROFILE%\Documents\GitHub\mrs-test-scripts\Headless Mode &amp; Sideloading\WalkAndUnGZ.bat" "%USERPROFILE%\AppData\Local\Temp\OnboardLogs"\RTDC4042\2017-04-07</v>
      </c>
      <c r="S26" s="92" t="str">
        <f>VLOOKUP(C26,'Train Runs'!$A$13:$AE$9938,22,0)</f>
        <v>https://d0f6bd738d7f1b3e5a7ca70fe4ff75f0.us-east-1.aws.found.io/app/kibana#/discover/Steve-Slow-Train-Analysis-(2080s-and-2083s)?_g=(refreshInterval:(display:Off,pause:!f,section:0,value:0),time:(from:'2017-04-06T08:37:46-0600',mode:absolute,to:'2017-04-06T11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6" s="94" t="str">
        <f t="shared" si="1"/>
        <v>"C:\Program Files (x86)\AstroGrep\AstroGrep.exe" /e /r /s /spath="%USERPROFILE%\AppData\Local\Temp\OnboardLogs" /stypes="*4042*201704061*" /stext=" 16:.+((SYSTEM_STATE.+slice.+state.+changed )|(ment ac)|(multiple cpu faults)|(system.+state.+changed )|(\[timeout)|(PRM\|1\|D)|(kpr)|(kdp)|(\|lc)|(penalty))"</v>
      </c>
      <c r="U26" s="9" t="str">
        <f t="shared" si="2"/>
        <v>4042</v>
      </c>
      <c r="V26" s="32">
        <f t="shared" si="3"/>
        <v>42831.68105324074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{"issue":{"subject":"","project_id":79,"tracker_id":40,"status_id":1,"priority_id":2,"assigned_to_id":23,"start_date":"2017-04-06","description":"","custom_fields":[{"id":1,"name":"Subdivision","value":"EC"},{"id":4,"name":"Milepost","value":"23.3491"},{"id":17,"name":"Train ID","value":"149-06"},{"id":16,"name":"Locomotive ID","value":"4042"},{"id":130,"name":"Impact","value":""},{"id":150,"name":"Time of Event (Mountain Time)","value":"10:20:43"},{"id":151,"name":"Denver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10"/>
        <v>grep -hSE -A400 "Enforcement Action" "%USERPROFILE%\AppData\Local\Temp\OnboardLogs"\RTDC4042\*4042*201704061*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"%USERPROFILE%\AppData\Local\Temp\OnboardLogs"\RTDC4042\*4042*201704061* &gt;&gt; 2017-04-06-SliceDisagreementCheck.txt</v>
      </c>
      <c r="AE26" s="153" t="str">
        <f t="shared" si="9"/>
        <v>start /low /b %USERPROFILE%\Documents\GitHub\eaglep3\Utilities\DownloadLogsFromS3.py --loco 4042 --day 2017-04-06</v>
      </c>
      <c r="AF26" s="1"/>
    </row>
    <row r="27" spans="1:32" x14ac:dyDescent="0.25">
      <c r="A27" s="32">
        <v>42831.670578703706</v>
      </c>
      <c r="B27" s="30" t="s">
        <v>449</v>
      </c>
      <c r="C27" s="30" t="s">
        <v>643</v>
      </c>
      <c r="D27" s="30" t="s">
        <v>49</v>
      </c>
      <c r="E27" s="30" t="s">
        <v>186</v>
      </c>
      <c r="F27" s="43">
        <v>0</v>
      </c>
      <c r="G27" s="43">
        <v>31</v>
      </c>
      <c r="H27" s="43">
        <v>233408</v>
      </c>
      <c r="I27" s="43">
        <v>233426</v>
      </c>
      <c r="J27" s="30" t="s">
        <v>187</v>
      </c>
      <c r="K27" s="43">
        <v>233491</v>
      </c>
      <c r="L27" s="139" t="s">
        <v>50</v>
      </c>
      <c r="M27" s="140">
        <f t="shared" si="0"/>
        <v>34.32</v>
      </c>
      <c r="N27" s="141" t="str">
        <f>VLOOKUP(C27,'Trips&amp;Operators'!$C$1:$G$99999,5,FALSE)</f>
        <v>DELGADO DIANAH</v>
      </c>
      <c r="O27" s="190" t="s">
        <v>185</v>
      </c>
      <c r="P27" s="142"/>
      <c r="Q27" s="30"/>
      <c r="R27" s="89" t="str">
        <f>IF(VLOOKUP(C27,'Train Runs'!$A$13:$AE$9938,1,1)=C27,VLOOKUP(C27,'Train Runs'!$A$13:$AE$9938,31,1),NA())</f>
        <v>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 &amp; aws s3 cp s3://rtdc.mdm.uploadarchive.raw/RTDC4004/ "%USERPROFILE%\AppData\Local\Temp\OnboardLogs"\RTDC4004\2017-04-07 --exclude "*" --recursive --include "*20170407*" &amp; "%USERPROFILE%\Documents\GitHub\mrs-test-scripts\Headless Mode &amp; Sideloading\WalkAndUnGZ.bat" "%USERPROFILE%\AppData\Local\Temp\OnboardLogs"\RTDC4004\2017-04-07</v>
      </c>
      <c r="S27" s="92" t="str">
        <f>VLOOKUP(C27,'Train Runs'!$A$13:$AE$9938,22,0)</f>
        <v>https://d0f6bd738d7f1b3e5a7ca70fe4ff75f0.us-east-1.aws.found.io/app/kibana#/discover/Steve-Slow-Train-Analysis-(2080s-and-2083s)?_g=(refreshInterval:(display:Off,pause:!f,section:0,value:0),time:(from:'2017-04-06T14:25:44-0600',mode:absolute,to:'2017-04-06T17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7" s="94" t="str">
        <f t="shared" si="1"/>
        <v>"C:\Program Files (x86)\AstroGrep\AstroGrep.exe" /e /r /s /spath="%USERPROFILE%\AppData\Local\Temp\OnboardLogs" /stypes="*4004*201704062*" /stext=" 22:.+((SYSTEM_STATE.+slice.+state.+changed )|(ment ac)|(multiple cpu faults)|(system.+state.+changed )|(\[timeout)|(PRM\|1\|D)|(kpr)|(kdp)|(\|lc)|(penalty))"</v>
      </c>
      <c r="U27" s="9" t="str">
        <f t="shared" si="2"/>
        <v>4004</v>
      </c>
      <c r="V27" s="32">
        <f t="shared" si="3"/>
        <v>42831.920578703706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{"issue":{"subject":"","project_id":79,"tracker_id":40,"status_id":1,"priority_id":2,"assigned_to_id":23,"start_date":"2017-04-06","description":"","custom_fields":[{"id":1,"name":"Subdivision","value":"EC"},{"id":4,"name":"Milepost","value":"23.3491"},{"id":17,"name":"Train ID","value":"195-06"},{"id":16,"name":"Locomotive ID","value":"4004"},{"id":130,"name":"Impact","value":""},{"id":150,"name":"Time of Event (Mountain Time)","value":"16:05:38"},{"id":151,"name":"Denver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10"/>
        <v>grep -hSE -A400 "Enforcement Action" "%USERPROFILE%\AppData\Local\Temp\OnboardLogs"\RTDC4004\*4004*201704062*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"%USERPROFILE%\AppData\Local\Temp\OnboardLogs"\RTDC4004\*4004*201704062* &gt;&gt; 2017-04-06-SliceDisagreementCheck.txt</v>
      </c>
      <c r="AE27" s="153" t="str">
        <f t="shared" si="9"/>
        <v>start /low /b %USERPROFILE%\Documents\GitHub\eaglep3\Utilities\DownloadLogsFromS3.py --loco 4004 --day 2017-04-06</v>
      </c>
      <c r="AF27" s="1"/>
    </row>
    <row r="28" spans="1:32" x14ac:dyDescent="0.25">
      <c r="A28" s="32">
        <v>42831.714236111111</v>
      </c>
      <c r="B28" s="30" t="s">
        <v>619</v>
      </c>
      <c r="C28" s="30" t="s">
        <v>647</v>
      </c>
      <c r="D28" s="30" t="s">
        <v>49</v>
      </c>
      <c r="E28" s="30" t="s">
        <v>186</v>
      </c>
      <c r="F28" s="43">
        <v>0</v>
      </c>
      <c r="G28" s="43">
        <v>56</v>
      </c>
      <c r="H28" s="43">
        <v>233268</v>
      </c>
      <c r="I28" s="43">
        <v>233324</v>
      </c>
      <c r="J28" s="30" t="s">
        <v>187</v>
      </c>
      <c r="K28" s="43">
        <v>233491</v>
      </c>
      <c r="L28" s="139" t="s">
        <v>50</v>
      </c>
      <c r="M28" s="140">
        <f t="shared" si="0"/>
        <v>88.176000000000002</v>
      </c>
      <c r="N28" s="141" t="str">
        <f>VLOOKUP(C28,'Trips&amp;Operators'!$C$1:$G$99999,5,FALSE)</f>
        <v>BRANDNER MELINDA</v>
      </c>
      <c r="O28" s="190" t="s">
        <v>185</v>
      </c>
      <c r="P28" s="142"/>
      <c r="Q28" s="30"/>
      <c r="R28" s="89" t="str">
        <f>IF(VLOOKUP(C28,'Train Runs'!$A$13:$AE$9938,1,1)=C28,VLOOKUP(C28,'Train Runs'!$A$13:$AE$9938,31,1),NA())</f>
        <v>aws s3 cp s3://rtdc.mdm.uploadarchive.raw/RTDC4054/ "%USERPROFILE%\AppData\Local\Temp\OnboardLogs"\RTDC4054\2017-04-06 --exclude "*" --recursive --include "*20170406*" &amp; "%USERPROFILE%\Documents\GitHub\mrs-test-scripts\Headless Mode &amp; Sideloading\WalkAndUnGZ.bat" "%USERPROFILE%\AppData\Local\Temp\OnboardLogs"\RTDC4054\2017-04-06 &amp; aws s3 cp s3://rtdc.mdm.uploadarchive.raw/RTDC4054/ "%USERPROFILE%\AppData\Local\Temp\OnboardLogs"\RTDC4054\2017-04-07 --exclude "*" --recursive --include "*20170407*" &amp; "%USERPROFILE%\Documents\GitHub\mrs-test-scripts\Headless Mode &amp; Sideloading\WalkAndUnGZ.bat" "%USERPROFILE%\AppData\Local\Temp\OnboardLogs"\RTDC4054\2017-04-07</v>
      </c>
      <c r="S28" s="92" t="str">
        <f>VLOOKUP(C28,'Train Runs'!$A$13:$AE$9938,22,0)</f>
        <v>https://d0f6bd738d7f1b3e5a7ca70fe4ff75f0.us-east-1.aws.found.io/app/kibana#/discover/Steve-Slow-Train-Analysis-(2080s-and-2083s)?_g=(refreshInterval:(display:Off,pause:!f,section:0,value:0),time:(from:'2017-04-06T15:23:43-0600',mode:absolute,to:'2017-04-06T18:08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28" s="94" t="str">
        <f t="shared" si="1"/>
        <v>"C:\Program Files (x86)\AstroGrep\AstroGrep.exe" /e /r /s /spath="%USERPROFILE%\AppData\Local\Temp\OnboardLogs" /stypes="*4054*201704062*" /stext=" 23:.+((SYSTEM_STATE.+slice.+state.+changed )|(ment ac)|(multiple cpu faults)|(system.+state.+changed )|(\[timeout)|(PRM\|1\|D)|(kpr)|(kdp)|(\|lc)|(penalty))"</v>
      </c>
      <c r="U28" s="9" t="str">
        <f t="shared" si="2"/>
        <v>4054</v>
      </c>
      <c r="V28" s="32">
        <f t="shared" si="3"/>
        <v>42831.964236111111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{"issue":{"subject":"","project_id":79,"tracker_id":40,"status_id":1,"priority_id":2,"assigned_to_id":23,"start_date":"2017-04-06","description":"","custom_fields":[{"id":1,"name":"Subdivision","value":"EC"},{"id":4,"name":"Milepost","value":"23.3491"},{"id":17,"name":"Train ID","value":"203-06"},{"id":16,"name":"Locomotive ID","value":"4054"},{"id":130,"name":"Impact","value":""},{"id":150,"name":"Time of Event (Mountain Time)","value":"17:08:30"},{"id":151,"name":"Denver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10"/>
        <v>grep -hSE -A400 "Enforcement Action" "%USERPROFILE%\AppData\Local\Temp\OnboardLogs"\RTDC4054\*4054*201704062*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"%USERPROFILE%\AppData\Local\Temp\OnboardLogs"\RTDC4054\*4054*201704062* &gt;&gt; 2017-04-06-SliceDisagreementCheck.txt</v>
      </c>
      <c r="AE28" s="153" t="str">
        <f t="shared" si="9"/>
        <v>start /low /b %USERPROFILE%\Documents\GitHub\eaglep3\Utilities\DownloadLogsFromS3.py --loco 4054 --day 2017-04-06</v>
      </c>
      <c r="AF28" s="1"/>
    </row>
    <row r="29" spans="1:32" x14ac:dyDescent="0.25">
      <c r="A29" s="32">
        <v>42831.755057870374</v>
      </c>
      <c r="B29" s="30" t="s">
        <v>482</v>
      </c>
      <c r="C29" s="30" t="s">
        <v>651</v>
      </c>
      <c r="D29" s="30" t="s">
        <v>49</v>
      </c>
      <c r="E29" s="30" t="s">
        <v>186</v>
      </c>
      <c r="F29" s="43">
        <v>0</v>
      </c>
      <c r="G29" s="43">
        <v>28</v>
      </c>
      <c r="H29" s="43">
        <v>233401</v>
      </c>
      <c r="I29" s="43">
        <v>233418</v>
      </c>
      <c r="J29" s="30" t="s">
        <v>187</v>
      </c>
      <c r="K29" s="43">
        <v>233491</v>
      </c>
      <c r="L29" s="139" t="s">
        <v>50</v>
      </c>
      <c r="M29" s="140">
        <f t="shared" si="0"/>
        <v>38.543999999999997</v>
      </c>
      <c r="N29" s="141" t="str">
        <f>VLOOKUP(C29,'Trips&amp;Operators'!$C$1:$G$99999,5,FALSE)</f>
        <v>DELGADO DIANAH</v>
      </c>
      <c r="O29" s="190" t="s">
        <v>185</v>
      </c>
      <c r="P29" s="142"/>
      <c r="Q29" s="30"/>
      <c r="R29" s="89" t="str">
        <f>IF(VLOOKUP(C29,'Train Runs'!$A$13:$AE$9938,1,1)=C29,VLOOKUP(C29,'Train Runs'!$A$13:$AE$9938,31,1),NA())</f>
        <v>aws s3 cp s3://rtdc.mdm.uploadarchive.raw/RTDC4016/ "%USERPROFILE%\AppData\Local\Temp\OnboardLogs"\RTDC4016\2017-04-06 --exclude "*" --recursive --include "*20170406*" &amp; "%USERPROFILE%\Documents\GitHub\mrs-test-scripts\Headless Mode &amp; Sideloading\WalkAndUnGZ.bat" "%USERPROFILE%\AppData\Local\Temp\OnboardLogs"\RTDC4016\2017-04-06 &amp; aws s3 cp s3://rtdc.mdm.uploadarchive.raw/RTDC4016/ "%USERPROFILE%\AppData\Local\Temp\OnboardLogs"\RTDC4016\2017-04-07 --exclude "*" --recursive --include "*20170407*" &amp; "%USERPROFILE%\Documents\GitHub\mrs-test-scripts\Headless Mode &amp; Sideloading\WalkAndUnGZ.bat" "%USERPROFILE%\AppData\Local\Temp\OnboardLogs"\RTDC4016\2017-04-07</v>
      </c>
      <c r="S29" s="92" t="str">
        <f>VLOOKUP(C29,'Train Runs'!$A$13:$AE$9938,22,0)</f>
        <v>https://d0f6bd738d7f1b3e5a7ca70fe4ff75f0.us-east-1.aws.found.io/app/kibana#/discover/Steve-Slow-Train-Analysis-(2080s-and-2083s)?_g=(refreshInterval:(display:Off,pause:!f,section:0,value:0),time:(from:'2017-04-06T16:24:16-0600',mode:absolute,to:'2017-04-06T19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29" s="94" t="str">
        <f t="shared" si="1"/>
        <v>"C:\Program Files (x86)\AstroGrep\AstroGrep.exe" /e /r /s /spath="%USERPROFILE%\AppData\Local\Temp\OnboardLogs" /stypes="*4016*201704070*" /stext=" 00:.+((SYSTEM_STATE.+slice.+state.+changed )|(ment ac)|(multiple cpu faults)|(system.+state.+changed )|(\[timeout)|(PRM\|1\|D)|(kpr)|(kdp)|(\|lc)|(penalty))"</v>
      </c>
      <c r="U29" s="9" t="str">
        <f t="shared" si="2"/>
        <v>4016</v>
      </c>
      <c r="V29" s="32">
        <f t="shared" si="3"/>
        <v>42832.005057870374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{"issue":{"subject":"","project_id":79,"tracker_id":40,"status_id":1,"priority_id":2,"assigned_to_id":23,"start_date":"2017-04-06","description":"","custom_fields":[{"id":1,"name":"Subdivision","value":"EC"},{"id":4,"name":"Milepost","value":"23.3491"},{"id":17,"name":"Train ID","value":"211-06"},{"id":16,"name":"Locomotive ID","value":"4016"},{"id":130,"name":"Impact","value":""},{"id":150,"name":"Time of Event (Mountain Time)","value":"18:07:17"},{"id":151,"name":"Denver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10"/>
        <v>grep -hSE -A400 "Enforcement Action" "%USERPROFILE%\AppData\Local\Temp\OnboardLogs"\RTDC4016\*4016*201704070*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"%USERPROFILE%\AppData\Local\Temp\OnboardLogs"\RTDC4016\*4016*201704070* &gt;&gt; 2017-04-06-SliceDisagreementCheck.txt</v>
      </c>
      <c r="AE29" s="153" t="str">
        <f t="shared" si="9"/>
        <v>start /low /b %USERPROFILE%\Documents\GitHub\eaglep3\Utilities\DownloadLogsFromS3.py --loco 4016 --day 2017-04-07</v>
      </c>
      <c r="AF29" s="1"/>
    </row>
    <row r="30" spans="1:32" x14ac:dyDescent="0.25">
      <c r="A30" s="32">
        <v>42831.818090277775</v>
      </c>
      <c r="B30" s="30" t="s">
        <v>449</v>
      </c>
      <c r="C30" s="30" t="s">
        <v>653</v>
      </c>
      <c r="D30" s="30" t="s">
        <v>49</v>
      </c>
      <c r="E30" s="30" t="s">
        <v>186</v>
      </c>
      <c r="F30" s="43">
        <v>0</v>
      </c>
      <c r="G30" s="43">
        <v>72</v>
      </c>
      <c r="H30" s="43">
        <v>233207</v>
      </c>
      <c r="I30" s="43">
        <v>233280</v>
      </c>
      <c r="J30" s="30" t="s">
        <v>187</v>
      </c>
      <c r="K30" s="43">
        <v>233491</v>
      </c>
      <c r="L30" s="139" t="s">
        <v>50</v>
      </c>
      <c r="M30" s="140">
        <f t="shared" si="0"/>
        <v>111.408</v>
      </c>
      <c r="N30" s="141" t="str">
        <f>VLOOKUP(C30,'Trips&amp;Operators'!$C$1:$G$99999,5,FALSE)</f>
        <v>CHANDLER KELVIN</v>
      </c>
      <c r="O30" s="190" t="s">
        <v>185</v>
      </c>
      <c r="P30" s="142"/>
      <c r="Q30" s="30"/>
      <c r="R30" s="89" t="str">
        <f>IF(VLOOKUP(C30,'Train Runs'!$A$13:$AE$9938,1,1)=C30,VLOOKUP(C30,'Train Runs'!$A$13:$AE$9938,31,1),NA())</f>
        <v>aws s3 cp s3://rtdc.mdm.uploadarchive.raw/RTDC4004/ "%USERPROFILE%\AppData\Local\Temp\OnboardLogs"\RTDC4004\2017-04-06 --exclude "*" --recursive --include "*20170406*" &amp; "%USERPROFILE%\Documents\GitHub\mrs-test-scripts\Headless Mode &amp; Sideloading\WalkAndUnGZ.bat" "%USERPROFILE%\AppData\Local\Temp\OnboardLogs"\RTDC4004\2017-04-06 &amp; aws s3 cp s3://rtdc.mdm.uploadarchive.raw/RTDC4004/ "%USERPROFILE%\AppData\Local\Temp\OnboardLogs"\RTDC4004\2017-04-07 --exclude "*" --recursive --include "*20170407*" &amp; "%USERPROFILE%\Documents\GitHub\mrs-test-scripts\Headless Mode &amp; Sideloading\WalkAndUnGZ.bat" "%USERPROFILE%\AppData\Local\Temp\OnboardLogs"\RTDC4004\2017-04-07</v>
      </c>
      <c r="S30" s="92" t="str">
        <f>VLOOKUP(C30,'Train Runs'!$A$13:$AE$9938,22,0)</f>
        <v>https://d0f6bd738d7f1b3e5a7ca70fe4ff75f0.us-east-1.aws.found.io/app/kibana#/discover/Steve-Slow-Train-Analysis-(2080s-and-2083s)?_g=(refreshInterval:(display:Off,pause:!f,section:0,value:0),time:(from:'2017-04-06T17:58:48-0600',mode:absolute,to:'2017-04-06T20:38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0" s="94" t="str">
        <f t="shared" si="1"/>
        <v>"C:\Program Files (x86)\AstroGrep\AstroGrep.exe" /e /r /s /spath="%USERPROFILE%\AppData\Local\Temp\OnboardLogs" /stypes="*4004*201704070*" /stext=" 01:.+((SYSTEM_STATE.+slice.+state.+changed )|(ment ac)|(multiple cpu faults)|(system.+state.+changed )|(\[timeout)|(PRM\|1\|D)|(kpr)|(kdp)|(\|lc)|(penalty))"</v>
      </c>
      <c r="U30" s="9" t="str">
        <f t="shared" si="2"/>
        <v>4004</v>
      </c>
      <c r="V30" s="32">
        <f t="shared" si="3"/>
        <v>42832.068090277775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{"issue":{"subject":"","project_id":79,"tracker_id":40,"status_id":1,"priority_id":2,"assigned_to_id":23,"start_date":"2017-04-06","description":"","custom_fields":[{"id":1,"name":"Subdivision","value":"EC"},{"id":4,"name":"Milepost","value":"23.3491"},{"id":17,"name":"Train ID","value":"221-06"},{"id":16,"name":"Locomotive ID","value":"4004"},{"id":130,"name":"Impact","value":""},{"id":150,"name":"Time of Event (Mountain Time)","value":"19:38:03"},{"id":151,"name":"Denver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10"/>
        <v>grep -hSE -A400 "Enforcement Action" "%USERPROFILE%\AppData\Local\Temp\OnboardLogs"\RTDC4004\*4004*201704070*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"%USERPROFILE%\AppData\Local\Temp\OnboardLogs"\RTDC4004\*4004*201704070* &gt;&gt; 2017-04-06-SliceDisagreementCheck.txt</v>
      </c>
      <c r="AE30" s="153" t="str">
        <f t="shared" si="9"/>
        <v>start /low /b %USERPROFILE%\Documents\GitHub\eaglep3\Utilities\DownloadLogsFromS3.py --loco 4004 --day 2017-04-07</v>
      </c>
      <c r="AF30" s="1"/>
    </row>
    <row r="31" spans="1:32" x14ac:dyDescent="0.25">
      <c r="A31" s="32">
        <v>42831.366678240738</v>
      </c>
      <c r="B31" s="30" t="s">
        <v>533</v>
      </c>
      <c r="C31" s="30" t="s">
        <v>629</v>
      </c>
      <c r="D31" s="30" t="s">
        <v>98</v>
      </c>
      <c r="E31" s="30" t="s">
        <v>214</v>
      </c>
      <c r="F31" s="43">
        <v>600</v>
      </c>
      <c r="G31" s="43">
        <v>654</v>
      </c>
      <c r="H31" s="43">
        <v>30871</v>
      </c>
      <c r="I31" s="43">
        <v>27899</v>
      </c>
      <c r="J31" s="30" t="s">
        <v>215</v>
      </c>
      <c r="K31" s="43">
        <v>36535</v>
      </c>
      <c r="L31" s="139" t="s">
        <v>51</v>
      </c>
      <c r="M31" s="140">
        <f t="shared" si="0"/>
        <v>-4559.808</v>
      </c>
      <c r="N31" s="141" t="str">
        <f>VLOOKUP(C31,'Trips&amp;Operators'!$C$1:$G$99999,5,FALSE)</f>
        <v>LOZA FIDEL</v>
      </c>
      <c r="O31" s="190" t="s">
        <v>185</v>
      </c>
      <c r="P31" s="142"/>
      <c r="Q31" s="30"/>
      <c r="R31" s="89" t="e">
        <f>IF(VLOOKUP(C31,'Train Runs'!$A$13:$AE$9938,1,1)=C31,VLOOKUP(C31,'Train Runs'!$A$13:$AE$9938,31,1),NA())</f>
        <v>#N/A</v>
      </c>
      <c r="S31" s="92" t="str">
        <f>VLOOKUP(C31,'Train Runs'!$A$13:$AE$9938,22,0)</f>
        <v>https://d0f6bd738d7f1b3e5a7ca70fe4ff75f0.us-east-1.aws.found.io/app/kibana#/discover/Steve-Slow-Train-Analysis-(2080s-and-2083s)?_g=(refreshInterval:(display:Off,pause:!f,section:0,value:0),time:(from:'2017-04-06T07:35:53-0600',mode:absolute,to:'2017-04-06T09:56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1" s="94" t="str">
        <f t="shared" si="1"/>
        <v>"C:\Program Files (x86)\AstroGrep\AstroGrep.exe" /e /r /s /spath="%USERPROFILE%\AppData\Local\Temp\OnboardLogs" /stypes="*4001*201704061*" /stext=" 14:.+((SYSTEM_STATE.+slice.+state.+changed )|(ment ac)|(multiple cpu faults)|(system.+state.+changed )|(\[timeout)|(PRM\|1\|D)|(kpr)|(kdp)|(\|lc)|(penalty))"</v>
      </c>
      <c r="U31" s="9" t="str">
        <f t="shared" si="2"/>
        <v>4001</v>
      </c>
      <c r="V31" s="32">
        <f t="shared" si="3"/>
        <v>42831.616678240738</v>
      </c>
      <c r="W31" s="46" t="str">
        <f t="shared" si="4"/>
        <v>NW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{"issue":{"subject":"","project_id":79,"tracker_id":40,"status_id":1,"priority_id":2,"assigned_to_id":23,"start_date":"2017-04-06","description":"","custom_fields":[{"id":1,"name":"Subdivision","value":"NW"},{"id":4,"name":"Milepost","value":"3.6535"},{"id":17,"name":"Train ID","value":"812-06"},{"id":16,"name":"Locomotive ID","value":"4001"},{"id":130,"name":"Impact","value":""},{"id":150,"name":"Time of Event (Mountain Time)","value":"08:48:01"},{"id":151,"name":"Denver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10"/>
        <v>grep -hSE -A400 "Enforcement Action" "%USERPROFILE%\AppData\Local\Temp\OnboardLogs"\RTDC4001\*4001*201704061*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"%USERPROFILE%\AppData\Local\Temp\OnboardLogs"\RTDC4001\*4001*201704061* &gt;&gt; 2017-04-06-SliceDisagreementCheck.txt</v>
      </c>
      <c r="AE31" s="153" t="str">
        <f t="shared" si="9"/>
        <v>start /low /b %USERPROFILE%\Documents\GitHub\eaglep3\Utilities\DownloadLogsFromS3.py --loco 4001 --day 2017-04-06</v>
      </c>
      <c r="AF31" s="1"/>
    </row>
    <row r="32" spans="1:32" x14ac:dyDescent="0.25">
      <c r="A32" s="32">
        <v>42831.324293981481</v>
      </c>
      <c r="B32" s="30" t="s">
        <v>533</v>
      </c>
      <c r="C32" s="30" t="s">
        <v>625</v>
      </c>
      <c r="D32" s="30" t="s">
        <v>98</v>
      </c>
      <c r="E32" s="30" t="s">
        <v>214</v>
      </c>
      <c r="F32" s="43">
        <v>400</v>
      </c>
      <c r="G32" s="43">
        <v>460</v>
      </c>
      <c r="H32" s="43">
        <v>38923</v>
      </c>
      <c r="I32" s="43">
        <v>37624</v>
      </c>
      <c r="J32" s="30" t="s">
        <v>215</v>
      </c>
      <c r="K32" s="43">
        <v>40977</v>
      </c>
      <c r="L32" s="139" t="s">
        <v>51</v>
      </c>
      <c r="M32" s="140">
        <f t="shared" si="0"/>
        <v>-1770.384</v>
      </c>
      <c r="N32" s="141" t="str">
        <f>VLOOKUP(C32,'Trips&amp;Operators'!$C$1:$G$99999,5,FALSE)</f>
        <v>LOZA FIDEL</v>
      </c>
      <c r="O32" s="190" t="s">
        <v>185</v>
      </c>
      <c r="P32" s="142"/>
      <c r="Q32" s="30"/>
      <c r="R32" s="89" t="str">
        <f>IF(VLOOKUP(C32,'Train Runs'!$A$13:$AE$9938,1,1)=C32,VLOOKUP(C32,'Train Runs'!$A$13:$AE$9938,31,1),NA())</f>
        <v>aws s3 cp s3://rtdc.mdm.uploadarchive.raw/RTDC4001/ "%USERPROFILE%\AppData\Local\Temp\OnboardLogs"\RTDC4001\2017-04-06 --exclude "*" --recursive --include "*20170406*" &amp; "%USERPROFILE%\Documents\GitHub\mrs-test-scripts\Headless Mode &amp; Sideloading\WalkAndUnGZ.bat" "%USERPROFILE%\AppData\Local\Temp\OnboardLogs"\RTDC4001\2017-04-06 &amp; aws s3 cp s3://rtdc.mdm.uploadarchive.raw/RTDC4001/ "%USERPROFILE%\AppData\Local\Temp\OnboardLogs"\RTDC4001\2017-04-07 --exclude "*" --recursive --include "*20170407*" &amp; "%USERPROFILE%\Documents\GitHub\mrs-test-scripts\Headless Mode &amp; Sideloading\WalkAndUnGZ.bat" "%USERPROFILE%\AppData\Local\Temp\OnboardLogs"\RTDC4001\2017-04-07</v>
      </c>
      <c r="S32" s="92" t="str">
        <f>VLOOKUP(C32,'Train Runs'!$A$13:$AE$9938,22,0)</f>
        <v>https://d0f6bd738d7f1b3e5a7ca70fe4ff75f0.us-east-1.aws.found.io/app/kibana#/discover/Steve-Slow-Train-Analysis-(2080s-and-2083s)?_g=(refreshInterval:(display:Off,pause:!f,section:0,value:0),time:(from:'2017-04-06T06:35:02-0600',mode:absolute,to:'2017-04-06T08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2" s="94" t="str">
        <f t="shared" si="1"/>
        <v>"C:\Program Files (x86)\AstroGrep\AstroGrep.exe" /e /r /s /spath="%USERPROFILE%\AppData\Local\Temp\OnboardLogs" /stypes="*4001*201704061*" /stext=" 13:.+((SYSTEM_STATE.+slice.+state.+changed )|(ment ac)|(multiple cpu faults)|(system.+state.+changed )|(\[timeout)|(PRM\|1\|D)|(kpr)|(kdp)|(\|lc)|(penalty))"</v>
      </c>
      <c r="U32" s="9" t="str">
        <f t="shared" si="2"/>
        <v>4001</v>
      </c>
      <c r="V32" s="32">
        <f t="shared" si="3"/>
        <v>42831.574293981481</v>
      </c>
      <c r="W32" s="46" t="str">
        <f t="shared" si="4"/>
        <v>NW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{"issue":{"subject":"","project_id":79,"tracker_id":40,"status_id":1,"priority_id":2,"assigned_to_id":23,"start_date":"2017-04-06","description":"","custom_fields":[{"id":1,"name":"Subdivision","value":"NW"},{"id":4,"name":"Milepost","value":"4.0977"},{"id":17,"name":"Train ID","value":"808-06"},{"id":16,"name":"Locomotive ID","value":"4001"},{"id":130,"name":"Impact","value":""},{"id":150,"name":"Time of Event (Mountain Time)","value":"07:46:59"},{"id":151,"name":"Denver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10"/>
        <v>grep -hSE -A400 "Enforcement Action" "%USERPROFILE%\AppData\Local\Temp\OnboardLogs"\RTDC4001\*4001*201704061*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"%USERPROFILE%\AppData\Local\Temp\OnboardLogs"\RTDC4001\*4001*201704061* &gt;&gt; 2017-04-06-SliceDisagreementCheck.txt</v>
      </c>
      <c r="AE32" s="153" t="str">
        <f t="shared" si="9"/>
        <v>start /low /b %USERPROFILE%\Documents\GitHub\eaglep3\Utilities\DownloadLogsFromS3.py --loco 4001 --day 2017-04-06</v>
      </c>
      <c r="AF32" s="1"/>
    </row>
    <row r="33" spans="1:32" x14ac:dyDescent="0.25">
      <c r="A33" s="32">
        <v>42831.349247685182</v>
      </c>
      <c r="B33" s="30" t="s">
        <v>479</v>
      </c>
      <c r="C33" s="30" t="s">
        <v>627</v>
      </c>
      <c r="D33" s="30" t="s">
        <v>49</v>
      </c>
      <c r="E33" s="30" t="s">
        <v>451</v>
      </c>
      <c r="F33" s="43">
        <v>0</v>
      </c>
      <c r="G33" s="43">
        <v>145</v>
      </c>
      <c r="H33" s="43">
        <v>5243</v>
      </c>
      <c r="I33" s="43">
        <v>5122</v>
      </c>
      <c r="J33" s="30" t="s">
        <v>452</v>
      </c>
      <c r="K33" s="43">
        <v>4790</v>
      </c>
      <c r="L33" s="139" t="s">
        <v>51</v>
      </c>
      <c r="M33" s="140">
        <f t="shared" si="0"/>
        <v>175.29599999999999</v>
      </c>
      <c r="N33" s="141" t="str">
        <f>VLOOKUP(C33,'Trips&amp;Operators'!$C$1:$G$99999,5,FALSE)</f>
        <v>SHOOK JOHN</v>
      </c>
      <c r="O33" s="190" t="s">
        <v>185</v>
      </c>
      <c r="P33" s="142" t="s">
        <v>1041</v>
      </c>
      <c r="Q33" s="30"/>
      <c r="R33" s="89" t="str">
        <f>IF(VLOOKUP(C33,'Train Runs'!$A$13:$AE$9938,1,1)=C33,VLOOKUP(C33,'Train Runs'!$A$13:$AE$9938,31,1),NA())</f>
        <v>aws s3 cp s3://rtdc.mdm.uploadarchive.raw/RTDC4019/ "%USERPROFILE%\AppData\Local\Temp\OnboardLogs"\RTDC4019\2017-04-06 --exclude "*" --recursive --include "*20170406*" &amp; "%USERPROFILE%\Documents\GitHub\mrs-test-scripts\Headless Mode &amp; Sideloading\WalkAndUnGZ.bat" "%USERPROFILE%\AppData\Local\Temp\OnboardLogs"\RTDC4019\2017-04-06 &amp; aws s3 cp s3://rtdc.mdm.uploadarchive.raw/RTDC4019/ "%USERPROFILE%\AppData\Local\Temp\OnboardLogs"\RTDC4019\2017-04-07 --exclude "*" --recursive --include "*20170407*" &amp; "%USERPROFILE%\Documents\GitHub\mrs-test-scripts\Headless Mode &amp; Sideloading\WalkAndUnGZ.bat" "%USERPROFILE%\AppData\Local\Temp\OnboardLogs"\RTDC4019\2017-04-07</v>
      </c>
      <c r="S33" s="92" t="str">
        <f>VLOOKUP(C33,'Train Runs'!$A$13:$AE$9938,22,0)</f>
        <v>https://d0f6bd738d7f1b3e5a7ca70fe4ff75f0.us-east-1.aws.found.io/app/kibana#/discover/Steve-Slow-Train-Analysis-(2080s-and-2083s)?_g=(refreshInterval:(display:Off,pause:!f,section:0,value:0),time:(from:'2017-04-06T07:06:47-0600',mode:absolute,to:'2017-04-06T09:26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3" s="94" t="str">
        <f t="shared" si="1"/>
        <v>"C:\Program Files (x86)\AstroGrep\AstroGrep.exe" /e /r /s /spath="%USERPROFILE%\AppData\Local\Temp\OnboardLogs" /stypes="*4019*201704061*" /stext=" 14:.+((SYSTEM_STATE.+slice.+state.+changed )|(ment ac)|(multiple cpu faults)|(system.+state.+changed )|(\[timeout)|(PRM\|1\|D)|(kpr)|(kdp)|(\|lc)|(penalty))"</v>
      </c>
      <c r="U33" s="9" t="str">
        <f t="shared" si="2"/>
        <v>4019</v>
      </c>
      <c r="V33" s="32">
        <f t="shared" si="3"/>
        <v>42831.599247685182</v>
      </c>
      <c r="W33" s="46" t="str">
        <f t="shared" si="4"/>
        <v>NW</v>
      </c>
      <c r="X33" s="46" t="str">
        <f t="shared" si="5"/>
        <v>KEEP</v>
      </c>
      <c r="Y33" s="104" t="str">
        <f t="shared" si="6"/>
        <v>echo {"issue":{"subject":"DUS 28S STOP","project_id":79,"tracker_id":40,"status_id":1,"priority_id":2,"assigned_to_id":23,"start_date":"2017-04-06","description":"","custom_fields":[{"id":1,"name":"Subdivision","value":"NW"},{"id":4,"name":"Milepost","value":"0.479"},{"id":17,"name":"Train ID","value":"810-06"},{"id":16,"name":"Locomotive ID","value":"4019"},{"id":130,"name":"Impact","value":""},{"id":150,"name":"Time of Event (Mountain Time)","value":"08:22:55"},{"id":151,"name":"Denver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10"/>
        <v>grep -hSE -A400 "Enforcement Action" "%USERPROFILE%\AppData\Local\Temp\OnboardLogs"\RTDC4019\*4019*201704061*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"%USERPROFILE%\AppData\Local\Temp\OnboardLogs"\RTDC4019\*4019*201704061* &gt;&gt; 2017-04-06-SliceDisagreementCheck.txt</v>
      </c>
      <c r="AE33" s="153" t="str">
        <f t="shared" si="9"/>
        <v>start /low /b %USERPROFILE%\Documents\GitHub\eaglep3\Utilities\DownloadLogsFromS3.py --loco 4019 --day 2017-04-06</v>
      </c>
      <c r="AF33" s="1"/>
    </row>
    <row r="34" spans="1:32" x14ac:dyDescent="0.25">
      <c r="A34" s="32">
        <v>42831.684618055559</v>
      </c>
      <c r="B34" s="30" t="s">
        <v>479</v>
      </c>
      <c r="C34" s="30" t="s">
        <v>645</v>
      </c>
      <c r="D34" s="30" t="s">
        <v>49</v>
      </c>
      <c r="E34" s="30" t="s">
        <v>186</v>
      </c>
      <c r="F34" s="43">
        <v>0</v>
      </c>
      <c r="G34" s="43">
        <v>26</v>
      </c>
      <c r="H34" s="43">
        <v>647</v>
      </c>
      <c r="I34" s="43">
        <v>619</v>
      </c>
      <c r="J34" s="30" t="s">
        <v>187</v>
      </c>
      <c r="K34" s="43">
        <v>575</v>
      </c>
      <c r="L34" s="139" t="s">
        <v>51</v>
      </c>
      <c r="M34" s="140">
        <f t="shared" si="0"/>
        <v>23.231999999999999</v>
      </c>
      <c r="N34" s="141" t="str">
        <f>VLOOKUP(C34,'Trips&amp;Operators'!$C$1:$G$99999,5,FALSE)</f>
        <v>STORY SAMANTHA</v>
      </c>
      <c r="O34" s="190" t="s">
        <v>185</v>
      </c>
      <c r="P34" s="142"/>
      <c r="Q34" s="30"/>
      <c r="R34" s="89" t="e">
        <f>IF(VLOOKUP(C34,'Train Runs'!$A$13:$AE$9938,1,1)=C34,VLOOKUP(C34,'Train Runs'!$A$13:$AE$9938,31,1),NA())</f>
        <v>#N/A</v>
      </c>
      <c r="S34" s="92" t="str">
        <f>VLOOKUP(C34,'Train Runs'!$A$13:$AE$9938,22,0)</f>
        <v>https://d0f6bd738d7f1b3e5a7ca70fe4ff75f0.us-east-1.aws.found.io/app/kibana#/discover/Steve-Slow-Train-Analysis-(2080s-and-2083s)?_g=(refreshInterval:(display:Off,pause:!f,section:0,value:0),time:(from:'2017-04-06T15:07:31-0600',mode:absolute,to:'2017-04-06T17:25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34" s="94" t="str">
        <f t="shared" si="1"/>
        <v>"C:\Program Files (x86)\AstroGrep\AstroGrep.exe" /e /r /s /spath="%USERPROFILE%\AppData\Local\Temp\OnboardLogs" /stypes="*4019*201704062*" /stext=" 22:.+((SYSTEM_STATE.+slice.+state.+changed )|(ment ac)|(multiple cpu faults)|(system.+state.+changed )|(\[timeout)|(PRM\|1\|D)|(kpr)|(kdp)|(\|lc)|(penalty))"</v>
      </c>
      <c r="U34" s="9" t="str">
        <f t="shared" si="2"/>
        <v>4019</v>
      </c>
      <c r="V34" s="32">
        <f t="shared" si="3"/>
        <v>42831.934618055559</v>
      </c>
      <c r="W34" s="46" t="str">
        <f t="shared" si="4"/>
        <v>NW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{"issue":{"subject":"","project_id":79,"tracker_id":40,"status_id":1,"priority_id":2,"assigned_to_id":23,"start_date":"2017-04-06","description":"","custom_fields":[{"id":1,"name":"Subdivision","value":"NW"},{"id":4,"name":"Milepost","value":"0.0575"},{"id":17,"name":"Train ID","value":"828-06"},{"id":16,"name":"Locomotive ID","value":"4019"},{"id":130,"name":"Impact","value":""},{"id":150,"name":"Time of Event (Mountain Time)","value":"16:25:51"},{"id":151,"name":"Denver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10"/>
        <v>grep -hSE -A400 "Enforcement Action" "%USERPROFILE%\AppData\Local\Temp\OnboardLogs"\RTDC4019\*4019*201704062*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"%USERPROFILE%\AppData\Local\Temp\OnboardLogs"\RTDC4019\*4019*201704062* &gt;&gt; 2017-04-06-SliceDisagreementCheck.txt</v>
      </c>
      <c r="AE34" s="153" t="str">
        <f t="shared" si="9"/>
        <v>start /low /b %USERPROFILE%\Documents\GitHub\eaglep3\Utilities\DownloadLogsFromS3.py --loco 4019 --day 2017-04-06</v>
      </c>
      <c r="AF34" s="1"/>
    </row>
    <row r="35" spans="1:32" x14ac:dyDescent="0.25">
      <c r="A35" s="32">
        <v>42831.747152777774</v>
      </c>
      <c r="B35" s="30" t="s">
        <v>533</v>
      </c>
      <c r="C35" s="30" t="s">
        <v>648</v>
      </c>
      <c r="D35" s="30" t="s">
        <v>49</v>
      </c>
      <c r="E35" s="30" t="s">
        <v>186</v>
      </c>
      <c r="F35" s="43">
        <v>0</v>
      </c>
      <c r="G35" s="43">
        <v>32</v>
      </c>
      <c r="H35" s="43">
        <v>652</v>
      </c>
      <c r="I35" s="43">
        <v>638</v>
      </c>
      <c r="J35" s="30" t="s">
        <v>187</v>
      </c>
      <c r="K35" s="43">
        <v>575</v>
      </c>
      <c r="L35" s="139" t="s">
        <v>51</v>
      </c>
      <c r="M35" s="140">
        <f t="shared" si="0"/>
        <v>33.264000000000003</v>
      </c>
      <c r="N35" s="141" t="str">
        <f>VLOOKUP(C35,'Trips&amp;Operators'!$C$1:$G$99999,5,FALSE)</f>
        <v>SULLIVAN BRANDON</v>
      </c>
      <c r="O35" s="190" t="s">
        <v>185</v>
      </c>
      <c r="P35" s="142"/>
      <c r="Q35" s="30"/>
      <c r="R35" s="89" t="e">
        <f>IF(VLOOKUP(C35,'Train Runs'!$A$13:$AE$9938,1,1)=C35,VLOOKUP(C35,'Train Runs'!$A$13:$AE$9938,31,1),NA())</f>
        <v>#N/A</v>
      </c>
      <c r="S35" s="92" t="str">
        <f>VLOOKUP(C35,'Train Runs'!$A$13:$AE$9938,22,0)</f>
        <v>https://d0f6bd738d7f1b3e5a7ca70fe4ff75f0.us-east-1.aws.found.io/app/kibana#/discover/Steve-Slow-Train-Analysis-(2080s-and-2083s)?_g=(refreshInterval:(display:Off,pause:!f,section:0,value:0),time:(from:'2017-04-06T16:36:55-0600',mode:absolute,to:'2017-04-06T18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5" s="94" t="str">
        <f t="shared" si="1"/>
        <v>"C:\Program Files (x86)\AstroGrep\AstroGrep.exe" /e /r /s /spath="%USERPROFILE%\AppData\Local\Temp\OnboardLogs" /stypes="*4001*201704062*" /stext=" 23:.+((SYSTEM_STATE.+slice.+state.+changed )|(ment ac)|(multiple cpu faults)|(system.+state.+changed )|(\[timeout)|(PRM\|1\|D)|(kpr)|(kdp)|(\|lc)|(penalty))"</v>
      </c>
      <c r="U35" s="9" t="str">
        <f t="shared" si="2"/>
        <v>4001</v>
      </c>
      <c r="V35" s="32">
        <f t="shared" si="3"/>
        <v>42831.997152777774</v>
      </c>
      <c r="W35" s="46" t="str">
        <f t="shared" si="4"/>
        <v>NW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{"issue":{"subject":"","project_id":79,"tracker_id":40,"status_id":1,"priority_id":2,"assigned_to_id":23,"start_date":"2017-04-06","description":"","custom_fields":[{"id":1,"name":"Subdivision","value":"NW"},{"id":4,"name":"Milepost","value":"0.0575"},{"id":17,"name":"Train ID","value":"834-06"},{"id":16,"name":"Locomotive ID","value":"4001"},{"id":130,"name":"Impact","value":""},{"id":150,"name":"Time of Event (Mountain Time)","value":"17:55:54"},{"id":151,"name":"Denver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10"/>
        <v>grep -hSE -A400 "Enforcement Action" "%USERPROFILE%\AppData\Local\Temp\OnboardLogs"\RTDC4001\*4001*201704062*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"%USERPROFILE%\AppData\Local\Temp\OnboardLogs"\RTDC4001\*4001*201704062* &gt;&gt; 2017-04-06-SliceDisagreementCheck.txt</v>
      </c>
      <c r="AE35" s="153" t="str">
        <f t="shared" si="9"/>
        <v>start /low /b %USERPROFILE%\Documents\GitHub\eaglep3\Utilities\DownloadLogsFromS3.py --loco 4001 --day 2017-04-06</v>
      </c>
      <c r="AF35" s="1"/>
    </row>
    <row r="36" spans="1:32" x14ac:dyDescent="0.25">
      <c r="A36" s="32">
        <v>42831.872187499997</v>
      </c>
      <c r="B36" s="30" t="s">
        <v>533</v>
      </c>
      <c r="C36" s="30" t="s">
        <v>655</v>
      </c>
      <c r="D36" s="30" t="s">
        <v>49</v>
      </c>
      <c r="E36" s="30" t="s">
        <v>186</v>
      </c>
      <c r="F36" s="43">
        <v>0</v>
      </c>
      <c r="G36" s="43">
        <v>33</v>
      </c>
      <c r="H36" s="43">
        <v>670</v>
      </c>
      <c r="I36" s="43">
        <v>663</v>
      </c>
      <c r="J36" s="30" t="s">
        <v>187</v>
      </c>
      <c r="K36" s="43">
        <v>575</v>
      </c>
      <c r="L36" s="139" t="s">
        <v>51</v>
      </c>
      <c r="M36" s="140">
        <f t="shared" si="0"/>
        <v>46.463999999999999</v>
      </c>
      <c r="N36" s="141" t="str">
        <f>VLOOKUP(C36,'Trips&amp;Operators'!$C$1:$G$99999,5,FALSE)</f>
        <v>SULLIVAN BRANDON</v>
      </c>
      <c r="O36" s="190" t="s">
        <v>185</v>
      </c>
      <c r="P36" s="142"/>
      <c r="Q36" s="30"/>
      <c r="R36" s="89" t="e">
        <f>IF(VLOOKUP(C36,'Train Runs'!$A$13:$AE$9938,1,1)=C36,VLOOKUP(C36,'Train Runs'!$A$13:$AE$9938,31,1),NA())</f>
        <v>#N/A</v>
      </c>
      <c r="S36" s="92" t="str">
        <f>VLOOKUP(C36,'Train Runs'!$A$13:$AE$9938,22,0)</f>
        <v>https://d0f6bd738d7f1b3e5a7ca70fe4ff75f0.us-east-1.aws.found.io/app/kibana#/discover/Steve-Slow-Train-Analysis-(2080s-and-2083s)?_g=(refreshInterval:(display:Off,pause:!f,section:0,value:0),time:(from:'2017-04-06T19:37:33-0600',mode:absolute,to:'2017-04-06T21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36" s="94" t="str">
        <f t="shared" si="1"/>
        <v>"C:\Program Files (x86)\AstroGrep\AstroGrep.exe" /e /r /s /spath="%USERPROFILE%\AppData\Local\Temp\OnboardLogs" /stypes="*4001*201704070*" /stext=" 02:.+((SYSTEM_STATE.+slice.+state.+changed )|(ment ac)|(multiple cpu faults)|(system.+state.+changed )|(\[timeout)|(PRM\|1\|D)|(kpr)|(kdp)|(\|lc)|(penalty))"</v>
      </c>
      <c r="U36" s="9" t="str">
        <f t="shared" si="2"/>
        <v>4001</v>
      </c>
      <c r="V36" s="32">
        <f t="shared" si="3"/>
        <v>42832.122187499997</v>
      </c>
      <c r="W36" s="46" t="str">
        <f t="shared" si="4"/>
        <v>NW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{"issue":{"subject":"","project_id":79,"tracker_id":40,"status_id":1,"priority_id":2,"assigned_to_id":23,"start_date":"2017-04-06","description":"","custom_fields":[{"id":1,"name":"Subdivision","value":"NW"},{"id":4,"name":"Milepost","value":"0.0575"},{"id":17,"name":"Train ID","value":"842-06"},{"id":16,"name":"Locomotive ID","value":"4001"},{"id":130,"name":"Impact","value":""},{"id":150,"name":"Time of Event (Mountain Time)","value":"20:55:57"},{"id":151,"name":"Denver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10"/>
        <v>grep -hSE -A400 "Enforcement Action" "%USERPROFILE%\AppData\Local\Temp\OnboardLogs"\RTDC4001\*4001*201704070*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"%USERPROFILE%\AppData\Local\Temp\OnboardLogs"\RTDC4001\*4001*201704070* &gt;&gt; 2017-04-06-SliceDisagreementCheck.txt</v>
      </c>
      <c r="AE36" s="153" t="str">
        <f t="shared" si="9"/>
        <v>start /low /b %USERPROFILE%\Documents\GitHub\eaglep3\Utilities\DownloadLogsFromS3.py --loco 4001 --day 2017-04-07</v>
      </c>
      <c r="AF36" s="1"/>
    </row>
    <row r="37" spans="1:32" x14ac:dyDescent="0.25">
      <c r="A37" s="32">
        <v>42831.399398148147</v>
      </c>
      <c r="B37" s="30" t="s">
        <v>539</v>
      </c>
      <c r="C37" s="30" t="s">
        <v>631</v>
      </c>
      <c r="D37" s="30" t="s">
        <v>49</v>
      </c>
      <c r="E37" s="30" t="s">
        <v>186</v>
      </c>
      <c r="F37" s="43">
        <v>0</v>
      </c>
      <c r="G37" s="43">
        <v>15</v>
      </c>
      <c r="H37" s="43">
        <v>58995</v>
      </c>
      <c r="I37" s="43">
        <v>59001</v>
      </c>
      <c r="J37" s="30" t="s">
        <v>187</v>
      </c>
      <c r="K37" s="43">
        <v>59048</v>
      </c>
      <c r="L37" s="139" t="s">
        <v>50</v>
      </c>
      <c r="M37" s="140">
        <f t="shared" si="0"/>
        <v>24.815999999999999</v>
      </c>
      <c r="N37" s="141" t="str">
        <f>VLOOKUP(C37,'Trips&amp;Operators'!$C$1:$G$99999,5,FALSE)</f>
        <v>LOZA FIDEL</v>
      </c>
      <c r="O37" s="190" t="s">
        <v>185</v>
      </c>
      <c r="P37" s="142"/>
      <c r="Q37" s="30"/>
      <c r="R37" s="89" t="e">
        <f>IF(VLOOKUP(C37,'Train Runs'!$A$13:$AE$9938,1,1)=C37,VLOOKUP(C37,'Train Runs'!$A$13:$AE$9938,31,1),NA())</f>
        <v>#N/A</v>
      </c>
      <c r="S37" s="92" t="str">
        <f>VLOOKUP(C37,'Train Runs'!$A$13:$AE$9938,22,0)</f>
        <v>https://d0f6bd738d7f1b3e5a7ca70fe4ff75f0.us-east-1.aws.found.io/app/kibana#/discover/Steve-Slow-Train-Analysis-(2080s-and-2083s)?_g=(refreshInterval:(display:Off,pause:!f,section:0,value:0),time:(from:'2017-04-06T07:58:55-0600',mode:absolute,to:'2017-04-06T10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7" s="94" t="str">
        <f t="shared" si="1"/>
        <v>"C:\Program Files (x86)\AstroGrep\AstroGrep.exe" /e /r /s /spath="%USERPROFILE%\AppData\Local\Temp\OnboardLogs" /stypes="*4002*201704061*" /stext=" 15:.+((SYSTEM_STATE.+slice.+state.+changed )|(ment ac)|(multiple cpu faults)|(system.+state.+changed )|(\[timeout)|(PRM\|1\|D)|(kpr)|(kdp)|(\|lc)|(penalty))"</v>
      </c>
      <c r="U37" s="9" t="str">
        <f t="shared" si="2"/>
        <v>4002</v>
      </c>
      <c r="V37" s="32">
        <f t="shared" si="3"/>
        <v>42831.649398148147</v>
      </c>
      <c r="W37" s="46" t="str">
        <f t="shared" si="4"/>
        <v>NW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{"issue":{"subject":"","project_id":79,"tracker_id":40,"status_id":1,"priority_id":2,"assigned_to_id":23,"start_date":"2017-04-06","description":"","custom_fields":[{"id":1,"name":"Subdivision","value":"NW"},{"id":4,"name":"Milepost","value":"5.9048"},{"id":17,"name":"Train ID","value":"813-06"},{"id":16,"name":"Locomotive ID","value":"4002"},{"id":130,"name":"Impact","value":""},{"id":150,"name":"Time of Event (Mountain Time)","value":"09:35:08"},{"id":151,"name":"Denver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10"/>
        <v>grep -hSE -A400 "Enforcement Action" "%USERPROFILE%\AppData\Local\Temp\OnboardLogs"\RTDC4002\*4002*201704061*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"%USERPROFILE%\AppData\Local\Temp\OnboardLogs"\RTDC4002\*4002*201704061* &gt;&gt; 2017-04-06-SliceDisagreementCheck.txt</v>
      </c>
      <c r="AE37" s="153" t="str">
        <f t="shared" si="9"/>
        <v>start /low /b %USERPROFILE%\Documents\GitHub\eaglep3\Utilities\DownloadLogsFromS3.py --loco 4002 --day 2017-04-06</v>
      </c>
      <c r="AF37" s="1"/>
    </row>
    <row r="38" spans="1:32" x14ac:dyDescent="0.25">
      <c r="A38" s="32">
        <v>42831.524351851855</v>
      </c>
      <c r="B38" s="30" t="s">
        <v>539</v>
      </c>
      <c r="C38" s="30" t="s">
        <v>637</v>
      </c>
      <c r="D38" s="30" t="s">
        <v>49</v>
      </c>
      <c r="E38" s="30" t="s">
        <v>186</v>
      </c>
      <c r="F38" s="43">
        <v>0</v>
      </c>
      <c r="G38" s="43">
        <v>20</v>
      </c>
      <c r="H38" s="43">
        <v>58976</v>
      </c>
      <c r="I38" s="43">
        <v>58988</v>
      </c>
      <c r="J38" s="30" t="s">
        <v>187</v>
      </c>
      <c r="K38" s="43">
        <v>59048</v>
      </c>
      <c r="L38" s="139" t="s">
        <v>50</v>
      </c>
      <c r="M38" s="140">
        <f t="shared" si="0"/>
        <v>31.68</v>
      </c>
      <c r="N38" s="141" t="str">
        <f>VLOOKUP(C38,'Trips&amp;Operators'!$C$1:$G$99999,5,FALSE)</f>
        <v>LOZA FIDEL</v>
      </c>
      <c r="O38" s="190" t="s">
        <v>185</v>
      </c>
      <c r="P38" s="142"/>
      <c r="Q38" s="30"/>
      <c r="R38" s="89" t="e">
        <f>IF(VLOOKUP(C38,'Train Runs'!$A$13:$AE$9938,1,1)=C38,VLOOKUP(C38,'Train Runs'!$A$13:$AE$9938,31,1),NA())</f>
        <v>#N/A</v>
      </c>
      <c r="S38" s="92" t="str">
        <f>VLOOKUP(C38,'Train Runs'!$A$13:$AE$9938,22,0)</f>
        <v>https://d0f6bd738d7f1b3e5a7ca70fe4ff75f0.us-east-1.aws.found.io/app/kibana#/discover/Steve-Slow-Train-Analysis-(2080s-and-2083s)?_g=(refreshInterval:(display:Off,pause:!f,section:0,value:0),time:(from:'2017-04-06T11:08:44-0600',mode:absolute,to:'2017-04-06T13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8" s="94" t="str">
        <f t="shared" si="1"/>
        <v>"C:\Program Files (x86)\AstroGrep\AstroGrep.exe" /e /r /s /spath="%USERPROFILE%\AppData\Local\Temp\OnboardLogs" /stypes="*4002*201704061*" /stext=" 18:.+((SYSTEM_STATE.+slice.+state.+changed )|(ment ac)|(multiple cpu faults)|(system.+state.+changed )|(\[timeout)|(PRM\|1\|D)|(kpr)|(kdp)|(\|lc)|(penalty))"</v>
      </c>
      <c r="U38" s="9" t="str">
        <f t="shared" si="2"/>
        <v>4002</v>
      </c>
      <c r="V38" s="32">
        <f t="shared" si="3"/>
        <v>42831.774351851855</v>
      </c>
      <c r="W38" s="46" t="str">
        <f t="shared" si="4"/>
        <v>NW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{"issue":{"subject":"","project_id":79,"tracker_id":40,"status_id":1,"priority_id":2,"assigned_to_id":23,"start_date":"2017-04-06","description":"","custom_fields":[{"id":1,"name":"Subdivision","value":"NW"},{"id":4,"name":"Milepost","value":"5.9048"},{"id":17,"name":"Train ID","value":"819-06"},{"id":16,"name":"Locomotive ID","value":"4002"},{"id":130,"name":"Impact","value":""},{"id":150,"name":"Time of Event (Mountain Time)","value":"12:35:04"},{"id":151,"name":"Denver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10"/>
        <v>grep -hSE -A400 "Enforcement Action" "%USERPROFILE%\AppData\Local\Temp\OnboardLogs"\RTDC4002\*4002*201704061*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"%USERPROFILE%\AppData\Local\Temp\OnboardLogs"\RTDC4002\*4002*201704061* &gt;&gt; 2017-04-06-SliceDisagreementCheck.txt</v>
      </c>
      <c r="AE38" s="153" t="str">
        <f t="shared" si="9"/>
        <v>start /low /b %USERPROFILE%\Documents\GitHub\eaglep3\Utilities\DownloadLogsFromS3.py --loco 4002 --day 2017-04-06</v>
      </c>
      <c r="AF38" s="1"/>
    </row>
    <row r="39" spans="1:32" x14ac:dyDescent="0.25">
      <c r="A39" s="32">
        <v>42831.649664351855</v>
      </c>
      <c r="B39" s="30" t="s">
        <v>539</v>
      </c>
      <c r="C39" s="30" t="s">
        <v>642</v>
      </c>
      <c r="D39" s="30" t="s">
        <v>49</v>
      </c>
      <c r="E39" s="30" t="s">
        <v>186</v>
      </c>
      <c r="F39" s="43">
        <v>0</v>
      </c>
      <c r="G39" s="43">
        <v>39</v>
      </c>
      <c r="H39" s="43">
        <v>58954</v>
      </c>
      <c r="I39" s="43">
        <v>58978</v>
      </c>
      <c r="J39" s="30" t="s">
        <v>187</v>
      </c>
      <c r="K39" s="43">
        <v>59058</v>
      </c>
      <c r="L39" s="139" t="s">
        <v>50</v>
      </c>
      <c r="M39" s="140">
        <f t="shared" si="0"/>
        <v>42.24</v>
      </c>
      <c r="N39" s="141" t="str">
        <f>VLOOKUP(C39,'Trips&amp;Operators'!$C$1:$G$99999,5,FALSE)</f>
        <v>SULLIVAN BRANDON</v>
      </c>
      <c r="O39" s="190" t="s">
        <v>185</v>
      </c>
      <c r="P39" s="142"/>
      <c r="Q39" s="30"/>
      <c r="R39" s="89" t="e">
        <f>IF(VLOOKUP(C39,'Train Runs'!$A$13:$AE$9938,1,1)=C39,VLOOKUP(C39,'Train Runs'!$A$13:$AE$9938,31,1),NA())</f>
        <v>#N/A</v>
      </c>
      <c r="S39" s="92" t="str">
        <f>VLOOKUP(C39,'Train Runs'!$A$13:$AE$9938,22,0)</f>
        <v>https://d0f6bd738d7f1b3e5a7ca70fe4ff75f0.us-east-1.aws.found.io/app/kibana#/discover/Steve-Slow-Train-Analysis-(2080s-and-2083s)?_g=(refreshInterval:(display:Off,pause:!f,section:0,value:0),time:(from:'2017-04-06T14:11:18-0600',mode:absolute,to:'2017-04-06T16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39" s="94" t="str">
        <f t="shared" si="1"/>
        <v>"C:\Program Files (x86)\AstroGrep\AstroGrep.exe" /e /r /s /spath="%USERPROFILE%\AppData\Local\Temp\OnboardLogs" /stypes="*4002*201704062*" /stext=" 21:.+((SYSTEM_STATE.+slice.+state.+changed )|(ment ac)|(multiple cpu faults)|(system.+state.+changed )|(\[timeout)|(PRM\|1\|D)|(kpr)|(kdp)|(\|lc)|(penalty))"</v>
      </c>
      <c r="U39" s="9" t="str">
        <f t="shared" si="2"/>
        <v>4002</v>
      </c>
      <c r="V39" s="32">
        <f t="shared" si="3"/>
        <v>42831.899664351855</v>
      </c>
      <c r="W39" s="46" t="str">
        <f t="shared" si="4"/>
        <v>NW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{"issue":{"subject":"","project_id":79,"tracker_id":40,"status_id":1,"priority_id":2,"assigned_to_id":23,"start_date":"2017-04-06","description":"","custom_fields":[{"id":1,"name":"Subdivision","value":"NW"},{"id":4,"name":"Milepost","value":"5.9058"},{"id":17,"name":"Train ID","value":"825-06"},{"id":16,"name":"Locomotive ID","value":"4002"},{"id":130,"name":"Impact","value":""},{"id":150,"name":"Time of Event (Mountain Time)","value":"15:35:31"},{"id":151,"name":"Denver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10"/>
        <v>grep -hSE -A400 "Enforcement Action" "%USERPROFILE%\AppData\Local\Temp\OnboardLogs"\RTDC4002\*4002*201704062*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"%USERPROFILE%\AppData\Local\Temp\OnboardLogs"\RTDC4002\*4002*201704062* &gt;&gt; 2017-04-06-SliceDisagreementCheck.txt</v>
      </c>
      <c r="AE39" s="153" t="str">
        <f t="shared" si="9"/>
        <v>start /low /b %USERPROFILE%\Documents\GitHub\eaglep3\Utilities\DownloadLogsFromS3.py --loco 4002 --day 2017-04-06</v>
      </c>
      <c r="AF39" s="1"/>
    </row>
    <row r="40" spans="1:32" x14ac:dyDescent="0.25">
      <c r="A40" s="32">
        <v>42831.671053240738</v>
      </c>
      <c r="B40" s="30" t="s">
        <v>490</v>
      </c>
      <c r="C40" s="30" t="s">
        <v>644</v>
      </c>
      <c r="D40" s="30" t="s">
        <v>49</v>
      </c>
      <c r="E40" s="30" t="s">
        <v>186</v>
      </c>
      <c r="F40" s="43">
        <v>0</v>
      </c>
      <c r="G40" s="43">
        <v>16</v>
      </c>
      <c r="H40" s="43">
        <v>59018</v>
      </c>
      <c r="I40" s="43">
        <v>59024</v>
      </c>
      <c r="J40" s="30" t="s">
        <v>187</v>
      </c>
      <c r="K40" s="43">
        <v>59058</v>
      </c>
      <c r="L40" s="139" t="s">
        <v>50</v>
      </c>
      <c r="M40" s="140">
        <f t="shared" si="0"/>
        <v>17.952000000000002</v>
      </c>
      <c r="N40" s="141" t="str">
        <f>VLOOKUP(C40,'Trips&amp;Operators'!$C$1:$G$99999,5,FALSE)</f>
        <v>STORY SAMANTHA</v>
      </c>
      <c r="O40" s="190" t="s">
        <v>185</v>
      </c>
      <c r="P40" s="142"/>
      <c r="Q40" s="30"/>
      <c r="R40" s="89" t="e">
        <f>IF(VLOOKUP(C40,'Train Runs'!$A$13:$AE$9938,1,1)=C40,VLOOKUP(C40,'Train Runs'!$A$13:$AE$9938,31,1),NA())</f>
        <v>#N/A</v>
      </c>
      <c r="S40" s="92" t="str">
        <f>VLOOKUP(C40,'Train Runs'!$A$13:$AE$9938,22,0)</f>
        <v>https://d0f6bd738d7f1b3e5a7ca70fe4ff75f0.us-east-1.aws.found.io/app/kibana#/discover/Steve-Slow-Train-Analysis-(2080s-and-2083s)?_g=(refreshInterval:(display:Off,pause:!f,section:0,value:0),time:(from:'2017-04-06T14:39:48-0600',mode:absolute,to:'2017-04-06T17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40" s="94" t="str">
        <f t="shared" si="1"/>
        <v>"C:\Program Files (x86)\AstroGrep\AstroGrep.exe" /e /r /s /spath="%USERPROFILE%\AppData\Local\Temp\OnboardLogs" /stypes="*4020*201704062*" /stext=" 22:.+((SYSTEM_STATE.+slice.+state.+changed )|(ment ac)|(multiple cpu faults)|(system.+state.+changed )|(\[timeout)|(PRM\|1\|D)|(kpr)|(kdp)|(\|lc)|(penalty))"</v>
      </c>
      <c r="U40" s="9" t="str">
        <f t="shared" si="2"/>
        <v>4020</v>
      </c>
      <c r="V40" s="32">
        <f t="shared" si="3"/>
        <v>42831.921053240738</v>
      </c>
      <c r="W40" s="46" t="str">
        <f t="shared" si="4"/>
        <v>NW</v>
      </c>
      <c r="X40" s="46" t="str">
        <f t="shared" si="5"/>
        <v>KEEP</v>
      </c>
      <c r="Y40" s="104" t="str">
        <f t="shared" si="6"/>
        <v>echo {"issue":{"subject":"","project_id":79,"tracker_id":40,"status_id":1,"priority_id":2,"assigned_to_id":23,"start_date":"2017-04-06","description":"","custom_fields":[{"id":1,"name":"Subdivision","value":"NW"},{"id":4,"name":"Milepost","value":"5.9058"},{"id":17,"name":"Train ID","value":"827-06"},{"id":16,"name":"Locomotive ID","value":"4020"},{"id":130,"name":"Impact","value":""},{"id":150,"name":"Time of Event (Mountain Time)","value":"16:06:19"},{"id":151,"name":"Denver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10"/>
        <v>grep -hSE -A400 "Enforcement Action" "%USERPROFILE%\AppData\Local\Temp\OnboardLogs"\RTDC4020\*4020*201704062*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"%USERPROFILE%\AppData\Local\Temp\OnboardLogs"\RTDC4020\*4020*201704062* &gt;&gt; 2017-04-06-SliceDisagreementCheck.txt</v>
      </c>
      <c r="AE40" s="153" t="str">
        <f t="shared" si="9"/>
        <v>start /low /b %USERPROFILE%\Documents\GitHub\eaglep3\Utilities\DownloadLogsFromS3.py --loco 4020 --day 2017-04-06</v>
      </c>
      <c r="AF40" s="1"/>
    </row>
    <row r="41" spans="1:32" x14ac:dyDescent="0.25">
      <c r="A41" s="32">
        <v>42831.136712962965</v>
      </c>
      <c r="B41" s="30" t="s">
        <v>619</v>
      </c>
      <c r="C41" s="30" t="s">
        <v>620</v>
      </c>
      <c r="D41" s="30" t="s">
        <v>49</v>
      </c>
      <c r="E41" s="30" t="s">
        <v>192</v>
      </c>
      <c r="F41" s="43">
        <v>0</v>
      </c>
      <c r="G41" s="43">
        <v>106</v>
      </c>
      <c r="H41" s="43">
        <v>58240</v>
      </c>
      <c r="I41" s="43">
        <v>58382</v>
      </c>
      <c r="J41" s="30" t="s">
        <v>193</v>
      </c>
      <c r="K41" s="43">
        <v>58783</v>
      </c>
      <c r="L41" s="139" t="s">
        <v>50</v>
      </c>
      <c r="M41" s="140">
        <f t="shared" si="0"/>
        <v>211.72800000000001</v>
      </c>
      <c r="N41" s="141" t="str">
        <f>VLOOKUP(C41,'Trips&amp;Operators'!$C$1:$G$99999,5,FALSE)</f>
        <v>SPECTOR MICHAEL</v>
      </c>
      <c r="O41" s="190" t="s">
        <v>185</v>
      </c>
      <c r="P41" s="142"/>
      <c r="Q41" s="30"/>
      <c r="R41" s="89" t="e">
        <f>IF(VLOOKUP(C41,'Train Runs'!$A$13:$AE$9938,1,1)=C41,VLOOKUP(C41,'Train Runs'!$A$13:$AE$9938,31,1),NA())</f>
        <v>#N/A</v>
      </c>
      <c r="S41" s="92" t="str">
        <f>VLOOKUP(C41,'Train Runs'!$A$13:$AE$9938,22,0)</f>
        <v>https://d0f6bd738d7f1b3e5a7ca70fe4ff75f0.us-east-1.aws.found.io/app/kibana#/discover/Steve-Slow-Train-Analysis-(2080s-and-2083s)?_g=(refreshInterval:(display:Off,pause:!f,section:0,value:0),time:(from:'2017-04-06T01:52:36-0600',mode:absolute,to:'2017-04-06T04:22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T41" s="94" t="str">
        <f t="shared" si="1"/>
        <v>"C:\Program Files (x86)\AstroGrep\AstroGrep.exe" /e /r /s /spath="%USERPROFILE%\AppData\Local\Temp\OnboardLogs" /stypes="*4054*201704060*" /stext=" 09:.+((SYSTEM_STATE.+slice.+state.+changed )|(ment ac)|(multiple cpu faults)|(system.+state.+changed )|(\[timeout)|(PRM\|1\|D)|(kpr)|(kdp)|(\|lc)|(penalty))"</v>
      </c>
      <c r="U41" s="9" t="str">
        <f t="shared" si="2"/>
        <v>4054</v>
      </c>
      <c r="V41" s="32">
        <f t="shared" si="3"/>
        <v>42831.386712962965</v>
      </c>
      <c r="W41" s="46" t="str">
        <f t="shared" si="4"/>
        <v>Other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{"issue":{"subject":"","project_id":79,"tracker_id":40,"status_id":1,"priority_id":2,"assigned_to_id":23,"start_date":"2017-04-06","description":"","custom_fields":[{"id":1,"name":"Subdivision","value":"Other"},{"id":4,"name":"Milepost","value":"5.8783"},{"id":17,"name":"Train ID","value":"51-06"},{"id":16,"name":"Locomotive ID","value":"4054"},{"id":130,"name":"Impact","value":""},{"id":150,"name":"Time of Event (Mountain Time)","value":"03:16:52"},{"id":151,"name":"Denver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10"/>
        <v>grep -hSE -A400 "Enforcement Action" "%USERPROFILE%\AppData\Local\Temp\OnboardLogs"\RTDC4054\*4054*201704060*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"%USERPROFILE%\AppData\Local\Temp\OnboardLogs"\RTDC4054\*4054*201704060* &gt;&gt; 2017-04-06-SliceDisagreementCheck.txt</v>
      </c>
      <c r="AE41" s="153" t="str">
        <f t="shared" si="9"/>
        <v>start /low /b %USERPROFILE%\Documents\GitHub\eaglep3\Utilities\DownloadLogsFromS3.py --loco 4054 --day 2017-04-06</v>
      </c>
      <c r="AF41" s="1"/>
    </row>
    <row r="42" spans="1:32" x14ac:dyDescent="0.25">
      <c r="A42" s="32">
        <v>42831.197187500002</v>
      </c>
      <c r="B42" s="30" t="s">
        <v>478</v>
      </c>
      <c r="C42" s="30" t="s">
        <v>622</v>
      </c>
      <c r="D42" s="30" t="s">
        <v>49</v>
      </c>
      <c r="E42" s="30" t="s">
        <v>186</v>
      </c>
      <c r="F42" s="43">
        <v>0</v>
      </c>
      <c r="G42" s="43">
        <v>31</v>
      </c>
      <c r="H42" s="43">
        <v>902</v>
      </c>
      <c r="I42" s="43">
        <v>872</v>
      </c>
      <c r="J42" s="30" t="s">
        <v>187</v>
      </c>
      <c r="K42" s="43">
        <v>826</v>
      </c>
      <c r="L42" s="139" t="s">
        <v>51</v>
      </c>
      <c r="M42" s="140">
        <f t="shared" si="0"/>
        <v>24.288</v>
      </c>
      <c r="N42" s="141" t="str">
        <f>VLOOKUP(C42,'Trips&amp;Operators'!$C$1:$G$99999,5,FALSE)</f>
        <v>SPECTOR MICHAEL</v>
      </c>
      <c r="O42" s="190" t="s">
        <v>185</v>
      </c>
      <c r="P42" s="142"/>
      <c r="Q42" s="30"/>
      <c r="R42" s="89" t="e">
        <f>IF(VLOOKUP(C42,'Train Runs'!$A$13:$AE$9938,1,1)=C42,VLOOKUP(C42,'Train Runs'!$A$13:$AE$9938,31,1),NA())</f>
        <v>#N/A</v>
      </c>
      <c r="S42" s="92" t="str">
        <f>VLOOKUP(C42,'Train Runs'!$A$13:$AE$9938,22,0)</f>
        <v>https://d0f6bd738d7f1b3e5a7ca70fe4ff75f0.us-east-1.aws.found.io/app/kibana#/discover/Steve-Slow-Train-Analysis-(2080s-and-2083s)?_g=(refreshInterval:(display:Off,pause:!f,section:0,value:0),time:(from:'2017-04-06T03:14:32-0600',mode:absolute,to:'2017-04-06T05:43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42" s="94" t="str">
        <f t="shared" si="1"/>
        <v>"C:\Program Files (x86)\AstroGrep\AstroGrep.exe" /e /r /s /spath="%USERPROFILE%\AppData\Local\Temp\OnboardLogs" /stypes="*4053*201704061*" /stext=" 10:.+((SYSTEM_STATE.+slice.+state.+changed )|(ment ac)|(multiple cpu faults)|(system.+state.+changed )|(\[timeout)|(PRM\|1\|D)|(kpr)|(kdp)|(\|lc)|(penalty))"</v>
      </c>
      <c r="U42" s="9" t="str">
        <f t="shared" si="2"/>
        <v>4053</v>
      </c>
      <c r="V42" s="32">
        <f t="shared" si="3"/>
        <v>42831.447187500002</v>
      </c>
      <c r="W42" s="46" t="str">
        <f t="shared" si="4"/>
        <v>Other</v>
      </c>
      <c r="X42" s="46" t="str">
        <f t="shared" si="5"/>
        <v>KEEP</v>
      </c>
      <c r="Y42" s="104" t="str">
        <f t="shared" si="6"/>
        <v>echo {"issue":{"subject":"","project_id":79,"tracker_id":40,"status_id":1,"priority_id":2,"assigned_to_id":23,"start_date":"2017-04-06","description":"","custom_fields":[{"id":1,"name":"Subdivision","value":"Other"},{"id":4,"name":"Milepost","value":"0.0826"},{"id":17,"name":"Train ID","value":"50-06"},{"id":16,"name":"Locomotive ID","value":"4053"},{"id":130,"name":"Impact","value":""},{"id":150,"name":"Time of Event (Mountain Time)","value":"04:43:57"},{"id":151,"name":"Denver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10"/>
        <v>grep -hSE -A400 "Enforcement Action" "%USERPROFILE%\AppData\Local\Temp\OnboardLogs"\RTDC4053\*4053*201704061*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"%USERPROFILE%\AppData\Local\Temp\OnboardLogs"\RTDC4053\*4053*201704061* &gt;&gt; 2017-04-06-SliceDisagreementCheck.txt</v>
      </c>
      <c r="AE42" s="153" t="str">
        <f t="shared" si="9"/>
        <v>start /low /b %USERPROFILE%\Documents\GitHub\eaglep3\Utilities\DownloadLogsFromS3.py --loco 4053 --day 2017-04-06</v>
      </c>
      <c r="AF42" s="1"/>
    </row>
    <row r="43" spans="1:32" x14ac:dyDescent="0.25">
      <c r="A43" s="32">
        <v>42831.750694444447</v>
      </c>
      <c r="B43" s="30" t="s">
        <v>532</v>
      </c>
      <c r="C43" s="30" t="s">
        <v>649</v>
      </c>
      <c r="D43" s="30" t="s">
        <v>98</v>
      </c>
      <c r="E43" s="30" t="s">
        <v>186</v>
      </c>
      <c r="F43" s="43">
        <v>0</v>
      </c>
      <c r="G43" s="43">
        <v>5</v>
      </c>
      <c r="H43" s="43">
        <v>826</v>
      </c>
      <c r="I43" s="43">
        <v>828</v>
      </c>
      <c r="J43" s="30" t="s">
        <v>187</v>
      </c>
      <c r="K43" s="43">
        <v>826</v>
      </c>
      <c r="L43" s="139" t="s">
        <v>51</v>
      </c>
      <c r="M43" s="140">
        <f t="shared" si="0"/>
        <v>1.056</v>
      </c>
      <c r="N43" s="141" t="str">
        <f>VLOOKUP(C43,'Trips&amp;Operators'!$C$1:$G$99999,5,FALSE)</f>
        <v>MCREYNOLDS KYLE</v>
      </c>
      <c r="O43" s="190" t="s">
        <v>185</v>
      </c>
      <c r="P43" s="142"/>
      <c r="Q43" s="30"/>
      <c r="R43" s="89" t="e">
        <f>IF(VLOOKUP(C43,'Train Runs'!$A$13:$AE$9938,1,1)=C43,VLOOKUP(C43,'Train Runs'!$A$13:$AE$9938,31,1),NA())</f>
        <v>#N/A</v>
      </c>
      <c r="S43" s="92" t="str">
        <f>VLOOKUP(C43,'Train Runs'!$A$13:$AE$9938,22,0)</f>
        <v>https://d0f6bd738d7f1b3e5a7ca70fe4ff75f0.us-east-1.aws.found.io/app/kibana#/discover/Steve-Slow-Train-Analysis-(2080s-and-2083s)?_g=(refreshInterval:(display:Off,pause:!f,section:0,value:0),time:(from:'2017-04-06T17:50:27-0600',mode:absolute,to:'2017-04-06T20:07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3" s="94" t="str">
        <f t="shared" si="1"/>
        <v>"C:\Program Files (x86)\AstroGrep\AstroGrep.exe" /e /r /s /spath="%USERPROFILE%\AppData\Local\Temp\OnboardLogs" /stypes="*4051*201704070*" /stext=" 00:.+((SYSTEM_STATE.+slice.+state.+changed )|(ment ac)|(multiple cpu faults)|(system.+state.+changed )|(\[timeout)|(PRM\|1\|D)|(kpr)|(kdp)|(\|lc)|(penalty))"</v>
      </c>
      <c r="U43" s="9" t="str">
        <f t="shared" si="2"/>
        <v>4051</v>
      </c>
      <c r="V43" s="32">
        <f t="shared" si="3"/>
        <v>42832.000694444447</v>
      </c>
      <c r="W43" s="46" t="str">
        <f t="shared" si="4"/>
        <v>Other</v>
      </c>
      <c r="X43" s="46" t="str">
        <f t="shared" si="5"/>
        <v>OMIT</v>
      </c>
      <c r="Y43" s="104" t="str">
        <f t="shared" si="6"/>
        <v>echo {"issue":{"subject":"","project_id":79,"tracker_id":40,"status_id":1,"priority_id":2,"assigned_to_id":23,"start_date":"2017-04-06","description":"","custom_fields":[{"id":1,"name":"Subdivision","value":"Other"},{"id":4,"name":"Milepost","value":"0.0826"},{"id":17,"name":"Train ID","value":"76-06"},{"id":16,"name":"Locomotive ID","value":"4051"},{"id":130,"name":"Impact","value":""},{"id":150,"name":"Time of Event (Mountain Time)","value":"18:01:00"},{"id":151,"name":"Denver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10"/>
        <v>grep -hSE -A400 "Enforcement Action" "%USERPROFILE%\AppData\Local\Temp\OnboardLogs"\RTDC4051\*4051*201704070*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"%USERPROFILE%\AppData\Local\Temp\OnboardLogs"\RTDC4051\*4051*201704070* &gt;&gt; 2017-04-06-SliceDisagreementCheck.txt</v>
      </c>
      <c r="AE43" s="153" t="str">
        <f t="shared" si="9"/>
        <v>start /low /b %USERPROFILE%\Documents\GitHub\eaglep3\Utilities\DownloadLogsFromS3.py --loco 4051 --day 2017-04-07</v>
      </c>
      <c r="AF43" s="1"/>
    </row>
    <row r="44" spans="1:32" x14ac:dyDescent="0.25">
      <c r="A44" s="32">
        <v>42831.185312499998</v>
      </c>
      <c r="B44" s="30" t="s">
        <v>406</v>
      </c>
      <c r="C44" s="30" t="s">
        <v>621</v>
      </c>
      <c r="D44" s="30" t="s">
        <v>49</v>
      </c>
      <c r="E44" s="30" t="s">
        <v>186</v>
      </c>
      <c r="F44" s="43">
        <v>0</v>
      </c>
      <c r="G44" s="43">
        <v>19</v>
      </c>
      <c r="H44" s="43">
        <v>879</v>
      </c>
      <c r="I44" s="43">
        <v>850</v>
      </c>
      <c r="J44" s="30" t="s">
        <v>187</v>
      </c>
      <c r="K44" s="43">
        <v>839</v>
      </c>
      <c r="L44" s="139" t="s">
        <v>51</v>
      </c>
      <c r="M44" s="140">
        <f t="shared" si="0"/>
        <v>5.8079999999999998</v>
      </c>
      <c r="N44" s="141" t="str">
        <f>VLOOKUP(C44,'Trips&amp;Operators'!$C$1:$G$99999,5,FALSE)</f>
        <v>BADERTSCHER DIANE</v>
      </c>
      <c r="O44" s="190" t="s">
        <v>185</v>
      </c>
      <c r="P44" s="142"/>
      <c r="Q44" s="30"/>
      <c r="R44" s="89" t="e">
        <f>IF(VLOOKUP(C44,'Train Runs'!$A$13:$AE$9938,1,1)=C44,VLOOKUP(C44,'Train Runs'!$A$13:$AE$9938,31,1),NA())</f>
        <v>#N/A</v>
      </c>
      <c r="S44" s="92" t="str">
        <f>VLOOKUP(C44,'Train Runs'!$A$13:$AE$9938,22,0)</f>
        <v>https://d0f6bd738d7f1b3e5a7ca70fe4ff75f0.us-east-1.aws.found.io/app/kibana#/discover/Steve-Slow-Train-Analysis-(2080s-and-2083s)?_g=(refreshInterval:(display:Off,pause:!f,section:0,value:0),time:(from:'2017-04-06T03:16:24-0600',mode:absolute,to:'2017-04-06T05:26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4" s="94" t="str">
        <f t="shared" si="1"/>
        <v>"C:\Program Files (x86)\AstroGrep\AstroGrep.exe" /e /r /s /spath="%USERPROFILE%\AppData\Local\Temp\OnboardLogs" /stypes="*4013*201704061*" /stext=" 10:.+((SYSTEM_STATE.+slice.+state.+changed )|(ment ac)|(multiple cpu faults)|(system.+state.+changed )|(\[timeout)|(PRM\|1\|D)|(kpr)|(kdp)|(\|lc)|(penalty))"</v>
      </c>
      <c r="U44" s="9" t="str">
        <f t="shared" si="2"/>
        <v>4013</v>
      </c>
      <c r="V44" s="32">
        <f t="shared" si="3"/>
        <v>42831.435312499998</v>
      </c>
      <c r="W44" s="46" t="str">
        <f t="shared" si="4"/>
        <v>Other</v>
      </c>
      <c r="X44" s="46" t="str">
        <f t="shared" si="5"/>
        <v>KEEP</v>
      </c>
      <c r="Y44" s="104" t="str">
        <f t="shared" si="6"/>
        <v>echo {"issue":{"subject":"","project_id":79,"tracker_id":40,"status_id":1,"priority_id":2,"assigned_to_id":23,"start_date":"2017-04-06","description":"","custom_fields":[{"id":1,"name":"Subdivision","value":"Other"},{"id":4,"name":"Milepost","value":"0.0839"},{"id":17,"name":"Train ID","value":"54-06"},{"id":16,"name":"Locomotive ID","value":"4013"},{"id":130,"name":"Impact","value":""},{"id":150,"name":"Time of Event (Mountain Time)","value":"04:26:51"},{"id":151,"name":"Denver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 t="shared" si="10"/>
        <v>grep -hSE -A400 "Enforcement Action" "%USERPROFILE%\AppData\Local\Temp\OnboardLogs"\RTDC4013\*4013*201704061*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"%USERPROFILE%\AppData\Local\Temp\OnboardLogs"\RTDC4013\*4013*201704061* &gt;&gt; 2017-04-06-SliceDisagreementCheck.txt</v>
      </c>
      <c r="AE44" s="153" t="str">
        <f t="shared" si="9"/>
        <v>start /low /b %USERPROFILE%\Documents\GitHub\eaglep3\Utilities\DownloadLogsFromS3.py --loco 4013 --day 2017-04-06</v>
      </c>
      <c r="AF44" s="1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</sheetData>
  <autoFilter ref="A6:AC62">
    <sortState ref="A7:AC62">
      <sortCondition ref="W7:W44"/>
      <sortCondition ref="E7:E44"/>
      <sortCondition ref="K7:K44"/>
      <sortCondition ref="F7:F44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3:O1048576 O7:O4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4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  <x14:dataValidation type="list" allowBlank="1" showInputMessage="1" showErrorMessage="1">
          <x14:formula1>
            <xm:f>'Redmine List Values'!$C$2:$C$15</xm:f>
          </x14:formula1>
          <xm:sqref>AB7:AB44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6"/>
  <sheetViews>
    <sheetView workbookViewId="0">
      <selection activeCell="A3" sqref="A3:A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2017-04-06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/>
      <c r="B3" s="43" t="str">
        <f>A3&amp;"-"&amp;IF(DAY(Variables!$A$2)&lt;10,0,"")&amp;DAY(Variables!$A$2)</f>
        <v>-06</v>
      </c>
      <c r="C3" s="143"/>
      <c r="D3" s="161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3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" s="30" t="e">
        <f>VLOOKUP(B3,'Train Runs'!$A$13:$A$99935,1,FALSE)</f>
        <v>#N/A</v>
      </c>
    </row>
    <row r="4" spans="1:10" x14ac:dyDescent="0.25">
      <c r="A4" s="181"/>
      <c r="B4" s="43" t="str">
        <f>A4&amp;"-"&amp;IF(DAY(Variables!$A$2)&lt;10,0,"")&amp;DAY(Variables!$A$2)</f>
        <v>-06</v>
      </c>
      <c r="C4" s="143"/>
      <c r="D4" s="161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" s="30" t="e">
        <f>VLOOKUP(B4,'Train Runs'!$A$13:$A$99935,1,FALSE)</f>
        <v>#N/A</v>
      </c>
    </row>
    <row r="5" spans="1:10" x14ac:dyDescent="0.25">
      <c r="A5" s="181"/>
      <c r="B5" s="43" t="str">
        <f>A5&amp;"-"&amp;IF(DAY(Variables!$A$2)&lt;10,0,"")&amp;DAY(Variables!$A$2)</f>
        <v>-06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" s="30" t="e">
        <f>VLOOKUP(B5,'Train Runs'!$A$13:$A$99935,1,FALSE)</f>
        <v>#N/A</v>
      </c>
    </row>
    <row r="6" spans="1:10" x14ac:dyDescent="0.25">
      <c r="A6" s="181"/>
      <c r="B6" s="43" t="str">
        <f>A6&amp;"-"&amp;IF(DAY(Variables!$A$2)&lt;10,0,"")&amp;DAY(Variables!$A$2)</f>
        <v>-06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" s="30" t="e">
        <f>VLOOKUP(B6,'Train Runs'!$A$13:$A$99935,1,FALSE)</f>
        <v>#N/A</v>
      </c>
    </row>
    <row r="7" spans="1:10" x14ac:dyDescent="0.25">
      <c r="A7" s="181"/>
      <c r="B7" s="43" t="str">
        <f>A7&amp;"-"&amp;IF(DAY(Variables!$A$2)&lt;10,0,"")&amp;DAY(Variables!$A$2)</f>
        <v>-06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" s="30" t="e">
        <f>VLOOKUP(B7,'Train Runs'!$A$13:$A$99935,1,FALSE)</f>
        <v>#N/A</v>
      </c>
    </row>
    <row r="8" spans="1:10" x14ac:dyDescent="0.25">
      <c r="A8" s="181"/>
      <c r="B8" s="43" t="str">
        <f>A8&amp;"-"&amp;IF(DAY(Variables!$A$2)&lt;10,0,"")&amp;DAY(Variables!$A$2)</f>
        <v>-06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" s="30" t="e">
        <f>VLOOKUP(B8,'Train Runs'!$A$13:$A$99935,1,FALSE)</f>
        <v>#N/A</v>
      </c>
    </row>
    <row r="9" spans="1:10" x14ac:dyDescent="0.25">
      <c r="A9" s="181"/>
      <c r="B9" s="43" t="str">
        <f>A9&amp;"-"&amp;IF(DAY(Variables!$A$2)&lt;10,0,"")&amp;DAY(Variables!$A$2)</f>
        <v>-06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" s="30" t="e">
        <f>VLOOKUP(B9,'Train Runs'!$A$13:$A$99935,1,FALSE)</f>
        <v>#N/A</v>
      </c>
    </row>
    <row r="10" spans="1:10" x14ac:dyDescent="0.25">
      <c r="A10" s="181"/>
      <c r="B10" s="43" t="str">
        <f>A10&amp;"-"&amp;IF(DAY(Variables!$A$2)&lt;10,0,"")&amp;DAY(Variables!$A$2)</f>
        <v>-06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" s="30" t="e">
        <f>VLOOKUP(B10,'Train Runs'!$A$13:$A$99935,1,FALSE)</f>
        <v>#N/A</v>
      </c>
    </row>
    <row r="11" spans="1:10" x14ac:dyDescent="0.25">
      <c r="A11" s="181"/>
      <c r="B11" s="43" t="str">
        <f>A11&amp;"-"&amp;IF(DAY(Variables!$A$2)&lt;10,0,"")&amp;DAY(Variables!$A$2)</f>
        <v>-06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" s="30" t="e">
        <f>VLOOKUP(B11,'Train Runs'!$A$13:$A$99935,1,FALSE)</f>
        <v>#N/A</v>
      </c>
    </row>
    <row r="12" spans="1:10" x14ac:dyDescent="0.25">
      <c r="A12" s="181"/>
      <c r="B12" s="43" t="str">
        <f>A12&amp;"-"&amp;IF(DAY(Variables!$A$2)&lt;10,0,"")&amp;DAY(Variables!$A$2)</f>
        <v>-06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2" s="30" t="e">
        <f>VLOOKUP(B12,'Train Runs'!$A$13:$A$99935,1,FALSE)</f>
        <v>#N/A</v>
      </c>
    </row>
    <row r="13" spans="1:10" x14ac:dyDescent="0.25">
      <c r="A13" s="181"/>
      <c r="B13" s="43" t="str">
        <f>A13&amp;"-"&amp;IF(DAY(Variables!$A$2)&lt;10,0,"")&amp;DAY(Variables!$A$2)</f>
        <v>-06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3" s="30" t="e">
        <f>VLOOKUP(B13,'Train Runs'!$A$13:$A$99935,1,FALSE)</f>
        <v>#N/A</v>
      </c>
    </row>
    <row r="14" spans="1:10" x14ac:dyDescent="0.25">
      <c r="A14" s="181"/>
      <c r="B14" s="43" t="str">
        <f>A14&amp;"-"&amp;IF(DAY(Variables!$A$2)&lt;10,0,"")&amp;DAY(Variables!$A$2)</f>
        <v>-06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4" s="30" t="e">
        <f>VLOOKUP(B14,'Train Runs'!$A$13:$A$99935,1,FALSE)</f>
        <v>#N/A</v>
      </c>
    </row>
    <row r="15" spans="1:10" x14ac:dyDescent="0.25">
      <c r="A15" s="181"/>
      <c r="B15" s="43" t="str">
        <f>A15&amp;"-"&amp;IF(DAY(Variables!$A$2)&lt;10,0,"")&amp;DAY(Variables!$A$2)</f>
        <v>-06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5" s="30" t="e">
        <f>VLOOKUP(B15,'Train Runs'!$A$13:$A$99935,1,FALSE)</f>
        <v>#N/A</v>
      </c>
    </row>
    <row r="16" spans="1:10" x14ac:dyDescent="0.25">
      <c r="A16" s="181"/>
      <c r="B16" s="43" t="str">
        <f>A16&amp;"-"&amp;IF(DAY(Variables!$A$2)&lt;10,0,"")&amp;DAY(Variables!$A$2)</f>
        <v>-06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6" s="30" t="e">
        <f>VLOOKUP(B16,'Train Runs'!$A$13:$A$99935,1,FALSE)</f>
        <v>#N/A</v>
      </c>
    </row>
    <row r="17" spans="1:10" x14ac:dyDescent="0.25">
      <c r="A17" s="181"/>
      <c r="B17" s="43" t="str">
        <f>A17&amp;"-"&amp;IF(DAY(Variables!$A$2)&lt;10,0,"")&amp;DAY(Variables!$A$2)</f>
        <v>-06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7" s="30" t="e">
        <f>VLOOKUP(B17,'Train Runs'!$A$13:$A$99935,1,FALSE)</f>
        <v>#N/A</v>
      </c>
    </row>
    <row r="18" spans="1:10" x14ac:dyDescent="0.25">
      <c r="A18" s="181"/>
      <c r="B18" s="43" t="str">
        <f>A18&amp;"-"&amp;IF(DAY(Variables!$A$2)&lt;10,0,"")&amp;DAY(Variables!$A$2)</f>
        <v>-06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8" s="30" t="e">
        <f>VLOOKUP(B18,'Train Runs'!$A$13:$A$99935,1,FALSE)</f>
        <v>#N/A</v>
      </c>
    </row>
    <row r="19" spans="1:10" x14ac:dyDescent="0.25">
      <c r="A19" s="181"/>
      <c r="B19" s="43" t="str">
        <f>A19&amp;"-"&amp;IF(DAY(Variables!$A$2)&lt;10,0,"")&amp;DAY(Variables!$A$2)</f>
        <v>-06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9" s="30" t="e">
        <f>VLOOKUP(B19,'Train Runs'!$A$13:$A$99935,1,FALSE)</f>
        <v>#N/A</v>
      </c>
    </row>
    <row r="20" spans="1:10" x14ac:dyDescent="0.25">
      <c r="A20" s="181"/>
      <c r="B20" s="43" t="str">
        <f>A20&amp;"-"&amp;IF(DAY(Variables!$A$2)&lt;10,0,"")&amp;DAY(Variables!$A$2)</f>
        <v>-06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0" s="30" t="e">
        <f>VLOOKUP(B20,'Train Runs'!$A$13:$A$99935,1,FALSE)</f>
        <v>#N/A</v>
      </c>
    </row>
    <row r="21" spans="1:10" x14ac:dyDescent="0.25">
      <c r="A21" s="181"/>
      <c r="B21" s="43" t="str">
        <f>A21&amp;"-"&amp;IF(DAY(Variables!$A$2)&lt;10,0,"")&amp;DAY(Variables!$A$2)</f>
        <v>-06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1" s="30" t="e">
        <f>VLOOKUP(B21,'Train Runs'!$A$13:$A$99935,1,FALSE)</f>
        <v>#N/A</v>
      </c>
    </row>
    <row r="22" spans="1:10" x14ac:dyDescent="0.25">
      <c r="A22" s="181"/>
      <c r="B22" s="43" t="str">
        <f>A22&amp;"-"&amp;IF(DAY(Variables!$A$2)&lt;10,0,"")&amp;DAY(Variables!$A$2)</f>
        <v>-06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2" s="30" t="e">
        <f>VLOOKUP(B22,'Train Runs'!$A$13:$A$99935,1,FALSE)</f>
        <v>#N/A</v>
      </c>
    </row>
    <row r="23" spans="1:10" x14ac:dyDescent="0.25">
      <c r="A23" s="181"/>
      <c r="B23" s="43" t="str">
        <f>A23&amp;"-"&amp;IF(DAY(Variables!$A$2)&lt;10,0,"")&amp;DAY(Variables!$A$2)</f>
        <v>-06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3" s="30" t="e">
        <f>VLOOKUP(B23,'Train Runs'!$A$13:$A$99935,1,FALSE)</f>
        <v>#N/A</v>
      </c>
    </row>
    <row r="24" spans="1:10" x14ac:dyDescent="0.25">
      <c r="A24" s="181"/>
      <c r="B24" s="43" t="str">
        <f>A24&amp;"-"&amp;IF(DAY(Variables!$A$2)&lt;10,0,"")&amp;DAY(Variables!$A$2)</f>
        <v>-06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4" s="30" t="e">
        <f>VLOOKUP(B24,'Train Runs'!$A$13:$A$99935,1,FALSE)</f>
        <v>#N/A</v>
      </c>
    </row>
    <row r="25" spans="1:10" x14ac:dyDescent="0.25">
      <c r="A25" s="181"/>
      <c r="B25" s="43" t="str">
        <f>A25&amp;"-"&amp;IF(DAY(Variables!$A$2)&lt;10,0,"")&amp;DAY(Variables!$A$2)</f>
        <v>-06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5" s="30" t="e">
        <f>VLOOKUP(B25,'Train Runs'!$A$13:$A$99935,1,FALSE)</f>
        <v>#N/A</v>
      </c>
    </row>
    <row r="26" spans="1:10" x14ac:dyDescent="0.25">
      <c r="A26" s="181"/>
      <c r="B26" s="43" t="str">
        <f>A26&amp;"-"&amp;IF(DAY(Variables!$A$2)&lt;10,0,"")&amp;DAY(Variables!$A$2)</f>
        <v>-06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6" s="30" t="e">
        <f>VLOOKUP(B26,'Train Runs'!$A$13:$A$99935,1,FALSE)</f>
        <v>#N/A</v>
      </c>
    </row>
    <row r="27" spans="1:10" x14ac:dyDescent="0.25">
      <c r="A27" s="181"/>
      <c r="B27" s="43" t="str">
        <f>A27&amp;"-"&amp;IF(DAY(Variables!$A$2)&lt;10,0,"")&amp;DAY(Variables!$A$2)</f>
        <v>-06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7" s="30" t="e">
        <f>VLOOKUP(B27,'Train Runs'!$A$13:$A$99935,1,FALSE)</f>
        <v>#N/A</v>
      </c>
    </row>
    <row r="28" spans="1:10" x14ac:dyDescent="0.25">
      <c r="A28" s="181"/>
      <c r="B28" s="43" t="str">
        <f>A28&amp;"-"&amp;IF(DAY(Variables!$A$2)&lt;10,0,"")&amp;DAY(Variables!$A$2)</f>
        <v>-06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8" s="30" t="e">
        <f>VLOOKUP(B28,'Train Runs'!$A$13:$A$99935,1,FALSE)</f>
        <v>#N/A</v>
      </c>
    </row>
    <row r="29" spans="1:10" x14ac:dyDescent="0.25">
      <c r="A29" s="181"/>
      <c r="B29" s="43" t="str">
        <f>A29&amp;"-"&amp;IF(DAY(Variables!$A$2)&lt;10,0,"")&amp;DAY(Variables!$A$2)</f>
        <v>-06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29" s="30" t="e">
        <f>VLOOKUP(B29,'Train Runs'!$A$13:$A$99935,1,FALSE)</f>
        <v>#N/A</v>
      </c>
    </row>
    <row r="30" spans="1:10" x14ac:dyDescent="0.25">
      <c r="A30" s="181"/>
      <c r="B30" s="43" t="str">
        <f>A30&amp;"-"&amp;IF(DAY(Variables!$A$2)&lt;10,0,"")&amp;DAY(Variables!$A$2)</f>
        <v>-06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0" s="30" t="e">
        <f>VLOOKUP(B30,'Train Runs'!$A$13:$A$99935,1,FALSE)</f>
        <v>#N/A</v>
      </c>
    </row>
    <row r="31" spans="1:10" x14ac:dyDescent="0.25">
      <c r="A31" s="181"/>
      <c r="B31" s="43" t="str">
        <f>A31&amp;"-"&amp;IF(DAY(Variables!$A$2)&lt;10,0,"")&amp;DAY(Variables!$A$2)</f>
        <v>-06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1" s="30" t="e">
        <f>VLOOKUP(B31,'Train Runs'!$A$13:$A$99935,1,FALSE)</f>
        <v>#N/A</v>
      </c>
    </row>
    <row r="32" spans="1:10" x14ac:dyDescent="0.25">
      <c r="A32" s="181"/>
      <c r="B32" s="43" t="str">
        <f>A32&amp;"-"&amp;IF(DAY(Variables!$A$2)&lt;10,0,"")&amp;DAY(Variables!$A$2)</f>
        <v>-06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2" s="30" t="e">
        <f>VLOOKUP(B32,'Train Runs'!$A$13:$A$99935,1,FALSE)</f>
        <v>#N/A</v>
      </c>
    </row>
    <row r="33" spans="1:10" x14ac:dyDescent="0.25">
      <c r="A33" s="181"/>
      <c r="B33" s="43" t="str">
        <f>A33&amp;"-"&amp;IF(DAY(Variables!$A$2)&lt;10,0,"")&amp;DAY(Variables!$A$2)</f>
        <v>-06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ref="I33:I6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3" s="30" t="e">
        <f>VLOOKUP(B33,'Train Runs'!$A$13:$A$99935,1,FALSE)</f>
        <v>#N/A</v>
      </c>
    </row>
    <row r="34" spans="1:10" x14ac:dyDescent="0.25">
      <c r="A34" s="181"/>
      <c r="B34" s="43" t="str">
        <f>A34&amp;"-"&amp;IF(DAY(Variables!$A$2)&lt;10,0,"")&amp;DAY(Variables!$A$2)</f>
        <v>-06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4" s="30" t="e">
        <f>VLOOKUP(B34,'Train Runs'!$A$13:$A$99935,1,FALSE)</f>
        <v>#N/A</v>
      </c>
    </row>
    <row r="35" spans="1:10" x14ac:dyDescent="0.25">
      <c r="A35" s="181"/>
      <c r="B35" s="43" t="str">
        <f>A35&amp;"-"&amp;IF(DAY(Variables!$A$2)&lt;10,0,"")&amp;DAY(Variables!$A$2)</f>
        <v>-06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5" s="30" t="e">
        <f>VLOOKUP(B35,'Train Runs'!$A$13:$A$99935,1,FALSE)</f>
        <v>#N/A</v>
      </c>
    </row>
    <row r="36" spans="1:10" x14ac:dyDescent="0.25">
      <c r="A36" s="181"/>
      <c r="B36" s="43" t="str">
        <f>A36&amp;"-"&amp;IF(DAY(Variables!$A$2)&lt;10,0,"")&amp;DAY(Variables!$A$2)</f>
        <v>-06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6" s="30" t="e">
        <f>VLOOKUP(B36,'Train Runs'!$A$13:$A$99935,1,FALSE)</f>
        <v>#N/A</v>
      </c>
    </row>
    <row r="37" spans="1:10" x14ac:dyDescent="0.25">
      <c r="A37" s="181"/>
      <c r="B37" s="43" t="str">
        <f>A37&amp;"-"&amp;IF(DAY(Variables!$A$2)&lt;10,0,"")&amp;DAY(Variables!$A$2)</f>
        <v>-06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7" s="30" t="e">
        <f>VLOOKUP(B37,'Train Runs'!$A$13:$A$99935,1,FALSE)</f>
        <v>#N/A</v>
      </c>
    </row>
    <row r="38" spans="1:10" x14ac:dyDescent="0.25">
      <c r="A38" s="181"/>
      <c r="B38" s="43" t="str">
        <f>A38&amp;"-"&amp;IF(DAY(Variables!$A$2)&lt;10,0,"")&amp;DAY(Variables!$A$2)</f>
        <v>-06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8" s="30" t="e">
        <f>VLOOKUP(B38,'Train Runs'!$A$13:$A$99935,1,FALSE)</f>
        <v>#N/A</v>
      </c>
    </row>
    <row r="39" spans="1:10" x14ac:dyDescent="0.25">
      <c r="A39" s="181"/>
      <c r="B39" s="43" t="str">
        <f>A39&amp;"-"&amp;IF(DAY(Variables!$A$2)&lt;10,0,"")&amp;DAY(Variables!$A$2)</f>
        <v>-06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9" s="30" t="e">
        <f>VLOOKUP(B39,'Train Runs'!$A$13:$A$99935,1,FALSE)</f>
        <v>#N/A</v>
      </c>
    </row>
    <row r="40" spans="1:10" x14ac:dyDescent="0.25">
      <c r="A40" s="181"/>
      <c r="B40" s="43" t="str">
        <f>A40&amp;"-"&amp;IF(DAY(Variables!$A$2)&lt;10,0,"")&amp;DAY(Variables!$A$2)</f>
        <v>-06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0" s="30" t="e">
        <f>VLOOKUP(B40,'Train Runs'!$A$13:$A$99935,1,FALSE)</f>
        <v>#N/A</v>
      </c>
    </row>
    <row r="41" spans="1:10" x14ac:dyDescent="0.25">
      <c r="A41" s="181"/>
      <c r="B41" s="43" t="str">
        <f>A41&amp;"-"&amp;IF(DAY(Variables!$A$2)&lt;10,0,"")&amp;DAY(Variables!$A$2)</f>
        <v>-06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1" s="30" t="e">
        <f>VLOOKUP(B41,'Train Runs'!$A$13:$A$99935,1,FALSE)</f>
        <v>#N/A</v>
      </c>
    </row>
    <row r="42" spans="1:10" x14ac:dyDescent="0.25">
      <c r="A42" s="181"/>
      <c r="B42" s="43" t="str">
        <f>A42&amp;"-"&amp;IF(DAY(Variables!$A$2)&lt;10,0,"")&amp;DAY(Variables!$A$2)</f>
        <v>-06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2" s="30" t="e">
        <f>VLOOKUP(B42,'Train Runs'!$A$13:$A$99935,1,FALSE)</f>
        <v>#N/A</v>
      </c>
    </row>
    <row r="43" spans="1:10" x14ac:dyDescent="0.25">
      <c r="A43" s="181"/>
      <c r="B43" s="43" t="str">
        <f>A43&amp;"-"&amp;IF(DAY(Variables!$A$2)&lt;10,0,"")&amp;DAY(Variables!$A$2)</f>
        <v>-06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3" s="30" t="e">
        <f>VLOOKUP(B43,'Train Runs'!$A$13:$A$99935,1,FALSE)</f>
        <v>#N/A</v>
      </c>
    </row>
    <row r="44" spans="1:10" x14ac:dyDescent="0.25">
      <c r="A44" s="181"/>
      <c r="B44" s="43" t="str">
        <f>A44&amp;"-"&amp;IF(DAY(Variables!$A$2)&lt;10,0,"")&amp;DAY(Variables!$A$2)</f>
        <v>-06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4" s="30" t="e">
        <f>VLOOKUP(B44,'Train Runs'!$A$13:$A$99935,1,FALSE)</f>
        <v>#N/A</v>
      </c>
    </row>
    <row r="45" spans="1:10" x14ac:dyDescent="0.25">
      <c r="A45" s="181"/>
      <c r="B45" s="43" t="str">
        <f>A45&amp;"-"&amp;IF(DAY(Variables!$A$2)&lt;10,0,"")&amp;DAY(Variables!$A$2)</f>
        <v>-06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5" s="30" t="e">
        <f>VLOOKUP(B45,'Train Runs'!$A$13:$A$99935,1,FALSE)</f>
        <v>#N/A</v>
      </c>
    </row>
    <row r="46" spans="1:10" x14ac:dyDescent="0.25">
      <c r="A46" s="181"/>
      <c r="B46" s="43" t="str">
        <f>A46&amp;"-"&amp;IF(DAY(Variables!$A$2)&lt;10,0,"")&amp;DAY(Variables!$A$2)</f>
        <v>-06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6" s="30" t="e">
        <f>VLOOKUP(B46,'Train Runs'!$A$13:$A$99935,1,FALSE)</f>
        <v>#N/A</v>
      </c>
    </row>
    <row r="47" spans="1:10" x14ac:dyDescent="0.25">
      <c r="A47" s="181"/>
      <c r="B47" s="43" t="str">
        <f>A47&amp;"-"&amp;IF(DAY(Variables!$A$2)&lt;10,0,"")&amp;DAY(Variables!$A$2)</f>
        <v>-06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7" s="30" t="e">
        <f>VLOOKUP(B47,'Train Runs'!$A$13:$A$99935,1,FALSE)</f>
        <v>#N/A</v>
      </c>
    </row>
    <row r="48" spans="1:10" x14ac:dyDescent="0.25">
      <c r="A48" s="181"/>
      <c r="B48" s="43" t="str">
        <f>A48&amp;"-"&amp;IF(DAY(Variables!$A$2)&lt;10,0,"")&amp;DAY(Variables!$A$2)</f>
        <v>-06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8" s="30" t="e">
        <f>VLOOKUP(B48,'Train Runs'!$A$13:$A$99935,1,FALSE)</f>
        <v>#N/A</v>
      </c>
    </row>
    <row r="49" spans="1:10" x14ac:dyDescent="0.25">
      <c r="A49" s="181"/>
      <c r="B49" s="43" t="str">
        <f>A49&amp;"-"&amp;IF(DAY(Variables!$A$2)&lt;10,0,"")&amp;DAY(Variables!$A$2)</f>
        <v>-06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9" s="30" t="e">
        <f>VLOOKUP(B49,'Train Runs'!$A$13:$A$99935,1,FALSE)</f>
        <v>#N/A</v>
      </c>
    </row>
    <row r="50" spans="1:10" x14ac:dyDescent="0.25">
      <c r="A50" s="181"/>
      <c r="B50" s="43" t="str">
        <f>A50&amp;"-"&amp;IF(DAY(Variables!$A$2)&lt;10,0,"")&amp;DAY(Variables!$A$2)</f>
        <v>-06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0" s="30" t="e">
        <f>VLOOKUP(B50,'Train Runs'!$A$13:$A$99935,1,FALSE)</f>
        <v>#N/A</v>
      </c>
    </row>
    <row r="51" spans="1:10" x14ac:dyDescent="0.25">
      <c r="A51" s="181"/>
      <c r="B51" s="43" t="str">
        <f>A51&amp;"-"&amp;IF(DAY(Variables!$A$2)&lt;10,0,"")&amp;DAY(Variables!$A$2)</f>
        <v>-06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1" s="30" t="e">
        <f>VLOOKUP(B51,'Train Runs'!$A$13:$A$99935,1,FALSE)</f>
        <v>#N/A</v>
      </c>
    </row>
    <row r="52" spans="1:10" x14ac:dyDescent="0.25">
      <c r="A52" s="181"/>
      <c r="B52" s="43" t="str">
        <f>A52&amp;"-"&amp;IF(DAY(Variables!$A$2)&lt;10,0,"")&amp;DAY(Variables!$A$2)</f>
        <v>-06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2" s="30" t="e">
        <f>VLOOKUP(B52,'Train Runs'!$A$13:$A$99935,1,FALSE)</f>
        <v>#N/A</v>
      </c>
    </row>
    <row r="53" spans="1:10" x14ac:dyDescent="0.25">
      <c r="A53" s="181"/>
      <c r="B53" s="43" t="str">
        <f>A53&amp;"-"&amp;IF(DAY(Variables!$A$2)&lt;10,0,"")&amp;DAY(Variables!$A$2)</f>
        <v>-06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3" s="30" t="e">
        <f>VLOOKUP(B53,'Train Runs'!$A$13:$A$99935,1,FALSE)</f>
        <v>#N/A</v>
      </c>
    </row>
    <row r="54" spans="1:10" x14ac:dyDescent="0.25">
      <c r="A54" s="181"/>
      <c r="B54" s="43" t="str">
        <f>A54&amp;"-"&amp;IF(DAY(Variables!$A$2)&lt;10,0,"")&amp;DAY(Variables!$A$2)</f>
        <v>-06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4" s="30" t="e">
        <f>VLOOKUP(B54,'Train Runs'!$A$13:$A$99935,1,FALSE)</f>
        <v>#N/A</v>
      </c>
    </row>
    <row r="55" spans="1:10" x14ac:dyDescent="0.25">
      <c r="A55" s="181"/>
      <c r="B55" s="43" t="str">
        <f>A55&amp;"-"&amp;IF(DAY(Variables!$A$2)&lt;10,0,"")&amp;DAY(Variables!$A$2)</f>
        <v>-06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5" s="30" t="e">
        <f>VLOOKUP(B55,'Train Runs'!$A$13:$A$99935,1,FALSE)</f>
        <v>#N/A</v>
      </c>
    </row>
    <row r="56" spans="1:10" x14ac:dyDescent="0.25">
      <c r="A56" s="181"/>
      <c r="B56" s="43" t="str">
        <f>A56&amp;"-"&amp;IF(DAY(Variables!$A$2)&lt;10,0,"")&amp;DAY(Variables!$A$2)</f>
        <v>-06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6" s="30" t="e">
        <f>VLOOKUP(B56,'Train Runs'!$A$13:$A$99935,1,FALSE)</f>
        <v>#N/A</v>
      </c>
    </row>
    <row r="57" spans="1:10" x14ac:dyDescent="0.25">
      <c r="A57" s="181"/>
      <c r="B57" s="43" t="str">
        <f>A57&amp;"-"&amp;IF(DAY(Variables!$A$2)&lt;10,0,"")&amp;DAY(Variables!$A$2)</f>
        <v>-06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7" s="30" t="e">
        <f>VLOOKUP(B57,'Train Runs'!$A$13:$A$99935,1,FALSE)</f>
        <v>#N/A</v>
      </c>
    </row>
    <row r="58" spans="1:10" x14ac:dyDescent="0.25">
      <c r="A58" s="181"/>
      <c r="B58" s="43" t="str">
        <f>A58&amp;"-"&amp;IF(DAY(Variables!$A$2)&lt;10,0,"")&amp;DAY(Variables!$A$2)</f>
        <v>-06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8" s="30" t="e">
        <f>VLOOKUP(B58,'Train Runs'!$A$13:$A$99935,1,FALSE)</f>
        <v>#N/A</v>
      </c>
    </row>
    <row r="59" spans="1:10" x14ac:dyDescent="0.25">
      <c r="A59" s="181"/>
      <c r="B59" s="43" t="str">
        <f>A59&amp;"-"&amp;IF(DAY(Variables!$A$2)&lt;10,0,"")&amp;DAY(Variables!$A$2)</f>
        <v>-06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9" s="30" t="e">
        <f>VLOOKUP(B59,'Train Runs'!$A$13:$A$99935,1,FALSE)</f>
        <v>#N/A</v>
      </c>
    </row>
    <row r="60" spans="1:10" x14ac:dyDescent="0.25">
      <c r="A60" s="181"/>
      <c r="B60" s="43" t="str">
        <f>A60&amp;"-"&amp;IF(DAY(Variables!$A$2)&lt;10,0,"")&amp;DAY(Variables!$A$2)</f>
        <v>-06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0" s="30" t="e">
        <f>VLOOKUP(B60,'Train Runs'!$A$13:$A$99935,1,FALSE)</f>
        <v>#N/A</v>
      </c>
    </row>
    <row r="61" spans="1:10" x14ac:dyDescent="0.25">
      <c r="A61" s="181"/>
      <c r="B61" s="43" t="str">
        <f>A61&amp;"-"&amp;IF(DAY(Variables!$A$2)&lt;10,0,"")&amp;DAY(Variables!$A$2)</f>
        <v>-06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1" s="30" t="e">
        <f>VLOOKUP(B61,'Train Runs'!$A$13:$A$99935,1,FALSE)</f>
        <v>#N/A</v>
      </c>
    </row>
    <row r="62" spans="1:10" x14ac:dyDescent="0.25">
      <c r="A62" s="181"/>
      <c r="B62" s="43" t="str">
        <f>A62&amp;"-"&amp;IF(DAY(Variables!$A$2)&lt;10,0,"")&amp;DAY(Variables!$A$2)</f>
        <v>-06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2" s="30" t="e">
        <f>VLOOKUP(B62,'Train Runs'!$A$13:$A$99935,1,FALSE)</f>
        <v>#N/A</v>
      </c>
    </row>
    <row r="63" spans="1:10" x14ac:dyDescent="0.25">
      <c r="A63" s="181"/>
      <c r="B63" s="43" t="str">
        <f>A63&amp;"-"&amp;IF(DAY(Variables!$A$2)&lt;10,0,"")&amp;DAY(Variables!$A$2)</f>
        <v>-06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3" s="30" t="e">
        <f>VLOOKUP(B63,'Train Runs'!$A$13:$A$99935,1,FALSE)</f>
        <v>#N/A</v>
      </c>
    </row>
    <row r="64" spans="1:10" x14ac:dyDescent="0.25">
      <c r="A64" s="181"/>
      <c r="B64" s="43" t="str">
        <f>A64&amp;"-"&amp;IF(DAY(Variables!$A$2)&lt;10,0,"")&amp;DAY(Variables!$A$2)</f>
        <v>-06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4" s="30" t="e">
        <f>VLOOKUP(B64,'Train Runs'!$A$13:$A$99935,1,FALSE)</f>
        <v>#N/A</v>
      </c>
    </row>
    <row r="65" spans="1:10" x14ac:dyDescent="0.25">
      <c r="A65" s="181"/>
      <c r="B65" s="43" t="str">
        <f>A65&amp;"-"&amp;IF(DAY(Variables!$A$2)&lt;10,0,"")&amp;DAY(Variables!$A$2)</f>
        <v>-06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ref="I65:I8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5" s="30" t="e">
        <f>VLOOKUP(B65,'Train Runs'!$A$13:$A$99935,1,FALSE)</f>
        <v>#N/A</v>
      </c>
    </row>
    <row r="66" spans="1:10" x14ac:dyDescent="0.25">
      <c r="A66" s="181"/>
      <c r="B66" s="43" t="str">
        <f>A66&amp;"-"&amp;IF(DAY(Variables!$A$2)&lt;10,0,"")&amp;DAY(Variables!$A$2)</f>
        <v>-06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6" s="30" t="e">
        <f>VLOOKUP(B66,'Train Runs'!$A$13:$A$99935,1,FALSE)</f>
        <v>#N/A</v>
      </c>
    </row>
    <row r="67" spans="1:10" x14ac:dyDescent="0.25">
      <c r="A67" s="181"/>
      <c r="B67" s="43" t="str">
        <f>A67&amp;"-"&amp;IF(DAY(Variables!$A$2)&lt;10,0,"")&amp;DAY(Variables!$A$2)</f>
        <v>-06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7" s="30" t="e">
        <f>VLOOKUP(B67,'Train Runs'!$A$13:$A$99935,1,FALSE)</f>
        <v>#N/A</v>
      </c>
    </row>
    <row r="68" spans="1:10" x14ac:dyDescent="0.25">
      <c r="A68" s="181"/>
      <c r="B68" s="43" t="str">
        <f>A68&amp;"-"&amp;IF(DAY(Variables!$A$2)&lt;10,0,"")&amp;DAY(Variables!$A$2)</f>
        <v>-06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8" s="30" t="e">
        <f>VLOOKUP(B68,'Train Runs'!$A$13:$A$99935,1,FALSE)</f>
        <v>#N/A</v>
      </c>
    </row>
    <row r="69" spans="1:10" x14ac:dyDescent="0.25">
      <c r="A69" s="181"/>
      <c r="B69" s="43" t="str">
        <f>A69&amp;"-"&amp;IF(DAY(Variables!$A$2)&lt;10,0,"")&amp;DAY(Variables!$A$2)</f>
        <v>-06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9" s="30" t="e">
        <f>VLOOKUP(B69,'Train Runs'!$A$13:$A$99935,1,FALSE)</f>
        <v>#N/A</v>
      </c>
    </row>
    <row r="70" spans="1:10" x14ac:dyDescent="0.25">
      <c r="A70" s="181"/>
      <c r="B70" s="43" t="str">
        <f>A70&amp;"-"&amp;IF(DAY(Variables!$A$2)&lt;10,0,"")&amp;DAY(Variables!$A$2)</f>
        <v>-06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0" s="30" t="e">
        <f>VLOOKUP(B70,'Train Runs'!$A$13:$A$99935,1,FALSE)</f>
        <v>#N/A</v>
      </c>
    </row>
    <row r="71" spans="1:10" x14ac:dyDescent="0.25">
      <c r="A71" s="181"/>
      <c r="B71" s="43" t="str">
        <f>A71&amp;"-"&amp;IF(DAY(Variables!$A$2)&lt;10,0,"")&amp;DAY(Variables!$A$2)</f>
        <v>-06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1" s="30" t="e">
        <f>VLOOKUP(B71,'Train Runs'!$A$13:$A$99935,1,FALSE)</f>
        <v>#N/A</v>
      </c>
    </row>
    <row r="72" spans="1:10" x14ac:dyDescent="0.25">
      <c r="A72" s="181"/>
      <c r="B72" s="43" t="str">
        <f>A72&amp;"-"&amp;IF(DAY(Variables!$A$2)&lt;10,0,"")&amp;DAY(Variables!$A$2)</f>
        <v>-06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2" s="30" t="e">
        <f>VLOOKUP(B72,'Train Runs'!$A$13:$A$99935,1,FALSE)</f>
        <v>#N/A</v>
      </c>
    </row>
    <row r="73" spans="1:10" x14ac:dyDescent="0.25">
      <c r="A73" s="181"/>
      <c r="B73" s="43" t="str">
        <f>A73&amp;"-"&amp;IF(DAY(Variables!$A$2)&lt;10,0,"")&amp;DAY(Variables!$A$2)</f>
        <v>-06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3" s="30" t="e">
        <f>VLOOKUP(B73,'Train Runs'!$A$13:$A$99935,1,FALSE)</f>
        <v>#N/A</v>
      </c>
    </row>
    <row r="74" spans="1:10" x14ac:dyDescent="0.25">
      <c r="A74" s="181"/>
      <c r="B74" s="43" t="str">
        <f>A74&amp;"-"&amp;IF(DAY(Variables!$A$2)&lt;10,0,"")&amp;DAY(Variables!$A$2)</f>
        <v>-06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4" s="30" t="e">
        <f>VLOOKUP(B74,'Train Runs'!$A$13:$A$99935,1,FALSE)</f>
        <v>#N/A</v>
      </c>
    </row>
    <row r="75" spans="1:10" x14ac:dyDescent="0.25">
      <c r="A75" s="181"/>
      <c r="B75" s="43" t="str">
        <f>A75&amp;"-"&amp;IF(DAY(Variables!$A$2)&lt;10,0,"")&amp;DAY(Variables!$A$2)</f>
        <v>-06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5" s="30" t="e">
        <f>VLOOKUP(B75,'Train Runs'!$A$13:$A$99935,1,FALSE)</f>
        <v>#N/A</v>
      </c>
    </row>
    <row r="76" spans="1:10" x14ac:dyDescent="0.25">
      <c r="A76" s="181"/>
      <c r="B76" s="43" t="str">
        <f>A76&amp;"-"&amp;IF(DAY(Variables!$A$2)&lt;10,0,"")&amp;DAY(Variables!$A$2)</f>
        <v>-06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6" s="30" t="e">
        <f>VLOOKUP(B76,'Train Runs'!$A$13:$A$99935,1,FALSE)</f>
        <v>#N/A</v>
      </c>
    </row>
    <row r="77" spans="1:10" x14ac:dyDescent="0.25">
      <c r="A77" s="181"/>
      <c r="B77" s="43" t="str">
        <f>A77&amp;"-"&amp;IF(DAY(Variables!$A$2)&lt;10,0,"")&amp;DAY(Variables!$A$2)</f>
        <v>-06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7" s="30" t="e">
        <f>VLOOKUP(B77,'Train Runs'!$A$13:$A$99935,1,FALSE)</f>
        <v>#N/A</v>
      </c>
    </row>
    <row r="78" spans="1:10" x14ac:dyDescent="0.25">
      <c r="A78" s="181"/>
      <c r="B78" s="43" t="str">
        <f>A78&amp;"-"&amp;IF(DAY(Variables!$A$2)&lt;10,0,"")&amp;DAY(Variables!$A$2)</f>
        <v>-06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8" s="30" t="e">
        <f>VLOOKUP(B78,'Train Runs'!$A$13:$A$99935,1,FALSE)</f>
        <v>#N/A</v>
      </c>
    </row>
    <row r="79" spans="1:10" x14ac:dyDescent="0.25">
      <c r="A79" s="181"/>
      <c r="B79" s="43" t="str">
        <f>A79&amp;"-"&amp;IF(DAY(Variables!$A$2)&lt;10,0,"")&amp;DAY(Variables!$A$2)</f>
        <v>-06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9" s="30" t="e">
        <f>VLOOKUP(B79,'Train Runs'!$A$13:$A$99935,1,FALSE)</f>
        <v>#N/A</v>
      </c>
    </row>
    <row r="80" spans="1:10" x14ac:dyDescent="0.25">
      <c r="A80" s="181"/>
      <c r="B80" s="43" t="str">
        <f>A80&amp;"-"&amp;IF(DAY(Variables!$A$2)&lt;10,0,"")&amp;DAY(Variables!$A$2)</f>
        <v>-06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0" s="30" t="e">
        <f>VLOOKUP(B80,'Train Runs'!$A$13:$A$99935,1,FALSE)</f>
        <v>#N/A</v>
      </c>
    </row>
    <row r="81" spans="1:10" x14ac:dyDescent="0.25">
      <c r="A81" s="181"/>
      <c r="B81" s="43" t="str">
        <f>A81&amp;"-"&amp;IF(DAY(Variables!$A$2)&lt;10,0,"")&amp;DAY(Variables!$A$2)</f>
        <v>-06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1" s="30" t="e">
        <f>VLOOKUP(B81,'Train Runs'!$A$13:$A$99935,1,FALSE)</f>
        <v>#N/A</v>
      </c>
    </row>
    <row r="82" spans="1:10" x14ac:dyDescent="0.25">
      <c r="A82" s="181"/>
      <c r="B82" s="43" t="str">
        <f>A82&amp;"-"&amp;IF(DAY(Variables!$A$2)&lt;10,0,"")&amp;DAY(Variables!$A$2)</f>
        <v>-06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2" s="30" t="e">
        <f>VLOOKUP(B82,'Train Runs'!$A$13:$A$99935,1,FALSE)</f>
        <v>#N/A</v>
      </c>
    </row>
    <row r="83" spans="1:10" x14ac:dyDescent="0.25">
      <c r="A83" s="181"/>
      <c r="B83" s="43" t="str">
        <f>A83&amp;"-"&amp;IF(DAY(Variables!$A$2)&lt;10,0,"")&amp;DAY(Variables!$A$2)</f>
        <v>-06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3" s="30" t="e">
        <f>VLOOKUP(B83,'Train Runs'!$A$13:$A$99935,1,FALSE)</f>
        <v>#N/A</v>
      </c>
    </row>
    <row r="84" spans="1:10" x14ac:dyDescent="0.25">
      <c r="A84" s="181"/>
      <c r="B84" s="43" t="str">
        <f>A84&amp;"-"&amp;IF(DAY(Variables!$A$2)&lt;10,0,"")&amp;DAY(Variables!$A$2)</f>
        <v>-06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4" s="30" t="e">
        <f>VLOOKUP(B84,'Train Runs'!$A$13:$A$99935,1,FALSE)</f>
        <v>#N/A</v>
      </c>
    </row>
    <row r="85" spans="1:10" x14ac:dyDescent="0.25">
      <c r="A85" s="181"/>
      <c r="B85" s="43" t="str">
        <f>A85&amp;"-"&amp;IF(DAY(Variables!$A$2)&lt;10,0,"")&amp;DAY(Variables!$A$2)</f>
        <v>-06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5" s="30" t="e">
        <f>VLOOKUP(B85,'Train Runs'!$A$13:$A$99935,1,FALSE)</f>
        <v>#N/A</v>
      </c>
    </row>
    <row r="86" spans="1:10" x14ac:dyDescent="0.25">
      <c r="A86" s="181"/>
      <c r="B86" s="43" t="str">
        <f>A86&amp;"-"&amp;IF(DAY(Variables!$A$2)&lt;10,0,"")&amp;DAY(Variables!$A$2)</f>
        <v>-06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6" s="30" t="e">
        <f>VLOOKUP(B86,'Train Runs'!$A$13:$A$99935,1,FALSE)</f>
        <v>#N/A</v>
      </c>
    </row>
  </sheetData>
  <autoFilter ref="A2:J86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350</v>
      </c>
      <c r="B1" s="203" t="s">
        <v>351</v>
      </c>
      <c r="C1" s="195" t="s">
        <v>359</v>
      </c>
      <c r="D1" s="207" t="s">
        <v>58</v>
      </c>
      <c r="E1" s="192" t="s">
        <v>24</v>
      </c>
      <c r="F1" s="207" t="s">
        <v>365</v>
      </c>
      <c r="G1" s="211" t="s">
        <v>94</v>
      </c>
      <c r="H1" s="213" t="s">
        <v>369</v>
      </c>
      <c r="I1" s="209" t="s">
        <v>368</v>
      </c>
      <c r="J1" s="205" t="s">
        <v>84</v>
      </c>
      <c r="K1" s="205" t="s">
        <v>364</v>
      </c>
      <c r="L1" s="200" t="s">
        <v>361</v>
      </c>
      <c r="M1" s="200" t="s">
        <v>352</v>
      </c>
      <c r="N1" s="200" t="s">
        <v>354</v>
      </c>
      <c r="O1" s="200" t="s">
        <v>355</v>
      </c>
      <c r="P1" s="200" t="s">
        <v>356</v>
      </c>
      <c r="Q1" s="199" t="s">
        <v>353</v>
      </c>
    </row>
    <row r="2" spans="1:17" x14ac:dyDescent="0.25">
      <c r="A2" s="197">
        <v>42800.21875</v>
      </c>
      <c r="B2" s="204" t="s">
        <v>358</v>
      </c>
      <c r="C2" s="194" t="s">
        <v>360</v>
      </c>
      <c r="D2" s="208">
        <v>104</v>
      </c>
      <c r="E2" s="30" t="s">
        <v>363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/stypes="*4009*201703061*"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"%USERPROFILE%\AppData\Local\Temp\OnboardLogs"\RTDC4009\*4009*201703061*</v>
      </c>
      <c r="I2" s="210" t="str">
        <f>IF(VLOOKUP(K2,'Train Runs'!$A$13:$V$991,1,TRUE)=K2,VLOOKUP(K2,'Train Runs'!$A$13:$V$991,22,TRUE),NA())</f>
        <v>https://d0f6bd738d7f1b3e5a7ca70fe4ff75f0.us-east-1.aws.found.io/app/kibana#/discover/Steve-Slow-Train-Analysis-(2080s-and-2083s)?_g=(refreshInterval:(display:Off,pause:!f,section:0,value:0),time:(from:'2017-04-06T03:31:28-0600',mode:absolute,to:'2017-04-06T06:23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104-06</v>
      </c>
      <c r="L2" s="202">
        <f>IF(VLOOKUP(K2,'Train Runs'!$A$12:$B$991,1,TRUE)=K2,VLOOKUP(K2,'Train Runs'!$A$12:$B$991,2,TRUE),NA())</f>
        <v>4009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358</v>
      </c>
      <c r="C3" s="194" t="s">
        <v>360</v>
      </c>
      <c r="D3" s="208">
        <v>126</v>
      </c>
      <c r="E3" s="30" t="s">
        <v>362</v>
      </c>
      <c r="F3" s="208" t="b">
        <v>1</v>
      </c>
      <c r="G3" s="212" t="str">
        <f t="shared" si="0"/>
        <v>"C:\Program Files (x86)\AstroGrep\AstroGrep.exe" /e /r /s /spath="%USERPROFILE%\AppData\Local\Temp\OnboardLogs" /stypes="*4003*201703061*"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"%USERPROFILE%\AppData\Local\Temp\OnboardLogs"\RTDC4003\*4003*201703061*</v>
      </c>
      <c r="I3" s="210" t="str">
        <f>IF(VLOOKUP(K3,'Train Runs'!$A$13:$V$991,1,TRUE)=K3,VLOOKUP(K3,'Train Runs'!$A$13:$V$991,22,TRUE),NA())</f>
        <v>https://d0f6bd738d7f1b3e5a7ca70fe4ff75f0.us-east-1.aws.found.io/app/kibana#/discover/Steve-Slow-Train-Analysis-(2080s-and-2083s)?_g=(refreshInterval:(display:Off,pause:!f,section:0,value:0),time:(from:'2017-04-06T06:22:10-0600',mode:absolute,to:'2017-04-06T09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126-06</v>
      </c>
      <c r="L3" s="202">
        <f>IF(VLOOKUP(K3,'Train Runs'!$A$12:$B$991,1,TRUE)=K3,VLOOKUP(K3,'Train Runs'!$A$12:$B$991,2,TRUE),NA())</f>
        <v>4003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358</v>
      </c>
      <c r="C4" s="194" t="s">
        <v>360</v>
      </c>
      <c r="D4" s="208">
        <v>128</v>
      </c>
      <c r="E4" s="30" t="s">
        <v>362</v>
      </c>
      <c r="F4" s="208" t="b">
        <v>1</v>
      </c>
      <c r="G4" s="212" t="str">
        <f t="shared" si="0"/>
        <v>"C:\Program Files (x86)\AstroGrep\AstroGrep.exe" /e /r /s /spath="%USERPROFILE%\AppData\Local\Temp\OnboardLogs" /stypes="*4005*201703061*"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"%USERPROFILE%\AppData\Local\Temp\OnboardLogs"\RTDC4005\*4005*201703061*</v>
      </c>
      <c r="I4" s="210" t="str">
        <f>IF(VLOOKUP(K4,'Train Runs'!$A$13:$V$991,1,TRUE)=K4,VLOOKUP(K4,'Train Runs'!$A$13:$V$991,22,TRUE),NA())</f>
        <v>https://d0f6bd738d7f1b3e5a7ca70fe4ff75f0.us-east-1.aws.found.io/app/kibana#/discover/Steve-Slow-Train-Analysis-(2080s-and-2083s)?_g=(refreshInterval:(display:Off,pause:!f,section:0,value:0),time:(from:'2017-04-06T06:43:09-0600',mode:absolute,to:'2017-04-06T09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128-06</v>
      </c>
      <c r="L4" s="202">
        <f>IF(VLOOKUP(K4,'Train Runs'!$A$12:$B$991,1,TRUE)=K4,VLOOKUP(K4,'Train Runs'!$A$12:$B$991,2,TRUE),NA())</f>
        <v>4005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358</v>
      </c>
      <c r="C5" s="194" t="s">
        <v>360</v>
      </c>
      <c r="D5" s="208">
        <f>D4+2</f>
        <v>130</v>
      </c>
      <c r="E5" s="30" t="s">
        <v>362</v>
      </c>
      <c r="F5" s="208" t="b">
        <v>1</v>
      </c>
      <c r="G5" s="212" t="str">
        <f t="shared" si="0"/>
        <v>"C:\Program Files (x86)\AstroGrep\AstroGrep.exe" /e /r /s /spath="%USERPROFILE%\AppData\Local\Temp\OnboardLogs" /stypes="*4043*201703061*"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"%USERPROFILE%\AppData\Local\Temp\OnboardLogs"\RTDC4043\*4043*201703061*</v>
      </c>
      <c r="I5" s="210" t="str">
        <f>IF(VLOOKUP(K5,'Train Runs'!$A$13:$V$991,1,TRUE)=K5,VLOOKUP(K5,'Train Runs'!$A$13:$V$991,22,TRUE),NA())</f>
        <v>https://d0f6bd738d7f1b3e5a7ca70fe4ff75f0.us-east-1.aws.found.io/app/kibana#/discover/Steve-Slow-Train-Analysis-(2080s-and-2083s)?_g=(refreshInterval:(display:Off,pause:!f,section:0,value:0),time:(from:'2017-04-06T07:06:34-0600',mode:absolute,to:'2017-04-06T09:50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130-06</v>
      </c>
      <c r="L5" s="202">
        <f>IF(VLOOKUP(K5,'Train Runs'!$A$12:$B$991,1,TRUE)=K5,VLOOKUP(K5,'Train Runs'!$A$12:$B$991,2,TRUE),NA())</f>
        <v>4043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358</v>
      </c>
      <c r="C6" s="194" t="s">
        <v>360</v>
      </c>
      <c r="D6" s="208">
        <f>D5+2</f>
        <v>132</v>
      </c>
      <c r="E6" s="30" t="s">
        <v>362</v>
      </c>
      <c r="F6" s="208" t="b">
        <v>1</v>
      </c>
      <c r="G6" s="212" t="str">
        <f t="shared" si="0"/>
        <v>"C:\Program Files (x86)\AstroGrep\AstroGrep.exe" /e /r /s /spath="%USERPROFILE%\AppData\Local\Temp\OnboardLogs" /stypes="*4009*201703061*"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"%USERPROFILE%\AppData\Local\Temp\OnboardLogs"\RTDC4009\*4009*201703061*</v>
      </c>
      <c r="I6" s="210" t="str">
        <f>IF(VLOOKUP(K6,'Train Runs'!$A$13:$V$991,1,TRUE)=K6,VLOOKUP(K6,'Train Runs'!$A$13:$V$991,22,TRUE),NA())</f>
        <v>https://d0f6bd738d7f1b3e5a7ca70fe4ff75f0.us-east-1.aws.found.io/app/kibana#/discover/Steve-Slow-Train-Analysis-(2080s-and-2083s)?_g=(refreshInterval:(display:Off,pause:!f,section:0,value:0),time:(from:'2017-04-06T07:09:57-0600',mode:absolute,to:'2017-04-06T10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6" s="206">
        <f t="shared" si="2"/>
        <v>42800.625</v>
      </c>
      <c r="K6" s="206" t="str">
        <f>D6&amp;"-"&amp;IF(DAY(Variables!$A$2)&lt;10,0,"")&amp;DAY(Variables!$A$2)</f>
        <v>132-06</v>
      </c>
      <c r="L6" s="202">
        <f>IF(VLOOKUP(K6,'Train Runs'!$A$12:$B$991,1,TRUE)=K6,VLOOKUP(K6,'Train Runs'!$A$12:$B$991,2,TRUE),NA())</f>
        <v>4009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358</v>
      </c>
      <c r="C7" s="194" t="s">
        <v>360</v>
      </c>
      <c r="D7" s="208">
        <f t="shared" ref="D7:D11" si="4">D6+2</f>
        <v>134</v>
      </c>
      <c r="E7" s="30" t="s">
        <v>362</v>
      </c>
      <c r="F7" s="208" t="b">
        <v>1</v>
      </c>
      <c r="G7" s="212" t="str">
        <f t="shared" si="0"/>
        <v>"C:\Program Files (x86)\AstroGrep\AstroGrep.exe" /e /r /s /spath="%USERPROFILE%\AppData\Local\Temp\OnboardLogs" /stypes="*4053*201703061*"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"%USERPROFILE%\AppData\Local\Temp\OnboardLogs"\RTDC4053\*4053*201703061*</v>
      </c>
      <c r="I7" s="210" t="str">
        <f>IF(VLOOKUP(K7,'Train Runs'!$A$13:$V$991,1,TRUE)=K7,VLOOKUP(K7,'Train Runs'!$A$13:$V$991,22,TRUE),NA())</f>
        <v>https://d0f6bd738d7f1b3e5a7ca70fe4ff75f0.us-east-1.aws.found.io/app/kibana#/discover/Steve-Slow-Train-Analysis-(2080s-and-2083s)?_g=(refreshInterval:(display:Off,pause:!f,section:0,value:0),time:(from:'2017-04-06T07:37:32-0600',mode:absolute,to:'2017-04-06T10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134-06</v>
      </c>
      <c r="L7" s="202">
        <f>IF(VLOOKUP(K7,'Train Runs'!$A$12:$B$991,1,TRUE)=K7,VLOOKUP(K7,'Train Runs'!$A$12:$B$991,2,TRUE),NA())</f>
        <v>4053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358</v>
      </c>
      <c r="C8" s="194" t="s">
        <v>360</v>
      </c>
      <c r="D8" s="208">
        <f t="shared" si="4"/>
        <v>136</v>
      </c>
      <c r="E8" s="30" t="s">
        <v>362</v>
      </c>
      <c r="F8" s="208" t="b">
        <v>1</v>
      </c>
      <c r="G8" s="212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"%USERPROFILE%\AppData\Local\Temp\OnboardLogs"\RTDC4041\*4041*201703061*</v>
      </c>
      <c r="I8" s="210" t="str">
        <f>IF(VLOOKUP(K8,'Train Runs'!$A$13:$V$991,1,TRUE)=K8,VLOOKUP(K8,'Train Runs'!$A$13:$V$991,22,TRUE),NA())</f>
        <v>https://d0f6bd738d7f1b3e5a7ca70fe4ff75f0.us-east-1.aws.found.io/app/kibana#/discover/Steve-Slow-Train-Analysis-(2080s-and-2083s)?_g=(refreshInterval:(display:Off,pause:!f,section:0,value:0),time:(from:'2017-04-06T07:52:23-0600',mode:absolute,to:'2017-04-06T10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136-06</v>
      </c>
      <c r="L8" s="202">
        <f>IF(VLOOKUP(K8,'Train Runs'!$A$12:$B$991,1,TRUE)=K8,VLOOKUP(K8,'Train Runs'!$A$12:$B$991,2,TRUE),NA())</f>
        <v>4041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358</v>
      </c>
      <c r="C9" s="194" t="s">
        <v>360</v>
      </c>
      <c r="D9" s="208">
        <f t="shared" si="4"/>
        <v>138</v>
      </c>
      <c r="E9" s="30" t="s">
        <v>362</v>
      </c>
      <c r="F9" s="208" t="b">
        <v>1</v>
      </c>
      <c r="G9" s="212" t="str">
        <f t="shared" si="0"/>
        <v>"C:\Program Files (x86)\AstroGrep\AstroGrep.exe" /e /r /s /spath="%USERPROFILE%\AppData\Local\Temp\OnboardLogs" /stypes="*4017*201703061*"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"%USERPROFILE%\AppData\Local\Temp\OnboardLogs"\RTDC4017\*4017*201703061*</v>
      </c>
      <c r="I9" s="210" t="str">
        <f>IF(VLOOKUP(K9,'Train Runs'!$A$13:$V$991,1,TRUE)=K9,VLOOKUP(K9,'Train Runs'!$A$13:$V$991,22,TRUE),NA())</f>
        <v>https://d0f6bd738d7f1b3e5a7ca70fe4ff75f0.us-east-1.aws.found.io/app/kibana#/discover/Steve-Slow-Train-Analysis-(2080s-and-2083s)?_g=(refreshInterval:(display:Off,pause:!f,section:0,value:0),time:(from:'2017-04-06T08:09:48-0600',mode:absolute,to:'2017-04-06T10:51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138-06</v>
      </c>
      <c r="L9" s="202">
        <f>IF(VLOOKUP(K9,'Train Runs'!$A$12:$B$991,1,TRUE)=K9,VLOOKUP(K9,'Train Runs'!$A$12:$B$991,2,TRUE),NA())</f>
        <v>4017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358</v>
      </c>
      <c r="C10" s="194" t="s">
        <v>360</v>
      </c>
      <c r="D10" s="208">
        <f t="shared" si="4"/>
        <v>140</v>
      </c>
      <c r="E10" s="30" t="s">
        <v>362</v>
      </c>
      <c r="F10" s="208" t="b">
        <v>1</v>
      </c>
      <c r="G10" s="212" t="str">
        <f t="shared" si="0"/>
        <v>"C:\Program Files (x86)\AstroGrep\AstroGrep.exe" /e /r /s /spath="%USERPROFILE%\AppData\Local\Temp\OnboardLogs" /stypes="*4003*201703061*"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"%USERPROFILE%\AppData\Local\Temp\OnboardLogs"\RTDC4003\*4003*201703061*</v>
      </c>
      <c r="I10" s="210" t="str">
        <f>IF(VLOOKUP(K10,'Train Runs'!$A$13:$V$991,1,TRUE)=K10,VLOOKUP(K10,'Train Runs'!$A$13:$V$991,22,TRUE),NA())</f>
        <v>https://d0f6bd738d7f1b3e5a7ca70fe4ff75f0.us-east-1.aws.found.io/app/kibana#/discover/Steve-Slow-Train-Analysis-(2080s-and-2083s)?_g=(refreshInterval:(display:Off,pause:!f,section:0,value:0),time:(from:'2017-04-06T08:06:42-0600',mode:absolute,to:'2017-04-06T11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140-06</v>
      </c>
      <c r="L10" s="202">
        <f>IF(VLOOKUP(K10,'Train Runs'!$A$12:$B$991,1,TRUE)=K10,VLOOKUP(K10,'Train Runs'!$A$12:$B$991,2,TRUE),NA())</f>
        <v>4003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358</v>
      </c>
      <c r="C11" s="194" t="s">
        <v>360</v>
      </c>
      <c r="D11" s="208">
        <f t="shared" si="4"/>
        <v>142</v>
      </c>
      <c r="E11" s="30" t="s">
        <v>362</v>
      </c>
      <c r="F11" s="208" t="b">
        <v>1</v>
      </c>
      <c r="G11" s="212" t="str">
        <f t="shared" si="0"/>
        <v>"C:\Program Files (x86)\AstroGrep\AstroGrep.exe" /e /r /s /spath="%USERPROFILE%\AppData\Local\Temp\OnboardLogs" /stypes="*4005*201703061*"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"%USERPROFILE%\AppData\Local\Temp\OnboardLogs"\RTDC4005\*4005*201703061*</v>
      </c>
      <c r="I11" s="210" t="str">
        <f>IF(VLOOKUP(K11,'Train Runs'!$A$13:$V$991,1,TRUE)=K11,VLOOKUP(K11,'Train Runs'!$A$13:$V$991,22,TRUE),NA())</f>
        <v>https://d0f6bd738d7f1b3e5a7ca70fe4ff75f0.us-east-1.aws.found.io/app/kibana#/discover/Steve-Slow-Train-Analysis-(2080s-and-2083s)?_g=(refreshInterval:(display:Off,pause:!f,section:0,value:0),time:(from:'2017-04-06T08:29:38-0600',mode:absolute,to:'2017-04-06T11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142-06</v>
      </c>
      <c r="L11" s="202">
        <f>IF(VLOOKUP(K11,'Train Runs'!$A$12:$B$991,1,TRUE)=K11,VLOOKUP(K11,'Train Runs'!$A$12:$B$991,2,TRUE),NA())</f>
        <v>4005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358</v>
      </c>
      <c r="C12" s="194" t="s">
        <v>360</v>
      </c>
      <c r="D12" s="208">
        <v>144</v>
      </c>
      <c r="E12" s="30" t="s">
        <v>362</v>
      </c>
      <c r="F12" s="208" t="b">
        <v>1</v>
      </c>
      <c r="G12" s="212" t="str">
        <f t="shared" si="0"/>
        <v>"C:\Program Files (x86)\AstroGrep\AstroGrep.exe" /e /r /s /spath="%USERPROFILE%\AppData\Local\Temp\OnboardLogs" /stypes="*4043*201703061*"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"%USERPROFILE%\AppData\Local\Temp\OnboardLogs"\RTDC4043\*4043*201703061*</v>
      </c>
      <c r="I12" s="210" t="str">
        <f>IF(VLOOKUP(K12,'Train Runs'!$A$13:$V$991,1,TRUE)=K12,VLOOKUP(K12,'Train Runs'!$A$13:$V$991,22,TRUE),NA())</f>
        <v>https://d0f6bd738d7f1b3e5a7ca70fe4ff75f0.us-east-1.aws.found.io/app/kibana#/discover/Steve-Slow-Train-Analysis-(2080s-and-2083s)?_g=(refreshInterval:(display:Off,pause:!f,section:0,value:0),time:(from:'2017-04-06T08:53:16-0600',mode:absolute,to:'2017-04-06T11:39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144-06</v>
      </c>
      <c r="L12" s="202">
        <f>IF(VLOOKUP(K12,'Train Runs'!$A$12:$B$991,1,TRUE)=K12,VLOOKUP(K12,'Train Runs'!$A$12:$B$991,2,TRUE),NA())</f>
        <v>4043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358</v>
      </c>
      <c r="C13" s="194" t="s">
        <v>360</v>
      </c>
      <c r="D13" s="208">
        <v>146</v>
      </c>
      <c r="E13" s="30" t="s">
        <v>362</v>
      </c>
      <c r="F13" s="208" t="b">
        <v>1</v>
      </c>
      <c r="G13" s="212" t="str">
        <f t="shared" si="0"/>
        <v>"C:\Program Files (x86)\AstroGrep\AstroGrep.exe" /e /r /s /spath="%USERPROFILE%\AppData\Local\Temp\OnboardLogs" /stypes="*4009*201703061*"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"%USERPROFILE%\AppData\Local\Temp\OnboardLogs"\RTDC4009\*4009*201703061*</v>
      </c>
      <c r="I13" s="210" t="str">
        <f>IF(VLOOKUP(K13,'Train Runs'!$A$13:$V$991,1,TRUE)=K13,VLOOKUP(K13,'Train Runs'!$A$13:$V$991,22,TRUE),NA())</f>
        <v>https://d0f6bd738d7f1b3e5a7ca70fe4ff75f0.us-east-1.aws.found.io/app/kibana#/discover/Steve-Slow-Train-Analysis-(2080s-and-2083s)?_g=(refreshInterval:(display:Off,pause:!f,section:0,value:0),time:(from:'2017-04-06T08:58:25-0600',mode:absolute,to:'2017-04-06T11:51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146-06</v>
      </c>
      <c r="L13" s="202">
        <f>IF(VLOOKUP(K13,'Train Runs'!$A$12:$B$991,1,TRUE)=K13,VLOOKUP(K13,'Train Runs'!$A$12:$B$991,2,TRUE),NA())</f>
        <v>4009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358</v>
      </c>
      <c r="C14" s="194" t="s">
        <v>360</v>
      </c>
      <c r="D14" s="208">
        <v>148</v>
      </c>
      <c r="E14" s="30" t="s">
        <v>366</v>
      </c>
      <c r="F14" s="208" t="b">
        <v>1</v>
      </c>
      <c r="G14" s="212" t="str">
        <f t="shared" si="0"/>
        <v>"C:\Program Files (x86)\AstroGrep\AstroGrep.exe" /e /r /s /spath="%USERPROFILE%\AppData\Local\Temp\OnboardLogs" /stypes="*4053*201703061*"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"%USERPROFILE%\AppData\Local\Temp\OnboardLogs"\RTDC4053\*4053*201703061*</v>
      </c>
      <c r="I14" s="210" t="str">
        <f>IF(VLOOKUP(K14,'Train Runs'!$A$13:$V$991,1,TRUE)=K14,VLOOKUP(K14,'Train Runs'!$A$13:$V$991,22,TRUE),NA())</f>
        <v>https://d0f6bd738d7f1b3e5a7ca70fe4ff75f0.us-east-1.aws.found.io/app/kibana#/discover/Steve-Slow-Train-Analysis-(2080s-and-2083s)?_g=(refreshInterval:(display:Off,pause:!f,section:0,value:0),time:(from:'2017-04-06T09:14:37-0600',mode:absolute,to:'2017-04-06T12:05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148-06</v>
      </c>
      <c r="L14" s="202">
        <f>IF(VLOOKUP(K14,'Train Runs'!$A$12:$B$991,1,TRUE)=K14,VLOOKUP(K14,'Train Runs'!$A$12:$B$991,2,TRUE),NA())</f>
        <v>4053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358</v>
      </c>
      <c r="C15" s="194" t="s">
        <v>360</v>
      </c>
      <c r="D15" s="208">
        <v>178</v>
      </c>
      <c r="E15" s="30" t="s">
        <v>367</v>
      </c>
      <c r="F15" s="208" t="b">
        <v>1</v>
      </c>
      <c r="G15" s="212" t="str">
        <f t="shared" si="0"/>
        <v>"C:\Program Files (x86)\AstroGrep\AstroGrep.exe" /e /r /s /spath="%USERPROFILE%\AppData\Local\Temp\OnboardLogs" /stypes="*4041*201703062*"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"%USERPROFILE%\AppData\Local\Temp\OnboardLogs"\RTDC4041\*4041*201703062*</v>
      </c>
      <c r="I15" s="210" t="str">
        <f>IF(VLOOKUP(K15,'Train Runs'!$A$13:$V$991,1,TRUE)=K15,VLOOKUP(K15,'Train Runs'!$A$13:$V$991,22,TRUE),NA())</f>
        <v>https://d0f6bd738d7f1b3e5a7ca70fe4ff75f0.us-east-1.aws.found.io/app/kibana#/discover/Steve-Slow-Train-Analysis-(2080s-and-2083s)?_g=(refreshInterval:(display:Off,pause:!f,section:0,value:0),time:(from:'2017-04-06T12:56:39-0600',mode:absolute,to:'2017-04-06T15:51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178-06</v>
      </c>
      <c r="L15" s="202">
        <f>IF(VLOOKUP(K15,'Train Runs'!$A$12:$B$991,1,TRUE)=K15,VLOOKUP(K15,'Train Runs'!$A$12:$B$991,2,TRUE),NA())</f>
        <v>4041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358</v>
      </c>
      <c r="C16" s="194" t="s">
        <v>360</v>
      </c>
      <c r="D16" s="208">
        <v>194</v>
      </c>
      <c r="E16" s="30" t="s">
        <v>367</v>
      </c>
      <c r="F16" s="208" t="b">
        <v>1</v>
      </c>
      <c r="G16" s="212" t="str">
        <f t="shared" si="0"/>
        <v>"C:\Program Files (x86)\AstroGrep\AstroGrep.exe" /e /r /s /spath="%USERPROFILE%\AppData\Local\Temp\OnboardLogs" /stypes="*4017*201703062*"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"%USERPROFILE%\AppData\Local\Temp\OnboardLogs"\RTDC4017\*4017*201703062*</v>
      </c>
      <c r="I16" s="210" t="str">
        <f>IF(VLOOKUP(K16,'Train Runs'!$A$13:$V$991,1,TRUE)=K16,VLOOKUP(K16,'Train Runs'!$A$13:$V$991,22,TRUE),NA())</f>
        <v>https://d0f6bd738d7f1b3e5a7ca70fe4ff75f0.us-east-1.aws.found.io/app/kibana#/discover/Steve-Slow-Train-Analysis-(2080s-and-2083s)?_g=(refreshInterval:(display:Off,pause:!f,section:0,value:0),time:(from:'2017-04-06T14:53:23-0600',mode:absolute,to:'2017-04-06T17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194-06</v>
      </c>
      <c r="L16" s="202">
        <f>IF(VLOOKUP(K16,'Train Runs'!$A$12:$B$991,1,TRUE)=K16,VLOOKUP(K16,'Train Runs'!$A$12:$B$991,2,TRUE),NA())</f>
        <v>4017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358</v>
      </c>
      <c r="C17" s="194" t="s">
        <v>360</v>
      </c>
      <c r="D17" s="208">
        <v>206</v>
      </c>
      <c r="E17" s="30" t="s">
        <v>362</v>
      </c>
      <c r="F17" s="208" t="b">
        <v>1</v>
      </c>
      <c r="G17" s="212" t="str">
        <f t="shared" si="0"/>
        <v>"C:\Program Files (x86)\AstroGrep\AstroGrep.exe" /e /r /s /spath="%USERPROFILE%\AppData\Local\Temp\OnboardLogs" /stypes="*4041*201703070*"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"%USERPROFILE%\AppData\Local\Temp\OnboardLogs"\RTDC4041\*4041*201703070*</v>
      </c>
      <c r="I17" s="210" t="str">
        <f>IF(VLOOKUP(K17,'Train Runs'!$A$13:$V$991,1,TRUE)=K17,VLOOKUP(K17,'Train Runs'!$A$13:$V$991,22,TRUE),NA())</f>
        <v>https://d0f6bd738d7f1b3e5a7ca70fe4ff75f0.us-east-1.aws.found.io/app/kibana#/discover/Steve-Slow-Train-Analysis-(2080s-and-2083s)?_g=(refreshInterval:(display:Off,pause:!f,section:0,value:0),time:(from:'2017-04-06T16:24:49-0600',mode:absolute,to:'2017-04-06T19:19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206-06</v>
      </c>
      <c r="L17" s="202">
        <f>IF(VLOOKUP(K17,'Train Runs'!$A$12:$B$991,1,TRUE)=K17,VLOOKUP(K17,'Train Runs'!$A$12:$B$991,2,TRUE),NA())</f>
        <v>4041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358</v>
      </c>
      <c r="C18" s="194" t="s">
        <v>360</v>
      </c>
      <c r="D18" s="208">
        <v>210</v>
      </c>
      <c r="E18" s="30" t="s">
        <v>362</v>
      </c>
      <c r="F18" s="208" t="b">
        <v>1</v>
      </c>
      <c r="G18" s="212" t="str">
        <f t="shared" si="0"/>
        <v>"C:\Program Files (x86)\AstroGrep\AstroGrep.exe" /e /r /s /spath="%USERPROFILE%\AppData\Local\Temp\OnboardLogs" /stypes="*4003*201703070*"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"%USERPROFILE%\AppData\Local\Temp\OnboardLogs"\RTDC4003\*4003*201703070*</v>
      </c>
      <c r="I18" s="210" t="str">
        <f>IF(VLOOKUP(K18,'Train Runs'!$A$13:$V$991,1,TRUE)=K18,VLOOKUP(K18,'Train Runs'!$A$13:$V$991,22,TRUE),NA())</f>
        <v>https://d0f6bd738d7f1b3e5a7ca70fe4ff75f0.us-east-1.aws.found.io/app/kibana#/discover/Steve-Slow-Train-Analysis-(2080s-and-2083s)?_g=(refreshInterval:(display:Off,pause:!f,section:0,value:0),time:(from:'2017-04-06T17:08:08-0600',mode:absolute,to:'2017-04-06T19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210-06</v>
      </c>
      <c r="L18" s="202">
        <f>IF(VLOOKUP(K18,'Train Runs'!$A$12:$B$991,1,TRUE)=K18,VLOOKUP(K18,'Train Runs'!$A$12:$B$991,2,TRUE),NA())</f>
        <v>4003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358</v>
      </c>
      <c r="C19" s="194" t="s">
        <v>360</v>
      </c>
      <c r="D19" s="208">
        <f>D18+2</f>
        <v>212</v>
      </c>
      <c r="E19" s="30" t="s">
        <v>362</v>
      </c>
      <c r="F19" s="208" t="b">
        <v>1</v>
      </c>
      <c r="G19" s="212" t="str">
        <f t="shared" si="0"/>
        <v>"C:\Program Files (x86)\AstroGrep\AstroGrep.exe" /e /r /s /spath="%USERPROFILE%\AppData\Local\Temp\OnboardLogs" /stypes="*4015*201703070*"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"%USERPROFILE%\AppData\Local\Temp\OnboardLogs"\RTDC4015\*4015*201703070*</v>
      </c>
      <c r="I19" s="210" t="str">
        <f>IF(VLOOKUP(K19,'Train Runs'!$A$13:$V$991,1,TRUE)=K19,VLOOKUP(K19,'Train Runs'!$A$13:$V$991,22,TRUE),NA())</f>
        <v>https://d0f6bd738d7f1b3e5a7ca70fe4ff75f0.us-east-1.aws.found.io/app/kibana#/discover/Steve-Slow-Train-Analysis-(2080s-and-2083s)?_g=(refreshInterval:(display:Off,pause:!f,section:0,value:0),time:(from:'2017-04-06T17:14:03-0600',mode:absolute,to:'2017-04-06T20:04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212-06</v>
      </c>
      <c r="L19" s="202">
        <f>IF(VLOOKUP(K19,'Train Runs'!$A$12:$B$991,1,TRUE)=K19,VLOOKUP(K19,'Train Runs'!$A$12:$B$991,2,TRUE),NA())</f>
        <v>4015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358</v>
      </c>
      <c r="C20" s="194" t="s">
        <v>360</v>
      </c>
      <c r="D20" s="208">
        <v>214</v>
      </c>
      <c r="E20" s="30" t="s">
        <v>362</v>
      </c>
      <c r="F20" s="208" t="b">
        <v>1</v>
      </c>
      <c r="G20" s="212" t="str">
        <f t="shared" si="0"/>
        <v>"C:\Program Files (x86)\AstroGrep\AstroGrep.exe" /e /r /s /spath="%USERPROFILE%\AppData\Local\Temp\OnboardLogs" /stypes="*4043*201703070*"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"%USERPROFILE%\AppData\Local\Temp\OnboardLogs"\RTDC4043\*4043*201703070*</v>
      </c>
      <c r="I20" s="210" t="str">
        <f>IF(VLOOKUP(K20,'Train Runs'!$A$13:$V$991,1,TRUE)=K20,VLOOKUP(K20,'Train Runs'!$A$13:$V$991,22,TRUE),NA())</f>
        <v>https://d0f6bd738d7f1b3e5a7ca70fe4ff75f0.us-east-1.aws.found.io/app/kibana#/discover/Steve-Slow-Train-Analysis-(2080s-and-2083s)?_g=(refreshInterval:(display:Off,pause:!f,section:0,value:0),time:(from:'2017-04-06T17:28:28-0600',mode:absolute,to:'2017-04-06T20:20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214-06</v>
      </c>
      <c r="L20" s="202">
        <f>IF(VLOOKUP(K20,'Train Runs'!$A$12:$B$991,1,TRUE)=K20,VLOOKUP(K20,'Train Runs'!$A$12:$B$991,2,TRUE),NA())</f>
        <v>4043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358</v>
      </c>
      <c r="C21" s="194" t="s">
        <v>360</v>
      </c>
      <c r="D21" s="208">
        <v>216</v>
      </c>
      <c r="E21" s="30" t="s">
        <v>362</v>
      </c>
      <c r="F21" s="208" t="b">
        <v>1</v>
      </c>
      <c r="G21" s="212" t="str">
        <f t="shared" si="0"/>
        <v>"C:\Program Files (x86)\AstroGrep\AstroGrep.exe" /e /r /s /spath="%USERPROFILE%\AppData\Local\Temp\OnboardLogs" /stypes="*4009*201703070*"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"%USERPROFILE%\AppData\Local\Temp\OnboardLogs"\RTDC4009\*4009*201703070*</v>
      </c>
      <c r="I21" s="210" t="str">
        <f>IF(VLOOKUP(K21,'Train Runs'!$A$13:$V$991,1,TRUE)=K21,VLOOKUP(K21,'Train Runs'!$A$13:$V$991,22,TRUE),NA())</f>
        <v>https://d0f6bd738d7f1b3e5a7ca70fe4ff75f0.us-east-1.aws.found.io/app/kibana#/discover/Steve-Slow-Train-Analysis-(2080s-and-2083s)?_g=(refreshInterval:(display:Off,pause:!f,section:0,value:0),time:(from:'2017-04-06T17:45:03-0600',mode:absolute,to:'2017-04-06T20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216-06</v>
      </c>
      <c r="L21" s="202">
        <f>IF(VLOOKUP(K21,'Train Runs'!$A$12:$B$991,1,TRUE)=K21,VLOOKUP(K21,'Train Runs'!$A$12:$B$991,2,TRUE),NA())</f>
        <v>4009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358</v>
      </c>
      <c r="C22" s="194" t="s">
        <v>360</v>
      </c>
      <c r="D22" s="208">
        <f>D21+2</f>
        <v>218</v>
      </c>
      <c r="E22" s="30" t="s">
        <v>362</v>
      </c>
      <c r="F22" s="208" t="b">
        <v>1</v>
      </c>
      <c r="G22" s="212" t="str">
        <f t="shared" si="0"/>
        <v>"C:\Program Files (x86)\AstroGrep\AstroGrep.exe" /e /r /s /spath="%USERPROFILE%\AppData\Local\Temp\OnboardLogs" /stypes="*4053*201703070*"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"%USERPROFILE%\AppData\Local\Temp\OnboardLogs"\RTDC4053\*4053*201703070*</v>
      </c>
      <c r="I22" s="210" t="str">
        <f>IF(VLOOKUP(K22,'Train Runs'!$A$13:$V$991,1,TRUE)=K22,VLOOKUP(K22,'Train Runs'!$A$13:$V$991,22,TRUE),NA())</f>
        <v>https://d0f6bd738d7f1b3e5a7ca70fe4ff75f0.us-east-1.aws.found.io/app/kibana#/discover/Steve-Slow-Train-Analysis-(2080s-and-2083s)?_g=(refreshInterval:(display:Off,pause:!f,section:0,value:0),time:(from:'2017-04-06T18:01:17-0600',mode:absolute,to:'2017-04-06T20:50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218-06</v>
      </c>
      <c r="L22" s="202">
        <f>IF(VLOOKUP(K22,'Train Runs'!$A$12:$B$991,1,TRUE)=K22,VLOOKUP(K22,'Train Runs'!$A$12:$B$991,2,TRUE),NA())</f>
        <v>4053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358</v>
      </c>
      <c r="C23" s="194" t="s">
        <v>360</v>
      </c>
      <c r="D23" s="208">
        <f>D22+2</f>
        <v>220</v>
      </c>
      <c r="E23" s="30" t="s">
        <v>362</v>
      </c>
      <c r="F23" s="208" t="b">
        <v>1</v>
      </c>
      <c r="G23" s="212" t="str">
        <f t="shared" si="0"/>
        <v>"C:\Program Files (x86)\AstroGrep\AstroGrep.exe" /e /r /s /spath="%USERPROFILE%\AppData\Local\Temp\OnboardLogs" /stypes="*4041*201703070*"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"%USERPROFILE%\AppData\Local\Temp\OnboardLogs"\RTDC4041\*4041*201703070*</v>
      </c>
      <c r="I23" s="210" t="str">
        <f>IF(VLOOKUP(K23,'Train Runs'!$A$13:$V$991,1,TRUE)=K23,VLOOKUP(K23,'Train Runs'!$A$13:$V$991,22,TRUE),NA())</f>
        <v>https://d0f6bd738d7f1b3e5a7ca70fe4ff75f0.us-east-1.aws.found.io/app/kibana#/discover/Steve-Slow-Train-Analysis-(2080s-and-2083s)?_g=(refreshInterval:(display:Off,pause:!f,section:0,value:0),time:(from:'2017-04-06T18:18:25-0600',mode:absolute,to:'2017-04-06T21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220-06</v>
      </c>
      <c r="L23" s="202">
        <f>IF(VLOOKUP(K23,'Train Runs'!$A$12:$B$991,1,TRUE)=K23,VLOOKUP(K23,'Train Runs'!$A$12:$B$991,2,TRUE),NA())</f>
        <v>4041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358</v>
      </c>
      <c r="C24" s="194" t="s">
        <v>360</v>
      </c>
      <c r="D24" s="208">
        <f>D23+2</f>
        <v>222</v>
      </c>
      <c r="E24" s="30" t="s">
        <v>362</v>
      </c>
      <c r="F24" s="208" t="b">
        <v>1</v>
      </c>
      <c r="G24" s="212" t="str">
        <f t="shared" si="0"/>
        <v>"C:\Program Files (x86)\AstroGrep\AstroGrep.exe" /e /r /s /spath="%USERPROFILE%\AppData\Local\Temp\OnboardLogs" /stypes="*4003*201703070*"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"%USERPROFILE%\AppData\Local\Temp\OnboardLogs"\RTDC4003\*4003*201703070*</v>
      </c>
      <c r="I24" s="210" t="str">
        <f>IF(VLOOKUP(K24,'Train Runs'!$A$13:$V$991,1,TRUE)=K24,VLOOKUP(K24,'Train Runs'!$A$13:$V$991,22,TRUE),NA())</f>
        <v>https://d0f6bd738d7f1b3e5a7ca70fe4ff75f0.us-east-1.aws.found.io/app/kibana#/discover/Steve-Slow-Train-Analysis-(2080s-and-2083s)?_g=(refreshInterval:(display:Off,pause:!f,section:0,value:0),time:(from:'2017-04-06T18:54:55-0600',mode:absolute,to:'2017-04-06T21:36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222-06</v>
      </c>
      <c r="L24" s="202">
        <f>IF(VLOOKUP(K24,'Train Runs'!$A$12:$B$991,1,TRUE)=K24,VLOOKUP(K24,'Train Runs'!$A$12:$B$991,2,TRUE),NA())</f>
        <v>4003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358</v>
      </c>
      <c r="C25" s="194" t="s">
        <v>360</v>
      </c>
      <c r="D25" s="208">
        <f>D24+2</f>
        <v>224</v>
      </c>
      <c r="E25" s="30" t="s">
        <v>362</v>
      </c>
      <c r="F25" s="208" t="b">
        <v>1</v>
      </c>
      <c r="G25" s="212" t="str">
        <f t="shared" si="0"/>
        <v>"C:\Program Files (x86)\AstroGrep\AstroGrep.exe" /e /r /s /spath="%USERPROFILE%\AppData\Local\Temp\OnboardLogs" /stypes="*4043*201703070*"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"%USERPROFILE%\AppData\Local\Temp\OnboardLogs"\RTDC4043\*4043*201703070*</v>
      </c>
      <c r="I25" s="210" t="str">
        <f>IF(VLOOKUP(K25,'Train Runs'!$A$13:$V$991,1,TRUE)=K25,VLOOKUP(K25,'Train Runs'!$A$13:$V$991,22,TRUE),NA())</f>
        <v>https://d0f6bd738d7f1b3e5a7ca70fe4ff75f0.us-east-1.aws.found.io/app/kibana#/discover/Steve-Slow-Train-Analysis-(2080s-and-2083s)?_g=(refreshInterval:(display:Off,pause:!f,section:0,value:0),time:(from:'2017-04-06T19:09:47-0600',mode:absolute,to:'2017-04-06T22:04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224-06</v>
      </c>
      <c r="L25" s="202">
        <f>IF(VLOOKUP(K25,'Train Runs'!$A$12:$B$991,1,TRUE)=K25,VLOOKUP(K25,'Train Runs'!$A$12:$B$991,2,TRUE),NA())</f>
        <v>4043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358</v>
      </c>
      <c r="C26" s="194" t="s">
        <v>360</v>
      </c>
      <c r="D26" s="208">
        <f>D25+2</f>
        <v>226</v>
      </c>
      <c r="E26" s="30" t="s">
        <v>362</v>
      </c>
      <c r="F26" s="208" t="b">
        <v>1</v>
      </c>
      <c r="G26" s="212" t="str">
        <f t="shared" si="0"/>
        <v>"C:\Program Files (x86)\AstroGrep\AstroGrep.exe" /e /r /s /spath="%USERPROFILE%\AppData\Local\Temp\OnboardLogs" /stypes="*4053*201703070*"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"%USERPROFILE%\AppData\Local\Temp\OnboardLogs"\RTDC4053\*4053*201703070*</v>
      </c>
      <c r="I26" s="210" t="str">
        <f>IF(VLOOKUP(K26,'Train Runs'!$A$13:$V$991,1,TRUE)=K26,VLOOKUP(K26,'Train Runs'!$A$13:$V$991,22,TRUE),NA())</f>
        <v>https://d0f6bd738d7f1b3e5a7ca70fe4ff75f0.us-east-1.aws.found.io/app/kibana#/discover/Steve-Slow-Train-Analysis-(2080s-and-2083s)?_g=(refreshInterval:(display:Off,pause:!f,section:0,value:0),time:(from:'2017-04-06T19:50:08-0600',mode:absolute,to:'2017-04-06T22:35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226-06</v>
      </c>
      <c r="L26" s="202">
        <f>IF(VLOOKUP(K26,'Train Runs'!$A$12:$B$991,1,TRUE)=K26,VLOOKUP(K26,'Train Runs'!$A$12:$B$991,2,TRUE),NA())</f>
        <v>4053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358</v>
      </c>
      <c r="C27" s="194" t="s">
        <v>360</v>
      </c>
      <c r="D27" s="208">
        <f t="shared" ref="D27:D33" si="5">D26+2</f>
        <v>228</v>
      </c>
      <c r="E27" s="30" t="s">
        <v>362</v>
      </c>
      <c r="F27" s="208" t="b">
        <v>1</v>
      </c>
      <c r="G27" s="212" t="str">
        <f t="shared" si="0"/>
        <v>"C:\Program Files (x86)\AstroGrep\AstroGrep.exe" /e /r /s /spath="%USERPROFILE%\AppData\Local\Temp\OnboardLogs" /stypes="*4041*201703070*"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"%USERPROFILE%\AppData\Local\Temp\OnboardLogs"\RTDC4041\*4041*201703070*</v>
      </c>
      <c r="I27" s="210" t="str">
        <f>IF(VLOOKUP(K27,'Train Runs'!$A$13:$V$991,1,TRUE)=K27,VLOOKUP(K27,'Train Runs'!$A$13:$V$991,22,TRUE),NA())</f>
        <v>https://d0f6bd738d7f1b3e5a7ca70fe4ff75f0.us-east-1.aws.found.io/app/kibana#/discover/Steve-Slow-Train-Analysis-(2080s-and-2083s)?_g=(refreshInterval:(display:Off,pause:!f,section:0,value:0),time:(from:'2017-04-06T20:16:32-0600',mode:absolute,to:'2017-04-06T23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228-06</v>
      </c>
      <c r="L27" s="202">
        <f>IF(VLOOKUP(K27,'Train Runs'!$A$12:$B$991,1,TRUE)=K27,VLOOKUP(K27,'Train Runs'!$A$12:$B$991,2,TRUE),NA())</f>
        <v>4041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358</v>
      </c>
      <c r="C28" s="194" t="s">
        <v>360</v>
      </c>
      <c r="D28" s="208">
        <f t="shared" si="5"/>
        <v>230</v>
      </c>
      <c r="E28" s="30" t="s">
        <v>362</v>
      </c>
      <c r="F28" s="208" t="b">
        <v>1</v>
      </c>
      <c r="G28" s="212" t="str">
        <f t="shared" si="0"/>
        <v>"C:\Program Files (x86)\AstroGrep\AstroGrep.exe" /e /r /s /spath="%USERPROFILE%\AppData\Local\Temp\OnboardLogs" /stypes="*4003*201703070*"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"%USERPROFILE%\AppData\Local\Temp\OnboardLogs"\RTDC4003\*4003*201703070*</v>
      </c>
      <c r="I28" s="210" t="str">
        <f>IF(VLOOKUP(K28,'Train Runs'!$A$13:$V$991,1,TRUE)=K28,VLOOKUP(K28,'Train Runs'!$A$13:$V$991,22,TRUE),NA())</f>
        <v>https://d0f6bd738d7f1b3e5a7ca70fe4ff75f0.us-east-1.aws.found.io/app/kibana#/discover/Steve-Slow-Train-Analysis-(2080s-and-2083s)?_g=(refreshInterval:(display:Off,pause:!f,section:0,value:0),time:(from:'2017-04-06T20:49:41-0600',mode:absolute,to:'2017-04-06T23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230-06</v>
      </c>
      <c r="L28" s="202">
        <f>IF(VLOOKUP(K28,'Train Runs'!$A$12:$B$991,1,TRUE)=K28,VLOOKUP(K28,'Train Runs'!$A$12:$B$991,2,TRUE),NA())</f>
        <v>4003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358</v>
      </c>
      <c r="C29" s="194" t="s">
        <v>360</v>
      </c>
      <c r="D29" s="208">
        <f t="shared" si="5"/>
        <v>232</v>
      </c>
      <c r="E29" s="30" t="s">
        <v>362</v>
      </c>
      <c r="F29" s="208" t="b">
        <v>1</v>
      </c>
      <c r="G29" s="212" t="str">
        <f t="shared" si="0"/>
        <v>"C:\Program Files (x86)\AstroGrep\AstroGrep.exe" /e /r /s /spath="%USERPROFILE%\AppData\Local\Temp\OnboardLogs" /stypes="*4043*201703070*"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"%USERPROFILE%\AppData\Local\Temp\OnboardLogs"\RTDC4043\*4043*201703070*</v>
      </c>
      <c r="I29" s="210" t="str">
        <f>IF(VLOOKUP(K29,'Train Runs'!$A$13:$V$991,1,TRUE)=K29,VLOOKUP(K29,'Train Runs'!$A$13:$V$991,22,TRUE),NA())</f>
        <v>https://d0f6bd738d7f1b3e5a7ca70fe4ff75f0.us-east-1.aws.found.io/app/kibana#/discover/Steve-Slow-Train-Analysis-(2080s-and-2083s)?_g=(refreshInterval:(display:Off,pause:!f,section:0,value:0),time:(from:'2017-04-06T21:21:29-0600',mode:absolute,to:'2017-04-07T00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232-06</v>
      </c>
      <c r="L29" s="202">
        <f>IF(VLOOKUP(K29,'Train Runs'!$A$12:$B$991,1,TRUE)=K29,VLOOKUP(K29,'Train Runs'!$A$12:$B$991,2,TRUE),NA())</f>
        <v>4043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358</v>
      </c>
      <c r="C30" s="194" t="s">
        <v>360</v>
      </c>
      <c r="D30" s="208">
        <f t="shared" si="5"/>
        <v>234</v>
      </c>
      <c r="E30" s="30" t="s">
        <v>362</v>
      </c>
      <c r="F30" s="208" t="b">
        <v>1</v>
      </c>
      <c r="G30" s="212" t="str">
        <f t="shared" si="0"/>
        <v>"C:\Program Files (x86)\AstroGrep\AstroGrep.exe" /e /r /s /spath="%USERPROFILE%\AppData\Local\Temp\OnboardLogs" /stypes="*4053*201703070*"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"%USERPROFILE%\AppData\Local\Temp\OnboardLogs"\RTDC4053\*4053*201703070*</v>
      </c>
      <c r="I30" s="210" t="str">
        <f>IF(VLOOKUP(K30,'Train Runs'!$A$13:$V$991,1,TRUE)=K30,VLOOKUP(K30,'Train Runs'!$A$13:$V$991,22,TRUE),NA())</f>
        <v>https://d0f6bd738d7f1b3e5a7ca70fe4ff75f0.us-east-1.aws.found.io/app/kibana#/discover/Steve-Slow-Train-Analysis-(2080s-and-2083s)?_g=(refreshInterval:(display:Off,pause:!f,section:0,value:0),time:(from:'2017-04-06T21:46:18-0600',mode:absolute,to:'2017-04-07T00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234-06</v>
      </c>
      <c r="L30" s="202">
        <f>IF(VLOOKUP(K30,'Train Runs'!$A$12:$B$991,1,TRUE)=K30,VLOOKUP(K30,'Train Runs'!$A$12:$B$991,2,TRUE),NA())</f>
        <v>4053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358</v>
      </c>
      <c r="C31" s="194" t="s">
        <v>360</v>
      </c>
      <c r="D31" s="208">
        <f t="shared" si="5"/>
        <v>236</v>
      </c>
      <c r="E31" s="30" t="s">
        <v>362</v>
      </c>
      <c r="F31" s="208" t="b">
        <v>1</v>
      </c>
      <c r="G31" s="212" t="str">
        <f t="shared" si="0"/>
        <v>"C:\Program Files (x86)\AstroGrep\AstroGrep.exe" /e /r /s /spath="%USERPROFILE%\AppData\Local\Temp\OnboardLogs" /stypes="*4041*201703070*"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"%USERPROFILE%\AppData\Local\Temp\OnboardLogs"\RTDC4041\*4041*201703070*</v>
      </c>
      <c r="I31" s="210" t="str">
        <f>IF(VLOOKUP(K31,'Train Runs'!$A$13:$V$991,1,TRUE)=K31,VLOOKUP(K31,'Train Runs'!$A$13:$V$991,22,TRUE),NA())</f>
        <v>https://d0f6bd738d7f1b3e5a7ca70fe4ff75f0.us-east-1.aws.found.io/app/kibana#/discover/Steve-Slow-Train-Analysis-(2080s-and-2083s)?_g=(refreshInterval:(display:Off,pause:!f,section:0,value:0),time:(from:'2017-04-06T22:13:14-0600',mode:absolute,to:'2017-04-07T01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236-06</v>
      </c>
      <c r="L31" s="202">
        <f>IF(VLOOKUP(K31,'Train Runs'!$A$12:$B$991,1,TRUE)=K31,VLOOKUP(K31,'Train Runs'!$A$12:$B$991,2,TRUE),NA())</f>
        <v>4041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358</v>
      </c>
      <c r="C32" s="194" t="s">
        <v>360</v>
      </c>
      <c r="D32" s="208">
        <f t="shared" si="5"/>
        <v>238</v>
      </c>
      <c r="E32" s="30" t="s">
        <v>362</v>
      </c>
      <c r="F32" s="208" t="b">
        <v>1</v>
      </c>
      <c r="G32" s="212" t="str">
        <f t="shared" si="0"/>
        <v>"C:\Program Files (x86)\AstroGrep\AstroGrep.exe" /e /r /s /spath="%USERPROFILE%\AppData\Local\Temp\OnboardLogs" /stypes="*4003*201703070*"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"%USERPROFILE%\AppData\Local\Temp\OnboardLogs"\RTDC4003\*4003*201703070*</v>
      </c>
      <c r="I32" s="210" t="str">
        <f>IF(VLOOKUP(K32,'Train Runs'!$A$13:$V$991,1,TRUE)=K32,VLOOKUP(K32,'Train Runs'!$A$13:$V$991,22,TRUE),NA())</f>
        <v>https://d0f6bd738d7f1b3e5a7ca70fe4ff75f0.us-east-1.aws.found.io/app/kibana#/discover/Steve-Slow-Train-Analysis-(2080s-and-2083s)?_g=(refreshInterval:(display:Off,pause:!f,section:0,value:0),time:(from:'2017-04-06T22:50:25-0600',mode:absolute,to:'2017-04-07T01:36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238-06</v>
      </c>
      <c r="L32" s="202">
        <f>IF(VLOOKUP(K32,'Train Runs'!$A$12:$B$991,1,TRUE)=K32,VLOOKUP(K32,'Train Runs'!$A$12:$B$991,2,TRUE),NA())</f>
        <v>4003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358</v>
      </c>
      <c r="C33" s="194" t="s">
        <v>360</v>
      </c>
      <c r="D33" s="208">
        <f t="shared" si="5"/>
        <v>240</v>
      </c>
      <c r="E33" s="30" t="s">
        <v>362</v>
      </c>
      <c r="F33" s="208" t="b">
        <v>1</v>
      </c>
      <c r="G33" s="212" t="str">
        <f t="shared" si="0"/>
        <v>"C:\Program Files (x86)\AstroGrep\AstroGrep.exe" /e /r /s /spath="%USERPROFILE%\AppData\Local\Temp\OnboardLogs" /stypes="*4043*201703070*"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"%USERPROFILE%\AppData\Local\Temp\OnboardLogs"\RTDC4043\*4043*201703070*</v>
      </c>
      <c r="I33" s="210" t="str">
        <f>IF(VLOOKUP(K33,'Train Runs'!$A$13:$V$991,1,TRUE)=K33,VLOOKUP(K33,'Train Runs'!$A$13:$V$991,22,TRUE),NA())</f>
        <v>https://d0f6bd738d7f1b3e5a7ca70fe4ff75f0.us-east-1.aws.found.io/app/kibana#/discover/Steve-Slow-Train-Analysis-(2080s-and-2083s)?_g=(refreshInterval:(display:Off,pause:!f,section:0,value:0),time:(from:'2017-04-06T23:21:22-0600',mode:absolute,to:'2017-04-07T02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240-06</v>
      </c>
      <c r="L33" s="202">
        <f>IF(VLOOKUP(K33,'Train Runs'!$A$12:$B$991,1,TRUE)=K33,VLOOKUP(K33,'Train Runs'!$A$12:$B$991,2,TRUE),NA())</f>
        <v>4043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358</v>
      </c>
      <c r="C34" s="194" t="s">
        <v>360</v>
      </c>
      <c r="D34" s="208">
        <v>240</v>
      </c>
      <c r="E34" s="30" t="s">
        <v>362</v>
      </c>
      <c r="F34" s="208" t="b">
        <v>1</v>
      </c>
      <c r="G34" s="212" t="str">
        <f t="shared" si="0"/>
        <v>"C:\Program Files (x86)\AstroGrep\AstroGrep.exe" /e /r /s /spath="%USERPROFILE%\AppData\Local\Temp\OnboardLogs" /stypes="*4043*201703070*"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"%USERPROFILE%\AppData\Local\Temp\OnboardLogs"\RTDC4043\*4043*201703070*</v>
      </c>
      <c r="I34" s="210" t="str">
        <f>IF(VLOOKUP(K34,'Train Runs'!$A$13:$V$991,1,TRUE)=K34,VLOOKUP(K34,'Train Runs'!$A$13:$V$991,22,TRUE),NA())</f>
        <v>https://d0f6bd738d7f1b3e5a7ca70fe4ff75f0.us-east-1.aws.found.io/app/kibana#/discover/Steve-Slow-Train-Analysis-(2080s-and-2083s)?_g=(refreshInterval:(display:Off,pause:!f,section:0,value:0),time:(from:'2017-04-06T23:21:22-0600',mode:absolute,to:'2017-04-07T02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240-06</v>
      </c>
      <c r="L34" s="202">
        <f>IF(VLOOKUP(K34,'Train Runs'!$A$12:$B$991,1,TRUE)=K34,VLOOKUP(K34,'Train Runs'!$A$12:$B$991,2,TRUE),NA())</f>
        <v>4043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358</v>
      </c>
      <c r="C35" s="194" t="s">
        <v>360</v>
      </c>
      <c r="D35" s="208">
        <v>242</v>
      </c>
      <c r="E35" s="30" t="s">
        <v>362</v>
      </c>
      <c r="F35" s="208" t="b">
        <v>1</v>
      </c>
      <c r="G35" s="212" t="str">
        <f t="shared" si="0"/>
        <v>"C:\Program Files (x86)\AstroGrep\AstroGrep.exe" /e /r /s /spath="%USERPROFILE%\AppData\Local\Temp\OnboardLogs" /stypes="*4053*201703070*"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"%USERPROFILE%\AppData\Local\Temp\OnboardLogs"\RTDC4053\*4053*201703070*</v>
      </c>
      <c r="I35" s="210" t="str">
        <f>IF(VLOOKUP(K35,'Train Runs'!$A$13:$V$991,1,TRUE)=K35,VLOOKUP(K35,'Train Runs'!$A$13:$V$991,22,TRUE),NA())</f>
        <v>https://d0f6bd738d7f1b3e5a7ca70fe4ff75f0.us-east-1.aws.found.io/app/kibana#/discover/Steve-Slow-Train-Analysis-(2080s-and-2083s)?_g=(refreshInterval:(display:Off,pause:!f,section:0,value:0),time:(from:'2017-04-06T23:51:09-0600',mode:absolute,to:'2017-04-07T02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242-06</v>
      </c>
      <c r="L35" s="202">
        <f>IF(VLOOKUP(K35,'Train Runs'!$A$12:$B$991,1,TRUE)=K35,VLOOKUP(K35,'Train Runs'!$A$12:$B$991,2,TRUE),NA())</f>
        <v>4053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196</v>
      </c>
      <c r="G1" s="8" t="s">
        <v>195</v>
      </c>
    </row>
    <row r="2" spans="1:7" x14ac:dyDescent="0.25">
      <c r="A2" s="8">
        <v>42831.031956018516</v>
      </c>
      <c r="B2" s="20" t="s">
        <v>442</v>
      </c>
      <c r="C2" s="20" t="s">
        <v>559</v>
      </c>
      <c r="D2" s="146">
        <v>2150000</v>
      </c>
      <c r="E2" s="20" t="s">
        <v>373</v>
      </c>
      <c r="F2" s="20" t="s">
        <v>374</v>
      </c>
      <c r="G2" s="8" t="str">
        <f>E2&amp;" "&amp;F2</f>
        <v>SWANSON BRYCE</v>
      </c>
    </row>
    <row r="3" spans="1:7" x14ac:dyDescent="0.25">
      <c r="A3" s="8">
        <v>42831.032673611109</v>
      </c>
      <c r="B3" s="20" t="s">
        <v>386</v>
      </c>
      <c r="C3" s="20" t="s">
        <v>536</v>
      </c>
      <c r="D3" s="146">
        <v>2480000</v>
      </c>
      <c r="E3" s="20" t="s">
        <v>551</v>
      </c>
      <c r="F3" s="20" t="s">
        <v>552</v>
      </c>
      <c r="G3" s="8" t="str">
        <f t="shared" ref="G3:G66" si="0">E3&amp;" "&amp;F3</f>
        <v>WHITED DUSTIN</v>
      </c>
    </row>
    <row r="4" spans="1:7" x14ac:dyDescent="0.25">
      <c r="A4" s="8">
        <v>42831.049143518518</v>
      </c>
      <c r="B4" s="20" t="s">
        <v>200</v>
      </c>
      <c r="C4" s="20" t="s">
        <v>560</v>
      </c>
      <c r="D4" s="146">
        <v>1740000</v>
      </c>
      <c r="E4" s="20" t="s">
        <v>401</v>
      </c>
      <c r="F4" s="20" t="s">
        <v>402</v>
      </c>
      <c r="G4" s="8" t="str">
        <f t="shared" si="0"/>
        <v>STORY SAMANTHA</v>
      </c>
    </row>
    <row r="5" spans="1:7" x14ac:dyDescent="0.25">
      <c r="A5" s="8">
        <v>42831.054120370369</v>
      </c>
      <c r="B5" s="20" t="s">
        <v>379</v>
      </c>
      <c r="C5" s="20" t="s">
        <v>561</v>
      </c>
      <c r="D5" s="146">
        <v>2540000</v>
      </c>
      <c r="E5" s="20" t="s">
        <v>555</v>
      </c>
      <c r="F5" s="20" t="s">
        <v>556</v>
      </c>
      <c r="G5" s="8" t="str">
        <f t="shared" si="0"/>
        <v>MCREYNOLDS KYLE</v>
      </c>
    </row>
    <row r="6" spans="1:7" x14ac:dyDescent="0.25">
      <c r="A6" s="8">
        <v>42831.071666666663</v>
      </c>
      <c r="B6" s="20" t="s">
        <v>385</v>
      </c>
      <c r="C6" s="20" t="s">
        <v>562</v>
      </c>
      <c r="D6" s="146">
        <v>2480000</v>
      </c>
      <c r="E6" s="20" t="s">
        <v>551</v>
      </c>
      <c r="F6" s="20" t="s">
        <v>552</v>
      </c>
      <c r="G6" s="8" t="str">
        <f t="shared" si="0"/>
        <v>WHITED DUSTIN</v>
      </c>
    </row>
    <row r="7" spans="1:7" x14ac:dyDescent="0.25">
      <c r="A7" s="8">
        <v>42831.090671296297</v>
      </c>
      <c r="B7" s="20" t="s">
        <v>378</v>
      </c>
      <c r="C7" s="20" t="s">
        <v>563</v>
      </c>
      <c r="D7" s="146">
        <v>2540000</v>
      </c>
      <c r="E7" s="20" t="s">
        <v>555</v>
      </c>
      <c r="F7" s="20" t="s">
        <v>556</v>
      </c>
      <c r="G7" s="8" t="str">
        <f t="shared" si="0"/>
        <v>MCREYNOLDS KYLE</v>
      </c>
    </row>
    <row r="8" spans="1:7" x14ac:dyDescent="0.25">
      <c r="A8" s="8">
        <v>42831.11309027778</v>
      </c>
      <c r="B8" s="20" t="s">
        <v>406</v>
      </c>
      <c r="C8" s="20" t="s">
        <v>564</v>
      </c>
      <c r="D8" s="146">
        <v>2550000</v>
      </c>
      <c r="E8" s="20" t="s">
        <v>537</v>
      </c>
      <c r="F8" s="20" t="s">
        <v>538</v>
      </c>
      <c r="G8" s="8" t="str">
        <f t="shared" si="0"/>
        <v>BADERTSCHER DIANE</v>
      </c>
    </row>
    <row r="9" spans="1:7" ht="15.75" thickBot="1" x14ac:dyDescent="0.3">
      <c r="A9" s="24">
        <v>42831.120474537034</v>
      </c>
      <c r="B9" s="20" t="s">
        <v>619</v>
      </c>
      <c r="C9" s="20" t="s">
        <v>620</v>
      </c>
      <c r="D9" s="146">
        <v>1090000</v>
      </c>
      <c r="E9" s="20" t="s">
        <v>656</v>
      </c>
      <c r="F9" s="20" t="s">
        <v>197</v>
      </c>
      <c r="G9" s="8" t="str">
        <f t="shared" si="0"/>
        <v>SPECTOR MICHAEL</v>
      </c>
    </row>
    <row r="10" spans="1:7" x14ac:dyDescent="0.25">
      <c r="A10" s="8">
        <v>42831.136724537035</v>
      </c>
      <c r="B10" s="20" t="s">
        <v>426</v>
      </c>
      <c r="C10" s="20" t="s">
        <v>657</v>
      </c>
      <c r="D10" s="146">
        <v>2550000</v>
      </c>
      <c r="E10" s="20" t="s">
        <v>537</v>
      </c>
      <c r="F10" s="20" t="s">
        <v>538</v>
      </c>
      <c r="G10" s="8" t="str">
        <f t="shared" si="0"/>
        <v>BADERTSCHER DIANE</v>
      </c>
    </row>
    <row r="11" spans="1:7" x14ac:dyDescent="0.25">
      <c r="A11" s="8">
        <v>42831.137094907404</v>
      </c>
      <c r="B11" s="20" t="s">
        <v>431</v>
      </c>
      <c r="C11" s="20" t="s">
        <v>658</v>
      </c>
      <c r="D11" s="146">
        <v>3000000</v>
      </c>
      <c r="E11" s="20" t="s">
        <v>456</v>
      </c>
      <c r="F11" s="20" t="s">
        <v>457</v>
      </c>
      <c r="G11" s="8" t="str">
        <f t="shared" si="0"/>
        <v>FORTUNATO FRANK</v>
      </c>
    </row>
    <row r="12" spans="1:7" x14ac:dyDescent="0.25">
      <c r="A12" s="8">
        <v>42831.142754629633</v>
      </c>
      <c r="B12" s="20" t="s">
        <v>478</v>
      </c>
      <c r="C12" s="20" t="s">
        <v>622</v>
      </c>
      <c r="D12" s="146">
        <v>1090000</v>
      </c>
      <c r="E12" s="20" t="s">
        <v>656</v>
      </c>
      <c r="F12" s="20" t="s">
        <v>197</v>
      </c>
      <c r="G12" s="8" t="str">
        <f t="shared" si="0"/>
        <v>SPECTOR MICHAEL</v>
      </c>
    </row>
    <row r="13" spans="1:7" x14ac:dyDescent="0.25">
      <c r="A13" s="8">
        <v>42831.149918981479</v>
      </c>
      <c r="B13" s="20" t="s">
        <v>482</v>
      </c>
      <c r="C13" s="20" t="s">
        <v>659</v>
      </c>
      <c r="D13" s="146">
        <v>3000000</v>
      </c>
      <c r="E13" s="20" t="s">
        <v>456</v>
      </c>
      <c r="F13" s="20" t="s">
        <v>457</v>
      </c>
      <c r="G13" s="8" t="str">
        <f t="shared" si="0"/>
        <v>FORTUNATO FRANK</v>
      </c>
    </row>
    <row r="14" spans="1:7" x14ac:dyDescent="0.25">
      <c r="A14" s="8">
        <v>42831.156782407408</v>
      </c>
      <c r="B14" s="20" t="s">
        <v>450</v>
      </c>
      <c r="C14" s="20" t="s">
        <v>660</v>
      </c>
      <c r="D14" s="146">
        <v>2140000</v>
      </c>
      <c r="E14" s="20" t="s">
        <v>661</v>
      </c>
      <c r="F14" s="20" t="s">
        <v>662</v>
      </c>
      <c r="G14" s="8" t="str">
        <f t="shared" si="0"/>
        <v>ROBINSON KADDIBA</v>
      </c>
    </row>
    <row r="15" spans="1:7" x14ac:dyDescent="0.25">
      <c r="A15" s="8">
        <v>42831.168310185189</v>
      </c>
      <c r="B15" s="20" t="s">
        <v>534</v>
      </c>
      <c r="C15" s="20" t="s">
        <v>663</v>
      </c>
      <c r="D15" s="146">
        <v>1100000</v>
      </c>
      <c r="E15" s="20" t="s">
        <v>540</v>
      </c>
      <c r="F15" s="20" t="s">
        <v>541</v>
      </c>
      <c r="G15" s="8" t="str">
        <f t="shared" si="0"/>
        <v>GEBRETEKLE DAGNEW</v>
      </c>
    </row>
    <row r="16" spans="1:7" x14ac:dyDescent="0.25">
      <c r="A16" s="8">
        <v>42831.171909722223</v>
      </c>
      <c r="B16" s="20" t="s">
        <v>534</v>
      </c>
      <c r="C16" s="20" t="s">
        <v>663</v>
      </c>
      <c r="D16" s="146">
        <v>1100000</v>
      </c>
      <c r="E16" s="20" t="s">
        <v>540</v>
      </c>
      <c r="F16" s="20" t="s">
        <v>541</v>
      </c>
      <c r="G16" s="8" t="str">
        <f t="shared" si="0"/>
        <v>GEBRETEKLE DAGNEW</v>
      </c>
    </row>
    <row r="17" spans="1:7" x14ac:dyDescent="0.25">
      <c r="A17" s="8">
        <v>42831.173460648148</v>
      </c>
      <c r="B17" s="20" t="s">
        <v>464</v>
      </c>
      <c r="C17" s="20" t="s">
        <v>664</v>
      </c>
      <c r="D17" s="146">
        <v>2140000</v>
      </c>
      <c r="E17" s="20" t="s">
        <v>661</v>
      </c>
      <c r="F17" s="20" t="s">
        <v>662</v>
      </c>
      <c r="G17" s="8" t="str">
        <f t="shared" si="0"/>
        <v>ROBINSON KADDIBA</v>
      </c>
    </row>
    <row r="18" spans="1:7" x14ac:dyDescent="0.25">
      <c r="A18" s="8">
        <v>42831.177106481482</v>
      </c>
      <c r="B18" s="20" t="s">
        <v>478</v>
      </c>
      <c r="C18" s="20" t="s">
        <v>622</v>
      </c>
      <c r="D18" s="146">
        <v>1090000</v>
      </c>
      <c r="E18" s="20" t="s">
        <v>656</v>
      </c>
      <c r="F18" s="20" t="s">
        <v>197</v>
      </c>
      <c r="G18" s="8" t="str">
        <f t="shared" si="0"/>
        <v>SPECTOR MICHAEL</v>
      </c>
    </row>
    <row r="19" spans="1:7" x14ac:dyDescent="0.25">
      <c r="A19" s="8">
        <v>42831.178530092591</v>
      </c>
      <c r="B19" s="20" t="s">
        <v>406</v>
      </c>
      <c r="C19" s="20" t="s">
        <v>621</v>
      </c>
      <c r="D19" s="146">
        <v>2550000</v>
      </c>
      <c r="E19" s="20" t="s">
        <v>537</v>
      </c>
      <c r="F19" s="20" t="s">
        <v>538</v>
      </c>
      <c r="G19" s="8" t="str">
        <f t="shared" si="0"/>
        <v>BADERTSCHER DIANE</v>
      </c>
    </row>
    <row r="20" spans="1:7" x14ac:dyDescent="0.25">
      <c r="A20" s="8">
        <v>42831.180937500001</v>
      </c>
      <c r="B20" s="20" t="s">
        <v>441</v>
      </c>
      <c r="C20" s="20" t="s">
        <v>665</v>
      </c>
      <c r="D20" s="146">
        <v>3020000</v>
      </c>
      <c r="E20" s="20" t="s">
        <v>458</v>
      </c>
      <c r="F20" s="20" t="s">
        <v>459</v>
      </c>
      <c r="G20" s="8" t="str">
        <f t="shared" si="0"/>
        <v>MENGES BRAD</v>
      </c>
    </row>
    <row r="21" spans="1:7" x14ac:dyDescent="0.25">
      <c r="A21" s="8">
        <v>42831.185914351852</v>
      </c>
      <c r="B21" s="20" t="s">
        <v>464</v>
      </c>
      <c r="C21" s="20" t="s">
        <v>666</v>
      </c>
      <c r="D21" s="146">
        <v>2140000</v>
      </c>
      <c r="E21" s="20" t="s">
        <v>661</v>
      </c>
      <c r="F21" s="20" t="s">
        <v>662</v>
      </c>
      <c r="G21" s="8" t="str">
        <f t="shared" si="0"/>
        <v>ROBINSON KADDIBA</v>
      </c>
    </row>
    <row r="22" spans="1:7" x14ac:dyDescent="0.25">
      <c r="A22" s="26">
        <v>42831.188935185186</v>
      </c>
      <c r="B22" s="20" t="s">
        <v>431</v>
      </c>
      <c r="C22" s="20" t="s">
        <v>667</v>
      </c>
      <c r="D22" s="146">
        <v>3000000</v>
      </c>
      <c r="E22" s="20" t="s">
        <v>456</v>
      </c>
      <c r="F22" s="20" t="s">
        <v>457</v>
      </c>
      <c r="G22" s="8" t="str">
        <f t="shared" si="0"/>
        <v>FORTUNATO FRANK</v>
      </c>
    </row>
    <row r="23" spans="1:7" x14ac:dyDescent="0.25">
      <c r="A23" s="8">
        <v>42831.19458333333</v>
      </c>
      <c r="B23" s="20" t="s">
        <v>442</v>
      </c>
      <c r="C23" s="20" t="s">
        <v>668</v>
      </c>
      <c r="D23" s="146">
        <v>3020000</v>
      </c>
      <c r="E23" s="20" t="s">
        <v>458</v>
      </c>
      <c r="F23" s="20" t="s">
        <v>459</v>
      </c>
      <c r="G23" s="8" t="str">
        <f t="shared" si="0"/>
        <v>MENGES BRAD</v>
      </c>
    </row>
    <row r="24" spans="1:7" x14ac:dyDescent="0.25">
      <c r="A24" s="8">
        <v>42831.200289351851</v>
      </c>
      <c r="B24" s="20" t="s">
        <v>490</v>
      </c>
      <c r="C24" s="20" t="s">
        <v>669</v>
      </c>
      <c r="D24" s="146">
        <v>2020000</v>
      </c>
      <c r="E24" s="20" t="s">
        <v>670</v>
      </c>
      <c r="F24" s="20" t="s">
        <v>546</v>
      </c>
      <c r="G24" s="8" t="str">
        <f t="shared" si="0"/>
        <v>SHOOK JOHN</v>
      </c>
    </row>
    <row r="25" spans="1:7" x14ac:dyDescent="0.25">
      <c r="A25" s="8">
        <v>42831.200810185182</v>
      </c>
      <c r="B25" s="20" t="s">
        <v>449</v>
      </c>
      <c r="C25" s="20" t="s">
        <v>671</v>
      </c>
      <c r="D25" s="146">
        <v>1830000</v>
      </c>
      <c r="E25" s="20" t="s">
        <v>427</v>
      </c>
      <c r="F25" s="20" t="s">
        <v>428</v>
      </c>
      <c r="G25" s="8" t="str">
        <f t="shared" si="0"/>
        <v>YORK EDGAR</v>
      </c>
    </row>
    <row r="26" spans="1:7" x14ac:dyDescent="0.25">
      <c r="A26" s="8">
        <v>42831.210625</v>
      </c>
      <c r="B26" s="20" t="s">
        <v>535</v>
      </c>
      <c r="C26" s="20" t="s">
        <v>672</v>
      </c>
      <c r="D26" s="146">
        <v>2550000</v>
      </c>
      <c r="E26" s="20" t="s">
        <v>537</v>
      </c>
      <c r="F26" s="20" t="s">
        <v>538</v>
      </c>
      <c r="G26" s="8" t="str">
        <f t="shared" si="0"/>
        <v>BADERTSCHER DIANE</v>
      </c>
    </row>
    <row r="27" spans="1:7" x14ac:dyDescent="0.25">
      <c r="A27" s="8">
        <v>42831.215081018519</v>
      </c>
      <c r="B27" s="20" t="s">
        <v>479</v>
      </c>
      <c r="C27" s="20" t="s">
        <v>673</v>
      </c>
      <c r="D27" s="146">
        <v>2020000</v>
      </c>
      <c r="E27" s="20" t="s">
        <v>670</v>
      </c>
      <c r="F27" s="20" t="s">
        <v>546</v>
      </c>
      <c r="G27" s="8" t="str">
        <f t="shared" si="0"/>
        <v>SHOOK JOHN</v>
      </c>
    </row>
    <row r="28" spans="1:7" x14ac:dyDescent="0.25">
      <c r="A28" s="8">
        <v>42831.222048611111</v>
      </c>
      <c r="B28" s="20" t="s">
        <v>448</v>
      </c>
      <c r="C28" s="20" t="s">
        <v>674</v>
      </c>
      <c r="D28" s="146">
        <v>2140000</v>
      </c>
      <c r="E28" s="20" t="s">
        <v>661</v>
      </c>
      <c r="F28" s="20" t="s">
        <v>662</v>
      </c>
      <c r="G28" s="8" t="str">
        <f t="shared" si="0"/>
        <v>ROBINSON KADDIBA</v>
      </c>
    </row>
    <row r="29" spans="1:7" x14ac:dyDescent="0.25">
      <c r="A29" s="8">
        <v>42831.227094907408</v>
      </c>
      <c r="B29" s="20" t="s">
        <v>619</v>
      </c>
      <c r="C29" s="20" t="s">
        <v>622</v>
      </c>
      <c r="D29" s="146">
        <v>1090000</v>
      </c>
      <c r="E29" s="20" t="s">
        <v>656</v>
      </c>
      <c r="F29" s="20" t="s">
        <v>197</v>
      </c>
      <c r="G29" s="8" t="str">
        <f t="shared" si="0"/>
        <v>SPECTOR MICHAEL</v>
      </c>
    </row>
    <row r="30" spans="1:7" x14ac:dyDescent="0.25">
      <c r="A30" s="8">
        <v>42831.227789351855</v>
      </c>
      <c r="B30" s="20" t="s">
        <v>482</v>
      </c>
      <c r="C30" s="20" t="s">
        <v>623</v>
      </c>
      <c r="D30" s="146">
        <v>1110000</v>
      </c>
      <c r="E30" s="20" t="s">
        <v>454</v>
      </c>
      <c r="F30" s="20" t="s">
        <v>455</v>
      </c>
      <c r="G30" s="8" t="str">
        <f t="shared" si="0"/>
        <v>STARKS ANGELINA</v>
      </c>
    </row>
    <row r="31" spans="1:7" x14ac:dyDescent="0.25">
      <c r="A31" s="8">
        <v>42831.228495370371</v>
      </c>
      <c r="B31" s="20" t="s">
        <v>418</v>
      </c>
      <c r="C31" s="20" t="s">
        <v>675</v>
      </c>
      <c r="D31" s="146">
        <v>3000000</v>
      </c>
      <c r="E31" s="20" t="s">
        <v>456</v>
      </c>
      <c r="F31" s="20" t="s">
        <v>457</v>
      </c>
      <c r="G31" s="8" t="str">
        <f t="shared" si="0"/>
        <v>FORTUNATO FRANK</v>
      </c>
    </row>
    <row r="32" spans="1:7" x14ac:dyDescent="0.25">
      <c r="A32" s="8">
        <v>42831.228622685187</v>
      </c>
      <c r="B32" s="20" t="s">
        <v>490</v>
      </c>
      <c r="C32" s="20" t="s">
        <v>676</v>
      </c>
      <c r="D32" s="146">
        <v>2020000</v>
      </c>
      <c r="E32" s="20" t="s">
        <v>670</v>
      </c>
      <c r="F32" s="20" t="s">
        <v>546</v>
      </c>
      <c r="G32" s="8" t="str">
        <f t="shared" si="0"/>
        <v>SHOOK JOHN</v>
      </c>
    </row>
    <row r="33" spans="1:7" x14ac:dyDescent="0.25">
      <c r="A33" s="8">
        <v>42831.230081018519</v>
      </c>
      <c r="B33" s="20" t="s">
        <v>418</v>
      </c>
      <c r="C33" s="20" t="s">
        <v>675</v>
      </c>
      <c r="D33" s="146">
        <v>3000000</v>
      </c>
      <c r="E33" s="20" t="s">
        <v>456</v>
      </c>
      <c r="F33" s="20" t="s">
        <v>457</v>
      </c>
      <c r="G33" s="8" t="str">
        <f t="shared" si="0"/>
        <v>FORTUNATO FRANK</v>
      </c>
    </row>
    <row r="34" spans="1:7" x14ac:dyDescent="0.25">
      <c r="A34" s="8">
        <v>42831.231203703705</v>
      </c>
      <c r="B34" s="20" t="s">
        <v>418</v>
      </c>
      <c r="C34" s="20" t="s">
        <v>675</v>
      </c>
      <c r="D34" s="146">
        <v>3000000</v>
      </c>
      <c r="E34" s="20" t="s">
        <v>456</v>
      </c>
      <c r="F34" s="20" t="s">
        <v>457</v>
      </c>
      <c r="G34" s="8" t="str">
        <f t="shared" si="0"/>
        <v>FORTUNATO FRANK</v>
      </c>
    </row>
    <row r="35" spans="1:7" x14ac:dyDescent="0.25">
      <c r="A35" s="8">
        <v>42831.232071759259</v>
      </c>
      <c r="B35" s="20" t="s">
        <v>478</v>
      </c>
      <c r="C35" s="20" t="s">
        <v>622</v>
      </c>
      <c r="D35" s="146">
        <v>1090000</v>
      </c>
      <c r="E35" s="20" t="s">
        <v>656</v>
      </c>
      <c r="F35" s="20" t="s">
        <v>197</v>
      </c>
      <c r="G35" s="8" t="str">
        <f t="shared" si="0"/>
        <v>SPECTOR MICHAEL</v>
      </c>
    </row>
    <row r="36" spans="1:7" x14ac:dyDescent="0.25">
      <c r="A36" s="8">
        <v>42831.235763888886</v>
      </c>
      <c r="B36" s="20" t="s">
        <v>441</v>
      </c>
      <c r="C36" s="20" t="s">
        <v>677</v>
      </c>
      <c r="D36" s="146">
        <v>3020000</v>
      </c>
      <c r="E36" s="20" t="s">
        <v>458</v>
      </c>
      <c r="F36" s="20" t="s">
        <v>459</v>
      </c>
      <c r="G36" s="8" t="str">
        <f t="shared" si="0"/>
        <v>MENGES BRAD</v>
      </c>
    </row>
    <row r="37" spans="1:7" x14ac:dyDescent="0.25">
      <c r="A37" s="8">
        <v>42831.240902777776</v>
      </c>
      <c r="B37" s="20" t="s">
        <v>619</v>
      </c>
      <c r="C37" s="20" t="s">
        <v>678</v>
      </c>
      <c r="D37" s="146">
        <v>1260000</v>
      </c>
      <c r="E37" s="20" t="s">
        <v>679</v>
      </c>
      <c r="F37" s="20" t="s">
        <v>680</v>
      </c>
      <c r="G37" s="8" t="str">
        <f t="shared" si="0"/>
        <v>ACKERMAN JARED</v>
      </c>
    </row>
    <row r="38" spans="1:7" x14ac:dyDescent="0.25">
      <c r="A38" s="8">
        <v>42831.242152777777</v>
      </c>
      <c r="B38" s="20" t="s">
        <v>450</v>
      </c>
      <c r="C38" s="20" t="s">
        <v>681</v>
      </c>
      <c r="D38" s="146">
        <v>1830000</v>
      </c>
      <c r="E38" s="20" t="s">
        <v>427</v>
      </c>
      <c r="F38" s="20" t="s">
        <v>428</v>
      </c>
      <c r="G38" s="8" t="str">
        <f t="shared" si="0"/>
        <v>YORK EDGAR</v>
      </c>
    </row>
    <row r="39" spans="1:7" x14ac:dyDescent="0.25">
      <c r="A39" s="8">
        <v>42831.244976851849</v>
      </c>
      <c r="B39" s="20" t="s">
        <v>482</v>
      </c>
      <c r="C39" s="20" t="s">
        <v>623</v>
      </c>
      <c r="D39" s="146">
        <v>1110000</v>
      </c>
      <c r="E39" s="20" t="s">
        <v>454</v>
      </c>
      <c r="F39" s="20" t="s">
        <v>455</v>
      </c>
      <c r="G39" s="8" t="str">
        <f t="shared" si="0"/>
        <v>STARKS ANGELINA</v>
      </c>
    </row>
    <row r="40" spans="1:7" x14ac:dyDescent="0.25">
      <c r="A40" s="8">
        <v>42831.248784722222</v>
      </c>
      <c r="B40" s="25" t="s">
        <v>533</v>
      </c>
      <c r="C40" s="20" t="s">
        <v>682</v>
      </c>
      <c r="D40" s="146">
        <v>890000</v>
      </c>
      <c r="E40" s="20" t="s">
        <v>483</v>
      </c>
      <c r="F40" s="20" t="s">
        <v>484</v>
      </c>
      <c r="G40" s="8" t="str">
        <f t="shared" si="0"/>
        <v>LOZA FIDEL</v>
      </c>
    </row>
    <row r="41" spans="1:7" x14ac:dyDescent="0.25">
      <c r="A41" s="8">
        <v>42831.249988425923</v>
      </c>
      <c r="B41" s="20" t="s">
        <v>533</v>
      </c>
      <c r="C41" s="20" t="s">
        <v>682</v>
      </c>
      <c r="D41" s="146">
        <v>890000</v>
      </c>
      <c r="E41" s="20" t="s">
        <v>483</v>
      </c>
      <c r="F41" s="20" t="s">
        <v>484</v>
      </c>
      <c r="G41" s="8" t="str">
        <f t="shared" si="0"/>
        <v>LOZA FIDEL</v>
      </c>
    </row>
    <row r="42" spans="1:7" x14ac:dyDescent="0.25">
      <c r="A42" s="8">
        <v>42831.254421296297</v>
      </c>
      <c r="B42" s="20" t="s">
        <v>534</v>
      </c>
      <c r="C42" s="20" t="s">
        <v>683</v>
      </c>
      <c r="D42" s="146">
        <v>2550000</v>
      </c>
      <c r="E42" s="20" t="s">
        <v>537</v>
      </c>
      <c r="F42" s="20" t="s">
        <v>538</v>
      </c>
      <c r="G42" s="8" t="str">
        <f t="shared" si="0"/>
        <v>BADERTSCHER DIANE</v>
      </c>
    </row>
    <row r="43" spans="1:7" x14ac:dyDescent="0.25">
      <c r="A43" s="8">
        <v>42831.255555555559</v>
      </c>
      <c r="B43" s="20" t="s">
        <v>479</v>
      </c>
      <c r="C43" s="20" t="s">
        <v>684</v>
      </c>
      <c r="D43" s="146">
        <v>2020000</v>
      </c>
      <c r="E43" s="20" t="s">
        <v>670</v>
      </c>
      <c r="F43" s="20" t="s">
        <v>546</v>
      </c>
      <c r="G43" s="8" t="str">
        <f t="shared" si="0"/>
        <v>SHOOK JOHN</v>
      </c>
    </row>
    <row r="44" spans="1:7" x14ac:dyDescent="0.25">
      <c r="A44" s="8">
        <v>42831.257361111115</v>
      </c>
      <c r="B44" s="20" t="s">
        <v>464</v>
      </c>
      <c r="C44" s="20" t="s">
        <v>624</v>
      </c>
      <c r="D44" s="146">
        <v>1100000</v>
      </c>
      <c r="E44" s="20" t="s">
        <v>540</v>
      </c>
      <c r="F44" s="20" t="s">
        <v>541</v>
      </c>
      <c r="G44" s="8" t="str">
        <f t="shared" si="0"/>
        <v>GEBRETEKLE DAGNEW</v>
      </c>
    </row>
    <row r="45" spans="1:7" x14ac:dyDescent="0.25">
      <c r="A45" s="8">
        <v>42831.260393518518</v>
      </c>
      <c r="B45" s="20" t="s">
        <v>539</v>
      </c>
      <c r="C45" s="20" t="s">
        <v>685</v>
      </c>
      <c r="D45" s="146">
        <v>890000</v>
      </c>
      <c r="E45" s="20" t="s">
        <v>483</v>
      </c>
      <c r="F45" s="20" t="s">
        <v>484</v>
      </c>
      <c r="G45" s="8" t="str">
        <f t="shared" si="0"/>
        <v>LOZA FIDEL</v>
      </c>
    </row>
    <row r="46" spans="1:7" x14ac:dyDescent="0.25">
      <c r="A46" s="8">
        <v>42831.265034722222</v>
      </c>
      <c r="B46" s="20" t="s">
        <v>386</v>
      </c>
      <c r="C46" s="20" t="s">
        <v>686</v>
      </c>
      <c r="D46" s="146">
        <v>1230000</v>
      </c>
      <c r="E46" s="20" t="s">
        <v>542</v>
      </c>
      <c r="F46" s="20" t="s">
        <v>543</v>
      </c>
      <c r="G46" s="8" t="str">
        <f t="shared" si="0"/>
        <v>YANAI IAN</v>
      </c>
    </row>
    <row r="47" spans="1:7" x14ac:dyDescent="0.25">
      <c r="A47" s="8">
        <v>42831.267685185187</v>
      </c>
      <c r="B47" s="20" t="s">
        <v>442</v>
      </c>
      <c r="C47" s="20" t="s">
        <v>687</v>
      </c>
      <c r="D47" s="146">
        <v>3020000</v>
      </c>
      <c r="E47" s="20" t="s">
        <v>458</v>
      </c>
      <c r="F47" s="20" t="s">
        <v>459</v>
      </c>
      <c r="G47" s="8" t="str">
        <f t="shared" si="0"/>
        <v>MENGES BRAD</v>
      </c>
    </row>
    <row r="48" spans="1:7" x14ac:dyDescent="0.25">
      <c r="A48" s="8">
        <v>42831.267893518518</v>
      </c>
      <c r="B48" s="20" t="s">
        <v>485</v>
      </c>
      <c r="C48" s="20" t="s">
        <v>688</v>
      </c>
      <c r="D48" s="146">
        <v>1110000</v>
      </c>
      <c r="E48" s="20" t="s">
        <v>454</v>
      </c>
      <c r="F48" s="20" t="s">
        <v>455</v>
      </c>
      <c r="G48" s="8" t="str">
        <f t="shared" si="0"/>
        <v>STARKS ANGELINA</v>
      </c>
    </row>
    <row r="49" spans="1:7" x14ac:dyDescent="0.25">
      <c r="A49" s="8">
        <v>42831.269618055558</v>
      </c>
      <c r="B49" s="20" t="s">
        <v>431</v>
      </c>
      <c r="C49" s="20" t="s">
        <v>689</v>
      </c>
      <c r="D49" s="146">
        <v>3000000</v>
      </c>
      <c r="E49" s="20" t="s">
        <v>456</v>
      </c>
      <c r="F49" s="20" t="s">
        <v>457</v>
      </c>
      <c r="G49" s="8" t="str">
        <f t="shared" si="0"/>
        <v>FORTUNATO FRANK</v>
      </c>
    </row>
    <row r="50" spans="1:7" x14ac:dyDescent="0.25">
      <c r="A50" s="8">
        <v>42831.27002314815</v>
      </c>
      <c r="B50" s="20" t="s">
        <v>490</v>
      </c>
      <c r="C50" s="20" t="s">
        <v>690</v>
      </c>
      <c r="D50" s="146">
        <v>2020000</v>
      </c>
      <c r="E50" s="20" t="s">
        <v>670</v>
      </c>
      <c r="F50" s="20" t="s">
        <v>546</v>
      </c>
      <c r="G50" s="8" t="str">
        <f t="shared" si="0"/>
        <v>SHOOK JOHN</v>
      </c>
    </row>
    <row r="51" spans="1:7" x14ac:dyDescent="0.25">
      <c r="A51" s="8">
        <v>42831.275312500002</v>
      </c>
      <c r="B51" s="20" t="s">
        <v>533</v>
      </c>
      <c r="C51" s="20" t="s">
        <v>691</v>
      </c>
      <c r="D51" s="146">
        <v>890000</v>
      </c>
      <c r="E51" s="20" t="s">
        <v>483</v>
      </c>
      <c r="F51" s="20" t="s">
        <v>484</v>
      </c>
      <c r="G51" s="8" t="str">
        <f t="shared" si="0"/>
        <v>LOZA FIDEL</v>
      </c>
    </row>
    <row r="52" spans="1:7" x14ac:dyDescent="0.25">
      <c r="A52" s="8">
        <v>42831.276805555557</v>
      </c>
      <c r="B52" s="20" t="s">
        <v>449</v>
      </c>
      <c r="C52" s="20" t="s">
        <v>692</v>
      </c>
      <c r="D52" s="146">
        <v>1830000</v>
      </c>
      <c r="E52" s="20" t="s">
        <v>427</v>
      </c>
      <c r="F52" s="20" t="s">
        <v>428</v>
      </c>
      <c r="G52" s="8" t="str">
        <f t="shared" si="0"/>
        <v>YORK EDGAR</v>
      </c>
    </row>
    <row r="53" spans="1:7" x14ac:dyDescent="0.25">
      <c r="A53" s="8">
        <v>42831.282824074071</v>
      </c>
      <c r="B53" s="20" t="s">
        <v>478</v>
      </c>
      <c r="C53" s="20" t="s">
        <v>693</v>
      </c>
      <c r="D53" s="146">
        <v>1260000</v>
      </c>
      <c r="E53" s="20" t="s">
        <v>679</v>
      </c>
      <c r="F53" s="20" t="s">
        <v>680</v>
      </c>
      <c r="G53" s="8" t="str">
        <f t="shared" si="0"/>
        <v>ACKERMAN JARED</v>
      </c>
    </row>
    <row r="54" spans="1:7" x14ac:dyDescent="0.25">
      <c r="A54" s="8">
        <v>42831.290208333332</v>
      </c>
      <c r="B54" s="20" t="s">
        <v>535</v>
      </c>
      <c r="C54" s="20" t="s">
        <v>694</v>
      </c>
      <c r="D54" s="146">
        <v>2550000</v>
      </c>
      <c r="E54" s="20" t="s">
        <v>537</v>
      </c>
      <c r="F54" s="20" t="s">
        <v>538</v>
      </c>
      <c r="G54" s="8" t="str">
        <f t="shared" si="0"/>
        <v>BADERTSCHER DIANE</v>
      </c>
    </row>
    <row r="55" spans="1:7" x14ac:dyDescent="0.25">
      <c r="A55" s="8">
        <v>42831.291805555556</v>
      </c>
      <c r="B55" s="20" t="s">
        <v>539</v>
      </c>
      <c r="C55" s="20" t="s">
        <v>695</v>
      </c>
      <c r="D55" s="146">
        <v>890000</v>
      </c>
      <c r="E55" s="20" t="s">
        <v>483</v>
      </c>
      <c r="F55" s="20" t="s">
        <v>484</v>
      </c>
      <c r="G55" s="8" t="str">
        <f t="shared" si="0"/>
        <v>LOZA FIDEL</v>
      </c>
    </row>
    <row r="56" spans="1:7" x14ac:dyDescent="0.25">
      <c r="A56" s="8">
        <v>42831.295648148145</v>
      </c>
      <c r="B56" s="20" t="s">
        <v>448</v>
      </c>
      <c r="C56" s="20" t="s">
        <v>696</v>
      </c>
      <c r="D56" s="146">
        <v>1100000</v>
      </c>
      <c r="E56" s="20" t="s">
        <v>540</v>
      </c>
      <c r="F56" s="20" t="s">
        <v>541</v>
      </c>
      <c r="G56" s="8" t="str">
        <f t="shared" si="0"/>
        <v>GEBRETEKLE DAGNEW</v>
      </c>
    </row>
    <row r="57" spans="1:7" x14ac:dyDescent="0.25">
      <c r="A57" s="8">
        <v>42831.297013888892</v>
      </c>
      <c r="B57" s="20" t="s">
        <v>479</v>
      </c>
      <c r="C57" s="20" t="s">
        <v>697</v>
      </c>
      <c r="D57" s="146">
        <v>2020000</v>
      </c>
      <c r="E57" s="20" t="s">
        <v>670</v>
      </c>
      <c r="F57" s="20" t="s">
        <v>546</v>
      </c>
      <c r="G57" s="8" t="str">
        <f t="shared" si="0"/>
        <v>SHOOK JOHN</v>
      </c>
    </row>
    <row r="58" spans="1:7" x14ac:dyDescent="0.25">
      <c r="A58" s="8">
        <v>42831.298576388886</v>
      </c>
      <c r="B58" s="20" t="s">
        <v>441</v>
      </c>
      <c r="C58" s="20" t="s">
        <v>698</v>
      </c>
      <c r="D58" s="146">
        <v>3020000</v>
      </c>
      <c r="E58" s="20" t="s">
        <v>458</v>
      </c>
      <c r="F58" s="20" t="s">
        <v>459</v>
      </c>
      <c r="G58" s="8" t="str">
        <f t="shared" si="0"/>
        <v>MENGES BRAD</v>
      </c>
    </row>
    <row r="59" spans="1:7" x14ac:dyDescent="0.25">
      <c r="A59" s="8">
        <v>42831.30190972222</v>
      </c>
      <c r="B59" s="20" t="s">
        <v>385</v>
      </c>
      <c r="C59" s="20" t="s">
        <v>699</v>
      </c>
      <c r="D59" s="146">
        <v>1110000</v>
      </c>
      <c r="E59" s="20" t="s">
        <v>454</v>
      </c>
      <c r="F59" s="20" t="s">
        <v>455</v>
      </c>
      <c r="G59" s="8" t="str">
        <f t="shared" si="0"/>
        <v>STARKS ANGELINA</v>
      </c>
    </row>
    <row r="60" spans="1:7" x14ac:dyDescent="0.25">
      <c r="A60" s="8">
        <v>42831.304826388892</v>
      </c>
      <c r="B60" s="20" t="s">
        <v>544</v>
      </c>
      <c r="C60" s="20" t="s">
        <v>700</v>
      </c>
      <c r="D60" s="146">
        <v>1290000</v>
      </c>
      <c r="E60" s="20" t="s">
        <v>545</v>
      </c>
      <c r="F60" s="20" t="s">
        <v>546</v>
      </c>
      <c r="G60" s="8" t="str">
        <f t="shared" si="0"/>
        <v>COOLAHAN JOHN</v>
      </c>
    </row>
    <row r="61" spans="1:7" x14ac:dyDescent="0.25">
      <c r="A61" s="8">
        <v>42831.307453703703</v>
      </c>
      <c r="B61" s="20" t="s">
        <v>450</v>
      </c>
      <c r="C61" s="20" t="s">
        <v>701</v>
      </c>
      <c r="D61" s="146">
        <v>1830000</v>
      </c>
      <c r="E61" s="20" t="s">
        <v>427</v>
      </c>
      <c r="F61" s="20" t="s">
        <v>428</v>
      </c>
      <c r="G61" s="8" t="str">
        <f t="shared" si="0"/>
        <v>YORK EDGAR</v>
      </c>
    </row>
    <row r="62" spans="1:7" x14ac:dyDescent="0.25">
      <c r="A62" s="8">
        <v>42831.30746527778</v>
      </c>
      <c r="B62" s="20" t="s">
        <v>441</v>
      </c>
      <c r="C62" s="20" t="s">
        <v>698</v>
      </c>
      <c r="D62" s="146">
        <v>3020000</v>
      </c>
      <c r="E62" s="20" t="s">
        <v>458</v>
      </c>
      <c r="F62" s="20" t="s">
        <v>459</v>
      </c>
      <c r="G62" s="8" t="str">
        <f t="shared" si="0"/>
        <v>MENGES BRAD</v>
      </c>
    </row>
    <row r="63" spans="1:7" x14ac:dyDescent="0.25">
      <c r="A63" s="8">
        <v>42831.308703703704</v>
      </c>
      <c r="B63" s="20" t="s">
        <v>387</v>
      </c>
      <c r="C63" s="20" t="s">
        <v>702</v>
      </c>
      <c r="D63" s="146">
        <v>1340000</v>
      </c>
      <c r="E63" s="20" t="s">
        <v>486</v>
      </c>
      <c r="F63" s="20" t="s">
        <v>487</v>
      </c>
      <c r="G63" s="8" t="str">
        <f t="shared" si="0"/>
        <v>BEAM ROSS</v>
      </c>
    </row>
    <row r="64" spans="1:7" x14ac:dyDescent="0.25">
      <c r="A64" s="26">
        <v>42831.309224537035</v>
      </c>
      <c r="B64" s="20" t="s">
        <v>387</v>
      </c>
      <c r="C64" s="20" t="s">
        <v>702</v>
      </c>
      <c r="D64" s="146">
        <v>1340000</v>
      </c>
      <c r="E64" s="20" t="s">
        <v>486</v>
      </c>
      <c r="F64" s="20" t="s">
        <v>487</v>
      </c>
      <c r="G64" s="8" t="str">
        <f t="shared" si="0"/>
        <v>BEAM ROSS</v>
      </c>
    </row>
    <row r="65" spans="1:7" x14ac:dyDescent="0.25">
      <c r="A65" s="8">
        <v>42831.309270833335</v>
      </c>
      <c r="B65" s="20" t="s">
        <v>418</v>
      </c>
      <c r="C65" s="20" t="s">
        <v>703</v>
      </c>
      <c r="D65" s="146">
        <v>3000000</v>
      </c>
      <c r="E65" s="20" t="s">
        <v>456</v>
      </c>
      <c r="F65" s="20" t="s">
        <v>457</v>
      </c>
      <c r="G65" s="8" t="str">
        <f t="shared" si="0"/>
        <v>FORTUNATO FRANK</v>
      </c>
    </row>
    <row r="66" spans="1:7" x14ac:dyDescent="0.25">
      <c r="A66" s="8">
        <v>42831.310162037036</v>
      </c>
      <c r="B66" s="20" t="s">
        <v>387</v>
      </c>
      <c r="C66" s="20" t="s">
        <v>702</v>
      </c>
      <c r="D66" s="146">
        <v>1340000</v>
      </c>
      <c r="E66" s="20" t="s">
        <v>486</v>
      </c>
      <c r="F66" s="20" t="s">
        <v>487</v>
      </c>
      <c r="G66" s="8" t="str">
        <f t="shared" si="0"/>
        <v>BEAM ROSS</v>
      </c>
    </row>
    <row r="67" spans="1:7" x14ac:dyDescent="0.25">
      <c r="A67" s="8">
        <v>42831.311666666668</v>
      </c>
      <c r="B67" s="20" t="s">
        <v>490</v>
      </c>
      <c r="C67" s="20" t="s">
        <v>704</v>
      </c>
      <c r="D67" s="146">
        <v>2020000</v>
      </c>
      <c r="E67" s="20" t="s">
        <v>670</v>
      </c>
      <c r="F67" s="20" t="s">
        <v>546</v>
      </c>
      <c r="G67" s="8" t="str">
        <f t="shared" ref="G67:G130" si="1">E67&amp;" "&amp;F67</f>
        <v>SHOOK JOHN</v>
      </c>
    </row>
    <row r="68" spans="1:7" x14ac:dyDescent="0.25">
      <c r="A68" s="8">
        <v>42831.316342592596</v>
      </c>
      <c r="B68" s="20" t="s">
        <v>533</v>
      </c>
      <c r="C68" s="20" t="s">
        <v>625</v>
      </c>
      <c r="D68" s="146">
        <v>890000</v>
      </c>
      <c r="E68" s="20" t="s">
        <v>483</v>
      </c>
      <c r="F68" s="20" t="s">
        <v>484</v>
      </c>
      <c r="G68" s="8" t="str">
        <f t="shared" si="1"/>
        <v>LOZA FIDEL</v>
      </c>
    </row>
    <row r="69" spans="1:7" x14ac:dyDescent="0.25">
      <c r="A69" s="8">
        <v>42831.319432870368</v>
      </c>
      <c r="B69" s="20" t="s">
        <v>619</v>
      </c>
      <c r="C69" s="20" t="s">
        <v>705</v>
      </c>
      <c r="D69" s="146">
        <v>2140000</v>
      </c>
      <c r="E69" s="20" t="s">
        <v>661</v>
      </c>
      <c r="F69" s="20" t="s">
        <v>662</v>
      </c>
      <c r="G69" s="8" t="str">
        <f t="shared" si="1"/>
        <v>ROBINSON KADDIBA</v>
      </c>
    </row>
    <row r="70" spans="1:7" x14ac:dyDescent="0.25">
      <c r="A70" s="8">
        <v>42831.32372685185</v>
      </c>
      <c r="B70" s="20" t="s">
        <v>534</v>
      </c>
      <c r="C70" s="20" t="s">
        <v>706</v>
      </c>
      <c r="D70" s="146">
        <v>2550000</v>
      </c>
      <c r="E70" s="20" t="s">
        <v>537</v>
      </c>
      <c r="F70" s="20" t="s">
        <v>538</v>
      </c>
      <c r="G70" s="8" t="str">
        <f t="shared" si="1"/>
        <v>BADERTSCHER DIANE</v>
      </c>
    </row>
    <row r="71" spans="1:7" x14ac:dyDescent="0.25">
      <c r="A71" s="8">
        <v>42831.329039351855</v>
      </c>
      <c r="B71" s="20" t="s">
        <v>464</v>
      </c>
      <c r="C71" s="20" t="s">
        <v>707</v>
      </c>
      <c r="D71" s="146">
        <v>1100000</v>
      </c>
      <c r="E71" s="20" t="s">
        <v>540</v>
      </c>
      <c r="F71" s="20" t="s">
        <v>541</v>
      </c>
      <c r="G71" s="8" t="str">
        <f t="shared" si="1"/>
        <v>GEBRETEKLE DAGNEW</v>
      </c>
    </row>
    <row r="72" spans="1:7" x14ac:dyDescent="0.25">
      <c r="A72" s="8">
        <v>42831.338414351849</v>
      </c>
      <c r="B72" s="20" t="s">
        <v>479</v>
      </c>
      <c r="C72" s="20" t="s">
        <v>627</v>
      </c>
      <c r="D72" s="146">
        <v>2020000</v>
      </c>
      <c r="E72" s="20" t="s">
        <v>670</v>
      </c>
      <c r="F72" s="20" t="s">
        <v>546</v>
      </c>
      <c r="G72" s="8" t="str">
        <f t="shared" si="1"/>
        <v>SHOOK JOHN</v>
      </c>
    </row>
    <row r="73" spans="1:7" x14ac:dyDescent="0.25">
      <c r="A73" s="8">
        <v>42831.338784722226</v>
      </c>
      <c r="B73" s="20" t="s">
        <v>386</v>
      </c>
      <c r="C73" s="20" t="s">
        <v>708</v>
      </c>
      <c r="D73" s="146">
        <v>1110000</v>
      </c>
      <c r="E73" s="20" t="s">
        <v>454</v>
      </c>
      <c r="F73" s="20" t="s">
        <v>455</v>
      </c>
      <c r="G73" s="8" t="str">
        <f t="shared" si="1"/>
        <v>STARKS ANGELINA</v>
      </c>
    </row>
    <row r="74" spans="1:7" x14ac:dyDescent="0.25">
      <c r="A74" s="8">
        <v>42831.34065972222</v>
      </c>
      <c r="B74" s="20" t="s">
        <v>431</v>
      </c>
      <c r="C74" s="20" t="s">
        <v>628</v>
      </c>
      <c r="D74" s="146">
        <v>3000000</v>
      </c>
      <c r="E74" s="20" t="s">
        <v>456</v>
      </c>
      <c r="F74" s="20" t="s">
        <v>457</v>
      </c>
      <c r="G74" s="8" t="str">
        <f t="shared" si="1"/>
        <v>FORTUNATO FRANK</v>
      </c>
    </row>
    <row r="75" spans="1:7" x14ac:dyDescent="0.25">
      <c r="A75" s="8">
        <v>42831.34103009259</v>
      </c>
      <c r="B75" s="20" t="s">
        <v>442</v>
      </c>
      <c r="C75" s="20" t="s">
        <v>626</v>
      </c>
      <c r="D75" s="146">
        <v>3020000</v>
      </c>
      <c r="E75" s="20" t="s">
        <v>458</v>
      </c>
      <c r="F75" s="20" t="s">
        <v>459</v>
      </c>
      <c r="G75" s="8" t="str">
        <f t="shared" si="1"/>
        <v>MENGES BRAD</v>
      </c>
    </row>
    <row r="76" spans="1:7" x14ac:dyDescent="0.25">
      <c r="A76" s="8">
        <v>42831.343252314815</v>
      </c>
      <c r="B76" s="20" t="s">
        <v>539</v>
      </c>
      <c r="C76" s="20" t="s">
        <v>709</v>
      </c>
      <c r="D76" s="146">
        <v>890000</v>
      </c>
      <c r="E76" s="20" t="s">
        <v>483</v>
      </c>
      <c r="F76" s="20" t="s">
        <v>484</v>
      </c>
      <c r="G76" s="8" t="str">
        <f t="shared" si="1"/>
        <v>LOZA FIDEL</v>
      </c>
    </row>
    <row r="77" spans="1:7" x14ac:dyDescent="0.25">
      <c r="A77" s="8">
        <v>42831.349791666667</v>
      </c>
      <c r="B77" s="20" t="s">
        <v>449</v>
      </c>
      <c r="C77" s="20" t="s">
        <v>710</v>
      </c>
      <c r="D77" s="146">
        <v>1830000</v>
      </c>
      <c r="E77" s="20" t="s">
        <v>427</v>
      </c>
      <c r="F77" s="20" t="s">
        <v>428</v>
      </c>
      <c r="G77" s="8" t="str">
        <f t="shared" si="1"/>
        <v>YORK EDGAR</v>
      </c>
    </row>
    <row r="78" spans="1:7" x14ac:dyDescent="0.25">
      <c r="A78" s="8">
        <v>42831.355092592596</v>
      </c>
      <c r="B78" s="20" t="s">
        <v>490</v>
      </c>
      <c r="C78" s="20" t="s">
        <v>711</v>
      </c>
      <c r="D78" s="146">
        <v>2020000</v>
      </c>
      <c r="E78" s="20" t="s">
        <v>670</v>
      </c>
      <c r="F78" s="20" t="s">
        <v>546</v>
      </c>
      <c r="G78" s="8" t="str">
        <f t="shared" si="1"/>
        <v>SHOOK JOHN</v>
      </c>
    </row>
    <row r="79" spans="1:7" x14ac:dyDescent="0.25">
      <c r="A79" s="8">
        <v>42831.358599537038</v>
      </c>
      <c r="B79" s="20" t="s">
        <v>533</v>
      </c>
      <c r="C79" s="20" t="s">
        <v>629</v>
      </c>
      <c r="D79" s="146">
        <v>890000</v>
      </c>
      <c r="E79" s="20" t="s">
        <v>483</v>
      </c>
      <c r="F79" s="20" t="s">
        <v>484</v>
      </c>
      <c r="G79" s="8" t="str">
        <f t="shared" si="1"/>
        <v>LOZA FIDEL</v>
      </c>
    </row>
    <row r="80" spans="1:7" x14ac:dyDescent="0.25">
      <c r="A80" s="8">
        <v>42831.360000000001</v>
      </c>
      <c r="B80" s="20" t="s">
        <v>478</v>
      </c>
      <c r="C80" s="20" t="s">
        <v>712</v>
      </c>
      <c r="D80" s="146">
        <v>2140000</v>
      </c>
      <c r="E80" s="20" t="s">
        <v>661</v>
      </c>
      <c r="F80" s="20" t="s">
        <v>662</v>
      </c>
      <c r="G80" s="8" t="str">
        <f t="shared" si="1"/>
        <v>ROBINSON KADDIBA</v>
      </c>
    </row>
    <row r="81" spans="1:7" x14ac:dyDescent="0.25">
      <c r="A81" s="8">
        <v>42831.361701388887</v>
      </c>
      <c r="B81" s="20" t="s">
        <v>535</v>
      </c>
      <c r="C81" s="20" t="s">
        <v>713</v>
      </c>
      <c r="D81" s="146">
        <v>2550000</v>
      </c>
      <c r="E81" s="20" t="s">
        <v>537</v>
      </c>
      <c r="F81" s="20" t="s">
        <v>538</v>
      </c>
      <c r="G81" s="8" t="str">
        <f t="shared" si="1"/>
        <v>BADERTSCHER DIANE</v>
      </c>
    </row>
    <row r="82" spans="1:7" x14ac:dyDescent="0.25">
      <c r="A82" s="8">
        <v>42831.370034722226</v>
      </c>
      <c r="B82" s="20" t="s">
        <v>448</v>
      </c>
      <c r="C82" s="20" t="s">
        <v>714</v>
      </c>
      <c r="D82" s="146">
        <v>1100000</v>
      </c>
      <c r="E82" s="20" t="s">
        <v>540</v>
      </c>
      <c r="F82" s="20" t="s">
        <v>541</v>
      </c>
      <c r="G82" s="8" t="str">
        <f t="shared" si="1"/>
        <v>GEBRETEKLE DAGNEW</v>
      </c>
    </row>
    <row r="83" spans="1:7" x14ac:dyDescent="0.25">
      <c r="A83" s="8">
        <v>42831.373877314814</v>
      </c>
      <c r="B83" s="20" t="s">
        <v>385</v>
      </c>
      <c r="C83" s="20" t="s">
        <v>630</v>
      </c>
      <c r="D83" s="146">
        <v>1110000</v>
      </c>
      <c r="E83" s="20" t="s">
        <v>454</v>
      </c>
      <c r="F83" s="20" t="s">
        <v>455</v>
      </c>
      <c r="G83" s="8" t="str">
        <f t="shared" si="1"/>
        <v>STARKS ANGELINA</v>
      </c>
    </row>
    <row r="84" spans="1:7" x14ac:dyDescent="0.25">
      <c r="A84" s="8">
        <v>42831.374594907407</v>
      </c>
      <c r="B84" s="20" t="s">
        <v>539</v>
      </c>
      <c r="C84" s="20" t="s">
        <v>631</v>
      </c>
      <c r="D84" s="146">
        <v>890000</v>
      </c>
      <c r="E84" s="20" t="s">
        <v>483</v>
      </c>
      <c r="F84" s="20" t="s">
        <v>484</v>
      </c>
      <c r="G84" s="8" t="str">
        <f t="shared" si="1"/>
        <v>LOZA FIDEL</v>
      </c>
    </row>
    <row r="85" spans="1:7" x14ac:dyDescent="0.25">
      <c r="A85" s="8">
        <v>42831.380567129629</v>
      </c>
      <c r="B85" s="20" t="s">
        <v>450</v>
      </c>
      <c r="C85" s="20" t="s">
        <v>715</v>
      </c>
      <c r="D85" s="146">
        <v>1830000</v>
      </c>
      <c r="E85" s="20" t="s">
        <v>427</v>
      </c>
      <c r="F85" s="20" t="s">
        <v>428</v>
      </c>
      <c r="G85" s="8" t="str">
        <f t="shared" si="1"/>
        <v>YORK EDGAR</v>
      </c>
    </row>
    <row r="86" spans="1:7" x14ac:dyDescent="0.25">
      <c r="A86" s="8">
        <v>42831.38212962963</v>
      </c>
      <c r="B86" s="20" t="s">
        <v>441</v>
      </c>
      <c r="C86" s="20" t="s">
        <v>632</v>
      </c>
      <c r="D86" s="146">
        <v>3020000</v>
      </c>
      <c r="E86" s="20" t="s">
        <v>458</v>
      </c>
      <c r="F86" s="20" t="s">
        <v>459</v>
      </c>
      <c r="G86" s="8" t="str">
        <f t="shared" si="1"/>
        <v>MENGES BRAD</v>
      </c>
    </row>
    <row r="87" spans="1:7" x14ac:dyDescent="0.25">
      <c r="A87" s="8">
        <v>42831.382800925923</v>
      </c>
      <c r="B87" s="20" t="s">
        <v>418</v>
      </c>
      <c r="C87" s="20" t="s">
        <v>716</v>
      </c>
      <c r="D87" s="146">
        <v>3000000</v>
      </c>
      <c r="E87" s="20" t="s">
        <v>456</v>
      </c>
      <c r="F87" s="20" t="s">
        <v>457</v>
      </c>
      <c r="G87" s="8" t="str">
        <f t="shared" si="1"/>
        <v>FORTUNATO FRANK</v>
      </c>
    </row>
    <row r="88" spans="1:7" x14ac:dyDescent="0.25">
      <c r="A88" s="8">
        <v>42831.3903125</v>
      </c>
      <c r="B88" s="20" t="s">
        <v>619</v>
      </c>
      <c r="C88" s="20" t="s">
        <v>717</v>
      </c>
      <c r="D88" s="146">
        <v>2140000</v>
      </c>
      <c r="E88" s="20" t="s">
        <v>661</v>
      </c>
      <c r="F88" s="20" t="s">
        <v>662</v>
      </c>
      <c r="G88" s="8" t="str">
        <f t="shared" si="1"/>
        <v>ROBINSON KADDIBA</v>
      </c>
    </row>
    <row r="89" spans="1:7" x14ac:dyDescent="0.25">
      <c r="A89" s="8">
        <v>42831.395949074074</v>
      </c>
      <c r="B89" s="20" t="s">
        <v>534</v>
      </c>
      <c r="C89" s="20" t="s">
        <v>718</v>
      </c>
      <c r="D89" s="146">
        <v>2550000</v>
      </c>
      <c r="E89" s="20" t="s">
        <v>537</v>
      </c>
      <c r="F89" s="20" t="s">
        <v>538</v>
      </c>
      <c r="G89" s="8" t="str">
        <f t="shared" si="1"/>
        <v>BADERTSCHER DIANE</v>
      </c>
    </row>
    <row r="90" spans="1:7" x14ac:dyDescent="0.25">
      <c r="A90" s="8">
        <v>42831.400960648149</v>
      </c>
      <c r="B90" s="20" t="s">
        <v>533</v>
      </c>
      <c r="C90" s="20" t="s">
        <v>719</v>
      </c>
      <c r="D90" s="146">
        <v>890000</v>
      </c>
      <c r="E90" s="20" t="s">
        <v>483</v>
      </c>
      <c r="F90" s="20" t="s">
        <v>484</v>
      </c>
      <c r="G90" s="8" t="str">
        <f t="shared" si="1"/>
        <v>LOZA FIDEL</v>
      </c>
    </row>
    <row r="91" spans="1:7" x14ac:dyDescent="0.25">
      <c r="A91" s="8">
        <v>42831.401712962965</v>
      </c>
      <c r="B91" s="20" t="s">
        <v>464</v>
      </c>
      <c r="C91" s="20" t="s">
        <v>633</v>
      </c>
      <c r="D91" s="146">
        <v>1100000</v>
      </c>
      <c r="E91" s="20" t="s">
        <v>540</v>
      </c>
      <c r="F91" s="20" t="s">
        <v>541</v>
      </c>
      <c r="G91" s="8" t="str">
        <f t="shared" si="1"/>
        <v>GEBRETEKLE DAGNEW</v>
      </c>
    </row>
    <row r="92" spans="1:7" x14ac:dyDescent="0.25">
      <c r="A92" s="8">
        <v>42831.412418981483</v>
      </c>
      <c r="B92" s="20" t="s">
        <v>386</v>
      </c>
      <c r="C92" s="20" t="s">
        <v>634</v>
      </c>
      <c r="D92" s="146">
        <v>1110000</v>
      </c>
      <c r="E92" s="20" t="s">
        <v>454</v>
      </c>
      <c r="F92" s="20" t="s">
        <v>455</v>
      </c>
      <c r="G92" s="8" t="str">
        <f t="shared" si="1"/>
        <v>STARKS ANGELINA</v>
      </c>
    </row>
    <row r="93" spans="1:7" x14ac:dyDescent="0.25">
      <c r="A93" s="8">
        <v>42831.412870370368</v>
      </c>
      <c r="B93" s="20" t="s">
        <v>442</v>
      </c>
      <c r="C93" s="20" t="s">
        <v>720</v>
      </c>
      <c r="D93" s="146">
        <v>3020000</v>
      </c>
      <c r="E93" s="20" t="s">
        <v>458</v>
      </c>
      <c r="F93" s="20" t="s">
        <v>459</v>
      </c>
      <c r="G93" s="8" t="str">
        <f t="shared" si="1"/>
        <v>MENGES BRAD</v>
      </c>
    </row>
    <row r="94" spans="1:7" x14ac:dyDescent="0.25">
      <c r="A94" s="8">
        <v>42831.416226851848</v>
      </c>
      <c r="B94" s="20" t="s">
        <v>431</v>
      </c>
      <c r="C94" s="20" t="s">
        <v>721</v>
      </c>
      <c r="D94" s="146">
        <v>3000000</v>
      </c>
      <c r="E94" s="20" t="s">
        <v>456</v>
      </c>
      <c r="F94" s="20" t="s">
        <v>457</v>
      </c>
      <c r="G94" s="8" t="str">
        <f t="shared" si="1"/>
        <v>FORTUNATO FRANK</v>
      </c>
    </row>
    <row r="95" spans="1:7" x14ac:dyDescent="0.25">
      <c r="A95" s="8">
        <v>42831.417118055557</v>
      </c>
      <c r="B95" s="20" t="s">
        <v>539</v>
      </c>
      <c r="C95" s="20" t="s">
        <v>722</v>
      </c>
      <c r="D95" s="146">
        <v>890000</v>
      </c>
      <c r="E95" s="20" t="s">
        <v>483</v>
      </c>
      <c r="F95" s="20" t="s">
        <v>484</v>
      </c>
      <c r="G95" s="8" t="str">
        <f t="shared" si="1"/>
        <v>LOZA FIDEL</v>
      </c>
    </row>
    <row r="96" spans="1:7" x14ac:dyDescent="0.25">
      <c r="A96" s="8">
        <v>42831.421226851853</v>
      </c>
      <c r="B96" s="20" t="s">
        <v>449</v>
      </c>
      <c r="C96" s="20" t="s">
        <v>723</v>
      </c>
      <c r="D96" s="146">
        <v>1830000</v>
      </c>
      <c r="E96" s="20" t="s">
        <v>427</v>
      </c>
      <c r="F96" s="20" t="s">
        <v>428</v>
      </c>
      <c r="G96" s="8" t="str">
        <f t="shared" si="1"/>
        <v>YORK EDGAR</v>
      </c>
    </row>
    <row r="97" spans="1:7" x14ac:dyDescent="0.25">
      <c r="A97" s="8">
        <v>42831.427106481482</v>
      </c>
      <c r="B97" s="20" t="s">
        <v>478</v>
      </c>
      <c r="C97" s="20" t="s">
        <v>636</v>
      </c>
      <c r="D97" s="146">
        <v>2140000</v>
      </c>
      <c r="E97" s="20" t="s">
        <v>661</v>
      </c>
      <c r="F97" s="20" t="s">
        <v>662</v>
      </c>
      <c r="G97" s="8" t="str">
        <f t="shared" si="1"/>
        <v>ROBINSON KADDIBA</v>
      </c>
    </row>
    <row r="98" spans="1:7" x14ac:dyDescent="0.25">
      <c r="A98" s="8">
        <v>42831.430914351855</v>
      </c>
      <c r="B98" s="20" t="s">
        <v>432</v>
      </c>
      <c r="C98" s="20" t="s">
        <v>724</v>
      </c>
      <c r="D98" s="146">
        <v>2040000</v>
      </c>
      <c r="E98" s="20" t="s">
        <v>549</v>
      </c>
      <c r="F98" s="20" t="s">
        <v>550</v>
      </c>
      <c r="G98" s="8" t="str">
        <f t="shared" si="1"/>
        <v>MOSES BRADLEY</v>
      </c>
    </row>
    <row r="99" spans="1:7" x14ac:dyDescent="0.25">
      <c r="A99" s="8">
        <v>42831.434189814812</v>
      </c>
      <c r="B99" s="20" t="s">
        <v>535</v>
      </c>
      <c r="C99" s="20" t="s">
        <v>725</v>
      </c>
      <c r="D99" s="146">
        <v>2020000</v>
      </c>
      <c r="E99" s="20" t="s">
        <v>670</v>
      </c>
      <c r="F99" s="20" t="s">
        <v>546</v>
      </c>
      <c r="G99" s="8" t="str">
        <f t="shared" si="1"/>
        <v>SHOOK JOHN</v>
      </c>
    </row>
    <row r="100" spans="1:7" x14ac:dyDescent="0.25">
      <c r="A100" s="8">
        <v>42831.440891203703</v>
      </c>
      <c r="B100" s="20" t="s">
        <v>448</v>
      </c>
      <c r="C100" s="20" t="s">
        <v>726</v>
      </c>
      <c r="D100" s="146">
        <v>1100000</v>
      </c>
      <c r="E100" s="20" t="s">
        <v>540</v>
      </c>
      <c r="F100" s="20" t="s">
        <v>541</v>
      </c>
      <c r="G100" s="8" t="str">
        <f t="shared" si="1"/>
        <v>GEBRETEKLE DAGNEW</v>
      </c>
    </row>
    <row r="101" spans="1:7" x14ac:dyDescent="0.25">
      <c r="A101" s="8">
        <v>42831.443344907406</v>
      </c>
      <c r="B101" s="20" t="s">
        <v>533</v>
      </c>
      <c r="C101" s="20" t="s">
        <v>727</v>
      </c>
      <c r="D101" s="146">
        <v>890000</v>
      </c>
      <c r="E101" s="20" t="s">
        <v>483</v>
      </c>
      <c r="F101" s="20" t="s">
        <v>484</v>
      </c>
      <c r="G101" s="8" t="str">
        <f t="shared" si="1"/>
        <v>LOZA FIDEL</v>
      </c>
    </row>
    <row r="102" spans="1:7" x14ac:dyDescent="0.25">
      <c r="A102" s="8">
        <v>42831.44740740741</v>
      </c>
      <c r="B102" s="20" t="s">
        <v>385</v>
      </c>
      <c r="C102" s="20" t="s">
        <v>728</v>
      </c>
      <c r="D102" s="146">
        <v>1110000</v>
      </c>
      <c r="E102" s="20" t="s">
        <v>454</v>
      </c>
      <c r="F102" s="20" t="s">
        <v>455</v>
      </c>
      <c r="G102" s="8" t="str">
        <f t="shared" si="1"/>
        <v>STARKS ANGELINA</v>
      </c>
    </row>
    <row r="103" spans="1:7" x14ac:dyDescent="0.25">
      <c r="A103" s="8">
        <v>42831.448078703703</v>
      </c>
      <c r="B103" s="20" t="s">
        <v>385</v>
      </c>
      <c r="C103" s="20" t="s">
        <v>635</v>
      </c>
      <c r="D103" s="146">
        <v>1110000</v>
      </c>
      <c r="E103" s="20" t="s">
        <v>454</v>
      </c>
      <c r="F103" s="20" t="s">
        <v>455</v>
      </c>
      <c r="G103" s="8" t="str">
        <f t="shared" si="1"/>
        <v>STARKS ANGELINA</v>
      </c>
    </row>
    <row r="104" spans="1:7" x14ac:dyDescent="0.25">
      <c r="A104" s="8">
        <v>42831.451678240737</v>
      </c>
      <c r="B104" s="20" t="s">
        <v>441</v>
      </c>
      <c r="C104" s="20" t="s">
        <v>729</v>
      </c>
      <c r="D104" s="146">
        <v>3020000</v>
      </c>
      <c r="E104" s="20" t="s">
        <v>458</v>
      </c>
      <c r="F104" s="20" t="s">
        <v>459</v>
      </c>
      <c r="G104" s="8" t="str">
        <f t="shared" si="1"/>
        <v>MENGES BRAD</v>
      </c>
    </row>
    <row r="105" spans="1:7" x14ac:dyDescent="0.25">
      <c r="A105" s="8">
        <v>42831.453217592592</v>
      </c>
      <c r="B105" s="20" t="s">
        <v>450</v>
      </c>
      <c r="C105" s="20" t="s">
        <v>730</v>
      </c>
      <c r="D105" s="146">
        <v>1830000</v>
      </c>
      <c r="E105" s="20" t="s">
        <v>427</v>
      </c>
      <c r="F105" s="20" t="s">
        <v>428</v>
      </c>
      <c r="G105" s="8" t="str">
        <f t="shared" si="1"/>
        <v>YORK EDGAR</v>
      </c>
    </row>
    <row r="106" spans="1:7" x14ac:dyDescent="0.25">
      <c r="A106" s="8">
        <v>42831.455636574072</v>
      </c>
      <c r="B106" s="20" t="s">
        <v>418</v>
      </c>
      <c r="C106" s="20" t="s">
        <v>731</v>
      </c>
      <c r="D106" s="146">
        <v>930000</v>
      </c>
      <c r="E106" s="20" t="s">
        <v>460</v>
      </c>
      <c r="F106" s="20" t="s">
        <v>461</v>
      </c>
      <c r="G106" s="8" t="str">
        <f t="shared" si="1"/>
        <v>CLARK KATHLEEN</v>
      </c>
    </row>
    <row r="107" spans="1:7" x14ac:dyDescent="0.25">
      <c r="A107" s="8">
        <v>42831.465636574074</v>
      </c>
      <c r="B107" s="20" t="s">
        <v>534</v>
      </c>
      <c r="C107" s="20" t="s">
        <v>732</v>
      </c>
      <c r="D107" s="146">
        <v>2020000</v>
      </c>
      <c r="E107" s="20" t="s">
        <v>670</v>
      </c>
      <c r="F107" s="20" t="s">
        <v>546</v>
      </c>
      <c r="G107" s="8" t="str">
        <f t="shared" si="1"/>
        <v>SHOOK JOHN</v>
      </c>
    </row>
    <row r="108" spans="1:7" x14ac:dyDescent="0.25">
      <c r="A108" s="8">
        <v>42831.465694444443</v>
      </c>
      <c r="B108" s="20" t="s">
        <v>619</v>
      </c>
      <c r="C108" s="20" t="s">
        <v>733</v>
      </c>
      <c r="D108" s="146">
        <v>2360000</v>
      </c>
      <c r="E108" s="20" t="s">
        <v>734</v>
      </c>
      <c r="F108" s="20" t="s">
        <v>735</v>
      </c>
      <c r="G108" s="8" t="str">
        <f t="shared" si="1"/>
        <v>BRANDNER MELINDA</v>
      </c>
    </row>
    <row r="109" spans="1:7" x14ac:dyDescent="0.25">
      <c r="A109" s="8">
        <v>42831.467847222222</v>
      </c>
      <c r="B109" s="20" t="s">
        <v>539</v>
      </c>
      <c r="C109" s="20" t="s">
        <v>736</v>
      </c>
      <c r="D109" s="146">
        <v>890000</v>
      </c>
      <c r="E109" s="20" t="s">
        <v>483</v>
      </c>
      <c r="F109" s="20" t="s">
        <v>484</v>
      </c>
      <c r="G109" s="8" t="str">
        <f t="shared" si="1"/>
        <v>LOZA FIDEL</v>
      </c>
    </row>
    <row r="110" spans="1:7" x14ac:dyDescent="0.25">
      <c r="A110" s="8">
        <v>42831.475706018522</v>
      </c>
      <c r="B110" s="20" t="s">
        <v>464</v>
      </c>
      <c r="C110" s="20" t="s">
        <v>737</v>
      </c>
      <c r="D110" s="146">
        <v>2970000</v>
      </c>
      <c r="E110" s="20" t="s">
        <v>465</v>
      </c>
      <c r="F110" s="20" t="s">
        <v>466</v>
      </c>
      <c r="G110" s="8" t="str">
        <f t="shared" si="1"/>
        <v>GUZMAN DANNY</v>
      </c>
    </row>
    <row r="111" spans="1:7" x14ac:dyDescent="0.25">
      <c r="A111" s="8">
        <v>42831.477141203701</v>
      </c>
      <c r="B111" s="20" t="s">
        <v>532</v>
      </c>
      <c r="C111" s="20" t="s">
        <v>724</v>
      </c>
      <c r="D111" s="146">
        <v>3040000</v>
      </c>
      <c r="E111" s="20" t="s">
        <v>462</v>
      </c>
      <c r="F111" s="20" t="s">
        <v>463</v>
      </c>
      <c r="G111" s="8" t="str">
        <f t="shared" si="1"/>
        <v>WILLIAMS DONTE</v>
      </c>
    </row>
    <row r="112" spans="1:7" x14ac:dyDescent="0.25">
      <c r="A112" s="8">
        <v>42831.483287037037</v>
      </c>
      <c r="B112" s="20" t="s">
        <v>533</v>
      </c>
      <c r="C112" s="20" t="s">
        <v>738</v>
      </c>
      <c r="D112" s="146">
        <v>890000</v>
      </c>
      <c r="E112" s="20" t="s">
        <v>483</v>
      </c>
      <c r="F112" s="20" t="s">
        <v>484</v>
      </c>
      <c r="G112" s="8" t="str">
        <f t="shared" si="1"/>
        <v>LOZA FIDEL</v>
      </c>
    </row>
    <row r="113" spans="1:7" x14ac:dyDescent="0.25">
      <c r="A113" s="8">
        <v>42831.485821759263</v>
      </c>
      <c r="B113" s="20" t="s">
        <v>386</v>
      </c>
      <c r="C113" s="20" t="s">
        <v>728</v>
      </c>
      <c r="D113" s="146">
        <v>1110000</v>
      </c>
      <c r="E113" s="20" t="s">
        <v>454</v>
      </c>
      <c r="F113" s="20" t="s">
        <v>455</v>
      </c>
      <c r="G113" s="8" t="str">
        <f t="shared" si="1"/>
        <v>STARKS ANGELINA</v>
      </c>
    </row>
    <row r="114" spans="1:7" x14ac:dyDescent="0.25">
      <c r="A114" s="8">
        <v>42831.490300925929</v>
      </c>
      <c r="B114" s="20" t="s">
        <v>442</v>
      </c>
      <c r="C114" s="20" t="s">
        <v>739</v>
      </c>
      <c r="D114" s="146">
        <v>2230000</v>
      </c>
      <c r="E114" s="20" t="s">
        <v>384</v>
      </c>
      <c r="F114" s="20" t="s">
        <v>197</v>
      </c>
      <c r="G114" s="8" t="str">
        <f t="shared" si="1"/>
        <v>SMITH MICHAEL</v>
      </c>
    </row>
    <row r="115" spans="1:7" x14ac:dyDescent="0.25">
      <c r="A115" s="8">
        <v>42831.494328703702</v>
      </c>
      <c r="B115" s="20" t="s">
        <v>431</v>
      </c>
      <c r="C115" s="20" t="s">
        <v>740</v>
      </c>
      <c r="D115" s="146">
        <v>930000</v>
      </c>
      <c r="E115" s="20" t="s">
        <v>460</v>
      </c>
      <c r="F115" s="20" t="s">
        <v>461</v>
      </c>
      <c r="G115" s="8" t="str">
        <f t="shared" si="1"/>
        <v>CLARK KATHLEEN</v>
      </c>
    </row>
    <row r="116" spans="1:7" x14ac:dyDescent="0.25">
      <c r="A116" s="8">
        <v>42831.496122685188</v>
      </c>
      <c r="B116" s="20" t="s">
        <v>449</v>
      </c>
      <c r="C116" s="20" t="s">
        <v>741</v>
      </c>
      <c r="D116" s="146">
        <v>2370000</v>
      </c>
      <c r="E116" s="20" t="s">
        <v>553</v>
      </c>
      <c r="F116" s="20" t="s">
        <v>554</v>
      </c>
      <c r="G116" s="8" t="str">
        <f t="shared" si="1"/>
        <v>DELGADO DIANAH</v>
      </c>
    </row>
    <row r="117" spans="1:7" x14ac:dyDescent="0.25">
      <c r="A117" s="8">
        <v>42831.501770833333</v>
      </c>
      <c r="B117" s="20" t="s">
        <v>478</v>
      </c>
      <c r="C117" s="20" t="s">
        <v>638</v>
      </c>
      <c r="D117" s="146">
        <v>2360000</v>
      </c>
      <c r="E117" s="20" t="s">
        <v>734</v>
      </c>
      <c r="F117" s="20" t="s">
        <v>735</v>
      </c>
      <c r="G117" s="8" t="str">
        <f t="shared" si="1"/>
        <v>BRANDNER MELINDA</v>
      </c>
    </row>
    <row r="118" spans="1:7" x14ac:dyDescent="0.25">
      <c r="A118" s="8">
        <v>42831.506597222222</v>
      </c>
      <c r="B118" s="20" t="s">
        <v>539</v>
      </c>
      <c r="C118" s="20" t="s">
        <v>637</v>
      </c>
      <c r="D118" s="146">
        <v>890000</v>
      </c>
      <c r="E118" s="20" t="s">
        <v>483</v>
      </c>
      <c r="F118" s="20" t="s">
        <v>484</v>
      </c>
      <c r="G118" s="8" t="str">
        <f t="shared" si="1"/>
        <v>LOZA FIDEL</v>
      </c>
    </row>
    <row r="119" spans="1:7" x14ac:dyDescent="0.25">
      <c r="A119" s="8">
        <v>42831.509386574071</v>
      </c>
      <c r="B119" s="20" t="s">
        <v>742</v>
      </c>
      <c r="C119" s="20" t="s">
        <v>743</v>
      </c>
      <c r="D119" s="146">
        <v>1780000</v>
      </c>
      <c r="E119" s="20" t="s">
        <v>488</v>
      </c>
      <c r="F119" s="20" t="s">
        <v>489</v>
      </c>
      <c r="G119" s="8" t="str">
        <f t="shared" si="1"/>
        <v>DE LA ROSA ALEX</v>
      </c>
    </row>
    <row r="120" spans="1:7" x14ac:dyDescent="0.25">
      <c r="A120" s="8">
        <v>42831.510150462964</v>
      </c>
      <c r="B120" s="20" t="s">
        <v>535</v>
      </c>
      <c r="C120" s="20" t="s">
        <v>744</v>
      </c>
      <c r="D120" s="146">
        <v>3040000</v>
      </c>
      <c r="E120" s="20" t="s">
        <v>462</v>
      </c>
      <c r="F120" s="20" t="s">
        <v>463</v>
      </c>
      <c r="G120" s="8" t="str">
        <f t="shared" si="1"/>
        <v>WILLIAMS DONTE</v>
      </c>
    </row>
    <row r="121" spans="1:7" x14ac:dyDescent="0.25">
      <c r="A121" s="8">
        <v>42831.511122685188</v>
      </c>
      <c r="B121" s="20" t="s">
        <v>426</v>
      </c>
      <c r="C121" s="20" t="s">
        <v>745</v>
      </c>
      <c r="D121" s="146">
        <v>1290000</v>
      </c>
      <c r="E121" s="20" t="s">
        <v>545</v>
      </c>
      <c r="F121" s="20" t="s">
        <v>546</v>
      </c>
      <c r="G121" s="8" t="str">
        <f t="shared" si="1"/>
        <v>COOLAHAN JOHN</v>
      </c>
    </row>
    <row r="122" spans="1:7" x14ac:dyDescent="0.25">
      <c r="A122" s="8">
        <v>42831.512928240743</v>
      </c>
      <c r="B122" s="25" t="s">
        <v>448</v>
      </c>
      <c r="C122" s="20" t="s">
        <v>746</v>
      </c>
      <c r="D122" s="146">
        <v>2970000</v>
      </c>
      <c r="E122" s="20" t="s">
        <v>465</v>
      </c>
      <c r="F122" s="20" t="s">
        <v>466</v>
      </c>
      <c r="G122" s="8" t="str">
        <f t="shared" si="1"/>
        <v>GUZMAN DANNY</v>
      </c>
    </row>
    <row r="123" spans="1:7" x14ac:dyDescent="0.25">
      <c r="A123" s="8">
        <v>42831.517384259256</v>
      </c>
      <c r="B123" s="20" t="s">
        <v>385</v>
      </c>
      <c r="C123" s="20" t="s">
        <v>747</v>
      </c>
      <c r="D123" s="146">
        <v>1760000</v>
      </c>
      <c r="E123" s="20" t="s">
        <v>491</v>
      </c>
      <c r="F123" s="20" t="s">
        <v>492</v>
      </c>
      <c r="G123" s="8" t="str">
        <f t="shared" si="1"/>
        <v>STRICKLAND EVAN</v>
      </c>
    </row>
    <row r="124" spans="1:7" x14ac:dyDescent="0.25">
      <c r="A124" s="8">
        <v>42831.518865740742</v>
      </c>
      <c r="B124" s="20" t="s">
        <v>441</v>
      </c>
      <c r="C124" s="20" t="s">
        <v>748</v>
      </c>
      <c r="D124" s="146">
        <v>2230000</v>
      </c>
      <c r="E124" s="20" t="s">
        <v>384</v>
      </c>
      <c r="F124" s="20" t="s">
        <v>197</v>
      </c>
      <c r="G124" s="8" t="str">
        <f t="shared" si="1"/>
        <v>SMITH MICHAEL</v>
      </c>
    </row>
    <row r="125" spans="1:7" x14ac:dyDescent="0.25">
      <c r="A125" s="8">
        <v>42831.526122685187</v>
      </c>
      <c r="B125" s="20" t="s">
        <v>533</v>
      </c>
      <c r="C125" s="20" t="s">
        <v>749</v>
      </c>
      <c r="D125" s="146">
        <v>890000</v>
      </c>
      <c r="E125" s="20" t="s">
        <v>483</v>
      </c>
      <c r="F125" s="20" t="s">
        <v>484</v>
      </c>
      <c r="G125" s="8" t="str">
        <f t="shared" si="1"/>
        <v>LOZA FIDEL</v>
      </c>
    </row>
    <row r="126" spans="1:7" x14ac:dyDescent="0.25">
      <c r="A126" s="8">
        <v>42831.528055555558</v>
      </c>
      <c r="B126" s="20" t="s">
        <v>418</v>
      </c>
      <c r="C126" s="20" t="s">
        <v>750</v>
      </c>
      <c r="D126" s="146">
        <v>930000</v>
      </c>
      <c r="E126" s="20" t="s">
        <v>460</v>
      </c>
      <c r="F126" s="20" t="s">
        <v>461</v>
      </c>
      <c r="G126" s="8" t="str">
        <f t="shared" si="1"/>
        <v>CLARK KATHLEEN</v>
      </c>
    </row>
    <row r="127" spans="1:7" x14ac:dyDescent="0.25">
      <c r="A127" s="8">
        <v>42831.53402777778</v>
      </c>
      <c r="B127" s="20" t="s">
        <v>450</v>
      </c>
      <c r="C127" s="20" t="s">
        <v>639</v>
      </c>
      <c r="D127" s="146">
        <v>2370000</v>
      </c>
      <c r="E127" s="20" t="s">
        <v>553</v>
      </c>
      <c r="F127" s="20" t="s">
        <v>554</v>
      </c>
      <c r="G127" s="8" t="str">
        <f t="shared" si="1"/>
        <v>DELGADO DIANAH</v>
      </c>
    </row>
    <row r="128" spans="1:7" x14ac:dyDescent="0.25">
      <c r="A128" s="8">
        <v>42831.538124999999</v>
      </c>
      <c r="B128" s="20" t="s">
        <v>619</v>
      </c>
      <c r="C128" s="20" t="s">
        <v>751</v>
      </c>
      <c r="D128" s="146">
        <v>2360000</v>
      </c>
      <c r="E128" s="20" t="s">
        <v>734</v>
      </c>
      <c r="F128" s="20" t="s">
        <v>735</v>
      </c>
      <c r="G128" s="8" t="str">
        <f t="shared" si="1"/>
        <v>BRANDNER MELINDA</v>
      </c>
    </row>
    <row r="129" spans="1:7" x14ac:dyDescent="0.25">
      <c r="A129" s="8">
        <v>42831.545081018521</v>
      </c>
      <c r="B129" s="20" t="s">
        <v>539</v>
      </c>
      <c r="C129" s="20" t="s">
        <v>752</v>
      </c>
      <c r="D129" s="146">
        <v>3010000</v>
      </c>
      <c r="E129" s="20" t="s">
        <v>547</v>
      </c>
      <c r="F129" s="20" t="s">
        <v>548</v>
      </c>
      <c r="G129" s="8" t="str">
        <f t="shared" si="1"/>
        <v>SULLIVAN BRANDON</v>
      </c>
    </row>
    <row r="130" spans="1:7" x14ac:dyDescent="0.25">
      <c r="A130" s="8">
        <v>42831.546736111108</v>
      </c>
      <c r="B130" s="20" t="s">
        <v>534</v>
      </c>
      <c r="C130" s="20" t="s">
        <v>753</v>
      </c>
      <c r="D130" s="146">
        <v>3040000</v>
      </c>
      <c r="E130" s="20" t="s">
        <v>462</v>
      </c>
      <c r="F130" s="20" t="s">
        <v>463</v>
      </c>
      <c r="G130" s="8" t="str">
        <f t="shared" si="1"/>
        <v>WILLIAMS DONTE</v>
      </c>
    </row>
    <row r="131" spans="1:7" x14ac:dyDescent="0.25">
      <c r="A131" s="8">
        <v>42831.548518518517</v>
      </c>
      <c r="B131" s="20" t="s">
        <v>464</v>
      </c>
      <c r="C131" s="20" t="s">
        <v>754</v>
      </c>
      <c r="D131" s="146">
        <v>2970000</v>
      </c>
      <c r="E131" s="20" t="s">
        <v>465</v>
      </c>
      <c r="F131" s="20" t="s">
        <v>466</v>
      </c>
      <c r="G131" s="8" t="str">
        <f t="shared" ref="G131:G194" si="2">E131&amp;" "&amp;F131</f>
        <v>GUZMAN DANNY</v>
      </c>
    </row>
    <row r="132" spans="1:7" x14ac:dyDescent="0.25">
      <c r="A132" s="8">
        <v>42831.549467592595</v>
      </c>
      <c r="B132" s="20" t="s">
        <v>386</v>
      </c>
      <c r="C132" s="20" t="s">
        <v>755</v>
      </c>
      <c r="D132" s="146">
        <v>1760000</v>
      </c>
      <c r="E132" s="20" t="s">
        <v>491</v>
      </c>
      <c r="F132" s="20" t="s">
        <v>492</v>
      </c>
      <c r="G132" s="8" t="str">
        <f t="shared" si="2"/>
        <v>STRICKLAND EVAN</v>
      </c>
    </row>
    <row r="133" spans="1:7" x14ac:dyDescent="0.25">
      <c r="A133" s="8">
        <v>42831.559039351851</v>
      </c>
      <c r="B133" s="20" t="s">
        <v>442</v>
      </c>
      <c r="C133" s="20" t="s">
        <v>756</v>
      </c>
      <c r="D133" s="146">
        <v>2230000</v>
      </c>
      <c r="E133" s="20" t="s">
        <v>384</v>
      </c>
      <c r="F133" s="20" t="s">
        <v>197</v>
      </c>
      <c r="G133" s="8" t="str">
        <f t="shared" si="2"/>
        <v>SMITH MICHAEL</v>
      </c>
    </row>
    <row r="134" spans="1:7" x14ac:dyDescent="0.25">
      <c r="A134" s="8">
        <v>42831.566168981481</v>
      </c>
      <c r="B134" s="20" t="s">
        <v>431</v>
      </c>
      <c r="C134" s="20" t="s">
        <v>757</v>
      </c>
      <c r="D134" s="146">
        <v>930000</v>
      </c>
      <c r="E134" s="20" t="s">
        <v>460</v>
      </c>
      <c r="F134" s="20" t="s">
        <v>461</v>
      </c>
      <c r="G134" s="8" t="str">
        <f t="shared" si="2"/>
        <v>CLARK KATHLEEN</v>
      </c>
    </row>
    <row r="135" spans="1:7" x14ac:dyDescent="0.25">
      <c r="A135" s="8">
        <v>42831.567650462966</v>
      </c>
      <c r="B135" s="20" t="s">
        <v>533</v>
      </c>
      <c r="C135" s="20" t="s">
        <v>758</v>
      </c>
      <c r="D135" s="146">
        <v>3010000</v>
      </c>
      <c r="E135" s="20" t="s">
        <v>547</v>
      </c>
      <c r="F135" s="20" t="s">
        <v>548</v>
      </c>
      <c r="G135" s="8" t="str">
        <f t="shared" si="2"/>
        <v>SULLIVAN BRANDON</v>
      </c>
    </row>
    <row r="136" spans="1:7" x14ac:dyDescent="0.25">
      <c r="A136" s="8">
        <v>42831.569675925923</v>
      </c>
      <c r="B136" s="20" t="s">
        <v>449</v>
      </c>
      <c r="C136" s="20" t="s">
        <v>759</v>
      </c>
      <c r="D136" s="146">
        <v>2370000</v>
      </c>
      <c r="E136" s="20" t="s">
        <v>553</v>
      </c>
      <c r="F136" s="20" t="s">
        <v>554</v>
      </c>
      <c r="G136" s="8" t="str">
        <f t="shared" si="2"/>
        <v>DELGADO DIANAH</v>
      </c>
    </row>
    <row r="137" spans="1:7" x14ac:dyDescent="0.25">
      <c r="A137" s="8">
        <v>42831.578344907408</v>
      </c>
      <c r="B137" s="20" t="s">
        <v>482</v>
      </c>
      <c r="C137" s="20" t="s">
        <v>760</v>
      </c>
      <c r="D137" s="146">
        <v>2260000</v>
      </c>
      <c r="E137" s="20" t="s">
        <v>761</v>
      </c>
      <c r="F137" s="20" t="s">
        <v>762</v>
      </c>
      <c r="G137" s="8" t="str">
        <f t="shared" si="2"/>
        <v>ARVIDSON DANIEL</v>
      </c>
    </row>
    <row r="138" spans="1:7" x14ac:dyDescent="0.25">
      <c r="A138" s="8">
        <v>42831.579895833333</v>
      </c>
      <c r="B138" s="20" t="s">
        <v>478</v>
      </c>
      <c r="C138" s="20" t="s">
        <v>763</v>
      </c>
      <c r="D138" s="146">
        <v>2360000</v>
      </c>
      <c r="E138" s="20" t="s">
        <v>734</v>
      </c>
      <c r="F138" s="20" t="s">
        <v>735</v>
      </c>
      <c r="G138" s="8" t="str">
        <f t="shared" si="2"/>
        <v>BRANDNER MELINDA</v>
      </c>
    </row>
    <row r="139" spans="1:7" x14ac:dyDescent="0.25">
      <c r="A139" s="8">
        <v>42831.581458333334</v>
      </c>
      <c r="B139" s="20" t="s">
        <v>448</v>
      </c>
      <c r="C139" s="20" t="s">
        <v>641</v>
      </c>
      <c r="D139" s="146">
        <v>2970000</v>
      </c>
      <c r="E139" s="20" t="s">
        <v>465</v>
      </c>
      <c r="F139" s="20" t="s">
        <v>466</v>
      </c>
      <c r="G139" s="8" t="str">
        <f t="shared" si="2"/>
        <v>GUZMAN DANNY</v>
      </c>
    </row>
    <row r="140" spans="1:7" x14ac:dyDescent="0.25">
      <c r="A140" s="8">
        <v>42831.590833333335</v>
      </c>
      <c r="B140" s="20" t="s">
        <v>385</v>
      </c>
      <c r="C140" s="20" t="s">
        <v>640</v>
      </c>
      <c r="D140" s="146">
        <v>1760000</v>
      </c>
      <c r="E140" s="20" t="s">
        <v>491</v>
      </c>
      <c r="F140" s="20" t="s">
        <v>492</v>
      </c>
      <c r="G140" s="8" t="str">
        <f t="shared" si="2"/>
        <v>STRICKLAND EVAN</v>
      </c>
    </row>
    <row r="141" spans="1:7" x14ac:dyDescent="0.25">
      <c r="A141" s="8">
        <v>42831.592199074075</v>
      </c>
      <c r="B141" s="20" t="s">
        <v>539</v>
      </c>
      <c r="C141" s="20" t="s">
        <v>764</v>
      </c>
      <c r="D141" s="146">
        <v>3010000</v>
      </c>
      <c r="E141" s="20" t="s">
        <v>547</v>
      </c>
      <c r="F141" s="20" t="s">
        <v>548</v>
      </c>
      <c r="G141" s="8" t="str">
        <f t="shared" si="2"/>
        <v>SULLIVAN BRANDON</v>
      </c>
    </row>
    <row r="142" spans="1:7" x14ac:dyDescent="0.25">
      <c r="A142" s="8">
        <v>42831.593217592592</v>
      </c>
      <c r="B142" s="20" t="s">
        <v>441</v>
      </c>
      <c r="C142" s="20" t="s">
        <v>765</v>
      </c>
      <c r="D142" s="146">
        <v>2230000</v>
      </c>
      <c r="E142" s="20" t="s">
        <v>384</v>
      </c>
      <c r="F142" s="20" t="s">
        <v>197</v>
      </c>
      <c r="G142" s="8" t="str">
        <f t="shared" si="2"/>
        <v>SMITH MICHAEL</v>
      </c>
    </row>
    <row r="143" spans="1:7" x14ac:dyDescent="0.25">
      <c r="A143" s="8">
        <v>42831.601319444446</v>
      </c>
      <c r="B143" s="20" t="s">
        <v>418</v>
      </c>
      <c r="C143" s="20" t="s">
        <v>766</v>
      </c>
      <c r="D143" s="146">
        <v>930000</v>
      </c>
      <c r="E143" s="20" t="s">
        <v>460</v>
      </c>
      <c r="F143" s="20" t="s">
        <v>461</v>
      </c>
      <c r="G143" s="8" t="str">
        <f t="shared" si="2"/>
        <v>CLARK KATHLEEN</v>
      </c>
    </row>
    <row r="144" spans="1:7" x14ac:dyDescent="0.25">
      <c r="A144" s="8">
        <v>42831.609120370369</v>
      </c>
      <c r="B144" s="20" t="s">
        <v>450</v>
      </c>
      <c r="C144" s="20" t="s">
        <v>767</v>
      </c>
      <c r="D144" s="146">
        <v>2370000</v>
      </c>
      <c r="E144" s="20" t="s">
        <v>553</v>
      </c>
      <c r="F144" s="20" t="s">
        <v>554</v>
      </c>
      <c r="G144" s="8" t="str">
        <f t="shared" si="2"/>
        <v>DELGADO DIANAH</v>
      </c>
    </row>
    <row r="145" spans="1:7" x14ac:dyDescent="0.25">
      <c r="A145" s="8">
        <v>42831.609965277778</v>
      </c>
      <c r="B145" s="20" t="s">
        <v>533</v>
      </c>
      <c r="C145" s="20" t="s">
        <v>768</v>
      </c>
      <c r="D145" s="146">
        <v>3010000</v>
      </c>
      <c r="E145" s="20" t="s">
        <v>547</v>
      </c>
      <c r="F145" s="20" t="s">
        <v>548</v>
      </c>
      <c r="G145" s="8" t="str">
        <f t="shared" si="2"/>
        <v>SULLIVAN BRANDON</v>
      </c>
    </row>
    <row r="146" spans="1:7" x14ac:dyDescent="0.25">
      <c r="A146" s="8">
        <v>42831.61041666667</v>
      </c>
      <c r="B146" s="20" t="s">
        <v>619</v>
      </c>
      <c r="C146" s="20" t="s">
        <v>769</v>
      </c>
      <c r="D146" s="146">
        <v>2360000</v>
      </c>
      <c r="E146" s="20" t="s">
        <v>734</v>
      </c>
      <c r="F146" s="20" t="s">
        <v>735</v>
      </c>
      <c r="G146" s="8" t="str">
        <f t="shared" si="2"/>
        <v>BRANDNER MELINDA</v>
      </c>
    </row>
    <row r="147" spans="1:7" x14ac:dyDescent="0.25">
      <c r="A147" s="8">
        <v>42831.618414351855</v>
      </c>
      <c r="B147" s="20" t="s">
        <v>485</v>
      </c>
      <c r="C147" s="20" t="s">
        <v>770</v>
      </c>
      <c r="D147" s="146">
        <v>2260000</v>
      </c>
      <c r="E147" s="20" t="s">
        <v>761</v>
      </c>
      <c r="F147" s="20" t="s">
        <v>762</v>
      </c>
      <c r="G147" s="8" t="str">
        <f t="shared" si="2"/>
        <v>ARVIDSON DANIEL</v>
      </c>
    </row>
    <row r="148" spans="1:7" x14ac:dyDescent="0.25">
      <c r="A148" s="8">
        <v>42831.620625000003</v>
      </c>
      <c r="B148" s="20" t="s">
        <v>387</v>
      </c>
      <c r="C148" s="20" t="s">
        <v>771</v>
      </c>
      <c r="D148" s="146">
        <v>1780000</v>
      </c>
      <c r="E148" s="20" t="s">
        <v>488</v>
      </c>
      <c r="F148" s="20" t="s">
        <v>489</v>
      </c>
      <c r="G148" s="8" t="str">
        <f t="shared" si="2"/>
        <v>DE LA ROSA ALEX</v>
      </c>
    </row>
    <row r="149" spans="1:7" x14ac:dyDescent="0.25">
      <c r="A149" s="8">
        <v>42831.621828703705</v>
      </c>
      <c r="B149" s="20" t="s">
        <v>464</v>
      </c>
      <c r="C149" s="20" t="s">
        <v>772</v>
      </c>
      <c r="D149" s="146">
        <v>2970000</v>
      </c>
      <c r="E149" s="20" t="s">
        <v>465</v>
      </c>
      <c r="F149" s="20" t="s">
        <v>466</v>
      </c>
      <c r="G149" s="8" t="str">
        <f t="shared" si="2"/>
        <v>GUZMAN DANNY</v>
      </c>
    </row>
    <row r="150" spans="1:7" x14ac:dyDescent="0.25">
      <c r="A150" s="8">
        <v>42831.623541666668</v>
      </c>
      <c r="B150" s="20" t="s">
        <v>386</v>
      </c>
      <c r="C150" s="20" t="s">
        <v>773</v>
      </c>
      <c r="D150" s="146">
        <v>1760000</v>
      </c>
      <c r="E150" s="20" t="s">
        <v>491</v>
      </c>
      <c r="F150" s="20" t="s">
        <v>492</v>
      </c>
      <c r="G150" s="8" t="str">
        <f t="shared" si="2"/>
        <v>STRICKLAND EVAN</v>
      </c>
    </row>
    <row r="151" spans="1:7" x14ac:dyDescent="0.25">
      <c r="A151" s="8">
        <v>42831.63181712963</v>
      </c>
      <c r="B151" s="20" t="s">
        <v>442</v>
      </c>
      <c r="C151" s="20" t="s">
        <v>774</v>
      </c>
      <c r="D151" s="146">
        <v>2230000</v>
      </c>
      <c r="E151" s="20" t="s">
        <v>384</v>
      </c>
      <c r="F151" s="20" t="s">
        <v>197</v>
      </c>
      <c r="G151" s="8" t="str">
        <f t="shared" si="2"/>
        <v>SMITH MICHAEL</v>
      </c>
    </row>
    <row r="152" spans="1:7" x14ac:dyDescent="0.25">
      <c r="A152" s="8">
        <v>42831.633240740739</v>
      </c>
      <c r="B152" s="20" t="s">
        <v>539</v>
      </c>
      <c r="C152" s="20" t="s">
        <v>642</v>
      </c>
      <c r="D152" s="146">
        <v>3010000</v>
      </c>
      <c r="E152" s="20" t="s">
        <v>547</v>
      </c>
      <c r="F152" s="20" t="s">
        <v>548</v>
      </c>
      <c r="G152" s="8" t="str">
        <f t="shared" si="2"/>
        <v>SULLIVAN BRANDON</v>
      </c>
    </row>
    <row r="153" spans="1:7" x14ac:dyDescent="0.25">
      <c r="A153" s="8">
        <v>42831.636388888888</v>
      </c>
      <c r="B153" s="20" t="s">
        <v>479</v>
      </c>
      <c r="C153" s="20" t="s">
        <v>775</v>
      </c>
      <c r="D153" s="146">
        <v>1740000</v>
      </c>
      <c r="E153" s="20" t="s">
        <v>401</v>
      </c>
      <c r="F153" s="20" t="s">
        <v>402</v>
      </c>
      <c r="G153" s="8" t="str">
        <f t="shared" si="2"/>
        <v>STORY SAMANTHA</v>
      </c>
    </row>
    <row r="154" spans="1:7" x14ac:dyDescent="0.25">
      <c r="A154" s="8">
        <v>42831.638287037036</v>
      </c>
      <c r="B154" s="20" t="s">
        <v>431</v>
      </c>
      <c r="C154" s="20" t="s">
        <v>776</v>
      </c>
      <c r="D154" s="146">
        <v>930000</v>
      </c>
      <c r="E154" s="20" t="s">
        <v>460</v>
      </c>
      <c r="F154" s="20" t="s">
        <v>461</v>
      </c>
      <c r="G154" s="8" t="str">
        <f t="shared" si="2"/>
        <v>CLARK KATHLEEN</v>
      </c>
    </row>
    <row r="155" spans="1:7" x14ac:dyDescent="0.25">
      <c r="A155" s="8">
        <v>42831.643171296295</v>
      </c>
      <c r="B155" s="20" t="s">
        <v>449</v>
      </c>
      <c r="C155" s="20" t="s">
        <v>643</v>
      </c>
      <c r="D155" s="146">
        <v>2370000</v>
      </c>
      <c r="E155" s="20" t="s">
        <v>553</v>
      </c>
      <c r="F155" s="20" t="s">
        <v>554</v>
      </c>
      <c r="G155" s="8" t="str">
        <f t="shared" si="2"/>
        <v>DELGADO DIANAH</v>
      </c>
    </row>
    <row r="156" spans="1:7" x14ac:dyDescent="0.25">
      <c r="A156" s="8">
        <v>42831.65016203704</v>
      </c>
      <c r="B156" s="20" t="s">
        <v>478</v>
      </c>
      <c r="C156" s="20" t="s">
        <v>777</v>
      </c>
      <c r="D156" s="146">
        <v>2360000</v>
      </c>
      <c r="E156" s="20" t="s">
        <v>734</v>
      </c>
      <c r="F156" s="20" t="s">
        <v>735</v>
      </c>
      <c r="G156" s="8" t="str">
        <f t="shared" si="2"/>
        <v>BRANDNER MELINDA</v>
      </c>
    </row>
    <row r="157" spans="1:7" x14ac:dyDescent="0.25">
      <c r="A157" s="8">
        <v>42831.650787037041</v>
      </c>
      <c r="B157" s="20" t="s">
        <v>533</v>
      </c>
      <c r="C157" s="20" t="s">
        <v>778</v>
      </c>
      <c r="D157" s="146">
        <v>3010000</v>
      </c>
      <c r="E157" s="20" t="s">
        <v>547</v>
      </c>
      <c r="F157" s="20" t="s">
        <v>548</v>
      </c>
      <c r="G157" s="8" t="str">
        <f t="shared" si="2"/>
        <v>SULLIVAN BRANDON</v>
      </c>
    </row>
    <row r="158" spans="1:7" x14ac:dyDescent="0.25">
      <c r="A158" s="8">
        <v>42831.652870370373</v>
      </c>
      <c r="B158" s="20" t="s">
        <v>448</v>
      </c>
      <c r="C158" s="20" t="s">
        <v>779</v>
      </c>
      <c r="D158" s="146">
        <v>2970000</v>
      </c>
      <c r="E158" s="20" t="s">
        <v>465</v>
      </c>
      <c r="F158" s="20" t="s">
        <v>466</v>
      </c>
      <c r="G158" s="8" t="str">
        <f t="shared" si="2"/>
        <v>GUZMAN DANNY</v>
      </c>
    </row>
    <row r="159" spans="1:7" x14ac:dyDescent="0.25">
      <c r="A159" s="8">
        <v>42831.653275462966</v>
      </c>
      <c r="B159" s="20" t="s">
        <v>490</v>
      </c>
      <c r="C159" s="20" t="s">
        <v>644</v>
      </c>
      <c r="D159" s="146">
        <v>1740000</v>
      </c>
      <c r="E159" s="20" t="s">
        <v>401</v>
      </c>
      <c r="F159" s="20" t="s">
        <v>402</v>
      </c>
      <c r="G159" s="8" t="str">
        <f t="shared" si="2"/>
        <v>STORY SAMANTHA</v>
      </c>
    </row>
    <row r="160" spans="1:7" x14ac:dyDescent="0.25">
      <c r="A160" s="8">
        <v>42831.655833333331</v>
      </c>
      <c r="B160" s="20" t="s">
        <v>482</v>
      </c>
      <c r="C160" s="20" t="s">
        <v>780</v>
      </c>
      <c r="D160" s="146">
        <v>3040000</v>
      </c>
      <c r="E160" s="20" t="s">
        <v>462</v>
      </c>
      <c r="F160" s="20" t="s">
        <v>463</v>
      </c>
      <c r="G160" s="8" t="str">
        <f t="shared" si="2"/>
        <v>WILLIAMS DONTE</v>
      </c>
    </row>
    <row r="161" spans="1:7" x14ac:dyDescent="0.25">
      <c r="A161" s="8">
        <v>42831.662442129629</v>
      </c>
      <c r="B161" s="20" t="s">
        <v>441</v>
      </c>
      <c r="C161" s="20" t="s">
        <v>781</v>
      </c>
      <c r="D161" s="146">
        <v>2230000</v>
      </c>
      <c r="E161" s="20" t="s">
        <v>384</v>
      </c>
      <c r="F161" s="20" t="s">
        <v>197</v>
      </c>
      <c r="G161" s="8" t="str">
        <f t="shared" si="2"/>
        <v>SMITH MICHAEL</v>
      </c>
    </row>
    <row r="162" spans="1:7" x14ac:dyDescent="0.25">
      <c r="A162" s="8">
        <v>42831.663819444446</v>
      </c>
      <c r="B162" s="20" t="s">
        <v>385</v>
      </c>
      <c r="C162" s="20" t="s">
        <v>782</v>
      </c>
      <c r="D162" s="146">
        <v>1760000</v>
      </c>
      <c r="E162" s="20" t="s">
        <v>491</v>
      </c>
      <c r="F162" s="20" t="s">
        <v>492</v>
      </c>
      <c r="G162" s="8" t="str">
        <f t="shared" si="2"/>
        <v>STRICKLAND EVAN</v>
      </c>
    </row>
    <row r="163" spans="1:7" x14ac:dyDescent="0.25">
      <c r="A163" s="8">
        <v>42831.672199074077</v>
      </c>
      <c r="B163" s="20" t="s">
        <v>479</v>
      </c>
      <c r="C163" s="20" t="s">
        <v>645</v>
      </c>
      <c r="D163" s="146">
        <v>1740000</v>
      </c>
      <c r="E163" s="20" t="s">
        <v>401</v>
      </c>
      <c r="F163" s="20" t="s">
        <v>402</v>
      </c>
      <c r="G163" s="8" t="str">
        <f t="shared" si="2"/>
        <v>STORY SAMANTHA</v>
      </c>
    </row>
    <row r="164" spans="1:7" x14ac:dyDescent="0.25">
      <c r="A164" s="8">
        <v>42831.673206018517</v>
      </c>
      <c r="B164" s="20" t="s">
        <v>418</v>
      </c>
      <c r="C164" s="20" t="s">
        <v>783</v>
      </c>
      <c r="D164" s="146">
        <v>930000</v>
      </c>
      <c r="E164" s="20" t="s">
        <v>460</v>
      </c>
      <c r="F164" s="20" t="s">
        <v>461</v>
      </c>
      <c r="G164" s="8" t="str">
        <f t="shared" si="2"/>
        <v>CLARK KATHLEEN</v>
      </c>
    </row>
    <row r="165" spans="1:7" x14ac:dyDescent="0.25">
      <c r="A165" s="8">
        <v>42831.674398148149</v>
      </c>
      <c r="B165" s="20" t="s">
        <v>539</v>
      </c>
      <c r="C165" s="20" t="s">
        <v>784</v>
      </c>
      <c r="D165" s="146">
        <v>3010000</v>
      </c>
      <c r="E165" s="20" t="s">
        <v>547</v>
      </c>
      <c r="F165" s="20" t="s">
        <v>548</v>
      </c>
      <c r="G165" s="8" t="str">
        <f t="shared" si="2"/>
        <v>SULLIVAN BRANDON</v>
      </c>
    </row>
    <row r="166" spans="1:7" x14ac:dyDescent="0.25">
      <c r="A166" s="8">
        <v>42831.679664351854</v>
      </c>
      <c r="B166" s="20" t="s">
        <v>450</v>
      </c>
      <c r="C166" s="20" t="s">
        <v>785</v>
      </c>
      <c r="D166" s="146">
        <v>2370000</v>
      </c>
      <c r="E166" s="20" t="s">
        <v>553</v>
      </c>
      <c r="F166" s="20" t="s">
        <v>554</v>
      </c>
      <c r="G166" s="8" t="str">
        <f t="shared" si="2"/>
        <v>DELGADO DIANAH</v>
      </c>
    </row>
    <row r="167" spans="1:7" x14ac:dyDescent="0.25">
      <c r="A167" s="8">
        <v>42831.680393518516</v>
      </c>
      <c r="B167" s="20" t="s">
        <v>742</v>
      </c>
      <c r="C167" s="20" t="s">
        <v>786</v>
      </c>
      <c r="D167" s="146">
        <v>2260000</v>
      </c>
      <c r="E167" s="20" t="s">
        <v>761</v>
      </c>
      <c r="F167" s="20" t="s">
        <v>762</v>
      </c>
      <c r="G167" s="8" t="str">
        <f t="shared" si="2"/>
        <v>ARVIDSON DANIEL</v>
      </c>
    </row>
    <row r="168" spans="1:7" x14ac:dyDescent="0.25">
      <c r="A168" s="8">
        <v>42831.683692129627</v>
      </c>
      <c r="B168" s="20" t="s">
        <v>619</v>
      </c>
      <c r="C168" s="20" t="s">
        <v>647</v>
      </c>
      <c r="D168" s="146">
        <v>2360000</v>
      </c>
      <c r="E168" s="20" t="s">
        <v>734</v>
      </c>
      <c r="F168" s="20" t="s">
        <v>735</v>
      </c>
      <c r="G168" s="8" t="str">
        <f t="shared" si="2"/>
        <v>BRANDNER MELINDA</v>
      </c>
    </row>
    <row r="169" spans="1:7" x14ac:dyDescent="0.25">
      <c r="A169" s="8">
        <v>42831.684351851851</v>
      </c>
      <c r="B169" s="20" t="s">
        <v>742</v>
      </c>
      <c r="C169" s="20" t="s">
        <v>786</v>
      </c>
      <c r="D169" s="146">
        <v>2260000</v>
      </c>
      <c r="E169" s="20" t="s">
        <v>761</v>
      </c>
      <c r="F169" s="20" t="s">
        <v>762</v>
      </c>
      <c r="G169" s="8" t="str">
        <f t="shared" si="2"/>
        <v>ARVIDSON DANIEL</v>
      </c>
    </row>
    <row r="170" spans="1:7" x14ac:dyDescent="0.25">
      <c r="A170" s="8">
        <v>42831.688159722224</v>
      </c>
      <c r="B170" s="20" t="s">
        <v>742</v>
      </c>
      <c r="C170" s="20" t="s">
        <v>786</v>
      </c>
      <c r="D170" s="146">
        <v>2260000</v>
      </c>
      <c r="E170" s="20" t="s">
        <v>761</v>
      </c>
      <c r="F170" s="20" t="s">
        <v>762</v>
      </c>
      <c r="G170" s="8" t="str">
        <f t="shared" si="2"/>
        <v>ARVIDSON DANIEL</v>
      </c>
    </row>
    <row r="171" spans="1:7" x14ac:dyDescent="0.25">
      <c r="A171" s="8">
        <v>42831.691145833334</v>
      </c>
      <c r="B171" s="20" t="s">
        <v>485</v>
      </c>
      <c r="C171" s="20" t="s">
        <v>646</v>
      </c>
      <c r="D171" s="146">
        <v>3040000</v>
      </c>
      <c r="E171" s="20" t="s">
        <v>462</v>
      </c>
      <c r="F171" s="20" t="s">
        <v>463</v>
      </c>
      <c r="G171" s="8" t="str">
        <f t="shared" si="2"/>
        <v>WILLIAMS DONTE</v>
      </c>
    </row>
    <row r="172" spans="1:7" x14ac:dyDescent="0.25">
      <c r="A172" s="8">
        <v>42831.692627314813</v>
      </c>
      <c r="B172" s="20" t="s">
        <v>533</v>
      </c>
      <c r="C172" s="20" t="s">
        <v>787</v>
      </c>
      <c r="D172" s="146">
        <v>3010000</v>
      </c>
      <c r="E172" s="20" t="s">
        <v>547</v>
      </c>
      <c r="F172" s="20" t="s">
        <v>548</v>
      </c>
      <c r="G172" s="8" t="str">
        <f t="shared" si="2"/>
        <v>SULLIVAN BRANDON</v>
      </c>
    </row>
    <row r="173" spans="1:7" x14ac:dyDescent="0.25">
      <c r="A173" s="8">
        <v>42831.69427083333</v>
      </c>
      <c r="B173" s="20" t="s">
        <v>464</v>
      </c>
      <c r="C173" s="20" t="s">
        <v>788</v>
      </c>
      <c r="D173" s="146">
        <v>2970000</v>
      </c>
      <c r="E173" s="20" t="s">
        <v>465</v>
      </c>
      <c r="F173" s="20" t="s">
        <v>466</v>
      </c>
      <c r="G173" s="8" t="str">
        <f t="shared" si="2"/>
        <v>GUZMAN DANNY</v>
      </c>
    </row>
    <row r="174" spans="1:7" x14ac:dyDescent="0.25">
      <c r="A174" s="8">
        <v>42831.695092592592</v>
      </c>
      <c r="B174" s="20" t="s">
        <v>490</v>
      </c>
      <c r="C174" s="20" t="s">
        <v>789</v>
      </c>
      <c r="D174" s="146">
        <v>1740000</v>
      </c>
      <c r="E174" s="20" t="s">
        <v>401</v>
      </c>
      <c r="F174" s="20" t="s">
        <v>402</v>
      </c>
      <c r="G174" s="8" t="str">
        <f t="shared" si="2"/>
        <v>STORY SAMANTHA</v>
      </c>
    </row>
    <row r="175" spans="1:7" x14ac:dyDescent="0.25">
      <c r="A175" s="8">
        <v>42831.695393518516</v>
      </c>
      <c r="B175" s="20" t="s">
        <v>386</v>
      </c>
      <c r="C175" s="20" t="s">
        <v>790</v>
      </c>
      <c r="D175" s="146">
        <v>1760000</v>
      </c>
      <c r="E175" s="20" t="s">
        <v>491</v>
      </c>
      <c r="F175" s="20" t="s">
        <v>492</v>
      </c>
      <c r="G175" s="8" t="str">
        <f t="shared" si="2"/>
        <v>STRICKLAND EVAN</v>
      </c>
    </row>
    <row r="176" spans="1:7" x14ac:dyDescent="0.25">
      <c r="A176" s="8">
        <v>42831.704062500001</v>
      </c>
      <c r="B176" s="20" t="s">
        <v>442</v>
      </c>
      <c r="C176" s="20" t="s">
        <v>791</v>
      </c>
      <c r="D176" s="146">
        <v>2230000</v>
      </c>
      <c r="E176" s="20" t="s">
        <v>384</v>
      </c>
      <c r="F176" s="20" t="s">
        <v>197</v>
      </c>
      <c r="G176" s="8" t="str">
        <f t="shared" si="2"/>
        <v>SMITH MICHAEL</v>
      </c>
    </row>
    <row r="177" spans="1:7" x14ac:dyDescent="0.25">
      <c r="A177" s="8">
        <v>42831.710393518515</v>
      </c>
      <c r="B177" s="20" t="s">
        <v>431</v>
      </c>
      <c r="C177" s="20" t="s">
        <v>792</v>
      </c>
      <c r="D177" s="146">
        <v>930000</v>
      </c>
      <c r="E177" s="20" t="s">
        <v>460</v>
      </c>
      <c r="F177" s="20" t="s">
        <v>461</v>
      </c>
      <c r="G177" s="8" t="str">
        <f t="shared" si="2"/>
        <v>CLARK KATHLEEN</v>
      </c>
    </row>
    <row r="178" spans="1:7" x14ac:dyDescent="0.25">
      <c r="A178" s="8">
        <v>42831.713761574072</v>
      </c>
      <c r="B178" s="20" t="s">
        <v>479</v>
      </c>
      <c r="C178" s="20" t="s">
        <v>793</v>
      </c>
      <c r="D178" s="146">
        <v>1740000</v>
      </c>
      <c r="E178" s="20" t="s">
        <v>401</v>
      </c>
      <c r="F178" s="20" t="s">
        <v>402</v>
      </c>
      <c r="G178" s="8" t="str">
        <f t="shared" si="2"/>
        <v>STORY SAMANTHA</v>
      </c>
    </row>
    <row r="179" spans="1:7" x14ac:dyDescent="0.25">
      <c r="A179" s="8">
        <v>42831.716412037036</v>
      </c>
      <c r="B179" s="20" t="s">
        <v>449</v>
      </c>
      <c r="C179" s="20" t="s">
        <v>794</v>
      </c>
      <c r="D179" s="146">
        <v>1800000</v>
      </c>
      <c r="E179" s="20" t="s">
        <v>397</v>
      </c>
      <c r="F179" s="20" t="s">
        <v>398</v>
      </c>
      <c r="G179" s="8" t="str">
        <f t="shared" si="2"/>
        <v>CHANDLER KELVIN</v>
      </c>
    </row>
    <row r="180" spans="1:7" x14ac:dyDescent="0.25">
      <c r="A180" s="8">
        <v>42831.718692129631</v>
      </c>
      <c r="B180" s="20" t="s">
        <v>539</v>
      </c>
      <c r="C180" s="20" t="s">
        <v>795</v>
      </c>
      <c r="D180" s="146">
        <v>3010000</v>
      </c>
      <c r="E180" s="20" t="s">
        <v>547</v>
      </c>
      <c r="F180" s="20" t="s">
        <v>548</v>
      </c>
      <c r="G180" s="8" t="str">
        <f t="shared" si="2"/>
        <v>SULLIVAN BRANDON</v>
      </c>
    </row>
    <row r="181" spans="1:7" x14ac:dyDescent="0.25">
      <c r="A181" s="8">
        <v>42831.722037037034</v>
      </c>
      <c r="B181" s="20" t="s">
        <v>478</v>
      </c>
      <c r="C181" s="20" t="s">
        <v>650</v>
      </c>
      <c r="D181" s="146">
        <v>2360000</v>
      </c>
      <c r="E181" s="20" t="s">
        <v>734</v>
      </c>
      <c r="F181" s="20" t="s">
        <v>735</v>
      </c>
      <c r="G181" s="8" t="str">
        <f t="shared" si="2"/>
        <v>BRANDNER MELINDA</v>
      </c>
    </row>
    <row r="182" spans="1:7" x14ac:dyDescent="0.25">
      <c r="A182" s="8">
        <v>42831.725648148145</v>
      </c>
      <c r="B182" s="20" t="s">
        <v>482</v>
      </c>
      <c r="C182" s="20" t="s">
        <v>651</v>
      </c>
      <c r="D182" s="146">
        <v>2370000</v>
      </c>
      <c r="E182" s="20" t="s">
        <v>553</v>
      </c>
      <c r="F182" s="20" t="s">
        <v>554</v>
      </c>
      <c r="G182" s="8" t="str">
        <f t="shared" si="2"/>
        <v>DELGADO DIANAH</v>
      </c>
    </row>
    <row r="183" spans="1:7" x14ac:dyDescent="0.25">
      <c r="A183" s="8">
        <v>42831.72587962963</v>
      </c>
      <c r="B183" s="20" t="s">
        <v>448</v>
      </c>
      <c r="C183" s="20" t="s">
        <v>796</v>
      </c>
      <c r="D183" s="146">
        <v>2970000</v>
      </c>
      <c r="E183" s="20" t="s">
        <v>465</v>
      </c>
      <c r="F183" s="20" t="s">
        <v>466</v>
      </c>
      <c r="G183" s="8" t="str">
        <f t="shared" si="2"/>
        <v>GUZMAN DANNY</v>
      </c>
    </row>
    <row r="184" spans="1:7" x14ac:dyDescent="0.25">
      <c r="A184" s="8">
        <v>42831.72729166667</v>
      </c>
      <c r="B184" s="20" t="s">
        <v>535</v>
      </c>
      <c r="C184" s="20" t="s">
        <v>797</v>
      </c>
      <c r="D184" s="146">
        <v>2040000</v>
      </c>
      <c r="E184" s="20" t="s">
        <v>549</v>
      </c>
      <c r="F184" s="20" t="s">
        <v>550</v>
      </c>
      <c r="G184" s="8" t="str">
        <f t="shared" si="2"/>
        <v>MOSES BRADLEY</v>
      </c>
    </row>
    <row r="185" spans="1:7" x14ac:dyDescent="0.25">
      <c r="A185" s="8">
        <v>42831.734305555554</v>
      </c>
      <c r="B185" s="20" t="s">
        <v>533</v>
      </c>
      <c r="C185" s="20" t="s">
        <v>648</v>
      </c>
      <c r="D185" s="146">
        <v>3010000</v>
      </c>
      <c r="E185" s="20" t="s">
        <v>547</v>
      </c>
      <c r="F185" s="20" t="s">
        <v>548</v>
      </c>
      <c r="G185" s="8" t="str">
        <f t="shared" si="2"/>
        <v>SULLIVAN BRANDON</v>
      </c>
    </row>
    <row r="186" spans="1:7" x14ac:dyDescent="0.25">
      <c r="A186" s="8">
        <v>42831.736817129633</v>
      </c>
      <c r="B186" s="20" t="s">
        <v>385</v>
      </c>
      <c r="C186" s="20" t="s">
        <v>798</v>
      </c>
      <c r="D186" s="146">
        <v>1810000</v>
      </c>
      <c r="E186" s="20" t="s">
        <v>399</v>
      </c>
      <c r="F186" s="20" t="s">
        <v>194</v>
      </c>
      <c r="G186" s="8" t="str">
        <f t="shared" si="2"/>
        <v>NEWELL JAMES</v>
      </c>
    </row>
    <row r="187" spans="1:7" x14ac:dyDescent="0.25">
      <c r="A187" s="8">
        <v>42831.737141203703</v>
      </c>
      <c r="B187" s="20" t="s">
        <v>441</v>
      </c>
      <c r="C187" s="20" t="s">
        <v>799</v>
      </c>
      <c r="D187" s="146">
        <v>2230000</v>
      </c>
      <c r="E187" s="20" t="s">
        <v>384</v>
      </c>
      <c r="F187" s="20" t="s">
        <v>197</v>
      </c>
      <c r="G187" s="8" t="str">
        <f t="shared" si="2"/>
        <v>SMITH MICHAEL</v>
      </c>
    </row>
    <row r="188" spans="1:7" x14ac:dyDescent="0.25">
      <c r="A188" s="8">
        <v>42831.739085648151</v>
      </c>
      <c r="B188" s="20" t="s">
        <v>532</v>
      </c>
      <c r="C188" s="20" t="s">
        <v>649</v>
      </c>
      <c r="D188" s="146">
        <v>2540000</v>
      </c>
      <c r="E188" s="20" t="s">
        <v>555</v>
      </c>
      <c r="F188" s="20" t="s">
        <v>556</v>
      </c>
      <c r="G188" s="8" t="str">
        <f t="shared" si="2"/>
        <v>MCREYNOLDS KYLE</v>
      </c>
    </row>
    <row r="189" spans="1:7" x14ac:dyDescent="0.25">
      <c r="A189" s="8">
        <v>42831.741562499999</v>
      </c>
      <c r="B189" s="20" t="s">
        <v>490</v>
      </c>
      <c r="C189" s="20" t="s">
        <v>800</v>
      </c>
      <c r="D189" s="146">
        <v>1740000</v>
      </c>
      <c r="E189" s="20" t="s">
        <v>401</v>
      </c>
      <c r="F189" s="20" t="s">
        <v>402</v>
      </c>
      <c r="G189" s="8" t="str">
        <f t="shared" si="2"/>
        <v>STORY SAMANTHA</v>
      </c>
    </row>
    <row r="190" spans="1:7" x14ac:dyDescent="0.25">
      <c r="A190" s="8">
        <v>42831.745752314811</v>
      </c>
      <c r="B190" s="20" t="s">
        <v>418</v>
      </c>
      <c r="C190" s="20" t="s">
        <v>801</v>
      </c>
      <c r="D190" s="146">
        <v>1760000</v>
      </c>
      <c r="E190" s="20" t="s">
        <v>491</v>
      </c>
      <c r="F190" s="20" t="s">
        <v>492</v>
      </c>
      <c r="G190" s="8" t="str">
        <f t="shared" si="2"/>
        <v>STRICKLAND EVAN</v>
      </c>
    </row>
    <row r="191" spans="1:7" x14ac:dyDescent="0.25">
      <c r="A191" s="8">
        <v>42831.75613425926</v>
      </c>
      <c r="B191" s="20" t="s">
        <v>450</v>
      </c>
      <c r="C191" s="20" t="s">
        <v>802</v>
      </c>
      <c r="D191" s="146">
        <v>1800000</v>
      </c>
      <c r="E191" s="20" t="s">
        <v>397</v>
      </c>
      <c r="F191" s="20" t="s">
        <v>398</v>
      </c>
      <c r="G191" s="8" t="str">
        <f t="shared" si="2"/>
        <v>CHANDLER KELVIN</v>
      </c>
    </row>
    <row r="192" spans="1:7" x14ac:dyDescent="0.25">
      <c r="A192" s="8">
        <v>42831.756423611114</v>
      </c>
      <c r="B192" s="20" t="s">
        <v>479</v>
      </c>
      <c r="C192" s="20" t="s">
        <v>803</v>
      </c>
      <c r="D192" s="146">
        <v>1740000</v>
      </c>
      <c r="E192" s="20" t="s">
        <v>401</v>
      </c>
      <c r="F192" s="20" t="s">
        <v>402</v>
      </c>
      <c r="G192" s="8" t="str">
        <f t="shared" si="2"/>
        <v>STORY SAMANTHA</v>
      </c>
    </row>
    <row r="193" spans="1:7" x14ac:dyDescent="0.25">
      <c r="A193" s="8">
        <v>42831.75744212963</v>
      </c>
      <c r="B193" s="20" t="s">
        <v>619</v>
      </c>
      <c r="C193" s="20" t="s">
        <v>804</v>
      </c>
      <c r="D193" s="146">
        <v>2480000</v>
      </c>
      <c r="E193" s="20" t="s">
        <v>551</v>
      </c>
      <c r="F193" s="20" t="s">
        <v>552</v>
      </c>
      <c r="G193" s="8" t="str">
        <f t="shared" si="2"/>
        <v>WHITED DUSTIN</v>
      </c>
    </row>
    <row r="194" spans="1:7" x14ac:dyDescent="0.25">
      <c r="A194" s="8">
        <v>42831.757743055554</v>
      </c>
      <c r="B194" s="20" t="s">
        <v>539</v>
      </c>
      <c r="C194" s="20" t="s">
        <v>805</v>
      </c>
      <c r="D194" s="146">
        <v>3010000</v>
      </c>
      <c r="E194" s="20" t="s">
        <v>547</v>
      </c>
      <c r="F194" s="20" t="s">
        <v>548</v>
      </c>
      <c r="G194" s="8" t="str">
        <f t="shared" si="2"/>
        <v>SULLIVAN BRANDON</v>
      </c>
    </row>
    <row r="195" spans="1:7" x14ac:dyDescent="0.25">
      <c r="A195" s="8">
        <v>42831.759456018517</v>
      </c>
      <c r="B195" s="20" t="s">
        <v>426</v>
      </c>
      <c r="C195" s="20" t="s">
        <v>649</v>
      </c>
      <c r="D195" s="146">
        <v>2540000</v>
      </c>
      <c r="E195" s="20" t="s">
        <v>555</v>
      </c>
      <c r="F195" s="20" t="s">
        <v>556</v>
      </c>
      <c r="G195" s="8" t="str">
        <f t="shared" ref="G195:G258" si="3">E195&amp;" "&amp;F195</f>
        <v>MCREYNOLDS KYLE</v>
      </c>
    </row>
    <row r="196" spans="1:7" x14ac:dyDescent="0.25">
      <c r="A196" s="8">
        <v>42831.760289351849</v>
      </c>
      <c r="B196" s="20" t="s">
        <v>485</v>
      </c>
      <c r="C196" s="20" t="s">
        <v>806</v>
      </c>
      <c r="D196" s="146">
        <v>2370000</v>
      </c>
      <c r="E196" s="20" t="s">
        <v>553</v>
      </c>
      <c r="F196" s="20" t="s">
        <v>554</v>
      </c>
      <c r="G196" s="8" t="str">
        <f t="shared" si="3"/>
        <v>DELGADO DIANAH</v>
      </c>
    </row>
    <row r="197" spans="1:7" x14ac:dyDescent="0.25">
      <c r="A197" s="8">
        <v>42831.766643518517</v>
      </c>
      <c r="B197" s="20" t="s">
        <v>464</v>
      </c>
      <c r="C197" s="20" t="s">
        <v>807</v>
      </c>
      <c r="D197" s="146">
        <v>2150000</v>
      </c>
      <c r="E197" s="20" t="s">
        <v>373</v>
      </c>
      <c r="F197" s="20" t="s">
        <v>374</v>
      </c>
      <c r="G197" s="8" t="str">
        <f t="shared" si="3"/>
        <v>SWANSON BRYCE</v>
      </c>
    </row>
    <row r="198" spans="1:7" x14ac:dyDescent="0.25">
      <c r="A198" s="8">
        <v>42831.770127314812</v>
      </c>
      <c r="B198" s="20" t="s">
        <v>386</v>
      </c>
      <c r="C198" s="20" t="s">
        <v>808</v>
      </c>
      <c r="D198" s="146">
        <v>1810000</v>
      </c>
      <c r="E198" s="20" t="s">
        <v>399</v>
      </c>
      <c r="F198" s="20" t="s">
        <v>194</v>
      </c>
      <c r="G198" s="8" t="str">
        <f t="shared" si="3"/>
        <v>NEWELL JAMES</v>
      </c>
    </row>
    <row r="199" spans="1:7" x14ac:dyDescent="0.25">
      <c r="A199" s="8">
        <v>42831.775833333333</v>
      </c>
      <c r="B199" s="20" t="s">
        <v>533</v>
      </c>
      <c r="C199" s="20" t="s">
        <v>809</v>
      </c>
      <c r="D199" s="146">
        <v>3010000</v>
      </c>
      <c r="E199" s="20" t="s">
        <v>547</v>
      </c>
      <c r="F199" s="20" t="s">
        <v>548</v>
      </c>
      <c r="G199" s="8" t="str">
        <f t="shared" si="3"/>
        <v>SULLIVAN BRANDON</v>
      </c>
    </row>
    <row r="200" spans="1:7" x14ac:dyDescent="0.25">
      <c r="A200" s="8">
        <v>42831.777986111112</v>
      </c>
      <c r="B200" s="20" t="s">
        <v>490</v>
      </c>
      <c r="C200" s="20" t="s">
        <v>810</v>
      </c>
      <c r="D200" s="146">
        <v>1740000</v>
      </c>
      <c r="E200" s="20" t="s">
        <v>401</v>
      </c>
      <c r="F200" s="20" t="s">
        <v>402</v>
      </c>
      <c r="G200" s="8" t="str">
        <f t="shared" si="3"/>
        <v>STORY SAMANTHA</v>
      </c>
    </row>
    <row r="201" spans="1:7" x14ac:dyDescent="0.25">
      <c r="A201" s="8">
        <v>42831.777997685182</v>
      </c>
      <c r="B201" s="20" t="s">
        <v>442</v>
      </c>
      <c r="C201" s="20" t="s">
        <v>811</v>
      </c>
      <c r="D201" s="146">
        <v>2230000</v>
      </c>
      <c r="E201" s="20" t="s">
        <v>384</v>
      </c>
      <c r="F201" s="20" t="s">
        <v>197</v>
      </c>
      <c r="G201" s="8" t="str">
        <f t="shared" si="3"/>
        <v>SMITH MICHAEL</v>
      </c>
    </row>
    <row r="202" spans="1:7" x14ac:dyDescent="0.25">
      <c r="A202" s="26">
        <v>42831.781967592593</v>
      </c>
      <c r="B202" s="20" t="s">
        <v>431</v>
      </c>
      <c r="C202" s="20" t="s">
        <v>652</v>
      </c>
      <c r="D202" s="146">
        <v>1760000</v>
      </c>
      <c r="E202" s="20" t="s">
        <v>491</v>
      </c>
      <c r="F202" s="20" t="s">
        <v>492</v>
      </c>
      <c r="G202" s="8" t="str">
        <f t="shared" si="3"/>
        <v>STRICKLAND EVAN</v>
      </c>
    </row>
    <row r="203" spans="1:7" x14ac:dyDescent="0.25">
      <c r="A203" s="8">
        <v>42831.783009259256</v>
      </c>
      <c r="B203" s="20" t="s">
        <v>532</v>
      </c>
      <c r="C203" s="20" t="s">
        <v>649</v>
      </c>
      <c r="D203" s="146">
        <v>2540000</v>
      </c>
      <c r="E203" s="20" t="s">
        <v>555</v>
      </c>
      <c r="F203" s="20" t="s">
        <v>556</v>
      </c>
      <c r="G203" s="8" t="str">
        <f t="shared" si="3"/>
        <v>MCREYNOLDS KYLE</v>
      </c>
    </row>
    <row r="204" spans="1:7" x14ac:dyDescent="0.25">
      <c r="A204" s="8">
        <v>42831.785740740743</v>
      </c>
      <c r="B204" s="20" t="s">
        <v>532</v>
      </c>
      <c r="C204" s="20" t="s">
        <v>649</v>
      </c>
      <c r="D204" s="146">
        <v>2540000</v>
      </c>
      <c r="E204" s="20" t="s">
        <v>555</v>
      </c>
      <c r="F204" s="20" t="s">
        <v>556</v>
      </c>
      <c r="G204" s="8" t="str">
        <f t="shared" si="3"/>
        <v>MCREYNOLDS KYLE</v>
      </c>
    </row>
    <row r="205" spans="1:7" x14ac:dyDescent="0.25">
      <c r="A205" s="8">
        <v>42831.791180555556</v>
      </c>
      <c r="B205" s="20" t="s">
        <v>449</v>
      </c>
      <c r="C205" s="20" t="s">
        <v>653</v>
      </c>
      <c r="D205" s="146">
        <v>1800000</v>
      </c>
      <c r="E205" s="20" t="s">
        <v>397</v>
      </c>
      <c r="F205" s="20" t="s">
        <v>398</v>
      </c>
      <c r="G205" s="8" t="str">
        <f t="shared" si="3"/>
        <v>CHANDLER KELVIN</v>
      </c>
    </row>
    <row r="206" spans="1:7" x14ac:dyDescent="0.25">
      <c r="A206" s="8">
        <v>42831.793310185189</v>
      </c>
      <c r="B206" s="20" t="s">
        <v>478</v>
      </c>
      <c r="C206" s="20" t="s">
        <v>654</v>
      </c>
      <c r="D206" s="146">
        <v>2480000</v>
      </c>
      <c r="E206" s="20" t="s">
        <v>551</v>
      </c>
      <c r="F206" s="20" t="s">
        <v>552</v>
      </c>
      <c r="G206" s="8" t="str">
        <f t="shared" si="3"/>
        <v>WHITED DUSTIN</v>
      </c>
    </row>
    <row r="207" spans="1:7" x14ac:dyDescent="0.25">
      <c r="A207" s="8">
        <v>42831.797407407408</v>
      </c>
      <c r="B207" s="20" t="s">
        <v>539</v>
      </c>
      <c r="C207" s="20" t="s">
        <v>812</v>
      </c>
      <c r="D207" s="146">
        <v>3010000</v>
      </c>
      <c r="E207" s="20" t="s">
        <v>547</v>
      </c>
      <c r="F207" s="20" t="s">
        <v>548</v>
      </c>
      <c r="G207" s="8" t="str">
        <f t="shared" si="3"/>
        <v>SULLIVAN BRANDON</v>
      </c>
    </row>
    <row r="208" spans="1:7" x14ac:dyDescent="0.25">
      <c r="A208" s="8">
        <v>42831.797627314816</v>
      </c>
      <c r="B208" s="20" t="s">
        <v>479</v>
      </c>
      <c r="C208" s="20" t="s">
        <v>813</v>
      </c>
      <c r="D208" s="146">
        <v>1740000</v>
      </c>
      <c r="E208" s="20" t="s">
        <v>401</v>
      </c>
      <c r="F208" s="20" t="s">
        <v>402</v>
      </c>
      <c r="G208" s="8" t="str">
        <f t="shared" si="3"/>
        <v>STORY SAMANTHA</v>
      </c>
    </row>
    <row r="209" spans="1:7" x14ac:dyDescent="0.25">
      <c r="A209" s="8">
        <v>42831.798437500001</v>
      </c>
      <c r="B209" s="20" t="s">
        <v>482</v>
      </c>
      <c r="C209" s="20" t="s">
        <v>814</v>
      </c>
      <c r="D209" s="146">
        <v>2370000</v>
      </c>
      <c r="E209" s="20" t="s">
        <v>553</v>
      </c>
      <c r="F209" s="20" t="s">
        <v>554</v>
      </c>
      <c r="G209" s="8" t="str">
        <f t="shared" si="3"/>
        <v>DELGADO DIANAH</v>
      </c>
    </row>
    <row r="210" spans="1:7" x14ac:dyDescent="0.25">
      <c r="A210" s="8">
        <v>42831.804872685185</v>
      </c>
      <c r="B210" s="20" t="s">
        <v>448</v>
      </c>
      <c r="C210" s="20" t="s">
        <v>815</v>
      </c>
      <c r="D210" s="146">
        <v>2150000</v>
      </c>
      <c r="E210" s="20" t="s">
        <v>373</v>
      </c>
      <c r="F210" s="20" t="s">
        <v>374</v>
      </c>
      <c r="G210" s="8" t="str">
        <f t="shared" si="3"/>
        <v>SWANSON BRYCE</v>
      </c>
    </row>
    <row r="211" spans="1:7" x14ac:dyDescent="0.25">
      <c r="A211" s="8">
        <v>42831.808518518519</v>
      </c>
      <c r="B211" s="20" t="s">
        <v>385</v>
      </c>
      <c r="C211" s="20" t="s">
        <v>816</v>
      </c>
      <c r="D211" s="146">
        <v>1810000</v>
      </c>
      <c r="E211" s="20" t="s">
        <v>399</v>
      </c>
      <c r="F211" s="20" t="s">
        <v>194</v>
      </c>
      <c r="G211" s="8" t="str">
        <f t="shared" si="3"/>
        <v>NEWELL JAMES</v>
      </c>
    </row>
    <row r="212" spans="1:7" x14ac:dyDescent="0.25">
      <c r="A212" s="8">
        <v>42831.812673611108</v>
      </c>
      <c r="B212" s="20" t="s">
        <v>817</v>
      </c>
      <c r="C212" s="20" t="s">
        <v>818</v>
      </c>
      <c r="D212" s="146">
        <v>2560000</v>
      </c>
      <c r="E212" s="20" t="s">
        <v>819</v>
      </c>
      <c r="F212" s="20" t="s">
        <v>820</v>
      </c>
      <c r="G212" s="8" t="str">
        <f t="shared" si="3"/>
        <v>MACDONALD THOMAS</v>
      </c>
    </row>
    <row r="213" spans="1:7" x14ac:dyDescent="0.25">
      <c r="A213" s="8">
        <v>42831.817349537036</v>
      </c>
      <c r="B213" s="20" t="s">
        <v>533</v>
      </c>
      <c r="C213" s="20" t="s">
        <v>821</v>
      </c>
      <c r="D213" s="146">
        <v>3010000</v>
      </c>
      <c r="E213" s="20" t="s">
        <v>547</v>
      </c>
      <c r="F213" s="20" t="s">
        <v>548</v>
      </c>
      <c r="G213" s="8" t="str">
        <f t="shared" si="3"/>
        <v>SULLIVAN BRANDON</v>
      </c>
    </row>
    <row r="214" spans="1:7" x14ac:dyDescent="0.25">
      <c r="A214" s="8">
        <v>42831.820613425924</v>
      </c>
      <c r="B214" s="20" t="s">
        <v>418</v>
      </c>
      <c r="C214" s="20" t="s">
        <v>822</v>
      </c>
      <c r="D214" s="146">
        <v>1760000</v>
      </c>
      <c r="E214" s="20" t="s">
        <v>491</v>
      </c>
      <c r="F214" s="20" t="s">
        <v>492</v>
      </c>
      <c r="G214" s="8" t="str">
        <f t="shared" si="3"/>
        <v>STRICKLAND EVAN</v>
      </c>
    </row>
    <row r="215" spans="1:7" x14ac:dyDescent="0.25">
      <c r="A215" s="8">
        <v>42831.829976851855</v>
      </c>
      <c r="B215" s="20" t="s">
        <v>619</v>
      </c>
      <c r="C215" s="20" t="s">
        <v>823</v>
      </c>
      <c r="D215" s="146">
        <v>2480000</v>
      </c>
      <c r="E215" s="20" t="s">
        <v>551</v>
      </c>
      <c r="F215" s="20" t="s">
        <v>552</v>
      </c>
      <c r="G215" s="8" t="str">
        <f t="shared" si="3"/>
        <v>WHITED DUSTIN</v>
      </c>
    </row>
    <row r="216" spans="1:7" x14ac:dyDescent="0.25">
      <c r="A216" s="8">
        <v>42831.830127314817</v>
      </c>
      <c r="B216" s="20" t="s">
        <v>450</v>
      </c>
      <c r="C216" s="20" t="s">
        <v>824</v>
      </c>
      <c r="D216" s="146">
        <v>1800000</v>
      </c>
      <c r="E216" s="20" t="s">
        <v>397</v>
      </c>
      <c r="F216" s="20" t="s">
        <v>398</v>
      </c>
      <c r="G216" s="8" t="str">
        <f t="shared" si="3"/>
        <v>CHANDLER KELVIN</v>
      </c>
    </row>
    <row r="217" spans="1:7" x14ac:dyDescent="0.25">
      <c r="A217" s="8">
        <v>42831.840520833335</v>
      </c>
      <c r="B217" s="20" t="s">
        <v>386</v>
      </c>
      <c r="C217" s="20" t="s">
        <v>825</v>
      </c>
      <c r="D217" s="146">
        <v>1810000</v>
      </c>
      <c r="E217" s="20" t="s">
        <v>399</v>
      </c>
      <c r="F217" s="20" t="s">
        <v>194</v>
      </c>
      <c r="G217" s="8" t="str">
        <f t="shared" si="3"/>
        <v>NEWELL JAMES</v>
      </c>
    </row>
    <row r="218" spans="1:7" x14ac:dyDescent="0.25">
      <c r="A218" s="8">
        <v>42831.842766203707</v>
      </c>
      <c r="B218" s="20" t="s">
        <v>539</v>
      </c>
      <c r="C218" s="20" t="s">
        <v>826</v>
      </c>
      <c r="D218" s="146">
        <v>3010000</v>
      </c>
      <c r="E218" s="20" t="s">
        <v>547</v>
      </c>
      <c r="F218" s="20" t="s">
        <v>548</v>
      </c>
      <c r="G218" s="8" t="str">
        <f t="shared" si="3"/>
        <v>SULLIVAN BRANDON</v>
      </c>
    </row>
    <row r="219" spans="1:7" x14ac:dyDescent="0.25">
      <c r="A219" s="8">
        <v>42831.848738425928</v>
      </c>
      <c r="B219" s="20" t="s">
        <v>827</v>
      </c>
      <c r="C219" s="20" t="s">
        <v>828</v>
      </c>
      <c r="D219" s="146">
        <v>2560000</v>
      </c>
      <c r="E219" s="20" t="s">
        <v>819</v>
      </c>
      <c r="F219" s="20" t="s">
        <v>820</v>
      </c>
      <c r="G219" s="8" t="str">
        <f t="shared" si="3"/>
        <v>MACDONALD THOMAS</v>
      </c>
    </row>
    <row r="220" spans="1:7" x14ac:dyDescent="0.25">
      <c r="A220" s="8">
        <v>42831.849953703706</v>
      </c>
      <c r="B220" s="20" t="s">
        <v>464</v>
      </c>
      <c r="C220" s="20" t="s">
        <v>829</v>
      </c>
      <c r="D220" s="146">
        <v>2150000</v>
      </c>
      <c r="E220" s="20" t="s">
        <v>373</v>
      </c>
      <c r="F220" s="20" t="s">
        <v>374</v>
      </c>
      <c r="G220" s="8" t="str">
        <f t="shared" si="3"/>
        <v>SWANSON BRYCE</v>
      </c>
    </row>
    <row r="221" spans="1:7" x14ac:dyDescent="0.25">
      <c r="A221" s="8">
        <v>42831.859780092593</v>
      </c>
      <c r="B221" s="20" t="s">
        <v>533</v>
      </c>
      <c r="C221" s="20" t="s">
        <v>655</v>
      </c>
      <c r="D221" s="146">
        <v>3010000</v>
      </c>
      <c r="E221" s="20" t="s">
        <v>547</v>
      </c>
      <c r="F221" s="20" t="s">
        <v>548</v>
      </c>
      <c r="G221" s="8" t="str">
        <f t="shared" si="3"/>
        <v>SULLIVAN BRANDON</v>
      </c>
    </row>
    <row r="222" spans="1:7" x14ac:dyDescent="0.25">
      <c r="A222" s="8">
        <v>42831.868472222224</v>
      </c>
      <c r="B222" s="20" t="s">
        <v>478</v>
      </c>
      <c r="C222" s="20" t="s">
        <v>830</v>
      </c>
      <c r="D222" s="146">
        <v>2480000</v>
      </c>
      <c r="E222" s="20" t="s">
        <v>551</v>
      </c>
      <c r="F222" s="20" t="s">
        <v>552</v>
      </c>
      <c r="G222" s="8" t="str">
        <f t="shared" si="3"/>
        <v>WHITED DUSTIN</v>
      </c>
    </row>
    <row r="223" spans="1:7" x14ac:dyDescent="0.25">
      <c r="A223" s="8">
        <v>42831.872893518521</v>
      </c>
      <c r="B223" s="20" t="s">
        <v>449</v>
      </c>
      <c r="C223" s="20" t="s">
        <v>831</v>
      </c>
      <c r="D223" s="146">
        <v>1800000</v>
      </c>
      <c r="E223" s="20" t="s">
        <v>397</v>
      </c>
      <c r="F223" s="20" t="s">
        <v>398</v>
      </c>
      <c r="G223" s="8" t="str">
        <f t="shared" si="3"/>
        <v>CHANDLER KELVIN</v>
      </c>
    </row>
    <row r="224" spans="1:7" x14ac:dyDescent="0.25">
      <c r="A224" s="8">
        <v>42831.879432870373</v>
      </c>
      <c r="B224" t="s">
        <v>539</v>
      </c>
      <c r="C224" t="s">
        <v>832</v>
      </c>
      <c r="D224" s="146">
        <v>1740000</v>
      </c>
      <c r="E224" t="s">
        <v>401</v>
      </c>
      <c r="F224" s="20" t="s">
        <v>402</v>
      </c>
      <c r="G224" s="8" t="str">
        <f t="shared" si="3"/>
        <v>STORY SAMANTHA</v>
      </c>
    </row>
    <row r="225" spans="1:7" x14ac:dyDescent="0.25">
      <c r="A225" s="8">
        <v>42831.886805555558</v>
      </c>
      <c r="B225" t="s">
        <v>448</v>
      </c>
      <c r="C225" t="s">
        <v>833</v>
      </c>
      <c r="D225" s="146">
        <v>2150000</v>
      </c>
      <c r="E225" t="s">
        <v>373</v>
      </c>
      <c r="F225" s="20" t="s">
        <v>374</v>
      </c>
      <c r="G225" s="8" t="str">
        <f t="shared" si="3"/>
        <v>SWANSON BRYCE</v>
      </c>
    </row>
    <row r="226" spans="1:7" x14ac:dyDescent="0.25">
      <c r="A226" s="8">
        <v>42831.892974537041</v>
      </c>
      <c r="B226" t="s">
        <v>385</v>
      </c>
      <c r="C226" t="s">
        <v>834</v>
      </c>
      <c r="D226" s="146">
        <v>1810000</v>
      </c>
      <c r="E226" t="s">
        <v>399</v>
      </c>
      <c r="F226" s="20" t="s">
        <v>194</v>
      </c>
      <c r="G226" s="8" t="str">
        <f t="shared" si="3"/>
        <v>NEWELL JAMES</v>
      </c>
    </row>
    <row r="227" spans="1:7" x14ac:dyDescent="0.25">
      <c r="A227" s="8">
        <v>42831.895740740743</v>
      </c>
      <c r="B227" t="s">
        <v>817</v>
      </c>
      <c r="C227" t="s">
        <v>818</v>
      </c>
      <c r="D227" s="146">
        <v>2560000</v>
      </c>
      <c r="E227" t="s">
        <v>819</v>
      </c>
      <c r="F227" s="20" t="s">
        <v>820</v>
      </c>
      <c r="G227" s="8" t="str">
        <f t="shared" si="3"/>
        <v>MACDONALD THOMAS</v>
      </c>
    </row>
    <row r="228" spans="1:7" x14ac:dyDescent="0.25">
      <c r="A228" s="8">
        <v>42831.902094907404</v>
      </c>
      <c r="B228" t="s">
        <v>533</v>
      </c>
      <c r="C228" t="s">
        <v>835</v>
      </c>
      <c r="D228" s="146">
        <v>1740000</v>
      </c>
      <c r="E228" t="s">
        <v>401</v>
      </c>
      <c r="F228" s="20" t="s">
        <v>402</v>
      </c>
      <c r="G228" s="8" t="str">
        <f t="shared" si="3"/>
        <v>STORY SAMANTHA</v>
      </c>
    </row>
    <row r="229" spans="1:7" x14ac:dyDescent="0.25">
      <c r="A229" s="8">
        <v>42831.903310185182</v>
      </c>
      <c r="B229" t="s">
        <v>619</v>
      </c>
      <c r="C229" t="s">
        <v>836</v>
      </c>
      <c r="D229" s="146">
        <v>2440000</v>
      </c>
      <c r="E229" t="s">
        <v>557</v>
      </c>
      <c r="F229" s="20" t="s">
        <v>558</v>
      </c>
      <c r="G229" s="8" t="str">
        <f t="shared" si="3"/>
        <v>LOPES KIMBERLY</v>
      </c>
    </row>
    <row r="230" spans="1:7" x14ac:dyDescent="0.25">
      <c r="A230" s="8">
        <v>42831.909780092596</v>
      </c>
      <c r="B230" t="s">
        <v>450</v>
      </c>
      <c r="C230" t="s">
        <v>837</v>
      </c>
      <c r="D230" s="146">
        <v>1800000</v>
      </c>
      <c r="E230" t="s">
        <v>397</v>
      </c>
      <c r="F230" s="20" t="s">
        <v>398</v>
      </c>
      <c r="G230" s="8" t="str">
        <f t="shared" si="3"/>
        <v>CHANDLER KELVIN</v>
      </c>
    </row>
    <row r="231" spans="1:7" x14ac:dyDescent="0.25">
      <c r="A231" s="8">
        <v>42831.920694444445</v>
      </c>
      <c r="B231" t="s">
        <v>539</v>
      </c>
      <c r="C231" t="s">
        <v>838</v>
      </c>
      <c r="D231" s="146">
        <v>1740000</v>
      </c>
      <c r="E231" t="s">
        <v>401</v>
      </c>
      <c r="F231" s="20" t="s">
        <v>402</v>
      </c>
      <c r="G231" s="8" t="str">
        <f t="shared" si="3"/>
        <v>STORY SAMANTHA</v>
      </c>
    </row>
    <row r="232" spans="1:7" x14ac:dyDescent="0.25">
      <c r="A232" s="8">
        <v>42831.924513888887</v>
      </c>
      <c r="B232" t="s">
        <v>464</v>
      </c>
      <c r="C232" t="s">
        <v>839</v>
      </c>
      <c r="D232" s="146">
        <v>2150000</v>
      </c>
      <c r="E232" t="s">
        <v>373</v>
      </c>
      <c r="F232" s="20" t="s">
        <v>374</v>
      </c>
      <c r="G232" s="8" t="str">
        <f t="shared" si="3"/>
        <v>SWANSON BRYCE</v>
      </c>
    </row>
    <row r="233" spans="1:7" x14ac:dyDescent="0.25">
      <c r="A233" s="8">
        <v>42831.931944444441</v>
      </c>
      <c r="B233" t="s">
        <v>386</v>
      </c>
      <c r="C233" t="s">
        <v>840</v>
      </c>
      <c r="D233" s="146">
        <v>1810000</v>
      </c>
      <c r="E233" t="s">
        <v>399</v>
      </c>
      <c r="F233" s="20" t="s">
        <v>194</v>
      </c>
      <c r="G233" s="8" t="str">
        <f t="shared" si="3"/>
        <v>NEWELL JAMES</v>
      </c>
    </row>
    <row r="234" spans="1:7" x14ac:dyDescent="0.25">
      <c r="A234" s="8">
        <v>42831.933194444442</v>
      </c>
      <c r="B234" t="s">
        <v>827</v>
      </c>
      <c r="C234" t="s">
        <v>828</v>
      </c>
      <c r="D234" s="146">
        <v>2560000</v>
      </c>
      <c r="E234" t="s">
        <v>819</v>
      </c>
      <c r="F234" s="20" t="s">
        <v>820</v>
      </c>
      <c r="G234" s="8" t="str">
        <f t="shared" si="3"/>
        <v>MACDONALD THOMAS</v>
      </c>
    </row>
    <row r="235" spans="1:7" x14ac:dyDescent="0.25">
      <c r="A235" s="8">
        <v>42831.943298611113</v>
      </c>
      <c r="B235" t="s">
        <v>533</v>
      </c>
      <c r="C235" t="s">
        <v>841</v>
      </c>
      <c r="D235" s="146">
        <v>1740000</v>
      </c>
      <c r="E235" t="s">
        <v>401</v>
      </c>
      <c r="F235" s="20" t="s">
        <v>402</v>
      </c>
      <c r="G235" s="8" t="str">
        <f t="shared" si="3"/>
        <v>STORY SAMANTHA</v>
      </c>
    </row>
    <row r="236" spans="1:7" x14ac:dyDescent="0.25">
      <c r="A236" s="8">
        <v>42831.94939814815</v>
      </c>
      <c r="B236" t="s">
        <v>478</v>
      </c>
      <c r="C236" t="s">
        <v>842</v>
      </c>
      <c r="D236" s="146">
        <v>2440000</v>
      </c>
      <c r="E236" t="s">
        <v>557</v>
      </c>
      <c r="F236" s="20" t="s">
        <v>558</v>
      </c>
      <c r="G236" s="8" t="str">
        <f t="shared" si="3"/>
        <v>LOPES KIMBERLY</v>
      </c>
    </row>
    <row r="237" spans="1:7" x14ac:dyDescent="0.25">
      <c r="A237" s="8">
        <v>42831.951331018521</v>
      </c>
      <c r="B237" t="s">
        <v>539</v>
      </c>
      <c r="C237" t="s">
        <v>841</v>
      </c>
      <c r="D237" s="146">
        <v>1740000</v>
      </c>
      <c r="E237" t="s">
        <v>401</v>
      </c>
      <c r="F237" s="20" t="s">
        <v>402</v>
      </c>
      <c r="G237" s="8" t="str">
        <f t="shared" si="3"/>
        <v>STORY SAMANTHA</v>
      </c>
    </row>
    <row r="238" spans="1:7" x14ac:dyDescent="0.25">
      <c r="A238" s="8">
        <v>42831.9528125</v>
      </c>
      <c r="B238" t="s">
        <v>539</v>
      </c>
      <c r="C238" t="s">
        <v>841</v>
      </c>
      <c r="D238" s="146">
        <v>1740000</v>
      </c>
      <c r="E238" t="s">
        <v>401</v>
      </c>
      <c r="F238" s="20" t="s">
        <v>402</v>
      </c>
      <c r="G238" s="8" t="str">
        <f t="shared" si="3"/>
        <v>STORY SAMANTHA</v>
      </c>
    </row>
    <row r="239" spans="1:7" x14ac:dyDescent="0.25">
      <c r="A239" s="8">
        <v>42831.954918981479</v>
      </c>
      <c r="B239" t="s">
        <v>449</v>
      </c>
      <c r="C239" t="s">
        <v>843</v>
      </c>
      <c r="D239" s="146">
        <v>1800000</v>
      </c>
      <c r="E239" t="s">
        <v>397</v>
      </c>
      <c r="F239" s="20" t="s">
        <v>398</v>
      </c>
      <c r="G239" s="8" t="str">
        <f t="shared" si="3"/>
        <v>CHANDLER KELVIN</v>
      </c>
    </row>
    <row r="240" spans="1:7" x14ac:dyDescent="0.25">
      <c r="A240" s="8">
        <v>42831.968055555553</v>
      </c>
      <c r="B240" t="s">
        <v>448</v>
      </c>
      <c r="C240" t="s">
        <v>844</v>
      </c>
      <c r="D240" s="146">
        <v>2150000</v>
      </c>
      <c r="E240" t="s">
        <v>373</v>
      </c>
      <c r="F240" s="20" t="s">
        <v>374</v>
      </c>
      <c r="G240" s="8" t="str">
        <f t="shared" si="3"/>
        <v>SWANSON BRYCE</v>
      </c>
    </row>
    <row r="241" spans="1:7" x14ac:dyDescent="0.25">
      <c r="A241" s="8">
        <v>42831.976076388892</v>
      </c>
      <c r="B241" t="s">
        <v>385</v>
      </c>
      <c r="C241" t="s">
        <v>845</v>
      </c>
      <c r="D241" s="146">
        <v>1810000</v>
      </c>
      <c r="E241" t="s">
        <v>399</v>
      </c>
      <c r="F241" s="20" t="s">
        <v>194</v>
      </c>
      <c r="G241" s="8" t="str">
        <f t="shared" si="3"/>
        <v>NEWELL JAMES</v>
      </c>
    </row>
    <row r="242" spans="1:7" x14ac:dyDescent="0.25">
      <c r="A242" s="8">
        <v>42831.993622685186</v>
      </c>
      <c r="B242" t="s">
        <v>619</v>
      </c>
      <c r="C242" t="s">
        <v>846</v>
      </c>
      <c r="D242" s="146">
        <v>2480000</v>
      </c>
      <c r="E242" t="s">
        <v>551</v>
      </c>
      <c r="F242" s="20" t="s">
        <v>552</v>
      </c>
      <c r="G242" s="8" t="str">
        <f t="shared" si="3"/>
        <v>WHITED DUSTIN</v>
      </c>
    </row>
    <row r="243" spans="1:7" x14ac:dyDescent="0.25">
      <c r="A243" s="8">
        <v>42831.993622685186</v>
      </c>
      <c r="B243" t="s">
        <v>450</v>
      </c>
      <c r="C243" t="s">
        <v>847</v>
      </c>
      <c r="D243" s="146">
        <v>1800000</v>
      </c>
      <c r="E243" t="s">
        <v>397</v>
      </c>
      <c r="F243" s="20" t="s">
        <v>398</v>
      </c>
      <c r="G243" s="8" t="str">
        <f t="shared" si="3"/>
        <v>CHANDLER KELVIN</v>
      </c>
    </row>
    <row r="244" spans="1:7" x14ac:dyDescent="0.25">
      <c r="A244" s="8">
        <v>42832.00917824074</v>
      </c>
      <c r="B244" t="s">
        <v>464</v>
      </c>
      <c r="C244" t="s">
        <v>848</v>
      </c>
      <c r="D244" s="146">
        <v>2150000</v>
      </c>
      <c r="E244" t="s">
        <v>373</v>
      </c>
      <c r="F244" s="20" t="s">
        <v>374</v>
      </c>
      <c r="G244" s="8" t="str">
        <f t="shared" si="3"/>
        <v>SWANSON BRYCE</v>
      </c>
    </row>
    <row r="245" spans="1:7" x14ac:dyDescent="0.25">
      <c r="A245" s="8">
        <v>42832.015138888892</v>
      </c>
      <c r="B245" t="s">
        <v>386</v>
      </c>
      <c r="C245" t="s">
        <v>849</v>
      </c>
      <c r="D245" s="146">
        <v>1810000</v>
      </c>
      <c r="E245" t="s">
        <v>399</v>
      </c>
      <c r="F245" s="20" t="s">
        <v>194</v>
      </c>
      <c r="G245" s="8" t="str">
        <f t="shared" si="3"/>
        <v>NEWELL JAMES</v>
      </c>
    </row>
    <row r="246" spans="1:7" x14ac:dyDescent="0.25">
      <c r="A246" s="8">
        <v>42832.028819444444</v>
      </c>
      <c r="B246" t="s">
        <v>449</v>
      </c>
      <c r="C246" t="s">
        <v>850</v>
      </c>
      <c r="D246" s="146">
        <v>1800000</v>
      </c>
      <c r="E246" t="s">
        <v>397</v>
      </c>
      <c r="F246" s="20" t="s">
        <v>398</v>
      </c>
      <c r="G246" s="8" t="str">
        <f t="shared" si="3"/>
        <v>CHANDLER KELVIN</v>
      </c>
    </row>
    <row r="247" spans="1:7" x14ac:dyDescent="0.25">
      <c r="A247" s="8">
        <v>42832.036076388889</v>
      </c>
      <c r="B247" t="s">
        <v>478</v>
      </c>
      <c r="C247" t="s">
        <v>851</v>
      </c>
      <c r="D247" s="146">
        <v>2480000</v>
      </c>
      <c r="E247" t="s">
        <v>551</v>
      </c>
      <c r="F247" s="20" t="s">
        <v>552</v>
      </c>
      <c r="G247" s="8" t="str">
        <f t="shared" si="3"/>
        <v>WHITED DUSTIN</v>
      </c>
    </row>
    <row r="248" spans="1:7" x14ac:dyDescent="0.25">
      <c r="A248" s="8">
        <v>42832.047430555554</v>
      </c>
      <c r="B248" t="s">
        <v>385</v>
      </c>
      <c r="C248" t="s">
        <v>852</v>
      </c>
      <c r="D248" s="146">
        <v>1810000</v>
      </c>
      <c r="E248" t="s">
        <v>399</v>
      </c>
      <c r="F248" s="20" t="s">
        <v>194</v>
      </c>
      <c r="G248" s="8" t="str">
        <f t="shared" si="3"/>
        <v>NEWELL JAMES</v>
      </c>
    </row>
    <row r="249" spans="1:7" x14ac:dyDescent="0.25">
      <c r="A249" s="8">
        <v>42832.057939814818</v>
      </c>
      <c r="B249" t="s">
        <v>448</v>
      </c>
      <c r="C249" t="s">
        <v>853</v>
      </c>
      <c r="D249" s="146">
        <v>2150000</v>
      </c>
      <c r="E249" t="s">
        <v>373</v>
      </c>
      <c r="F249" s="20" t="s">
        <v>374</v>
      </c>
      <c r="G249" s="8" t="str">
        <f t="shared" si="3"/>
        <v>SWANSON BRYCE</v>
      </c>
    </row>
    <row r="250" spans="1:7" x14ac:dyDescent="0.25">
      <c r="A250" s="8">
        <v>42832.068240740744</v>
      </c>
      <c r="B250" t="s">
        <v>619</v>
      </c>
      <c r="C250" t="s">
        <v>854</v>
      </c>
      <c r="D250" s="146">
        <v>2480000</v>
      </c>
      <c r="E250" t="s">
        <v>551</v>
      </c>
      <c r="F250" s="20" t="s">
        <v>552</v>
      </c>
      <c r="G250" s="8" t="str">
        <f t="shared" si="3"/>
        <v>WHITED DUSTIN</v>
      </c>
    </row>
    <row r="251" spans="1:7" x14ac:dyDescent="0.25">
      <c r="A251" s="8">
        <v>42832.090752314813</v>
      </c>
      <c r="B251" t="s">
        <v>464</v>
      </c>
      <c r="C251" t="s">
        <v>855</v>
      </c>
      <c r="D251" s="146">
        <v>2150000</v>
      </c>
      <c r="E251" t="s">
        <v>373</v>
      </c>
      <c r="F251" s="20" t="s">
        <v>374</v>
      </c>
      <c r="G251" s="8" t="str">
        <f t="shared" si="3"/>
        <v>SWANSON BRYCE</v>
      </c>
    </row>
    <row r="252" spans="1:7" x14ac:dyDescent="0.25">
      <c r="A252" s="8">
        <v>42829.913263888891</v>
      </c>
      <c r="B252" t="s">
        <v>418</v>
      </c>
      <c r="C252" t="s">
        <v>494</v>
      </c>
      <c r="D252" s="146">
        <v>1740000</v>
      </c>
      <c r="E252" t="s">
        <v>401</v>
      </c>
      <c r="F252" s="20" t="s">
        <v>402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464</v>
      </c>
      <c r="C253" t="s">
        <v>495</v>
      </c>
      <c r="D253" s="146">
        <v>2150000</v>
      </c>
      <c r="E253" t="s">
        <v>373</v>
      </c>
      <c r="F253" s="20" t="s">
        <v>374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382</v>
      </c>
      <c r="C254" t="s">
        <v>493</v>
      </c>
      <c r="D254" s="146">
        <v>2680000</v>
      </c>
      <c r="E254" t="s">
        <v>443</v>
      </c>
      <c r="F254" s="20" t="s">
        <v>444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380</v>
      </c>
      <c r="C255" t="s">
        <v>496</v>
      </c>
      <c r="D255" s="146">
        <v>2970000</v>
      </c>
      <c r="E255" t="s">
        <v>465</v>
      </c>
      <c r="F255" s="20" t="s">
        <v>466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383</v>
      </c>
      <c r="C256" t="s">
        <v>481</v>
      </c>
      <c r="D256" s="146">
        <v>2680000</v>
      </c>
      <c r="E256" t="s">
        <v>443</v>
      </c>
      <c r="F256" s="20" t="s">
        <v>444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450</v>
      </c>
      <c r="C257" t="s">
        <v>497</v>
      </c>
      <c r="D257" s="146">
        <v>1810000</v>
      </c>
      <c r="E257" t="s">
        <v>399</v>
      </c>
      <c r="F257" s="20" t="s">
        <v>194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448</v>
      </c>
      <c r="C258" t="s">
        <v>498</v>
      </c>
      <c r="D258" s="146">
        <v>2150000</v>
      </c>
      <c r="E258" t="s">
        <v>373</v>
      </c>
      <c r="F258" s="20" t="s">
        <v>374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382</v>
      </c>
      <c r="C259" t="s">
        <v>493</v>
      </c>
      <c r="D259" s="146">
        <v>2680000</v>
      </c>
      <c r="E259" t="s">
        <v>443</v>
      </c>
      <c r="F259" s="20" t="s">
        <v>444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431</v>
      </c>
      <c r="C260" t="s">
        <v>499</v>
      </c>
      <c r="D260" s="146">
        <v>1740000</v>
      </c>
      <c r="E260" t="s">
        <v>401</v>
      </c>
      <c r="F260" s="20" t="s">
        <v>402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405</v>
      </c>
      <c r="C261" t="s">
        <v>500</v>
      </c>
      <c r="D261" s="146">
        <v>1800000</v>
      </c>
      <c r="E261" t="s">
        <v>397</v>
      </c>
      <c r="F261" s="20" t="s">
        <v>398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383</v>
      </c>
      <c r="C262" t="s">
        <v>481</v>
      </c>
      <c r="D262" s="146">
        <v>2680000</v>
      </c>
      <c r="E262" t="s">
        <v>443</v>
      </c>
      <c r="F262" s="20" t="s">
        <v>444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432</v>
      </c>
      <c r="C263" t="s">
        <v>501</v>
      </c>
      <c r="D263" s="146">
        <v>2970000</v>
      </c>
      <c r="E263" t="s">
        <v>465</v>
      </c>
      <c r="F263" s="20" t="s">
        <v>466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383</v>
      </c>
      <c r="C264" t="s">
        <v>481</v>
      </c>
      <c r="D264" s="146">
        <v>2680000</v>
      </c>
      <c r="E264" t="s">
        <v>443</v>
      </c>
      <c r="F264" s="20" t="s">
        <v>444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449</v>
      </c>
      <c r="C265" t="s">
        <v>480</v>
      </c>
      <c r="D265" s="146">
        <v>1810000</v>
      </c>
      <c r="E265" t="s">
        <v>399</v>
      </c>
      <c r="F265" s="20" t="s">
        <v>194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382</v>
      </c>
      <c r="C266" t="s">
        <v>493</v>
      </c>
      <c r="D266" s="146">
        <v>2680000</v>
      </c>
      <c r="E266" t="s">
        <v>443</v>
      </c>
      <c r="F266" s="20" t="s">
        <v>444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383</v>
      </c>
      <c r="C267" t="s">
        <v>481</v>
      </c>
      <c r="D267" s="146">
        <v>2680000</v>
      </c>
      <c r="E267" t="s">
        <v>443</v>
      </c>
      <c r="F267" s="20" t="s">
        <v>444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418</v>
      </c>
      <c r="C268" t="s">
        <v>502</v>
      </c>
      <c r="D268" s="146">
        <v>1740000</v>
      </c>
      <c r="E268" t="s">
        <v>401</v>
      </c>
      <c r="F268" s="20" t="s">
        <v>402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406</v>
      </c>
      <c r="C269" t="s">
        <v>503</v>
      </c>
      <c r="D269" s="146">
        <v>1800000</v>
      </c>
      <c r="E269" t="s">
        <v>397</v>
      </c>
      <c r="F269" s="20" t="s">
        <v>398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382</v>
      </c>
      <c r="C270" t="s">
        <v>493</v>
      </c>
      <c r="D270" s="146">
        <v>2680000</v>
      </c>
      <c r="E270" t="s">
        <v>443</v>
      </c>
      <c r="F270" s="20" t="s">
        <v>444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383</v>
      </c>
      <c r="C271" t="s">
        <v>481</v>
      </c>
      <c r="D271" s="146">
        <v>2680000</v>
      </c>
      <c r="E271" t="s">
        <v>443</v>
      </c>
      <c r="F271" s="20" t="s">
        <v>444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380</v>
      </c>
      <c r="C272" t="s">
        <v>504</v>
      </c>
      <c r="D272" s="146">
        <v>2970000</v>
      </c>
      <c r="E272" t="s">
        <v>465</v>
      </c>
      <c r="F272" s="20" t="s">
        <v>466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382</v>
      </c>
      <c r="C273" t="s">
        <v>493</v>
      </c>
      <c r="D273" s="146">
        <v>2680000</v>
      </c>
      <c r="E273" t="s">
        <v>443</v>
      </c>
      <c r="F273" s="20" t="s">
        <v>444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383</v>
      </c>
      <c r="C274" t="s">
        <v>481</v>
      </c>
      <c r="D274" s="146">
        <v>2680000</v>
      </c>
      <c r="E274" t="s">
        <v>443</v>
      </c>
      <c r="F274" s="20" t="s">
        <v>444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450</v>
      </c>
      <c r="C275" t="s">
        <v>505</v>
      </c>
      <c r="D275" s="146">
        <v>1810000</v>
      </c>
      <c r="E275" t="s">
        <v>399</v>
      </c>
      <c r="F275" s="20" t="s">
        <v>194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382</v>
      </c>
      <c r="C276" t="s">
        <v>493</v>
      </c>
      <c r="D276" s="146">
        <v>2680000</v>
      </c>
      <c r="E276" t="s">
        <v>443</v>
      </c>
      <c r="F276" s="20" t="s">
        <v>444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383</v>
      </c>
      <c r="C277" t="s">
        <v>481</v>
      </c>
      <c r="D277" s="146">
        <v>2680000</v>
      </c>
      <c r="E277" t="s">
        <v>443</v>
      </c>
      <c r="F277" s="20" t="s">
        <v>444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382</v>
      </c>
      <c r="C278" t="s">
        <v>493</v>
      </c>
      <c r="D278" s="146">
        <v>2680000</v>
      </c>
      <c r="E278" t="s">
        <v>443</v>
      </c>
      <c r="F278" s="20" t="s">
        <v>444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405</v>
      </c>
      <c r="C279" t="s">
        <v>506</v>
      </c>
      <c r="D279" s="146">
        <v>1800000</v>
      </c>
      <c r="E279" t="s">
        <v>397</v>
      </c>
      <c r="F279" s="20" t="s">
        <v>398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431</v>
      </c>
      <c r="C280" t="s">
        <v>507</v>
      </c>
      <c r="D280" s="146">
        <v>1740000</v>
      </c>
      <c r="E280" t="s">
        <v>401</v>
      </c>
      <c r="F280" s="20" t="s">
        <v>402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432</v>
      </c>
      <c r="C281" t="s">
        <v>508</v>
      </c>
      <c r="D281" s="146">
        <v>2970000</v>
      </c>
      <c r="E281" t="s">
        <v>465</v>
      </c>
      <c r="F281" s="20" t="s">
        <v>466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449</v>
      </c>
      <c r="C282" t="s">
        <v>509</v>
      </c>
      <c r="D282" s="146">
        <v>1810000</v>
      </c>
      <c r="E282" t="s">
        <v>399</v>
      </c>
      <c r="F282" s="20" t="s">
        <v>194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418</v>
      </c>
      <c r="C283" t="s">
        <v>510</v>
      </c>
      <c r="D283" s="146">
        <v>1740000</v>
      </c>
      <c r="E283" t="s">
        <v>401</v>
      </c>
      <c r="F283" s="20" t="s">
        <v>402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383</v>
      </c>
      <c r="C284" t="s">
        <v>481</v>
      </c>
      <c r="D284" s="146">
        <v>2680000</v>
      </c>
      <c r="E284" t="s">
        <v>443</v>
      </c>
      <c r="F284" s="20" t="s">
        <v>444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383</v>
      </c>
      <c r="C285" t="s">
        <v>481</v>
      </c>
      <c r="D285" s="146">
        <v>2680000</v>
      </c>
      <c r="E285" t="s">
        <v>443</v>
      </c>
      <c r="F285" s="20" t="s">
        <v>444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380</v>
      </c>
      <c r="C286" t="s">
        <v>511</v>
      </c>
      <c r="D286" s="146">
        <v>2970000</v>
      </c>
      <c r="E286" t="s">
        <v>465</v>
      </c>
      <c r="F286" s="20" t="s">
        <v>466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200</v>
      </c>
      <c r="C287" t="s">
        <v>389</v>
      </c>
      <c r="D287" s="146">
        <v>2230000</v>
      </c>
      <c r="E287" t="s">
        <v>384</v>
      </c>
      <c r="F287" s="20" t="s">
        <v>197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379</v>
      </c>
      <c r="C288" t="s">
        <v>390</v>
      </c>
      <c r="D288" s="146">
        <v>2000000</v>
      </c>
      <c r="E288" t="s">
        <v>377</v>
      </c>
      <c r="F288" s="20" t="s">
        <v>194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387</v>
      </c>
      <c r="C289" t="s">
        <v>391</v>
      </c>
      <c r="D289" s="146">
        <v>2150000</v>
      </c>
      <c r="E289" t="s">
        <v>373</v>
      </c>
      <c r="F289" s="20" t="s">
        <v>374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387</v>
      </c>
      <c r="C290" t="s">
        <v>391</v>
      </c>
      <c r="D290" s="146">
        <v>2150000</v>
      </c>
      <c r="E290" t="s">
        <v>373</v>
      </c>
      <c r="F290" s="20" t="s">
        <v>374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387</v>
      </c>
      <c r="C291" t="s">
        <v>391</v>
      </c>
      <c r="D291" s="146">
        <v>2150000</v>
      </c>
      <c r="E291" t="s">
        <v>373</v>
      </c>
      <c r="F291" s="20" t="s">
        <v>374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388</v>
      </c>
      <c r="C292" t="s">
        <v>392</v>
      </c>
      <c r="D292" s="146">
        <v>2230000</v>
      </c>
      <c r="E292" t="s">
        <v>384</v>
      </c>
      <c r="F292" s="20" t="s">
        <v>197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375</v>
      </c>
      <c r="C293" t="s">
        <v>393</v>
      </c>
      <c r="D293" s="146">
        <v>2270000</v>
      </c>
      <c r="E293" t="s">
        <v>208</v>
      </c>
      <c r="F293" s="20" t="s">
        <v>209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375</v>
      </c>
      <c r="C294" t="s">
        <v>393</v>
      </c>
      <c r="D294" s="146">
        <v>2270000</v>
      </c>
      <c r="E294" t="s">
        <v>208</v>
      </c>
      <c r="F294" s="20" t="s">
        <v>209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375</v>
      </c>
      <c r="C295" t="s">
        <v>393</v>
      </c>
      <c r="D295" s="146">
        <v>2270000</v>
      </c>
      <c r="E295" t="s">
        <v>208</v>
      </c>
      <c r="F295" s="20" t="s">
        <v>209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383</v>
      </c>
      <c r="C296" t="s">
        <v>394</v>
      </c>
      <c r="D296" s="146">
        <v>2150000</v>
      </c>
      <c r="E296" t="s">
        <v>373</v>
      </c>
      <c r="F296" s="20" t="s">
        <v>374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376</v>
      </c>
      <c r="C297" t="s">
        <v>395</v>
      </c>
      <c r="D297" s="146">
        <v>2270000</v>
      </c>
      <c r="E297" t="s">
        <v>208</v>
      </c>
      <c r="F297" s="20" t="s">
        <v>209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163</v>
      </c>
      <c r="K1" s="186" t="s">
        <v>161</v>
      </c>
      <c r="L1" s="186" t="s">
        <v>156</v>
      </c>
      <c r="M1" s="186" t="s">
        <v>166</v>
      </c>
      <c r="N1" s="186" t="s">
        <v>160</v>
      </c>
      <c r="O1" s="186" t="s">
        <v>167</v>
      </c>
      <c r="P1" s="186" t="s">
        <v>164</v>
      </c>
      <c r="Q1"/>
      <c r="R1"/>
    </row>
    <row r="2" spans="1:18" x14ac:dyDescent="0.25">
      <c r="A2" s="164">
        <v>39.770000000000003</v>
      </c>
      <c r="B2" s="164">
        <v>0.14000000000000001</v>
      </c>
      <c r="C2" s="164">
        <v>26.74</v>
      </c>
      <c r="D2" s="8">
        <v>42831</v>
      </c>
      <c r="E2" s="164">
        <v>0.59</v>
      </c>
      <c r="F2" s="164" t="s">
        <v>567</v>
      </c>
      <c r="G2" s="164">
        <v>326.81</v>
      </c>
      <c r="H2" s="164">
        <v>0</v>
      </c>
      <c r="I2" s="164">
        <v>0</v>
      </c>
      <c r="J2" s="164">
        <v>1021.19</v>
      </c>
      <c r="K2" s="164" t="s">
        <v>566</v>
      </c>
      <c r="L2" s="164">
        <v>39.770000000000003</v>
      </c>
      <c r="M2" s="164">
        <v>1491458400</v>
      </c>
      <c r="N2" s="164">
        <v>7.92</v>
      </c>
      <c r="O2" s="164">
        <v>222</v>
      </c>
      <c r="P2" s="164">
        <v>2.48</v>
      </c>
      <c r="Q2"/>
      <c r="R2"/>
    </row>
    <row r="3" spans="1:18" x14ac:dyDescent="0.25">
      <c r="A3" s="164">
        <v>38.630000000000003</v>
      </c>
      <c r="B3" s="164">
        <v>0.1</v>
      </c>
      <c r="C3" s="164">
        <v>27.15</v>
      </c>
      <c r="D3" s="8">
        <v>42831.041666666664</v>
      </c>
      <c r="E3" s="164">
        <v>0.63</v>
      </c>
      <c r="F3" s="164" t="s">
        <v>567</v>
      </c>
      <c r="G3" s="164">
        <v>327.08</v>
      </c>
      <c r="H3" s="164">
        <v>0</v>
      </c>
      <c r="I3" s="164">
        <v>0</v>
      </c>
      <c r="J3" s="164">
        <v>1021.74</v>
      </c>
      <c r="K3" s="164" t="s">
        <v>566</v>
      </c>
      <c r="L3" s="164">
        <v>38.630000000000003</v>
      </c>
      <c r="M3" s="164">
        <v>1491462000</v>
      </c>
      <c r="N3" s="164">
        <v>8.06</v>
      </c>
      <c r="O3" s="164">
        <v>224</v>
      </c>
      <c r="P3" s="164">
        <v>2.6</v>
      </c>
      <c r="Q3"/>
      <c r="R3"/>
    </row>
    <row r="4" spans="1:18" x14ac:dyDescent="0.25">
      <c r="A4" s="164">
        <v>37.1</v>
      </c>
      <c r="B4" s="164">
        <v>0.08</v>
      </c>
      <c r="C4" s="164">
        <v>26.56</v>
      </c>
      <c r="D4" s="8">
        <v>42831.083333333336</v>
      </c>
      <c r="E4" s="164">
        <v>0.65</v>
      </c>
      <c r="F4" s="164" t="s">
        <v>567</v>
      </c>
      <c r="G4" s="164">
        <v>327.35000000000002</v>
      </c>
      <c r="H4" s="164">
        <v>0</v>
      </c>
      <c r="I4" s="164">
        <v>0</v>
      </c>
      <c r="J4" s="164">
        <v>1022.27</v>
      </c>
      <c r="K4" s="164" t="s">
        <v>566</v>
      </c>
      <c r="L4" s="164">
        <v>37.1</v>
      </c>
      <c r="M4" s="164">
        <v>1491465600</v>
      </c>
      <c r="N4" s="164">
        <v>8.07</v>
      </c>
      <c r="O4" s="164">
        <v>231</v>
      </c>
      <c r="P4" s="164">
        <v>2.75</v>
      </c>
      <c r="Q4"/>
      <c r="R4"/>
    </row>
    <row r="5" spans="1:18" x14ac:dyDescent="0.25">
      <c r="A5" s="164">
        <v>36.409999999999997</v>
      </c>
      <c r="B5" s="164">
        <v>0.05</v>
      </c>
      <c r="C5" s="164">
        <v>26.82</v>
      </c>
      <c r="D5" s="8">
        <v>42831.125</v>
      </c>
      <c r="E5" s="164">
        <v>0.68</v>
      </c>
      <c r="F5" s="164" t="s">
        <v>567</v>
      </c>
      <c r="G5" s="164">
        <v>327.62</v>
      </c>
      <c r="H5" s="164">
        <v>0</v>
      </c>
      <c r="I5" s="164">
        <v>0</v>
      </c>
      <c r="J5" s="164">
        <v>1022.77</v>
      </c>
      <c r="K5" s="164" t="s">
        <v>566</v>
      </c>
      <c r="L5" s="164">
        <v>36.409999999999997</v>
      </c>
      <c r="M5" s="164">
        <v>1491469200</v>
      </c>
      <c r="N5" s="164">
        <v>8.02</v>
      </c>
      <c r="O5" s="164">
        <v>227</v>
      </c>
      <c r="P5" s="164">
        <v>2.57</v>
      </c>
      <c r="Q5"/>
      <c r="R5"/>
    </row>
    <row r="6" spans="1:18" x14ac:dyDescent="0.25">
      <c r="A6" s="164">
        <v>34.85</v>
      </c>
      <c r="B6" s="164">
        <v>0.1</v>
      </c>
      <c r="C6" s="164">
        <v>25.77</v>
      </c>
      <c r="D6" s="8">
        <v>42831.166666666664</v>
      </c>
      <c r="E6" s="164">
        <v>0.69</v>
      </c>
      <c r="F6" s="164" t="s">
        <v>567</v>
      </c>
      <c r="G6" s="164">
        <v>326.93</v>
      </c>
      <c r="H6" s="164">
        <v>0</v>
      </c>
      <c r="I6" s="164">
        <v>0</v>
      </c>
      <c r="J6" s="164">
        <v>1023.1</v>
      </c>
      <c r="K6" s="164" t="s">
        <v>566</v>
      </c>
      <c r="L6" s="164">
        <v>34.85</v>
      </c>
      <c r="M6" s="164">
        <v>1491472800</v>
      </c>
      <c r="N6" s="164">
        <v>8.08</v>
      </c>
      <c r="O6" s="164">
        <v>227</v>
      </c>
      <c r="P6" s="164">
        <v>2.5499999999999998</v>
      </c>
      <c r="Q6"/>
      <c r="R6"/>
    </row>
    <row r="7" spans="1:18" x14ac:dyDescent="0.25">
      <c r="A7" s="164">
        <v>33.58</v>
      </c>
      <c r="B7" s="164">
        <v>0.15</v>
      </c>
      <c r="C7" s="164">
        <v>25.09</v>
      </c>
      <c r="D7" s="8">
        <v>42831.208333333336</v>
      </c>
      <c r="E7" s="164">
        <v>0.71</v>
      </c>
      <c r="F7" s="164" t="s">
        <v>567</v>
      </c>
      <c r="G7" s="164">
        <v>325.79000000000002</v>
      </c>
      <c r="H7" s="164">
        <v>0</v>
      </c>
      <c r="I7" s="164">
        <v>0</v>
      </c>
      <c r="J7" s="164">
        <v>1023.33</v>
      </c>
      <c r="K7" s="164" t="s">
        <v>566</v>
      </c>
      <c r="L7" s="164">
        <v>33.58</v>
      </c>
      <c r="M7" s="164">
        <v>1491476400</v>
      </c>
      <c r="N7" s="164">
        <v>8.48</v>
      </c>
      <c r="O7" s="164">
        <v>227</v>
      </c>
      <c r="P7" s="164">
        <v>2.74</v>
      </c>
      <c r="Q7"/>
      <c r="R7"/>
    </row>
    <row r="8" spans="1:18" x14ac:dyDescent="0.25">
      <c r="A8" s="164">
        <v>33.479999999999997</v>
      </c>
      <c r="B8" s="164">
        <v>0.25</v>
      </c>
      <c r="C8" s="164">
        <v>25.26</v>
      </c>
      <c r="D8" s="8">
        <v>42831.25</v>
      </c>
      <c r="E8" s="164">
        <v>0.71</v>
      </c>
      <c r="F8" s="164" t="s">
        <v>433</v>
      </c>
      <c r="G8" s="164">
        <v>324.45999999999998</v>
      </c>
      <c r="H8" s="164">
        <v>0</v>
      </c>
      <c r="I8" s="164">
        <v>0</v>
      </c>
      <c r="J8" s="164">
        <v>1023.4</v>
      </c>
      <c r="K8" s="164" t="s">
        <v>347</v>
      </c>
      <c r="L8" s="164">
        <v>33.479999999999997</v>
      </c>
      <c r="M8" s="164">
        <v>1491480000</v>
      </c>
      <c r="N8" s="164">
        <v>8.66</v>
      </c>
      <c r="O8" s="164">
        <v>225</v>
      </c>
      <c r="P8" s="164">
        <v>2.83</v>
      </c>
      <c r="Q8"/>
      <c r="R8"/>
    </row>
    <row r="9" spans="1:18" x14ac:dyDescent="0.25">
      <c r="A9" s="164">
        <v>33.799999999999997</v>
      </c>
      <c r="B9" s="164">
        <v>0.27</v>
      </c>
      <c r="C9" s="164">
        <v>25.1</v>
      </c>
      <c r="D9" s="8">
        <v>42831.291666666664</v>
      </c>
      <c r="E9" s="164">
        <v>0.7</v>
      </c>
      <c r="F9" s="164" t="s">
        <v>348</v>
      </c>
      <c r="G9" s="164">
        <v>322.92</v>
      </c>
      <c r="H9" s="164">
        <v>0</v>
      </c>
      <c r="I9" s="164">
        <v>0</v>
      </c>
      <c r="J9" s="164">
        <v>1023.05</v>
      </c>
      <c r="K9" s="164" t="s">
        <v>347</v>
      </c>
      <c r="L9" s="164">
        <v>33.799999999999997</v>
      </c>
      <c r="M9" s="164">
        <v>1491483600</v>
      </c>
      <c r="N9" s="164">
        <v>8.14</v>
      </c>
      <c r="O9" s="164">
        <v>221</v>
      </c>
      <c r="P9" s="164">
        <v>2.72</v>
      </c>
      <c r="Q9"/>
      <c r="R9"/>
    </row>
    <row r="10" spans="1:18" x14ac:dyDescent="0.25">
      <c r="A10" s="164">
        <v>38.44</v>
      </c>
      <c r="B10" s="164">
        <v>0.26</v>
      </c>
      <c r="C10" s="164">
        <v>27.59</v>
      </c>
      <c r="D10" s="8">
        <v>42831.333333333336</v>
      </c>
      <c r="E10" s="164">
        <v>0.65</v>
      </c>
      <c r="F10" s="164" t="s">
        <v>348</v>
      </c>
      <c r="G10" s="164">
        <v>321.18</v>
      </c>
      <c r="H10" s="164">
        <v>0</v>
      </c>
      <c r="I10" s="164">
        <v>0</v>
      </c>
      <c r="J10" s="164">
        <v>1022.58</v>
      </c>
      <c r="K10" s="164" t="s">
        <v>347</v>
      </c>
      <c r="L10" s="164">
        <v>38.44</v>
      </c>
      <c r="M10" s="164">
        <v>1491487200</v>
      </c>
      <c r="N10" s="164">
        <v>7.83</v>
      </c>
      <c r="O10" s="164">
        <v>216</v>
      </c>
      <c r="P10" s="164">
        <v>2.29</v>
      </c>
      <c r="Q10"/>
      <c r="R10"/>
    </row>
    <row r="11" spans="1:18" x14ac:dyDescent="0.25">
      <c r="A11" s="164">
        <v>45.73</v>
      </c>
      <c r="B11" s="164">
        <v>0.26</v>
      </c>
      <c r="C11" s="164">
        <v>30.86</v>
      </c>
      <c r="D11" s="8">
        <v>42831.375</v>
      </c>
      <c r="E11" s="164">
        <v>0.56000000000000005</v>
      </c>
      <c r="F11" s="164" t="s">
        <v>348</v>
      </c>
      <c r="G11" s="164">
        <v>319.57</v>
      </c>
      <c r="H11" s="164">
        <v>0</v>
      </c>
      <c r="I11" s="164">
        <v>0</v>
      </c>
      <c r="J11" s="164">
        <v>1021.94</v>
      </c>
      <c r="K11" s="164" t="s">
        <v>347</v>
      </c>
      <c r="L11" s="164">
        <v>45.73</v>
      </c>
      <c r="M11" s="164">
        <v>1491490800</v>
      </c>
      <c r="N11" s="164">
        <v>7.69</v>
      </c>
      <c r="O11" s="164">
        <v>194</v>
      </c>
      <c r="P11" s="164">
        <v>1.54</v>
      </c>
      <c r="Q11"/>
      <c r="R11"/>
    </row>
    <row r="12" spans="1:18" x14ac:dyDescent="0.25">
      <c r="A12" s="164">
        <v>51.31</v>
      </c>
      <c r="B12" s="164">
        <v>0.23</v>
      </c>
      <c r="C12" s="164">
        <v>30.94</v>
      </c>
      <c r="D12" s="8">
        <v>42831.416666666664</v>
      </c>
      <c r="E12" s="164">
        <v>0.45</v>
      </c>
      <c r="F12" s="164" t="s">
        <v>565</v>
      </c>
      <c r="G12" s="164">
        <v>318.23</v>
      </c>
      <c r="H12" s="164">
        <v>0</v>
      </c>
      <c r="I12" s="164">
        <v>0</v>
      </c>
      <c r="J12" s="164">
        <v>1021.09</v>
      </c>
      <c r="K12" s="164" t="s">
        <v>566</v>
      </c>
      <c r="L12" s="164">
        <v>51.31</v>
      </c>
      <c r="M12" s="164">
        <v>1491494400</v>
      </c>
      <c r="N12" s="164">
        <v>7.67</v>
      </c>
      <c r="O12" s="164">
        <v>162</v>
      </c>
      <c r="P12" s="164">
        <v>2.19</v>
      </c>
      <c r="Q12"/>
      <c r="R12"/>
    </row>
    <row r="13" spans="1:18" x14ac:dyDescent="0.25">
      <c r="A13" s="164">
        <v>56.8</v>
      </c>
      <c r="B13" s="164">
        <v>0.23</v>
      </c>
      <c r="C13" s="164">
        <v>32.72</v>
      </c>
      <c r="D13" s="8">
        <v>42831.458333333336</v>
      </c>
      <c r="E13" s="164">
        <v>0.4</v>
      </c>
      <c r="F13" s="164" t="s">
        <v>565</v>
      </c>
      <c r="G13" s="164">
        <v>317.01</v>
      </c>
      <c r="H13" s="164">
        <v>0</v>
      </c>
      <c r="I13" s="164">
        <v>0</v>
      </c>
      <c r="J13" s="164">
        <v>1020.09</v>
      </c>
      <c r="K13" s="164" t="s">
        <v>566</v>
      </c>
      <c r="L13" s="164">
        <v>56.8</v>
      </c>
      <c r="M13" s="164">
        <v>1491498000</v>
      </c>
      <c r="N13" s="164">
        <v>7.74</v>
      </c>
      <c r="O13" s="164">
        <v>162</v>
      </c>
      <c r="P13" s="164">
        <v>3.72</v>
      </c>
      <c r="Q13"/>
      <c r="R13"/>
    </row>
    <row r="14" spans="1:18" x14ac:dyDescent="0.25">
      <c r="A14" s="164">
        <v>60.07</v>
      </c>
      <c r="B14" s="164">
        <v>0.24</v>
      </c>
      <c r="C14" s="164">
        <v>32.78</v>
      </c>
      <c r="D14" s="8">
        <v>42831.5</v>
      </c>
      <c r="E14" s="164">
        <v>0.36</v>
      </c>
      <c r="F14" s="164" t="s">
        <v>565</v>
      </c>
      <c r="G14" s="164">
        <v>315.81</v>
      </c>
      <c r="H14" s="164">
        <v>0</v>
      </c>
      <c r="I14" s="164">
        <v>0</v>
      </c>
      <c r="J14" s="164">
        <v>1019.24</v>
      </c>
      <c r="K14" s="164" t="s">
        <v>566</v>
      </c>
      <c r="L14" s="164">
        <v>60.07</v>
      </c>
      <c r="M14" s="164">
        <v>1491501600</v>
      </c>
      <c r="N14" s="164">
        <v>7.84</v>
      </c>
      <c r="O14" s="164">
        <v>144</v>
      </c>
      <c r="P14" s="164">
        <v>3.98</v>
      </c>
      <c r="Q14"/>
      <c r="R14"/>
    </row>
    <row r="15" spans="1:18" x14ac:dyDescent="0.25">
      <c r="A15" s="164">
        <v>61.89</v>
      </c>
      <c r="B15" s="164">
        <v>0.2</v>
      </c>
      <c r="C15" s="164">
        <v>33.28</v>
      </c>
      <c r="D15" s="8">
        <v>42831.541666666664</v>
      </c>
      <c r="E15" s="164">
        <v>0.34</v>
      </c>
      <c r="F15" s="164" t="s">
        <v>565</v>
      </c>
      <c r="G15" s="164">
        <v>314.83999999999997</v>
      </c>
      <c r="H15" s="164">
        <v>0</v>
      </c>
      <c r="I15" s="164">
        <v>0</v>
      </c>
      <c r="J15" s="164">
        <v>1018.5</v>
      </c>
      <c r="K15" s="164" t="s">
        <v>566</v>
      </c>
      <c r="L15" s="164">
        <v>61.89</v>
      </c>
      <c r="M15" s="164">
        <v>1491505200</v>
      </c>
      <c r="N15" s="164">
        <v>7.9</v>
      </c>
      <c r="O15" s="164">
        <v>147</v>
      </c>
      <c r="P15" s="164">
        <v>3.38</v>
      </c>
      <c r="Q15"/>
      <c r="R15"/>
    </row>
    <row r="16" spans="1:18" x14ac:dyDescent="0.25">
      <c r="A16" s="164">
        <v>65.11</v>
      </c>
      <c r="B16" s="164">
        <v>0.25</v>
      </c>
      <c r="C16" s="164">
        <v>34.99</v>
      </c>
      <c r="D16" s="8">
        <v>42831.583333333336</v>
      </c>
      <c r="E16" s="164">
        <v>0.33</v>
      </c>
      <c r="F16" s="164" t="s">
        <v>348</v>
      </c>
      <c r="G16" s="164">
        <v>313.88</v>
      </c>
      <c r="H16" s="164">
        <v>0</v>
      </c>
      <c r="I16" s="164">
        <v>0</v>
      </c>
      <c r="J16" s="164">
        <v>1017.89</v>
      </c>
      <c r="K16" s="164" t="s">
        <v>347</v>
      </c>
      <c r="L16" s="164">
        <v>65.11</v>
      </c>
      <c r="M16" s="164">
        <v>1491508800</v>
      </c>
      <c r="N16" s="164">
        <v>7.93</v>
      </c>
      <c r="O16" s="164">
        <v>146</v>
      </c>
      <c r="P16" s="164">
        <v>3.67</v>
      </c>
      <c r="Q16"/>
      <c r="R16"/>
    </row>
    <row r="17" spans="1:18" x14ac:dyDescent="0.25">
      <c r="A17" s="164">
        <v>66.180000000000007</v>
      </c>
      <c r="B17" s="164">
        <v>0.24</v>
      </c>
      <c r="C17" s="164">
        <v>34.979999999999997</v>
      </c>
      <c r="D17" s="8">
        <v>42831.625</v>
      </c>
      <c r="E17" s="164">
        <v>0.31</v>
      </c>
      <c r="F17" s="164" t="s">
        <v>565</v>
      </c>
      <c r="G17" s="164">
        <v>312.20999999999998</v>
      </c>
      <c r="H17" s="164">
        <v>0</v>
      </c>
      <c r="I17" s="164">
        <v>0</v>
      </c>
      <c r="J17" s="164">
        <v>1017.11</v>
      </c>
      <c r="K17" s="164" t="s">
        <v>566</v>
      </c>
      <c r="L17" s="164">
        <v>66.180000000000007</v>
      </c>
      <c r="M17" s="164">
        <v>1491512400</v>
      </c>
      <c r="N17" s="164">
        <v>7.93</v>
      </c>
      <c r="O17" s="164">
        <v>135</v>
      </c>
      <c r="P17" s="164">
        <v>3.57</v>
      </c>
      <c r="Q17"/>
      <c r="R17"/>
    </row>
    <row r="18" spans="1:18" x14ac:dyDescent="0.25">
      <c r="A18" s="164">
        <v>66.48</v>
      </c>
      <c r="B18" s="164">
        <v>0.3</v>
      </c>
      <c r="C18" s="164">
        <v>34.630000000000003</v>
      </c>
      <c r="D18" s="8">
        <v>42831.666666666664</v>
      </c>
      <c r="E18" s="164">
        <v>0.31</v>
      </c>
      <c r="F18" s="164" t="s">
        <v>348</v>
      </c>
      <c r="G18" s="164">
        <v>309.08999999999997</v>
      </c>
      <c r="H18" s="164">
        <v>0</v>
      </c>
      <c r="I18" s="164">
        <v>0</v>
      </c>
      <c r="J18" s="164">
        <v>1015.8</v>
      </c>
      <c r="K18" s="164" t="s">
        <v>347</v>
      </c>
      <c r="L18" s="164">
        <v>66.48</v>
      </c>
      <c r="M18" s="164">
        <v>1491516000</v>
      </c>
      <c r="N18" s="164">
        <v>7.97</v>
      </c>
      <c r="O18" s="164">
        <v>136</v>
      </c>
      <c r="P18" s="164">
        <v>4.37</v>
      </c>
      <c r="Q18"/>
      <c r="R18"/>
    </row>
    <row r="19" spans="1:18" x14ac:dyDescent="0.25">
      <c r="A19" s="164">
        <v>65.3</v>
      </c>
      <c r="B19" s="164">
        <v>0.32</v>
      </c>
      <c r="C19" s="164">
        <v>33.39</v>
      </c>
      <c r="D19" s="8">
        <v>42831.708333333336</v>
      </c>
      <c r="E19" s="164">
        <v>0.3</v>
      </c>
      <c r="F19" s="164" t="s">
        <v>348</v>
      </c>
      <c r="G19" s="164">
        <v>305.26</v>
      </c>
      <c r="H19" s="164">
        <v>0</v>
      </c>
      <c r="I19" s="164">
        <v>0</v>
      </c>
      <c r="J19" s="164">
        <v>1014.3</v>
      </c>
      <c r="K19" s="164" t="s">
        <v>347</v>
      </c>
      <c r="L19" s="164">
        <v>65.3</v>
      </c>
      <c r="M19" s="164">
        <v>1491519600</v>
      </c>
      <c r="N19" s="164">
        <v>8.07</v>
      </c>
      <c r="O19" s="164">
        <v>137</v>
      </c>
      <c r="P19" s="164">
        <v>5.16</v>
      </c>
      <c r="Q19"/>
      <c r="R19"/>
    </row>
    <row r="20" spans="1:18" x14ac:dyDescent="0.25">
      <c r="A20" s="164">
        <v>62.72</v>
      </c>
      <c r="B20" s="164">
        <v>0.23</v>
      </c>
      <c r="C20" s="164">
        <v>32.450000000000003</v>
      </c>
      <c r="D20" s="8">
        <v>42831.75</v>
      </c>
      <c r="E20" s="164">
        <v>0.32</v>
      </c>
      <c r="F20" s="164" t="s">
        <v>565</v>
      </c>
      <c r="G20" s="164">
        <v>302.20999999999998</v>
      </c>
      <c r="H20" s="164">
        <v>0</v>
      </c>
      <c r="I20" s="164">
        <v>0</v>
      </c>
      <c r="J20" s="164">
        <v>1013.6</v>
      </c>
      <c r="K20" s="164" t="s">
        <v>566</v>
      </c>
      <c r="L20" s="164">
        <v>62.72</v>
      </c>
      <c r="M20" s="164">
        <v>1491523200</v>
      </c>
      <c r="N20" s="164">
        <v>8.27</v>
      </c>
      <c r="O20" s="164">
        <v>144</v>
      </c>
      <c r="P20" s="164">
        <v>6.45</v>
      </c>
      <c r="Q20"/>
      <c r="R20"/>
    </row>
    <row r="21" spans="1:18" x14ac:dyDescent="0.25">
      <c r="A21" s="164">
        <v>58.91</v>
      </c>
      <c r="B21" s="164">
        <v>0.15</v>
      </c>
      <c r="C21" s="164">
        <v>31.92</v>
      </c>
      <c r="D21" s="8">
        <v>42831.791666666664</v>
      </c>
      <c r="E21" s="164">
        <v>0.36</v>
      </c>
      <c r="F21" s="164" t="s">
        <v>565</v>
      </c>
      <c r="G21" s="164">
        <v>300.62</v>
      </c>
      <c r="H21" s="164">
        <v>0</v>
      </c>
      <c r="I21" s="164">
        <v>0</v>
      </c>
      <c r="J21" s="164">
        <v>1014.03</v>
      </c>
      <c r="K21" s="164" t="s">
        <v>566</v>
      </c>
      <c r="L21" s="164">
        <v>58.91</v>
      </c>
      <c r="M21" s="164">
        <v>1491526800</v>
      </c>
      <c r="N21" s="164">
        <v>8.6300000000000008</v>
      </c>
      <c r="O21" s="164">
        <v>148</v>
      </c>
      <c r="P21" s="164">
        <v>7.32</v>
      </c>
      <c r="Q21"/>
      <c r="R21"/>
    </row>
    <row r="22" spans="1:18" x14ac:dyDescent="0.25">
      <c r="A22" s="164">
        <v>53.85</v>
      </c>
      <c r="B22" s="164">
        <v>0.1</v>
      </c>
      <c r="C22" s="164">
        <v>30.7</v>
      </c>
      <c r="D22" s="8">
        <v>42831.833333333336</v>
      </c>
      <c r="E22" s="164">
        <v>0.41</v>
      </c>
      <c r="F22" s="164" t="s">
        <v>567</v>
      </c>
      <c r="G22" s="164">
        <v>299.81</v>
      </c>
      <c r="H22" s="164">
        <v>0</v>
      </c>
      <c r="I22" s="164">
        <v>0</v>
      </c>
      <c r="J22" s="164">
        <v>1015.33</v>
      </c>
      <c r="K22" s="164" t="s">
        <v>566</v>
      </c>
      <c r="L22" s="164">
        <v>53.85</v>
      </c>
      <c r="M22" s="164">
        <v>1491530400</v>
      </c>
      <c r="N22" s="164">
        <v>9.02</v>
      </c>
      <c r="O22" s="164">
        <v>163</v>
      </c>
      <c r="P22" s="164">
        <v>5.87</v>
      </c>
      <c r="Q22"/>
      <c r="R22"/>
    </row>
    <row r="23" spans="1:18" x14ac:dyDescent="0.25">
      <c r="A23" s="164">
        <v>50.46</v>
      </c>
      <c r="B23" s="164">
        <v>0.1</v>
      </c>
      <c r="C23" s="164">
        <v>30.43</v>
      </c>
      <c r="D23" s="8">
        <v>42831.875</v>
      </c>
      <c r="E23" s="164">
        <v>0.46</v>
      </c>
      <c r="F23" s="164" t="s">
        <v>567</v>
      </c>
      <c r="G23" s="164">
        <v>299.22000000000003</v>
      </c>
      <c r="H23" s="164">
        <v>0</v>
      </c>
      <c r="I23" s="164">
        <v>0</v>
      </c>
      <c r="J23" s="164">
        <v>1016.24</v>
      </c>
      <c r="K23" s="164" t="s">
        <v>566</v>
      </c>
      <c r="L23" s="164">
        <v>50.46</v>
      </c>
      <c r="M23" s="164">
        <v>1491534000</v>
      </c>
      <c r="N23" s="164">
        <v>9.2100000000000009</v>
      </c>
      <c r="O23" s="164">
        <v>186</v>
      </c>
      <c r="P23" s="164">
        <v>4.58</v>
      </c>
      <c r="Q23"/>
      <c r="R23"/>
    </row>
    <row r="24" spans="1:18" x14ac:dyDescent="0.25">
      <c r="A24" s="164">
        <v>45.99</v>
      </c>
      <c r="B24" s="164">
        <v>0.11</v>
      </c>
      <c r="C24" s="164">
        <v>29.87</v>
      </c>
      <c r="D24" s="8">
        <v>42831.916666666664</v>
      </c>
      <c r="E24" s="164">
        <v>0.49</v>
      </c>
      <c r="F24" s="164" t="s">
        <v>567</v>
      </c>
      <c r="G24" s="164">
        <v>298.66000000000003</v>
      </c>
      <c r="H24" s="164">
        <v>0</v>
      </c>
      <c r="I24" s="164">
        <v>0</v>
      </c>
      <c r="J24" s="164">
        <v>1016.18</v>
      </c>
      <c r="K24" s="164" t="s">
        <v>566</v>
      </c>
      <c r="L24" s="164">
        <v>48.07</v>
      </c>
      <c r="M24" s="164">
        <v>1491537600</v>
      </c>
      <c r="N24" s="164">
        <v>8.65</v>
      </c>
      <c r="O24" s="164">
        <v>202</v>
      </c>
      <c r="P24" s="164">
        <v>4.9400000000000004</v>
      </c>
      <c r="Q24"/>
      <c r="R24"/>
    </row>
    <row r="25" spans="1:18" x14ac:dyDescent="0.25">
      <c r="A25" s="164">
        <v>43.98</v>
      </c>
      <c r="B25" s="164">
        <v>0.12</v>
      </c>
      <c r="C25" s="164">
        <v>28.87</v>
      </c>
      <c r="D25" s="8">
        <v>42831.958333333336</v>
      </c>
      <c r="E25" s="164">
        <v>0.5</v>
      </c>
      <c r="F25" s="164" t="s">
        <v>567</v>
      </c>
      <c r="G25" s="164">
        <v>298.33</v>
      </c>
      <c r="H25" s="164">
        <v>0</v>
      </c>
      <c r="I25" s="164">
        <v>0</v>
      </c>
      <c r="J25" s="164">
        <v>1015.68</v>
      </c>
      <c r="K25" s="164" t="s">
        <v>566</v>
      </c>
      <c r="L25" s="164">
        <v>46.68</v>
      </c>
      <c r="M25" s="164">
        <v>1491541200</v>
      </c>
      <c r="N25" s="164">
        <v>8.43</v>
      </c>
      <c r="O25" s="164">
        <v>200</v>
      </c>
      <c r="P25" s="164">
        <v>5.55</v>
      </c>
      <c r="Q25"/>
      <c r="R25"/>
    </row>
    <row r="26" spans="1:18" x14ac:dyDescent="0.25">
      <c r="A26" s="164">
        <v>43.17</v>
      </c>
      <c r="B26" s="164">
        <v>0.15</v>
      </c>
      <c r="C26" s="164">
        <v>29.08</v>
      </c>
      <c r="D26" s="8">
        <v>42832</v>
      </c>
      <c r="E26" s="164">
        <v>0.52</v>
      </c>
      <c r="F26" s="164" t="s">
        <v>567</v>
      </c>
      <c r="G26" s="164">
        <v>298.17</v>
      </c>
      <c r="H26" s="164">
        <v>0</v>
      </c>
      <c r="I26" s="164">
        <v>0</v>
      </c>
      <c r="J26" s="164">
        <v>1015.38</v>
      </c>
      <c r="K26" s="164" t="s">
        <v>566</v>
      </c>
      <c r="L26" s="164">
        <v>45.91</v>
      </c>
      <c r="M26" s="164">
        <v>1491544800</v>
      </c>
      <c r="N26" s="164">
        <v>8.4499999999999993</v>
      </c>
      <c r="O26" s="164">
        <v>212</v>
      </c>
      <c r="P26" s="164">
        <v>5.37</v>
      </c>
      <c r="Q26"/>
      <c r="R26"/>
    </row>
    <row r="27" spans="1:18" x14ac:dyDescent="0.25">
      <c r="A27" s="164">
        <v>42.6</v>
      </c>
      <c r="B27" s="164">
        <v>0.22</v>
      </c>
      <c r="C27" s="164">
        <v>29.52</v>
      </c>
      <c r="D27" s="8">
        <v>42832.041666666664</v>
      </c>
      <c r="E27" s="164">
        <v>0.53</v>
      </c>
      <c r="F27" s="164" t="s">
        <v>567</v>
      </c>
      <c r="G27" s="164">
        <v>298.37</v>
      </c>
      <c r="H27" s="164">
        <v>0</v>
      </c>
      <c r="I27" s="164">
        <v>0</v>
      </c>
      <c r="J27" s="164">
        <v>1015.76</v>
      </c>
      <c r="K27" s="164" t="s">
        <v>566</v>
      </c>
      <c r="L27" s="164">
        <v>45.54</v>
      </c>
      <c r="M27" s="164">
        <v>1491548400</v>
      </c>
      <c r="N27" s="164">
        <v>8.52</v>
      </c>
      <c r="O27" s="164">
        <v>214</v>
      </c>
      <c r="P27" s="164">
        <v>5.59</v>
      </c>
      <c r="Q27"/>
      <c r="R27"/>
    </row>
    <row r="28" spans="1:18" x14ac:dyDescent="0.25">
      <c r="A28" s="164">
        <v>42.21</v>
      </c>
      <c r="B28" s="164">
        <v>0.33</v>
      </c>
      <c r="C28" s="164">
        <v>28.76</v>
      </c>
      <c r="D28" s="8">
        <v>42832.083333333336</v>
      </c>
      <c r="E28" s="164">
        <v>0.53</v>
      </c>
      <c r="F28" s="164" t="s">
        <v>433</v>
      </c>
      <c r="G28" s="164">
        <v>298.57</v>
      </c>
      <c r="H28" s="164">
        <v>0</v>
      </c>
      <c r="I28" s="164">
        <v>0</v>
      </c>
      <c r="J28" s="164">
        <v>1016.09</v>
      </c>
      <c r="K28" s="164" t="s">
        <v>347</v>
      </c>
      <c r="L28" s="164">
        <v>44.83</v>
      </c>
      <c r="M28" s="164">
        <v>1491552000</v>
      </c>
      <c r="N28" s="164">
        <v>8.4600000000000009</v>
      </c>
      <c r="O28" s="164">
        <v>209</v>
      </c>
      <c r="P28" s="164">
        <v>4.9000000000000004</v>
      </c>
      <c r="Q28"/>
      <c r="R28"/>
    </row>
    <row r="29" spans="1:18" x14ac:dyDescent="0.25">
      <c r="A29" s="164">
        <v>42.25</v>
      </c>
      <c r="B29" s="164">
        <v>0.45</v>
      </c>
      <c r="C29" s="164">
        <v>28.27</v>
      </c>
      <c r="D29" s="8">
        <v>42832.125</v>
      </c>
      <c r="E29" s="164">
        <v>0.53</v>
      </c>
      <c r="F29" s="164" t="s">
        <v>433</v>
      </c>
      <c r="G29" s="164">
        <v>298.77</v>
      </c>
      <c r="H29" s="164">
        <v>0</v>
      </c>
      <c r="I29" s="164">
        <v>0</v>
      </c>
      <c r="J29" s="164">
        <v>1016.37</v>
      </c>
      <c r="K29" s="164" t="s">
        <v>347</v>
      </c>
      <c r="L29" s="164">
        <v>44.55</v>
      </c>
      <c r="M29" s="164">
        <v>1491555600</v>
      </c>
      <c r="N29" s="164">
        <v>7.41</v>
      </c>
      <c r="O29" s="164">
        <v>210</v>
      </c>
      <c r="P29" s="164">
        <v>4.4000000000000004</v>
      </c>
      <c r="Q29"/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188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41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357</v>
      </c>
      <c r="U1" s="215"/>
      <c r="V1" s="215"/>
      <c r="W1" s="215"/>
      <c r="X1" s="215"/>
    </row>
    <row r="2" spans="1:24" ht="15.75" thickBot="1" x14ac:dyDescent="0.3">
      <c r="A2" s="12">
        <v>42831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358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370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371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372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189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1018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1019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1020</v>
      </c>
      <c r="J20" s="148" t="s">
        <v>87</v>
      </c>
      <c r="M20" s="164" t="s">
        <v>349</v>
      </c>
      <c r="N20" s="164" t="s">
        <v>349</v>
      </c>
      <c r="T20" s="193"/>
      <c r="U20" s="193"/>
      <c r="V20" s="193"/>
      <c r="W20" s="193"/>
      <c r="X20" s="193"/>
    </row>
    <row r="21" spans="3:24" x14ac:dyDescent="0.25">
      <c r="C21" t="s">
        <v>1021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618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1022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1023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1024</v>
      </c>
      <c r="J25" s="148" t="s">
        <v>150</v>
      </c>
      <c r="M25" s="164" t="b">
        <v>1</v>
      </c>
    </row>
    <row r="26" spans="3:24" x14ac:dyDescent="0.25">
      <c r="C26" t="s">
        <v>1025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C:\Users\stu\Documents\GitHub\eaglep3-reporting\EC\2017-04-06-refined-times.txt</v>
      </c>
    </row>
    <row r="27" spans="3:24" x14ac:dyDescent="0.25">
      <c r="C27" t="s">
        <v>1026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C:\Users\stu\Documents\GitHub\eaglep3-reporting\EC\2017-04-06-Enforcements.txt</v>
      </c>
    </row>
    <row r="28" spans="3:24" x14ac:dyDescent="0.25">
      <c r="C28" t="s">
        <v>1027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C:\Users\stu\Documents\GitHub\eaglep3-reporting\EC\2017-04-06-Runs-refined.txt</v>
      </c>
    </row>
    <row r="29" spans="3:24" x14ac:dyDescent="0.25">
      <c r="C29" t="s">
        <v>1028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C:\Users\stu\Documents\GitHub\eaglep3-reporting\EC\2017-04-06-Trips.txt</v>
      </c>
    </row>
    <row r="30" spans="3:24" x14ac:dyDescent="0.25">
      <c r="C30" t="s">
        <v>1029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C:\Users\stu\Documents\GitHub\eaglep3-reporting\EC\2017-04-06-Weather.txt</v>
      </c>
    </row>
    <row r="31" spans="3:24" x14ac:dyDescent="0.25">
      <c r="C31" t="s">
        <v>1030</v>
      </c>
      <c r="J31" s="148" t="s">
        <v>202</v>
      </c>
      <c r="M31" s="164" t="s">
        <v>203</v>
      </c>
    </row>
    <row r="32" spans="3:24" x14ac:dyDescent="0.25">
      <c r="C32" t="s">
        <v>1031</v>
      </c>
    </row>
    <row r="33" spans="3:3" x14ac:dyDescent="0.25">
      <c r="C33" t="s">
        <v>1032</v>
      </c>
    </row>
    <row r="34" spans="3:3" x14ac:dyDescent="0.25">
      <c r="C34" t="s">
        <v>1033</v>
      </c>
    </row>
    <row r="35" spans="3:3" x14ac:dyDescent="0.25">
      <c r="C35" t="s">
        <v>1034</v>
      </c>
    </row>
    <row r="36" spans="3:3" x14ac:dyDescent="0.25">
      <c r="C36" t="s">
        <v>1035</v>
      </c>
    </row>
    <row r="37" spans="3:3" x14ac:dyDescent="0.25">
      <c r="C37" t="s">
        <v>1036</v>
      </c>
    </row>
    <row r="38" spans="3:3" x14ac:dyDescent="0.25">
      <c r="C38" t="s">
        <v>617</v>
      </c>
    </row>
    <row r="39" spans="3:3" x14ac:dyDescent="0.25">
      <c r="C39" t="s">
        <v>1037</v>
      </c>
    </row>
    <row r="40" spans="3:3" x14ac:dyDescent="0.25">
      <c r="C40" t="s">
        <v>1038</v>
      </c>
    </row>
    <row r="41" spans="3:3" x14ac:dyDescent="0.25">
      <c r="C41" t="s">
        <v>1039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416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417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190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2017-04-20T21:36:25Z</dcterms:modified>
</cp:coreProperties>
</file>